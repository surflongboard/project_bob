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27" sheetId="1" r:id="rId4"/>
    <sheet state="visible" name="FW27" sheetId="2" r:id="rId5"/>
    <sheet state="visible" name="SS28" sheetId="3" r:id="rId6"/>
    <sheet state="visible" name="FW28" sheetId="4" r:id="rId7"/>
    <sheet state="visible" name="FW27 Activities Source" sheetId="5" r:id="rId8"/>
  </sheets>
  <externalReferences>
    <externalReference r:id="rId9"/>
    <externalReference r:id="rId10"/>
  </externalReferences>
  <definedNames>
    <definedName hidden="1" localSheetId="0" name="_xlnm._FilterDatabase">'SS27'!$A$2:$AP$345</definedName>
    <definedName hidden="1" localSheetId="1" name="_xlnm._FilterDatabase">'FW27'!$A$2:$AY$394</definedName>
    <definedName hidden="1" localSheetId="2" name="_xlnm._FilterDatabase">'SS28'!$A$2:$BJ$531</definedName>
    <definedName hidden="1" localSheetId="3" name="_xlnm._FilterDatabase">'FW28'!$A$2:$BH$592</definedName>
  </definedNames>
  <calcPr/>
  <extLst>
    <ext uri="GoogleSheetsCustomDataVersion2">
      <go:sheetsCustomData xmlns:go="http://customooxmlschemas.google.com/" r:id="rId11" roundtripDataChecksum="fL3dAYn0B5VhdFWZgT5NSK2zMeoYNwq6aYWomdAz5F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322">
      <text>
        <t xml:space="preserve">======
ID#AAACFT9UiO0
tc={D64CAC9D-59B6-4E3B-8E68-977FE66D9F73}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62">
      <text>
        <t xml:space="preserve">======
ID#AAACG41XdQU
tc={9A11D4F5-C49E-4738-B32C-2A3082859944}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29">
      <text>
        <t xml:space="preserve">======
ID#AAACG41XdPE
tc={462F25FD-5864-497D-A38B-FE5C4886315E}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collection)
Excel: Outdoor / Active Essentials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24">
      <text>
        <t xml:space="preserve">======
ID#AAACFT9UiHs
tc={493EC232-BDA6-415E-8489-A2FB2B955CA6}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25">
      <text>
        <t xml:space="preserve">======
ID#AAACFT9UiNE
tc={47FEEADE-DC85-4A80-81DE-C4F7D0B42869}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16">
      <text>
        <t xml:space="preserve">======
ID#AAACFT9UiJI
tc={F184E719-DAF8-48B7-8EDE-487DA38EF468}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83">
      <text>
        <t xml:space="preserve">======
ID#AAACFT9UiKQ
tc={4AE730B4-ED9A-458A-8E13-5D3F05F3B31D}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339">
      <text>
        <t xml:space="preserve">======
ID#AAACG41XdQo
tc={E83E3E3C-0179-491A-81B5-6D10623B0EBA}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78">
      <text>
        <t xml:space="preserve">======
ID#AAACFT9UiQs
tc={A1F89BDA-983D-4FD5-80FF-4D117D590FF7}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50">
      <text>
        <t xml:space="preserve">======
ID#AAACFT9UiKs
tc={D7E77CCB-E6D1-4155-A510-20E86A2D3C45}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45">
      <text>
        <t xml:space="preserve">======
ID#AAACG41XdOA
tc={0751E79F-AF13-4346-B549-39FFA7D85233}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79">
      <text>
        <t xml:space="preserve">======
ID#AAACFT9UiQI
tc={32B7D0B4-273E-496E-BCDD-FE8A06D691AB}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41">
      <text>
        <t xml:space="preserve">======
ID#AAACFT9UiLA
tc={C9174B94-D623-4722-837A-27E04790CC57}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08">
      <text>
        <t xml:space="preserve">======
ID#AAACFT9UiKA
tc={DF473EFA-2CA0-4616-BC57-803255E5EC58}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203">
      <text>
        <t xml:space="preserve">======
ID#AAACFT9UiQc
tc={CD8063F4-1C3F-42D7-9EE6-0DF15608382D}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104">
      <text>
        <t xml:space="preserve">======
ID#AAACFT9UiLk
tc={12E2F1CE-FB67-49B8-9DC9-588D2A0758ED}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71">
      <text>
        <t xml:space="preserve">======
ID#AAACFT9UiNc
tc={F091D9DE-D80F-4B33-8A4A-0389E0ACCFBA}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66">
      <text>
        <t xml:space="preserve">======
ID#AAACFT9UiPM
tc={F1AC5905-8C62-4AAB-968B-64EF5076F5C5}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00">
      <text>
        <t xml:space="preserve">======
ID#AAACG41XdMo
tc={252B07FB-62FC-401E-AFAD-CBEFBD5149D4}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AH67">
      <text>
        <t xml:space="preserve">======
ID#AAACG41XdO8
tc={E77C8BD2-6495-46AE-894F-EC64C1622959}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323">
      <text>
        <t xml:space="preserve">======
ID#AAACG41XdOI
tc={F982D765-886C-47B9-83ED-48A364DB884D}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62">
      <text>
        <t xml:space="preserve">======
ID#AAACFT9UiIA
tc={9DDCC5D4-BD02-40CD-B204-008842B5AE8D}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63">
      <text>
        <t xml:space="preserve">======
ID#AAACFT9UiNI
tc={9E154FF7-6DE3-48AF-9D82-A3C53324DE34}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30">
      <text>
        <t xml:space="preserve">======
ID#AAACFT9UiJc
tc={D4DB82C6-4304-4734-95A2-7F768372489B}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25">
      <text>
        <t xml:space="preserve">======
ID#AAACFT9UiLo
tc={A931666C-8C0A-4C75-9775-F08A2A6FC7A4}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54">
      <text>
        <t xml:space="preserve">======
ID#AAACG41XdNk
tc={0C444553-F82B-4C40-BF20-77CADCA3C6FD}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17">
      <text>
        <t xml:space="preserve">======
ID#AAACG41XdL0
tc={622CAB86-8249-4259-981E-C98A45BA587D}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84">
      <text>
        <t xml:space="preserve">======
ID#AAACFT9UiOc
tc={9FBA35D3-3BA9-4756-91E2-C8921D0918D6}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340">
      <text>
        <t xml:space="preserve">======
ID#AAACFT9UiKw
tc={5CF05E9D-0076-4695-A2CB-B9F1D2F87C6B}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51">
      <text>
        <t xml:space="preserve">======
ID#AAACFT9UiHo
tc={0CDD681B-AC3F-4198-8285-77A64F1DFC66}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80">
      <text>
        <t xml:space="preserve">======
ID#AAACFT9UiN0
tc={33255F9E-7A8E-4AE3-8EF2-A730E646F6CE}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336">
      <text>
        <t xml:space="preserve">======
ID#AAACFT9UiIs
tc={70C1680D-855E-498F-80C6-1FD61FC69C3A}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42">
      <text>
        <t xml:space="preserve">======
ID#AAACFT9UiOM
tc={F3F8F5F0-F8E8-4400-B37E-F1352AF30C1E}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72">
      <text>
        <t xml:space="preserve">======
ID#AAACFT9UiJA
tc={E883A7C7-1D69-4DA6-BAE3-BF249BD64C22}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67">
      <text>
        <t xml:space="preserve">======
ID#AAACFT9UiN4
tc={6625F772-A22C-4C27-B126-902E11594909}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6">
      <text>
        <t xml:space="preserve">======
ID#AAACFT9UiNs
tc={ADD3A8C7-2D62-4897-9A6E-6B6B7FCA4AB8}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68">
      <text>
        <t xml:space="preserve">======
ID#AAACG41XdPs
tc={0748A9C8-38D6-46AA-96BE-E0A96786F317}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63">
      <text>
        <t xml:space="preserve">======
ID#AAACFT9UiNQ
tc={5DEC4BA4-A724-40CE-9E50-C455B7E94BC5}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97">
      <text>
        <t xml:space="preserve">======
ID#AAACG41XdMA
tc={F71B021C-6F6D-4AB5-BADC-7EB5226F92D8}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64">
      <text>
        <t xml:space="preserve">======
ID#AAACFT9UiL0
tc={EEFCCF92-AAEA-4C21-92DB-470259709BA4}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31">
      <text>
        <t xml:space="preserve">======
ID#AAACG41XdOw
tc={117A9E69-15FA-45CC-A5B5-6B74A53113FF}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55">
      <text>
        <t xml:space="preserve">======
ID#AAACFT9UiIY
tc={0BB8B655-9A22-4AA8-B03C-E043733B9338}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22">
      <text>
        <t xml:space="preserve">======
ID#AAACG41XdRY
tc={01838838-10B9-49F8-89C7-0CCD3014A321}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AH151">
      <text>
        <t xml:space="preserve">======
ID#AAACFT9UiJo
tc={E796C82D-4980-46EA-80B1-9DFFC9F95C25}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341">
      <text>
        <t xml:space="preserve">======
ID#AAACG41XdPI
tc={EC156165-5A58-4059-8ED7-65A296C78003}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85">
      <text>
        <t xml:space="preserve">======
ID#AAACG41XdOk
tc={82EA492D-6862-455F-98DB-2B1F4E76C3C0}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81">
      <text>
        <t xml:space="preserve">======
ID#AAACFT9UiNM
tc={F7F72882-3928-4201-A2AB-3156AC7A9CD9}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337">
      <text>
        <t xml:space="preserve">======
ID#AAACG41XdME
tc={29A396E4-726B-41D4-AA16-B16EFBBD1A32}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43">
      <text>
        <t xml:space="preserve">======
ID#AAACG41XdNo
tc={92B92828-044A-4B9D-84BA-F6BF18D657BE}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68">
      <text>
        <t xml:space="preserve">======
ID#AAACFT9UiM4
tc={FC8DF6FD-EAA7-415C-82B2-27C3CDB7E361}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35">
      <text>
        <t xml:space="preserve">======
ID#AAACFT9UiHg
tc={5C0C849A-B9E8-4C79-AD1B-2905EF67ECB3}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7">
      <text>
        <t xml:space="preserve">======
ID#AAACG41XdLI
tc={DDB7BE5D-94DC-4D97-9545-6622AFCDEB92}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02">
      <text>
        <t xml:space="preserve">======
ID#AAACG41XdKs
tc={A83F7A26-6ED8-4A1C-9270-06D16254378F}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69">
      <text>
        <t xml:space="preserve">======
ID#AAACFT9UiQU
tc={5D14677A-170E-400B-B6A1-717E1C18B808}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98">
      <text>
        <t xml:space="preserve">======
ID#AAACFT9UiMw
tc={9C3924E3-173F-4093-AE70-D5EFC879CB2D}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AH123">
      <text>
        <t xml:space="preserve">======
ID#AAACFT9UiJQ
tc={DA02F81D-0CD1-4FBE-B49F-0AC86D9285A3}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AH24">
      <text>
        <t xml:space="preserve">======
ID#AAACG41XdRk
tc={BAEC0D07-4A94-4DA4-A9B0-5860E6AD5DF3}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86">
      <text>
        <t xml:space="preserve">======
ID#AAACG41XdOU
tc={17794B84-F198-453B-BD6B-7284744AD70C}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82">
      <text>
        <t xml:space="preserve">======
ID#AAACFT9UiO8
tc={00E6FB7F-CC8C-4420-9F28-30F3DFF4B032}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338">
      <text>
        <t xml:space="preserve">======
ID#AAACFT9UiKM
tc={11725A27-4370-49F3-8688-D3ED5F1C14E7}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77">
      <text>
        <t xml:space="preserve">======
ID#AAACFT9UiPA
tc={22843383-03E8-4629-8D3A-FFDCC30A2590}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144">
      <text>
        <t xml:space="preserve">======
ID#AAACFT9UiKc
tc={99EA2125-6739-4EBC-B3E9-B99C6FCF5E59}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07">
      <text>
        <t xml:space="preserve">======
ID#AAACG41XdK4
tc={23269424-7396-4C21-9E73-20835C3234F1}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202">
      <text>
        <t xml:space="preserve">======
ID#AAACFT9UiP8
tc={2E3CF932-B0EE-496C-9C30-BDFBB80B40FF}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AH169">
      <text>
        <t xml:space="preserve">======
ID#AAACG41XdK8
tc={A44026DD-A780-463E-80C5-357242549588}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136">
      <text>
        <t xml:space="preserve">======
ID#AAACFT9UiLg
tc={7C9B2555-158A-4675-8758-80513ADEB99C}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103">
      <text>
        <t xml:space="preserve">======
ID#AAACG41XdNw
tc={F347A2BB-820F-40B4-9BA2-44C64DA86DA8}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AH70">
      <text>
        <t xml:space="preserve">======
ID#AAACFT9UiMg
tc={331E1F4B-ED6E-497F-AB20-0D615B00D652}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AH99">
      <text>
        <t xml:space="preserve">======
ID#AAACFT9UiII
tc={A61E6A49-3190-4BE1-9CE0-8AF3D3E054AD}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</commentList>
  <extLst>
    <ext uri="GoogleSheetsCustomDataVersion2">
      <go:sheetsCustomData xmlns:go="http://customooxmlschemas.google.com/" r:id="rId1" roundtripDataSignature="AMtx7mgmFYf9Wfd6ZIijZNijKxVEWVCFU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C214">
      <text>
        <t xml:space="preserve">======
ID#AAACG41XdQQ
tc={3F066117-7290-43D2-9069-0C9C7C963657}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48">
      <text>
        <t xml:space="preserve">======
ID#AAACFT9UiMY
tc={3749FDD5-E00C-4E4A-86EB-6EBC926A5AED}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C272">
      <text>
        <t xml:space="preserve">======
ID#AAACG41XdKw
tc={9901FD69-E754-44B3-ABA0-B96646774458}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495">
      <text>
        <t xml:space="preserve">======
ID#AAACFT9UiOo
tc={563E7F2B-7055-4A7D-99AC-508DB6156E60}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07">
      <text>
        <t xml:space="preserve">======
ID#AAACFT9UiQo
tc={342BAF82-05BF-48C3-A7B4-B59AFC458332}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297">
      <text>
        <t xml:space="preserve">======
ID#AAACG41XdM8
tc={0982B899-FF02-4A89-BCB6-DA5A6B7208F2}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C41">
      <text>
        <t xml:space="preserve">======
ID#AAACG41XdLY
tc={997086AF-D52C-4461-BE3A-47BDBB551245}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8">
      <text>
        <t xml:space="preserve">======
ID#AAACG41XdLA
tc={2E05577C-1DAC-43CF-BF07-96364B133881}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99">
      <text>
        <t xml:space="preserve">======
ID#AAACG41XdL8
tc={7C7D36DF-AF2E-49E0-BEBD-E96E1D37BF04}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223">
      <text>
        <t xml:space="preserve">======
ID#AAACFT9UiIU
tc={1019EE5B-2405-4C55-B1FB-ED0A020628FD}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57">
      <text>
        <t xml:space="preserve">======
ID#AAACFT9UiPs
tc={F32EE188-E7AD-4A9F-996B-F907FDB4D5BE}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24">
      <text>
        <t xml:space="preserve">======
ID#AAACG41XdQE
tc={DAB53974-6DC9-469E-8523-B2C2B6F55B7A}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58">
      <text>
        <t xml:space="preserve">======
ID#AAACFT9UiMI
tc={C00F91F9-2DF8-46B3-9F37-55A47716A486}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15">
      <text>
        <t xml:space="preserve">======
ID#AAACG41XdP4
tc={C9647725-70F6-474F-9F52-FE52A00E7AD8}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49">
      <text>
        <t xml:space="preserve">======
ID#AAACFT9UiOs
tc={7E17FE8F-2959-486E-B5EE-97491010836A}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C273">
      <text>
        <t xml:space="preserve">======
ID#AAACG41XdPQ
tc={3DB5FA1D-6A9E-43A8-B3F1-709466CF44E9}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42">
      <text>
        <t xml:space="preserve">======
ID#AAACG41XdMM
tc={39A38A30-475F-40F3-8DEA-5EFE903D1B61}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265">
      <text>
        <t xml:space="preserve">======
ID#AAACFT9UiI4
tc={C5FAD249-9332-41D9-A3F3-A4D4F308783E}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290">
      <text>
        <t xml:space="preserve">======
ID#AAACFT9UiPU
tc={8DE6C94F-E27B-45A6-97E2-33A95D6BF290}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513">
      <text>
        <t xml:space="preserve">======
ID#AAACFT9UiMk
tc={BA685196-3F45-4E12-BFF5-6CC35B827009}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24">
      <text>
        <t xml:space="preserve">======
ID#AAACG41XdPM
tc={32BA8D20-1751-4DE9-B920-ABBCC4B0E943}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58">
      <text>
        <t xml:space="preserve">======
ID#AAACFT9UiJU
tc={5644F2AA-A2CE-4634-B207-F62A3595A96B}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125">
      <text>
        <t xml:space="preserve">======
ID#AAACFT9UiIE
tc={415BDB1D-A249-48C8-8B0E-917F9F928C09}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74">
      <text>
        <t xml:space="preserve">======
ID#AAACG41XdMI
tc={66ABBC0D-72B1-456C-9CB7-1680DDFCA293}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75">
      <text>
        <t xml:space="preserve">======
ID#AAACG41XdRI
tc={756CD8F1-1C7B-411F-890D-B63522E72CF5}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43">
      <text>
        <t xml:space="preserve">======
ID#AAACFT9UiJs
tc={3D22A0AB-3997-4998-B127-803271B75008}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266">
      <text>
        <t xml:space="preserve">======
ID#AAACG41XdNI
tc={6B6A5538-171A-49AF-A794-E203508851AB}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489">
      <text>
        <t xml:space="preserve">======
ID#AAACG41XdQw
tc={35C56D22-BF9C-4583-A17A-40807939115D}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291">
      <text>
        <t xml:space="preserve">======
ID#AAACFT9UiIc
tc={5EFC70D0-60B5-4454-A5A2-3F3FDEF2D712}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514">
      <text>
        <t xml:space="preserve">======
ID#AAACFT9UiI0
tc={575222EA-3221-4D13-ACE8-6068967CE801}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25">
      <text>
        <t xml:space="preserve">======
ID#AAACFT9UiOk
tc={0D37B283-8A0B-4D42-8D16-047BA87C98B4}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59">
      <text>
        <t xml:space="preserve">======
ID#AAACFT9UiPk
tc={DD23C0D0-B5B0-4241-9B72-17A5702E500A}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151">
      <text>
        <t xml:space="preserve">======
ID#AAACG41XdMc
tc={ED528599-4DDD-406C-8542-B6D6986870C6}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18">
      <text>
        <t xml:space="preserve">======
ID#AAACG41XdLs
tc={064FD304-ED84-4E5A-94E7-7385C9DB4860}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85">
      <text>
        <t xml:space="preserve">======
ID#AAACFT9UiLI
tc={83F8A9A3-F81C-4F21-A78F-D5E9EB733AFE}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52">
      <text>
        <t xml:space="preserve">======
ID#AAACFT9UiL8
tc={5DD2D6D3-AFFC-4E08-BDB5-3A94B457FC8F}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collection)
Excel: Outdoor / Active Essentials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75">
      <text>
        <t xml:space="preserve">======
ID#AAACG41XdLM
tc={1B04BC73-367F-4A71-B2D0-49A907DBAFEE}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76">
      <text>
        <t xml:space="preserve">======
ID#AAACFT9UiKg
tc={3BC6DE79-7BE2-419B-87C5-4ACE92FF9580}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44">
      <text>
        <t xml:space="preserve">======
ID#AAACG41XdQA
tc={5B9A05EF-E658-48C0-99CC-A4DA87F7FFE5}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1">
      <text>
        <t xml:space="preserve">======
ID#AAACFT9UiIw
tc={409E13DA-A528-49BB-89EB-D9F20927C290}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267">
      <text>
        <t xml:space="preserve">======
ID#AAACG41XdNU
tc={8773163C-74AB-471E-B461-336D1390227D}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490">
      <text>
        <t xml:space="preserve">======
ID#AAACFT9UiQg
tc={5AA615DF-C2C5-4C25-9A49-E641C3AEECE4}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358">
      <text>
        <t xml:space="preserve">======
ID#AAACFT9UiP0
tc={9C7FF469-E079-4ECE-9450-8BE364DFA41F}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102">
      <text>
        <t xml:space="preserve">======
ID#AAACFT9UiLQ
tc={7CCA50F2-05B6-4441-AFAD-C1E9B8977CAF}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60">
      <text>
        <t xml:space="preserve">======
ID#AAACFT9UiLE
tc={F9014A30-0AAB-4D5A-A8A4-63D6D807667B}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185">
      <text>
        <t xml:space="preserve">======
ID#AAACFT9UiMA
tc={501E25AE-F0EA-4664-A4F5-9E4B765C3D76}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C152">
      <text>
        <t xml:space="preserve">======
ID#AAACG41XdOQ
tc={35F02CF2-843E-4DE4-A182-DCD2C0E6722B}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19">
      <text>
        <t xml:space="preserve">======
ID#AAACFT9UiPo
tc={9BC53052-F1E0-423D-81D1-6624EC55E592}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86">
      <text>
        <t xml:space="preserve">======
ID#AAACFT9UiIQ
tc={6690ACD8-A29A-445E-9962-8112A312A337}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53">
      <text>
        <t xml:space="preserve">======
ID#AAACFT9UiN8
tc={1244137E-E0F6-42FD-8800-562F2F69FB10}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276">
      <text>
        <t xml:space="preserve">======
ID#AAACFT9UiMs
tc={D7171193-AE6F-4429-96D1-B2E9D8EF9787}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44">
      <text>
        <t xml:space="preserve">======
ID#AAACG41XdLk
tc={B953A5C8-4479-4C3E-8BDC-EA0BC6AE8587}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45">
      <text>
        <t xml:space="preserve">======
ID#AAACG41XdMQ
tc={B3869C66-9D73-4543-BBA2-0A734888AF71}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C12">
      <text>
        <t xml:space="preserve">======
ID#AAACFT9UiQA
tc={3490E306-49D9-49E1-A91A-86F3C90820CE}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268">
      <text>
        <t xml:space="preserve">======
ID#AAACFT9UiJ0
tc={6D4173C7-66A1-4B07-99BB-C900626777B9}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03">
      <text>
        <t xml:space="preserve">======
ID#AAACFT9UiOw
tc={DD96664F-5CCD-4213-9BDA-A871867B998B}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359">
      <text>
        <t xml:space="preserve">======
ID#AAACFT9UiMc
tc={3D15FB9F-37B8-4506-BD35-21734684C052}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161">
      <text>
        <t xml:space="preserve">======
ID#AAACG41XdPU
tc={8632A9FE-BC52-409E-80B7-75D189FE94A4}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186">
      <text>
        <t xml:space="preserve">======
ID#AAACFT9UiKU
tc={09F7CDCC-5482-43F3-BFA4-6884E4259A99}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C153">
      <text>
        <t xml:space="preserve">======
ID#AAACG41XdQ8
tc={2DD68473-8DEA-40A0-AFD6-980E400B8336}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20">
      <text>
        <t xml:space="preserve">======
ID#AAACFT9UiIo
tc={D6C855EB-8E40-4D0C-A4D5-79756758AFBF}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45">
      <text>
        <t xml:space="preserve">======
ID#AAACG41XdKo
tc={D4680240-CBC5-46CE-A14A-4BC35FB1A96C}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46">
      <text>
        <t xml:space="preserve">======
ID#AAACFT9UiNg
tc={10FF0D1D-E8EA-4028-ADD9-CDD10A48C31C}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C13">
      <text>
        <t xml:space="preserve">======
ID#AAACFT9UiPw
tc={6EC2A5C9-CF34-492D-83A9-052A69B11211}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104">
      <text>
        <t xml:space="preserve">======
ID#AAACG41XdQ4
tc={1DD02D34-5597-47D4-82F6-6770AC715938}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352">
      <text>
        <t xml:space="preserve">======
ID#AAACG41XdOE
tc={BA35EDF6-A9E9-45CA-9B3D-A6815BCA6352}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87">
      <text>
        <t xml:space="preserve">======
ID#AAACFT9UiNw
tc={17D99C98-1271-4AAF-A36A-DBC2ECE1EE03}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C121">
      <text>
        <t xml:space="preserve">======
ID#AAACFT9UiP4
tc={D456E1AB-8603-4204-8FD9-14CA04F0D0E1}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45">
      <text>
        <t xml:space="preserve">======
ID#AAACFT9UiH8
tc={76BE3FBD-C58F-4889-9D98-616914AD103D}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12">
      <text>
        <t xml:space="preserve">======
ID#AAACFT9UiJM
tc={6B167F44-E654-4072-A034-813E0DA52D93}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46">
      <text>
        <t xml:space="preserve">======
ID#AAACFT9UiJg
tc={60B777D1-7985-4BF1-B368-930C08D158AC}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14">
      <text>
        <t xml:space="preserve">======
ID#AAACG41XdP8
tc={934D289C-7F7F-43F0-B042-8A40B3698B67}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C204">
      <text>
        <t xml:space="preserve">======
ID#AAACFT9UiJ8
tc={7102F419-D43E-4C81-A8C9-547E34279457}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Ski Touring
Deck (PPT grid position): Skiing/Snowboarding / Resort
Deck activity columns map: Hiking=Day Hiking / Trail Run &amp; Fast Hike, Resort=All Mountain, Touring=Ski Touring, Essentials/Everyday=Active/Daily Essentials. Please review.</t>
      </text>
    </comment>
    <comment authorId="0" ref="BC105">
      <text>
        <t xml:space="preserve">======
ID#AAACFT9UiQQ
tc={C2B6AB7D-4E30-449E-A0E0-BC242D3205E8}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39">
      <text>
        <t xml:space="preserve">======
ID#AAACFT9UiM0
tc={1FF93882-DD4E-41D5-AB7B-07EF781E780E}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353">
      <text>
        <t xml:space="preserve">======
ID#AAACFT9UiK8
tc={5EE6FFC5-1AC5-4893-8CA6-1538097392D9}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97">
      <text>
        <t xml:space="preserve">======
ID#AAACG41XdOM
tc={018CE0EB-F4AB-4E40-B84C-2A267D3458EF}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221">
      <text>
        <t xml:space="preserve">======
ID#AAACFT9UiPI
tc={3234FE0E-68ED-4BDD-8506-904A4AD22701}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88">
      <text>
        <t xml:space="preserve">======
ID#AAACG41XdM4
tc={581404E6-D32E-4EF5-8D52-31A409365D8E}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122">
      <text>
        <t xml:space="preserve">======
ID#AAACG41XdNM
tc={C73DAAE5-0B2B-4237-B47B-B11AAA86CB02}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246">
      <text>
        <t xml:space="preserve">======
ID#AAACFT9UiQk
tc={05B6BF3C-3E12-4EF0-AFF8-808F8DD2742B}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13">
      <text>
        <t xml:space="preserve">======
ID#AAACFT9UiPE
tc={0B506ABA-BD17-484B-AC7E-08AFA51B92E6}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47">
      <text>
        <t xml:space="preserve">======
ID#AAACG41XdPw
tc={69B7A744-FDD4-46A0-A79E-DA567A002A6C}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71">
      <text>
        <t xml:space="preserve">======
ID#AAACFT9UiPc
tc={C6217E31-270C-48C4-A927-DA66B076C158}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38">
      <text>
        <t xml:space="preserve">======
ID#AAACG41XdPg
tc={C9C5D253-CFAF-425C-B0EA-9A9F6449DC82}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205">
      <text>
        <t xml:space="preserve">======
ID#AAACG41XdOo
tc={A240435F-BBA8-4E05-8633-B0D0777E8916}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Ski Touring
Deck (PPT grid position): Skiing/Snowboarding / Resort
Deck activity columns map: Hiking=Day Hiking / Trail Run &amp; Fast Hike, Resort=All Mountain, Touring=Ski Touring, Essentials/Everyday=Active/Daily Essentials. Please review.</t>
      </text>
    </comment>
    <comment authorId="0" ref="BC106">
      <text>
        <t xml:space="preserve">======
ID#AAACG41XdRc
tc={AC6147C7-243B-4971-ABA3-DA2A898F6BC7}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40">
      <text>
        <t xml:space="preserve">======
ID#AAACFT9UiNA
tc={E311A6E5-F40C-428E-93AD-8A189101762B}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296">
      <text>
        <t xml:space="preserve">======
ID#AAACG41XdQI
tc={86CCD033-2309-4749-A6CD-94E4161E8CEB}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C7">
      <text>
        <t xml:space="preserve">======
ID#AAACFT9UiNo
tc={B9F6129F-8508-4AFA-95AC-262391F21C11}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98">
      <text>
        <t xml:space="preserve">======
ID#AAACFT9UiQE
tc={26F772C1-3313-4F0E-A49A-BC7E7416D92D}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C222">
      <text>
        <t xml:space="preserve">======
ID#AAACFT9UiQY
tc={103925AF-B302-4713-8223-E04CD2523B1B}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C189">
      <text>
        <t xml:space="preserve">======
ID#AAACG41XdLc
tc={4D6C4902-5C0B-4EBE-8A31-5256DE38865A}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C156">
      <text>
        <t xml:space="preserve">======
ID#AAACG41XdPc
tc={53732F75-FD21-4579-86D3-770CD0DA558D}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123">
      <text>
        <t xml:space="preserve">======
ID#AAACFT9UiOE
tc={91E2F503-3DF4-4A4E-8345-90921CC7ABDE}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C57">
      <text>
        <t xml:space="preserve">======
ID#AAACFT9UiOI
tc={5DD57636-BFB5-4DB0-8F29-2F97D715102E}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</commentList>
  <extLst>
    <ext uri="GoogleSheetsCustomDataVersion2">
      <go:sheetsCustomData xmlns:go="http://customooxmlschemas.google.com/" r:id="rId1" roundtripDataSignature="AMtx7mhn6ikvUaoysgJ/o3IEfz2jjFY2q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148">
      <text>
        <t xml:space="preserve">======
ID#AAACFT9UiKk
tc={FC60E911-4EE6-4866-BBE2-1820BE4EB97C}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404">
      <text>
        <t xml:space="preserve">======
ID#AAACG41XdNA
tc={C4B4E9A6-973C-4939-A54F-214F72E68D95}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305">
      <text>
        <t xml:space="preserve">======
ID#AAACFT9UiNk
tc={0913E322-0420-49A6-9B2B-B16D4D797763}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49">
      <text>
        <t xml:space="preserve">======
ID#AAACFT9UiLM
tc={62650F2B-2A55-4213-99EA-6B0BD9B30293}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73">
      <text>
        <t xml:space="preserve">======
ID#AAACG41XdM0
tc={01F0BB0E-337A-459E-9AC4-492CB91DDF5B}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40">
      <text>
        <t xml:space="preserve">======
ID#AAACG41XdNQ
tc={B61CEFC3-0173-4A97-BB1C-98296C0CD5D0}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30">
      <text>
        <t xml:space="preserve">======
ID#AAACFT9UiOg
tc={4B502CFC-56EE-4539-B678-2032C6DB3389}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74">
      <text>
        <t xml:space="preserve">======
ID#AAACG41XdN8
tc={F0B50BCA-2A97-4D79-8DE6-7B3D59A99BCC}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66">
      <text>
        <t xml:space="preserve">======
ID#AAACG41XdQs
tc={0379D0E8-C1C8-4AF6-BDEC-3D6641F9792D}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56">
      <text>
        <t xml:space="preserve">======
ID#AAACFT9UiIM
tc={F387BDCA-CBDC-4B20-B036-292DD1E77F26}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90">
      <text>
        <t xml:space="preserve">======
ID#AAACFT9UiNY
tc={13D6502C-7A3E-4B12-B075-C50ED7128BFC}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24">
      <text>
        <t xml:space="preserve">======
ID#AAACFT9UiLw
tc={D3AD15BB-F522-4C14-B19E-E8ED4E42B442}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314">
      <text>
        <t xml:space="preserve">======
ID#AAACFT9UiQM
tc={9DB8C037-080B-46A4-8A51-7040BE67D9AE}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48">
      <text>
        <t xml:space="preserve">======
ID#AAACFT9UiOU
tc={F6826EB0-3C36-4EB0-B1D1-E85AE62B82A8}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82">
      <text>
        <t xml:space="preserve">======
ID#AAACG41XdPY
tc={AF987F13-666A-4D4B-A150-DAC633CC6D60}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49">
      <text>
        <t xml:space="preserve">======
ID#AAACG41XdQY
tc={D0F24562-BCAA-4757-A125-55900BF96FA1}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06">
      <text>
        <t xml:space="preserve">======
ID#AAACFT9UiLY
tc={C5921EBD-1886-4500-8BE4-2AB28A39226D}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50">
      <text>
        <t xml:space="preserve">======
ID#AAACFT9UiPQ
tc={53160C67-2287-4E7C-98E3-DB37B54DC245}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7">
      <text>
        <t xml:space="preserve">======
ID#AAACG41XdPo
tc={B0A6CB09-AF35-4CF5-B29D-24721EEF574E}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174">
      <text>
        <t xml:space="preserve">======
ID#AAACG41XdLw
tc={5F0A2696-3320-428A-AFFF-1E3386A1F149}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397">
      <text>
        <t xml:space="preserve">======
ID#AAACFT9UiL4
tc={4F0A2BC5-DC68-4663-B4AC-F338A11F63A6}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75">
      <text>
        <t xml:space="preserve">======
ID#AAACFT9UiLs
tc={8C6D5756-10CC-4886-B0ED-BE19AD8B1DB1}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100">
      <text>
        <t xml:space="preserve">======
ID#AAACG41XdMg
tc={569A78AE-60E0-4C44-A4AC-0D528D071A69}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67">
      <text>
        <t xml:space="preserve">======
ID#AAACG41XdNg
tc={AE6CAA3B-E745-427C-915C-0C8CF6E4C696}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57">
      <text>
        <t xml:space="preserve">======
ID#AAACG41XdRQ
tc={0D0F6265-6120-4F5C-8DC4-4344069901DF}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91">
      <text>
        <t xml:space="preserve">======
ID#AAACG41XdNs
tc={25D8F94C-FE74-429D-B8EA-057694276B28}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125">
      <text>
        <t xml:space="preserve">======
ID#AAACG41XdNE
tc={FA1D00F1-2E0D-4F81-B5E6-94C7C35620DE}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315">
      <text>
        <t xml:space="preserve">======
ID#AAACG41XdP0
tc={CD07F759-41E4-44B1-AAA9-112FC335E3CF}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49">
      <text>
        <t xml:space="preserve">======
ID#AAACG41XdL4
tc={24422CCD-02B8-4E8D-A3D9-A2B5B717732B}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50">
      <text>
        <t xml:space="preserve">======
ID#AAACFT9UiJw
tc={8D9AC3FF-F6BB-4052-AC9C-ED054E673F23}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51">
      <text>
        <t xml:space="preserve">======
ID#AAACFT9UiMo
tc={73479DD4-C3AB-4235-9F2E-85F66C163B39}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307">
      <text>
        <t xml:space="preserve">======
ID#AAACFT9UiM8
tc={9C58B4B5-2415-481C-83C4-809726ED1836}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8">
      <text>
        <t xml:space="preserve">======
ID#AAACG41XdMU
tc={20F2A868-B1F0-4338-91ED-B40BA49DF4CE}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208">
      <text>
        <t xml:space="preserve">======
ID#AAACFT9UiNU
tc={AF3352B4-0C70-4EB5-AE48-B1452FF6AE4C}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75">
      <text>
        <t xml:space="preserve">======
ID#AAACFT9UiK0
tc={0FC109F8-5B50-458B-8359-398EA7C08494}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A398">
      <text>
        <t xml:space="preserve">======
ID#AAACG41XdLU
tc={37B832F5-E190-4696-B79E-0579EA4F9A6D}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01">
      <text>
        <t xml:space="preserve">======
ID#AAACFT9UiLc
tc={AA764EDB-596F-4D29-8CEB-8A52570D4B08}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258">
      <text>
        <t xml:space="preserve">======
ID#AAACG41XdRU
tc={9E7C61FE-4EFE-4BD6-9569-47672091E15C}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92">
      <text>
        <t xml:space="preserve">======
ID#AAACG41XdO4
tc={946D816E-FCF6-4ACF-AA1E-8FD807082E1E}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126">
      <text>
        <t xml:space="preserve">======
ID#AAACFT9UiKI
tc={6C73C0D4-D153-4BEB-9A5A-994DA610DA6C}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60">
      <text>
        <t xml:space="preserve">======
ID#AAACG41XdQc
tc={247B487C-F6BB-4865-A51E-CBF0595C0CC1}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collection)
Excel: Outdoor / Active Essentials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283">
      <text>
        <t xml:space="preserve">======
ID#AAACG41XdQM
tc={26E7EB69-9062-4534-975E-4B26B644B962}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18">
      <text>
        <t xml:space="preserve">======
ID#AAACFT9UiMQ
tc={05E65D8F-A2EF-4463-BEC7-6C29A1A07D3A}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52">
      <text>
        <t xml:space="preserve">======
ID#AAACG41XdOY
tc={59D3DBDF-9716-454E-9558-ACF946D9EBC0}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9">
      <text>
        <t xml:space="preserve">======
ID#AAACFT9UiLU
tc={B7A2B6D1-9BEE-47E5-804C-52F21C939733}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209">
      <text>
        <t xml:space="preserve">======
ID#AAACG41XdQ0
tc={0407528E-575D-4E2A-BDF5-E6D2FE0CC808}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76">
      <text>
        <t xml:space="preserve">======
ID#AAACFT9UiJY
tc={BD5B89B5-B8FC-4EC7-873B-6ABE5D326489}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A102">
      <text>
        <t xml:space="preserve">======
ID#AAACG41XdN0
tc={EF53353C-65C9-429F-BBF8-A10F2EEDFE34}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259">
      <text>
        <t xml:space="preserve">======
ID#AAACFT9UiMM
tc={B76CBBB3-1FEC-4E52-9311-5F1F86EC73EC}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Trekking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93">
      <text>
        <t xml:space="preserve">======
ID#AAACG41XdLQ
tc={35774358-9FEB-4B0C-90B0-FA0E6FEB4917}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127">
      <text>
        <t xml:space="preserve">======
ID#AAACG41XdK0
tc={6CD4C3D3-7DA8-4576-AD5B-E735049A309F}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61">
      <text>
        <t xml:space="preserve">======
ID#AAACG41XdMs
tc={EADC3148-9A3E-4FA8-990C-E08FF85335EC}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284">
      <text>
        <t xml:space="preserve">======
ID#AAACFT9UiJE
tc={B81BB320-6FF6-477F-8AED-727B1D3E6260}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18">
      <text>
        <t xml:space="preserve">======
ID#AAACFT9UiMU
tc={FC5E87F1-9497-4E5F-BA41-0EC2B23098B4}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A185">
      <text>
        <t xml:space="preserve">======
ID#AAACG41XdPA
tc={AF2AD7CD-BD03-4545-BAAA-7ACAFFC7368D}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19">
      <text>
        <t xml:space="preserve">======
ID#AAACFT9UiIg
tc={D8B1F2EA-A1AF-48FB-BD24-A9F88DE8D9F6}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53">
      <text>
        <t xml:space="preserve">======
ID#AAACFT9UiJk
tc={206F314A-47FD-48DB-91A8-ED4CB1332652}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A20">
      <text>
        <t xml:space="preserve">======
ID#AAACG41XdOs
tc={B72019CC-13A9-47AC-ADB0-3D3C7A456AD1}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276">
      <text>
        <t xml:space="preserve">======
ID#AAACFT9UiKo
tc={57B71DC2-470D-4C4A-A892-4D847680AE62}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194">
      <text>
        <t xml:space="preserve">======
ID#AAACFT9UiKY
tc={F8CF5521-E137-4510-A6CC-041BB9C41C8F}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All Mountain
Deck (PPT grid position): Skiing/Snowboarding / Freeride
Deck activity columns map: Hiking=Day Hiking / Trail Run &amp; Fast Hike, Resort=All Mountain, Touring=Ski Touring, Essentials/Everyday=Active/Daily Essentials. Please review.</t>
      </text>
    </comment>
    <comment authorId="0" ref="BA128">
      <text>
        <t xml:space="preserve">======
ID#AAACFT9UiME
tc={800412A1-9D71-4938-9B41-8EB7B3D2486F}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19">
      <text>
        <t xml:space="preserve">======
ID#AAACFT9UiK4
tc={AE06DD52-6B17-4B68-97A4-8909DEBB18D2}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A186">
      <text>
        <t xml:space="preserve">======
ID#AAACG41XdPk
tc={5F4E6452-1F0A-4CC0-8B17-D24BACE56169}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20">
      <text>
        <t xml:space="preserve">======
ID#AAACFT9UiPY
tc={9583EB6B-85BB-421B-A9C3-E6ED9144F15E}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54">
      <text>
        <t xml:space="preserve">======
ID#AAACG41XdRE
tc={7C826DAD-A5B7-4057-932A-8C3574048FA9}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A310">
      <text>
        <t xml:space="preserve">======
ID#AAACFT9UiJ4
tc={A4B0B153-A9FA-4E49-B41E-7CF199953EA2}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78">
      <text>
        <t xml:space="preserve">======
ID#AAACG41XdQk
tc={5DC9A568-6758-45E0-96DD-4CC5B4BBFBEA}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45">
      <text>
        <t xml:space="preserve">======
ID#AAACFT9UiOA
tc={930701DA-05D0-4C64-B223-09582183301D}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35">
      <text>
        <t xml:space="preserve">======
ID#AAACG41XdNY
tc={BDB77C0E-EFD0-4651-A906-4624174CE674}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A13">
      <text>
        <t xml:space="preserve">======
ID#AAACG41XdRg
tc={ED8E6B3D-734E-4E1A-8292-890EF300A0A5}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20">
      <text>
        <t xml:space="preserve">======
ID#AAACG41XdNc
tc={1BFBF725-FFFF-4D9E-AAC7-E9279FC69C0C}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 | Skiing/Snowboarding / Touring
Deck activity columns map: Hiking=Day Hiking / Trail Run &amp; Fast Hike, Resort=All Mountain, Touring=Ski Touring, Essentials/Everyday=Active/Daily Essentials. Please review.</t>
      </text>
    </comment>
    <comment authorId="0" ref="BA311">
      <text>
        <t xml:space="preserve">======
ID#AAACG41XdLg
tc={D902E4AD-264B-4673-B410-4B0ECC176B9E}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79">
      <text>
        <t xml:space="preserve">======
ID#AAACFT9UiH4
tc={1DEC734B-51D1-40B5-A54F-30CAE4921711}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46">
      <text>
        <t xml:space="preserve">======
ID#AAACG41XdO0
tc={52F44436-6B4D-4207-81BA-F983F0AD2D9C}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36">
      <text>
        <t xml:space="preserve">======
ID#AAACFT9UiO4
tc={C6839549-A63D-4E32-87FA-7D8394E33613}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Skiing/Snowboarding / Touring
Deck activity columns map: Hiking=Day Hiking / Trail Run &amp; Fast Hike, Resort=All Mountain, Touring=Ski Touring, Essentials/Everyday=Active/Daily Essentials. Please review.</t>
      </text>
    </comment>
    <comment authorId="0" ref="BA47">
      <text>
        <t xml:space="preserve">======
ID#AAACFT9UiOQ
tc={910D4D50-67E6-4BA6-A81E-66E395818467}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4">
      <text>
        <t xml:space="preserve">======
ID#AAACFT9UiHw
tc={D62730B9-02B9-47A9-A0C2-E3DBD0A50085}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37">
      <text>
        <t xml:space="preserve">======
ID#AAACG41XdOc
tc={5068FADA-2F5A-4A68-BC17-E94E87421398}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Ski Touring
Deck (PPT grid position): Skiing/Snowboarding / Resort
Deck activity columns map: Hiking=Day Hiking / Trail Run &amp; Fast Hike, Resort=All Mountain, Touring=Ski Touring, Essentials/Everyday=Active/Daily Essentials. Please review.</t>
      </text>
    </comment>
    <comment authorId="0" ref="BA171">
      <text>
        <t xml:space="preserve">======
ID#AAACG41XdMw
tc={D8B1E426-AAC3-4B2C-9C48-9833465907AD}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21">
      <text>
        <t xml:space="preserve">======
ID#AAACFT9UiIk
tc={FB06A597-E4C6-40FA-AC22-261AB15EA3D0}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312">
      <text>
        <t xml:space="preserve">======
ID#AAACG41XdN4
tc={1B643AD1-73C8-45BD-A99D-6AA838410B3A}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46">
      <text>
        <t xml:space="preserve">======
ID#AAACFT9UiPg
tc={53CB5F80-CDBD-44A3-8E31-077F14B9C043}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403">
      <text>
        <t xml:space="preserve">======
ID#AAACG41XdOg
tc={F9F21EFB-ECF6-4D01-8D4A-C78CFB25C60D}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147">
      <text>
        <t xml:space="preserve">======
ID#AAACG41XdMk
tc={C90C4ADC-1145-4507-8047-34F92AB24182}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04">
      <text>
        <t xml:space="preserve">======
ID#AAACFT9UiKE
tc={E8371BC8-E16F-4036-B756-14DC72589D16}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48">
      <text>
        <t xml:space="preserve">======
ID#AAACG41XdMY
tc={A6D77F6E-5BF0-4464-92B9-AB7039251090}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238">
      <text>
        <t xml:space="preserve">======
ID#AAACFT9UiI8
tc={EAC28F0D-15C5-4AB9-AC5B-06F360A5C235}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Skiing/Snowboarding / Ski Touring
Deck (PPT grid position): Skiing/Snowboarding / Resort
Deck activity columns map: Hiking=Day Hiking / Trail Run &amp; Fast Hike, Resort=All Mountain, Touring=Ski Touring, Essentials/Everyday=Active/Daily Essentials. Please review.</t>
      </text>
    </comment>
    <comment authorId="0" ref="BA172">
      <text>
        <t xml:space="preserve">======
ID#AAACFT9UiH0
tc={A1BCBCF7-4A5D-4F5A-831E-6D2A1974A036}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Trail Run &amp; Fast Hike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39">
      <text>
        <t xml:space="preserve">======
ID#AAACG41XdRA
tc={48E8BFE1-2B86-4B8B-9668-99698A0FA30C}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329">
      <text>
        <t xml:space="preserve">======
ID#AAACFT9UiHk
tc={76F9AFEA-993A-4EFC-A171-C5D4EE8A3BA9}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Trekking
Deck activity columns map: Hiking=Day Hiking / Trail Run &amp; Fast Hike, Resort=All Mountain, Touring=Ski Touring, Essentials/Everyday=Active/Daily Essentials. Please review.</t>
      </text>
    </comment>
    <comment authorId="0" ref="BA255">
      <text>
        <t xml:space="preserve">======
ID#AAACFT9UiOY
tc={E48F7690-F84A-4531-B02B-ADAFC81A872B}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Trekking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22">
      <text>
        <t xml:space="preserve">======
ID#AAACFT9UiQw
tc={C6992B6E-4297-4276-8600-BD66A315D3A6}    (2026-09-11 07:50:24)
[Threaded comment]
Your version of Excel allows you to read this threaded comment; however, any edits to it will get removed if the file is opened in a newer version of Excel. Learn more: https://go.microsoft.com/fwlink/?linkid=870924
Comment:
    NON-MATCH (CHECK - activity)
Excel: Outdoor / Day Hiking
Deck (PPT grid position): Outdoor / Mountaineering
Deck activity columns map: Hiking=Day Hiking / Trail Run &amp; Fast Hike, Resort=All Mountain, Touring=Ski Touring, Essentials/Everyday=Active/Daily Essentials. Please review.</t>
      </text>
    </comment>
    <comment authorId="0" ref="BA189">
      <text>
        <t xml:space="preserve">======
ID#AAACG41XdLo
tc={2D918BB2-B3ED-4D40-AA29-D438C0390E75}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Trail Run &amp; Fast Hike
Deck (PPT grid position): Essentials / Essentials/Everyday
Deck activity columns map: Hiking=Day Hiking / Trail Run &amp; Fast Hike, Resort=All Mountain, Touring=Ski Touring, Essentials/Everyday=Active/Daily Essentials. Please review.</t>
      </text>
    </comment>
    <comment authorId="0" ref="BA123">
      <text>
        <t xml:space="preserve">======
ID#AAACG41XdLE
tc={A05F6748-9825-43B0-A786-486A047DDF29}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Active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313">
      <text>
        <t xml:space="preserve">======
ID#AAACG41XdRM
tc={90AE408E-DB6C-42D2-B664-AC320B801070}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Essentials / Daily Essentials
Deck (PPT grid position): Outdoor / Hiking
Deck activity columns map: Hiking=Day Hiking / Trail Run &amp; Fast Hike, Resort=All Mountain, Touring=Ski Touring, Essentials/Everyday=Active/Daily Essentials. Please review.</t>
      </text>
    </comment>
    <comment authorId="0" ref="BA247">
      <text>
        <t xml:space="preserve">======
ID#AAACG41XdQg
tc={BD151751-5472-4CE8-917C-E176EBDE7296}    (2026-09-11 07:50:23)
[Threaded comment]
Your version of Excel allows you to read this threaded comment; however, any edits to it will get removed if the file is opened in a newer version of Excel. Learn more: https://go.microsoft.com/fwlink/?linkid=870924
Comment:
    NON-MATCH (CHECK - collection + activity)
Excel: Outdoor / Day Hiking
Deck (PPT grid position): Essentials / Essentials/Everyday
Deck activity columns map: Hiking=Day Hiking / Trail Run &amp; Fast Hike, Resort=All Mountain, Touring=Ski Touring, Essentials/Everyday=Active/Daily Essentials. Please review.</t>
      </text>
    </comment>
  </commentList>
  <extLst>
    <ext uri="GoogleSheetsCustomDataVersion2">
      <go:sheetsCustomData xmlns:go="http://customooxmlschemas.google.com/" r:id="rId1" roundtripDataSignature="AMtx7mhJRLBYmOu4HlY3PRPs93M7i3inGg=="/>
    </ext>
  </extLst>
</comments>
</file>

<file path=xl/sharedStrings.xml><?xml version="1.0" encoding="utf-8"?>
<sst xmlns="http://schemas.openxmlformats.org/spreadsheetml/2006/main" count="47592" uniqueCount="2235">
  <si>
    <t/>
  </si>
  <si>
    <t>Season</t>
  </si>
  <si>
    <t>Style Seasonality</t>
  </si>
  <si>
    <t>Active</t>
  </si>
  <si>
    <t>Code</t>
  </si>
  <si>
    <t>Style</t>
  </si>
  <si>
    <t>xx</t>
  </si>
  <si>
    <t>Business Area</t>
  </si>
  <si>
    <t>Product Concept</t>
  </si>
  <si>
    <t>Category/Layer</t>
  </si>
  <si>
    <t>CO Seson</t>
  </si>
  <si>
    <t>Collection Type</t>
  </si>
  <si>
    <t>Gender</t>
  </si>
  <si>
    <t>Status</t>
  </si>
  <si>
    <t>Proposed Drop Week</t>
  </si>
  <si>
    <t>Tobias Comment</t>
  </si>
  <si>
    <t>Carry Over</t>
  </si>
  <si>
    <t>Merch Comment</t>
  </si>
  <si>
    <t>Update</t>
  </si>
  <si>
    <t>Target RRP</t>
  </si>
  <si>
    <t>Mark-up</t>
  </si>
  <si>
    <t>WP</t>
  </si>
  <si>
    <t>GM0%</t>
  </si>
  <si>
    <t>Other</t>
  </si>
  <si>
    <t>Product Hierarchy</t>
  </si>
  <si>
    <t>Distribution Segmentation</t>
  </si>
  <si>
    <t>Main technology platform</t>
  </si>
  <si>
    <t>Secondary technology platform</t>
  </si>
  <si>
    <t>Style Comment</t>
  </si>
  <si>
    <t>ABS Customer</t>
  </si>
  <si>
    <t>STATUS</t>
  </si>
  <si>
    <t>Product Type</t>
  </si>
  <si>
    <t>Product Life Cycle:  Launch Season, Update Season, Last Season Offered (TOBIAS)</t>
  </si>
  <si>
    <t>LANDED COST SEK</t>
  </si>
  <si>
    <t>Type</t>
  </si>
  <si>
    <t>REF_CODE</t>
  </si>
  <si>
    <t>xxx</t>
  </si>
  <si>
    <t>REF_NAME</t>
  </si>
  <si>
    <t>xxxx</t>
  </si>
  <si>
    <t>Classification ABC</t>
  </si>
  <si>
    <t>MOQ Style</t>
  </si>
  <si>
    <t>RRP Comment</t>
  </si>
  <si>
    <t xml:space="preserve">ORIGINAL </t>
  </si>
  <si>
    <t>MOQ Color</t>
  </si>
  <si>
    <t>Check Pricing</t>
  </si>
  <si>
    <t>Color Options</t>
  </si>
  <si>
    <t>DISCOUNT</t>
  </si>
  <si>
    <t>Collection</t>
  </si>
  <si>
    <t>NEW MAPPING: Activity</t>
  </si>
  <si>
    <t>CENTRIC</t>
  </si>
  <si>
    <t>NET PRICE</t>
  </si>
  <si>
    <t>PPT Collection / Activity (deck)</t>
  </si>
  <si>
    <t>Category/Layer(V2)</t>
  </si>
  <si>
    <t>Silhouette</t>
  </si>
  <si>
    <t>Category/Layer Subtype</t>
  </si>
  <si>
    <t>Target GM0%</t>
  </si>
  <si>
    <t>Waterproof</t>
  </si>
  <si>
    <t>Attribution Review</t>
  </si>
  <si>
    <t>Franchise/Family</t>
  </si>
  <si>
    <t>Actual LC SEK</t>
  </si>
  <si>
    <t>SS27</t>
  </si>
  <si>
    <t>QTY</t>
  </si>
  <si>
    <t>608172</t>
  </si>
  <si>
    <t>Target No. of SCO</t>
  </si>
  <si>
    <t>Alert GTX Jacket Men</t>
  </si>
  <si>
    <t>Apparel</t>
  </si>
  <si>
    <t>OUT</t>
  </si>
  <si>
    <t>Actual No. Of SCO</t>
  </si>
  <si>
    <t>Shell</t>
  </si>
  <si>
    <t>Inline</t>
  </si>
  <si>
    <t>Men</t>
  </si>
  <si>
    <t>FORECAST 0</t>
  </si>
  <si>
    <t>Product Life Cycle:  Launch Season, Update Season, Last Season Offered</t>
  </si>
  <si>
    <t>WP Value</t>
  </si>
  <si>
    <t>S27</t>
  </si>
  <si>
    <t>S26</t>
  </si>
  <si>
    <t>F27</t>
  </si>
  <si>
    <t>F26</t>
  </si>
  <si>
    <t>Good</t>
  </si>
  <si>
    <t>SPECIALIST, GENERALIST MULTISPORT, INTERSPORT NORDIC, Lifestyle/DAY</t>
  </si>
  <si>
    <t>Gore-Tex</t>
  </si>
  <si>
    <t>None</t>
  </si>
  <si>
    <t>CO</t>
  </si>
  <si>
    <t>Gross Sales</t>
  </si>
  <si>
    <t>S28</t>
  </si>
  <si>
    <t>A</t>
  </si>
  <si>
    <t>Outdoor</t>
  </si>
  <si>
    <t>Day Hiking</t>
  </si>
  <si>
    <t>Outdoor / Hiking  [MATCH]</t>
  </si>
  <si>
    <t>Jacket</t>
  </si>
  <si>
    <t>2L</t>
  </si>
  <si>
    <t>Y</t>
  </si>
  <si>
    <t>Additional</t>
  </si>
  <si>
    <t>Info &amp; Comments</t>
  </si>
  <si>
    <t>608596</t>
  </si>
  <si>
    <t>Alert GTX Jacket Men AF</t>
  </si>
  <si>
    <t>ABS Exclusive</t>
  </si>
  <si>
    <t>ASIA</t>
  </si>
  <si>
    <t>Asia Fit version of Alert GTX Jacket Men 608172</t>
  </si>
  <si>
    <t>Note</t>
  </si>
  <si>
    <t>SS28</t>
  </si>
  <si>
    <t>C</t>
  </si>
  <si>
    <t>608822</t>
  </si>
  <si>
    <t>Airak GTX Prototype Jacket Men</t>
  </si>
  <si>
    <t>608192</t>
  </si>
  <si>
    <t>Alert GTX Jacket Women</t>
  </si>
  <si>
    <t>CANCELED</t>
  </si>
  <si>
    <t>Women</t>
  </si>
  <si>
    <t>Seasonal Brand Builder</t>
  </si>
  <si>
    <t>L.I.M</t>
  </si>
  <si>
    <t>Top</t>
  </si>
  <si>
    <t>607645</t>
  </si>
  <si>
    <t>Alert Mid Pant Men</t>
  </si>
  <si>
    <t>Legwear</t>
  </si>
  <si>
    <t>AF EXIST</t>
  </si>
  <si>
    <t xml:space="preserve">LSO / Exit Season </t>
  </si>
  <si>
    <t>KA YO Collab</t>
  </si>
  <si>
    <t>Better</t>
  </si>
  <si>
    <r>
      <rPr>
        <rFont val="Aptos Narrow"/>
        <b/>
        <color theme="0"/>
        <sz val="10.0"/>
      </rPr>
      <t xml:space="preserve">Product Life Cycle: </t>
    </r>
    <r>
      <rPr>
        <rFont val="Aptos Narrow"/>
        <b/>
        <i/>
        <color theme="0"/>
        <sz val="8.0"/>
      </rPr>
      <t xml:space="preserve"> Launch Season, Update Season, Last Season Offered</t>
    </r>
  </si>
  <si>
    <t>LS</t>
  </si>
  <si>
    <t>US</t>
  </si>
  <si>
    <t>Trekking</t>
  </si>
  <si>
    <t>Outdoor / Mountaineering  [CHECK - activity]</t>
  </si>
  <si>
    <t xml:space="preserve">Collection </t>
  </si>
  <si>
    <t>NOT Active in Centric</t>
  </si>
  <si>
    <t>Essentials</t>
  </si>
  <si>
    <t>Softshell</t>
  </si>
  <si>
    <t>Active Essentials</t>
  </si>
  <si>
    <t>Pant</t>
  </si>
  <si>
    <t xml:space="preserve">Activity </t>
  </si>
  <si>
    <t>Classic Softshell</t>
  </si>
  <si>
    <t>N</t>
  </si>
  <si>
    <t>3L</t>
  </si>
  <si>
    <t xml:space="preserve">Concept </t>
  </si>
  <si>
    <t>607649</t>
  </si>
  <si>
    <t>Alert Mid Pant Women</t>
  </si>
  <si>
    <t>COMMENT</t>
  </si>
  <si>
    <t>All year</t>
  </si>
  <si>
    <t>LSO</t>
  </si>
  <si>
    <t>608656</t>
  </si>
  <si>
    <t>Aska Softshell Hood Men</t>
  </si>
  <si>
    <t>ABS</t>
  </si>
  <si>
    <t>potentially add 1 new. Charlotte: 4SCO. 1 NEW.</t>
  </si>
  <si>
    <t>608158</t>
  </si>
  <si>
    <t>Alert Mid Shorts Men</t>
  </si>
  <si>
    <t>SPECIALIST, GENERALIST MULTISPORT, INTERSPORT NORDIC</t>
  </si>
  <si>
    <t>Intersport</t>
  </si>
  <si>
    <t>Shorts</t>
  </si>
  <si>
    <t>608178</t>
  </si>
  <si>
    <t>Alert Mid Shorts Women</t>
  </si>
  <si>
    <t>Asia Fit</t>
  </si>
  <si>
    <t>follow inline. Charlotte: 4SCO. 1 New.</t>
  </si>
  <si>
    <t>608250</t>
  </si>
  <si>
    <t>Apex II Hood Men</t>
  </si>
  <si>
    <t>BIG BOX, SPECIALIST, GENERALIST MULTISPORT</t>
  </si>
  <si>
    <t>FW28</t>
  </si>
  <si>
    <t>XXL</t>
  </si>
  <si>
    <t>FW28+</t>
  </si>
  <si>
    <t>608786</t>
  </si>
  <si>
    <t>Airak 2,5L Proof Jacket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</si>
  <si>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</si>
  <si>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Hooded Jacket</t>
  </si>
  <si>
    <t>608249</t>
  </si>
  <si>
    <t>Apex II Hood Women</t>
  </si>
  <si>
    <t>NEW S28</t>
  </si>
  <si>
    <t xml:space="preserve">Hiking </t>
  </si>
  <si>
    <t>Proof</t>
  </si>
  <si>
    <t>608658</t>
  </si>
  <si>
    <t>Aska Softshell Hood Women</t>
  </si>
  <si>
    <t>Hiking</t>
  </si>
  <si>
    <t>607766</t>
  </si>
  <si>
    <t>Aria Proof Parka Women</t>
  </si>
  <si>
    <t>potentially add 1 new if LT Haze Blue does not work in a FW. Charlotte: 4SCO. 1 New.</t>
  </si>
  <si>
    <t>B</t>
  </si>
  <si>
    <t>Daily Essentials</t>
  </si>
  <si>
    <t>Parka</t>
  </si>
  <si>
    <t>608395</t>
  </si>
  <si>
    <t>Aska Proof Jacket Men</t>
  </si>
  <si>
    <t>2.5L</t>
  </si>
  <si>
    <t>Airak (L.I.M fast line) — Subtype→2.5L (name); confirm Activity (Trail Run &amp; Fast Hike?).</t>
  </si>
  <si>
    <t>Pants</t>
  </si>
  <si>
    <t>Bottom</t>
  </si>
  <si>
    <t>INTERSPORT NORDIC</t>
  </si>
  <si>
    <t>608789</t>
  </si>
  <si>
    <t>Copy of Breeze Proof Jacket 607680</t>
  </si>
  <si>
    <t>Airak 2,5L Proof Jacket Women</t>
  </si>
  <si>
    <t>4SCO. No new. Update FW28?</t>
  </si>
  <si>
    <t>608396</t>
  </si>
  <si>
    <t>Aska Proof Jacket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</si>
  <si>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</si>
  <si>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Copy of Breeze Proof Jacket 607681</t>
  </si>
  <si>
    <t>608397</t>
  </si>
  <si>
    <t>Aska Proof Pant Men</t>
  </si>
  <si>
    <t>608363</t>
  </si>
  <si>
    <t>Aska Insulated Jacket Men</t>
  </si>
  <si>
    <t>608398</t>
  </si>
  <si>
    <t>Aska Proof Pant Women</t>
  </si>
  <si>
    <t>608787</t>
  </si>
  <si>
    <t>Mimic</t>
  </si>
  <si>
    <t>Airak 2,5L Proof Pant Men</t>
  </si>
  <si>
    <t>Spring/Summer</t>
  </si>
  <si>
    <t>copy of korp softshell hood 608552</t>
  </si>
  <si>
    <t>NEW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</si>
  <si>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</si>
  <si>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FW26</t>
  </si>
  <si>
    <t>Check - Day Hike? | WB: not in this workbook — cannot verify</t>
  </si>
  <si>
    <t>Insulated</t>
  </si>
  <si>
    <t>copy of korp softshell hood 608553</t>
  </si>
  <si>
    <t>608365</t>
  </si>
  <si>
    <t>Aska Insulated Jacket Women</t>
  </si>
  <si>
    <t>608788</t>
  </si>
  <si>
    <t>Airak 2,5L Proof Pant Women</t>
  </si>
  <si>
    <t>608657</t>
  </si>
  <si>
    <t>Aska Softshell Pant Men</t>
  </si>
  <si>
    <t>copy of korp softshell Pant 608554</t>
  </si>
  <si>
    <t>Fall/Winter</t>
  </si>
  <si>
    <t>607936</t>
  </si>
  <si>
    <t>Alper Proof Jacket Men</t>
  </si>
  <si>
    <t>SEASONAL DROP</t>
  </si>
  <si>
    <t>FW-Style</t>
  </si>
  <si>
    <t>SNW</t>
  </si>
  <si>
    <t>608659</t>
  </si>
  <si>
    <t>Aska Softshell Pant Women</t>
  </si>
  <si>
    <t>4SCOS. 1NEW. Keep Northern Blue.</t>
  </si>
  <si>
    <t>copy of korp softshell Pant 608555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</si>
  <si>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</si>
  <si>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Skiing/Snowboarding</t>
  </si>
  <si>
    <t>All Mountain</t>
  </si>
  <si>
    <t>607593</t>
  </si>
  <si>
    <t>Skiing/Snowboarding / Freeride  [CHECK - activity]</t>
  </si>
  <si>
    <t>Astral GTX II Jacket Men</t>
  </si>
  <si>
    <t>608785</t>
  </si>
  <si>
    <t>607937</t>
  </si>
  <si>
    <t>Alper Proof Jacket Women</t>
  </si>
  <si>
    <t>Airak 3L GTX Jacket Men</t>
  </si>
  <si>
    <t>608530</t>
  </si>
  <si>
    <t>Aska Insulated Pant Men</t>
  </si>
  <si>
    <t>Essentials / Essentials/Everyday  [MATCH]</t>
  </si>
  <si>
    <t>Merge - ROC Sight GTX</t>
  </si>
  <si>
    <t>607563</t>
  </si>
  <si>
    <t>4SCOS. 1NEW. 20/11: 3 Colours.</t>
  </si>
  <si>
    <t>Astral GTX II Jacket Women</t>
  </si>
  <si>
    <t>Best</t>
  </si>
  <si>
    <t>607939</t>
  </si>
  <si>
    <t>Alper Proof Pant Men</t>
  </si>
  <si>
    <t>608587</t>
  </si>
  <si>
    <t>Brand Five Panel Cap</t>
  </si>
  <si>
    <t>DAY</t>
  </si>
  <si>
    <t>Accessories</t>
  </si>
  <si>
    <t>Unisex</t>
  </si>
  <si>
    <t>SPECIALIST, GENERALIST MULTISPORT, INTERSPORT NORDIC, BIG BOX</t>
  </si>
  <si>
    <t>1NEW to match Jacket.</t>
  </si>
  <si>
    <t>Airak 3L GTX — suggestion consistent (Shell/3L). Confirm Activity (Trail Run &amp; Fast Hike?).</t>
  </si>
  <si>
    <t>Headwear</t>
  </si>
  <si>
    <t>Cap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</si>
  <si>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</si>
  <si>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607680</t>
  </si>
  <si>
    <t>608790</t>
  </si>
  <si>
    <t>Breeze Proof Jacket Men</t>
  </si>
  <si>
    <t>Airak 3L GTX Jacket Women</t>
  </si>
  <si>
    <t>607938</t>
  </si>
  <si>
    <t>Alper Proof Pant Women</t>
  </si>
  <si>
    <t>608529</t>
  </si>
  <si>
    <t>Aska Insulated Pant Women</t>
  </si>
  <si>
    <t>Outdoor / Hiking  [CHECK - collection + activity]</t>
  </si>
  <si>
    <t>607681</t>
  </si>
  <si>
    <t>Breeze Proof Jacket Women</t>
  </si>
  <si>
    <t>Dropped</t>
  </si>
  <si>
    <t>608351</t>
  </si>
  <si>
    <t>Buteo Mid II Jacket Men</t>
  </si>
  <si>
    <t>Midlayer</t>
  </si>
  <si>
    <t>KAYO, Seasonal Brand Style, Drop</t>
  </si>
  <si>
    <t>Colab</t>
  </si>
  <si>
    <t>Polartec</t>
  </si>
  <si>
    <t>605073</t>
  </si>
  <si>
    <t>Buteo Mid Jacket Men</t>
  </si>
  <si>
    <t>Fleece/Midlayer</t>
  </si>
  <si>
    <t>Midweight</t>
  </si>
  <si>
    <t>608352</t>
  </si>
  <si>
    <t>Buteo Mid II Jacket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</si>
  <si>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</si>
  <si>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In FW27 but not attributed there — proposed from FW27 rules; confirm</t>
  </si>
  <si>
    <t>Hood</t>
  </si>
  <si>
    <t>605074</t>
  </si>
  <si>
    <t>Buteo Mid Jacket Women</t>
  </si>
  <si>
    <t>608421</t>
  </si>
  <si>
    <t>Chaos GTX II Jacket Men</t>
  </si>
  <si>
    <t>608690</t>
  </si>
  <si>
    <t>Aresk Beanie</t>
  </si>
  <si>
    <t>608422</t>
  </si>
  <si>
    <t>Chaos GTX II Jacket Women</t>
  </si>
  <si>
    <t>Beanie</t>
  </si>
  <si>
    <t>5SCO. 5 NEW. No of SCOs aligned with other Beanies.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</si>
  <si>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</si>
  <si>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SS26</t>
  </si>
  <si>
    <t>Essentials / Essentials/Everyday  [CHECK - collection]</t>
  </si>
  <si>
    <t>607646</t>
  </si>
  <si>
    <t>Front Flex Pant Men</t>
  </si>
  <si>
    <t>Dropped for FW27</t>
  </si>
  <si>
    <t>607650</t>
  </si>
  <si>
    <t>Front Flex Pant Women</t>
  </si>
  <si>
    <t>Haze Blue deactivated.</t>
  </si>
  <si>
    <t>607823</t>
  </si>
  <si>
    <t>Front Proof II Jacket Men</t>
  </si>
  <si>
    <t>Carryover from SS27 — aligned Activity→Daily Essentials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</si>
  <si>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</si>
  <si>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Outdoor / Trekking  [MATCH]</t>
  </si>
  <si>
    <t>607821</t>
  </si>
  <si>
    <t>Front Proof II Jacket Women</t>
  </si>
  <si>
    <t>Check col request with Tom F in Finland. 25/11 Tom: Add Stone Brick.</t>
  </si>
  <si>
    <t>608652</t>
  </si>
  <si>
    <t>Gabbro II Pant Men</t>
  </si>
  <si>
    <t>608247</t>
  </si>
  <si>
    <t>Gabbro Pant Men</t>
  </si>
  <si>
    <t>608653</t>
  </si>
  <si>
    <t>Gabbro II Pant Women</t>
  </si>
  <si>
    <t>Check col request with Tom F in Finland. 25/11 Tom: Add Tarn Blue.</t>
  </si>
  <si>
    <t>608248</t>
  </si>
  <si>
    <t>Gabbro Pant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</si>
  <si>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</si>
  <si>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608204</t>
  </si>
  <si>
    <t>Haglöfs Bandana</t>
  </si>
  <si>
    <t>Asia Fit  need input</t>
  </si>
  <si>
    <t>only Black</t>
  </si>
  <si>
    <t>Bandana</t>
  </si>
  <si>
    <t>607656</t>
  </si>
  <si>
    <t>Haglöfs Cap</t>
  </si>
  <si>
    <t>608164</t>
  </si>
  <si>
    <t>Haglöfs Hoodie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</si>
  <si>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</si>
  <si>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608184</t>
  </si>
  <si>
    <t>Haglöfs Hoodie Women</t>
  </si>
  <si>
    <t>607660</t>
  </si>
  <si>
    <t>Haglöfs LS Tee Men</t>
  </si>
  <si>
    <t>Tops</t>
  </si>
  <si>
    <t>Check col request with Tom F in Finland. 25/11 Tom: No News.</t>
  </si>
  <si>
    <t>SPECIALIST, GENERALIST MULTISPORT, INTERSPORT NORDIC, BIG BOX, Lifestyle/DAY</t>
  </si>
  <si>
    <t>Long Sleeve</t>
  </si>
  <si>
    <t>Cotton/Graphic Tee</t>
  </si>
  <si>
    <t>607663</t>
  </si>
  <si>
    <t>Haglöfs LS Tee Women</t>
  </si>
  <si>
    <t>REVIEW</t>
  </si>
  <si>
    <t>607868</t>
  </si>
  <si>
    <t>Haglöfs LX Hat</t>
  </si>
  <si>
    <t>Misty Mauve deactivated.</t>
  </si>
  <si>
    <t>607658</t>
  </si>
  <si>
    <t>Haglöfs Tee Men</t>
  </si>
  <si>
    <t>Only Black</t>
  </si>
  <si>
    <t>Tee</t>
  </si>
  <si>
    <t>607665</t>
  </si>
  <si>
    <t>Haglöfs Tee Women</t>
  </si>
  <si>
    <t>607867</t>
  </si>
  <si>
    <t>Haglöfs Trucker Cap</t>
  </si>
  <si>
    <t>608451</t>
  </si>
  <si>
    <t>Base Mimic II Hood Men</t>
  </si>
  <si>
    <t>Insulation</t>
  </si>
  <si>
    <t>608097</t>
  </si>
  <si>
    <t>Hede Down Hood Men</t>
  </si>
  <si>
    <t>SPECIALIST, Lifestyle/DAY</t>
  </si>
  <si>
    <t>Down</t>
  </si>
  <si>
    <t>Lightweight Down</t>
  </si>
  <si>
    <t>608098</t>
  </si>
  <si>
    <t>Hede Down Hood Women</t>
  </si>
  <si>
    <t>Follow Korp Softshell + Check no of col needed with Tom F in Finland. 25/11 Tom: Chalk Beige dropped.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</si>
  <si>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</si>
  <si>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Pre S23</t>
  </si>
  <si>
    <t>FW25</t>
  </si>
  <si>
    <t>Midweight Synthetic</t>
  </si>
  <si>
    <t>608100</t>
  </si>
  <si>
    <t>Hede Down Vest Men</t>
  </si>
  <si>
    <t>608452</t>
  </si>
  <si>
    <t>Base Mimic II Hood Women</t>
  </si>
  <si>
    <t>Sell from FW26 Stock</t>
  </si>
  <si>
    <t>Vest</t>
  </si>
  <si>
    <t>608101</t>
  </si>
  <si>
    <t>Hede Down Vest Women</t>
  </si>
  <si>
    <t>608545</t>
  </si>
  <si>
    <t>Holm GTX Pant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</si>
  <si>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</si>
  <si>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Essentials / Essentials/Everyday  [CHECK - collection + activity]</t>
  </si>
  <si>
    <t>608548</t>
  </si>
  <si>
    <t>Holm GTX Pant Women</t>
  </si>
  <si>
    <t>608454</t>
  </si>
  <si>
    <t>Base Mimic II Jacket Men</t>
  </si>
  <si>
    <t>607625</t>
  </si>
  <si>
    <t>Kaise Wool LS Tee Men</t>
  </si>
  <si>
    <t>DTC</t>
  </si>
  <si>
    <t>Lightweight Wool</t>
  </si>
  <si>
    <t>607627</t>
  </si>
  <si>
    <t>Kaise Wool LS Tee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</si>
  <si>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</si>
  <si>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5SCO. No New.</t>
  </si>
  <si>
    <t>607626</t>
  </si>
  <si>
    <t>Kaise Wool Tee Men</t>
  </si>
  <si>
    <t>608453</t>
  </si>
  <si>
    <t>Base Mimic II Jacket Women</t>
  </si>
  <si>
    <t>607628</t>
  </si>
  <si>
    <t>Kaise Wool Tee Women</t>
  </si>
  <si>
    <t>608487</t>
  </si>
  <si>
    <t>Steep 2.5L Jacket Men</t>
  </si>
  <si>
    <t>608688</t>
  </si>
  <si>
    <t>Aze II Beanie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</si>
  <si>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</si>
  <si>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Check | WB: 'waterproof shell for multi-season hiking' → consider Day Hiking. NAME mismatch: workbook lists code as 'Kaja Proof II Jacket'</t>
  </si>
  <si>
    <t>Branding update</t>
  </si>
  <si>
    <t>608486</t>
  </si>
  <si>
    <t>Steep 2.5L Jacket Women</t>
  </si>
  <si>
    <t>608531</t>
  </si>
  <si>
    <t>Klyva GTX Jacket Men</t>
  </si>
  <si>
    <t>If needed check col with Pontus. 25/11 Pontus: Activate Seaweed Green. Add 1 New (Northern Blue)</t>
  </si>
  <si>
    <t>Essentials / Essentials/Everyday | Outdoor / Hiking  [MATCH]</t>
  </si>
  <si>
    <t>608532</t>
  </si>
  <si>
    <t>Klyva GTX Jacket Women</t>
  </si>
  <si>
    <t>SS-Styel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</si>
  <si>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</si>
  <si>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608654</t>
  </si>
  <si>
    <t>Klyva GTX Pant Men</t>
  </si>
  <si>
    <t>SS25</t>
  </si>
  <si>
    <t>If needed check col with Pontus. 25/11 Pontus: 2 New (Dusty Rose and Misty Mauve), Activate Olive Green.</t>
  </si>
  <si>
    <t>Copy of Haglöfs 2L GTX Pant 608545</t>
  </si>
  <si>
    <t>WB review: AI 3L→2L (fabric = GORE-TEX 2L ePE, HH 28,000mm; matches Klyva GTX Jacket)</t>
  </si>
  <si>
    <t>Deactivated Seaweed Green.</t>
  </si>
  <si>
    <t>608655</t>
  </si>
  <si>
    <t>Klyva GTX Pant Women</t>
  </si>
  <si>
    <t>Copy of Haglöfs 2L GTX Pant 608548</t>
  </si>
  <si>
    <t>If needed check col with Pontus. 25/11 Pontus: Add 1 New (Northern Blue). Activate Seaweed Green.</t>
  </si>
  <si>
    <t>607759</t>
  </si>
  <si>
    <t>Korp Lite Pant Men</t>
  </si>
  <si>
    <t>Carryover from SS28 — aligned Activity→Trekking</t>
  </si>
  <si>
    <t>Outdoor / Trekking  [CHECK - activity]</t>
  </si>
  <si>
    <t>608600</t>
  </si>
  <si>
    <t>Korp Lite Pant Men AF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</si>
  <si>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</si>
  <si>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Deactivated Seaweed Green and Oak Brown.</t>
  </si>
  <si>
    <t>Asia Fit version of Korp Lite Pant Men 607759</t>
  </si>
  <si>
    <t>If needed check col with Pontus. 25/11 Pontus: 2 New (Dusty Rose and Misty Mauve). Activate Seaweed Green.</t>
  </si>
  <si>
    <t>605630</t>
  </si>
  <si>
    <t>Chill Down Hood Men</t>
  </si>
  <si>
    <t>607760</t>
  </si>
  <si>
    <t>Korp Lite Pant Women</t>
  </si>
  <si>
    <t>607876</t>
  </si>
  <si>
    <t>Korp Lite Shorts Men</t>
  </si>
  <si>
    <t>Charlotte: 4SCO. No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</si>
  <si>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</si>
  <si>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607824</t>
  </si>
  <si>
    <t>Breeze Mimic Hood Men</t>
  </si>
  <si>
    <t>607877</t>
  </si>
  <si>
    <t>Korp Lite Shorts Women</t>
  </si>
  <si>
    <t>Midweight Down</t>
  </si>
  <si>
    <t>608450</t>
  </si>
  <si>
    <t>Fiction Down II Hood Men</t>
  </si>
  <si>
    <t>2SCO. No new.</t>
  </si>
  <si>
    <t>607779</t>
  </si>
  <si>
    <t>Korp Mid Halfzip Men</t>
  </si>
  <si>
    <t>Outdoor / Mountaineering  [CHECK - collection + activity]</t>
  </si>
  <si>
    <t>607825</t>
  </si>
  <si>
    <t>Breeze Mimic Hood Women</t>
  </si>
  <si>
    <t>1/2 Zip</t>
  </si>
  <si>
    <t>607782</t>
  </si>
  <si>
    <t>Korp Mid Halfzip Women</t>
  </si>
  <si>
    <t>Charlotte: 2SCO. 1 New. Drop Tarn Blue. Replace with Coffee Bean?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</si>
  <si>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</si>
  <si>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607777</t>
  </si>
  <si>
    <t>Korp Mid Hood Men</t>
  </si>
  <si>
    <t>Sofia: Potentially drop Haze Blue. Charlotte: 5SCOS. No New. Drop Northern Blue.</t>
  </si>
  <si>
    <t>607780</t>
  </si>
  <si>
    <t>Korp Mid Hood Women</t>
  </si>
  <si>
    <t>608838</t>
  </si>
  <si>
    <t>Breeze Proof Jacket Men AF</t>
  </si>
  <si>
    <t>607778</t>
  </si>
  <si>
    <t>Korp Mid Jacket Men</t>
  </si>
  <si>
    <t>Asia</t>
  </si>
  <si>
    <t>607781</t>
  </si>
  <si>
    <t>Korp Mid Jacket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</si>
  <si>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</si>
  <si>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Trekking?</t>
  </si>
  <si>
    <t>608095</t>
  </si>
  <si>
    <t>Korp Proof II Pant Men</t>
  </si>
  <si>
    <t>Sofia: Potentially drop Haze Blue. Charlotte: 6SCOS. No New. 20/11: 5 SCO.</t>
  </si>
  <si>
    <t>608839</t>
  </si>
  <si>
    <t>608096</t>
  </si>
  <si>
    <t>Breeze Proof Jacket Women AF</t>
  </si>
  <si>
    <t>Korp Proof II Pant Women</t>
  </si>
  <si>
    <t>607958</t>
  </si>
  <si>
    <t>Korp Proof Jacket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</si>
  <si>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</si>
  <si>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607962</t>
  </si>
  <si>
    <t>Korp Proof Jacket Women</t>
  </si>
  <si>
    <t>608527</t>
  </si>
  <si>
    <t>Pollux 1/2 zip II Jacket Men</t>
  </si>
  <si>
    <t>608552</t>
  </si>
  <si>
    <t>Korp Softshell Hood Men</t>
  </si>
  <si>
    <t>608553</t>
  </si>
  <si>
    <t>Korp Softshell Hood Women</t>
  </si>
  <si>
    <t>608683</t>
  </si>
  <si>
    <t>Brisen Tech Mid Hood Men</t>
  </si>
  <si>
    <t>FW27 or SS28</t>
  </si>
  <si>
    <t>Replaced with Buteo 1/2 zip Inline</t>
  </si>
  <si>
    <t>608554</t>
  </si>
  <si>
    <t>Korp Softshell Pant Men</t>
  </si>
  <si>
    <t>ROC</t>
  </si>
  <si>
    <t>Lightweight</t>
  </si>
  <si>
    <t>Mid Hood</t>
  </si>
  <si>
    <t>608528</t>
  </si>
  <si>
    <t>Pollux 1/2 zip II Jacket Women</t>
  </si>
  <si>
    <t>608555</t>
  </si>
  <si>
    <t>Korp Softshell Pant Women</t>
  </si>
  <si>
    <t>Charlotte: 3SCO. 3 NEW.</t>
  </si>
  <si>
    <t>607610</t>
  </si>
  <si>
    <t>L.I.M Airak 2,5L Jacket Men</t>
  </si>
  <si>
    <t>Outdoor / Mountaineering | Skiing/Snowboarding / Touring  [CHECK - collection + activity]</t>
  </si>
  <si>
    <t>Pertex</t>
  </si>
  <si>
    <t>Trail Run &amp; Fast Hike</t>
  </si>
  <si>
    <t>608684</t>
  </si>
  <si>
    <t>Brisen Tech Mid Hood Women</t>
  </si>
  <si>
    <t>607615</t>
  </si>
  <si>
    <t>L.I.M Airak 2,5L Jacket Women</t>
  </si>
  <si>
    <t>608864</t>
  </si>
  <si>
    <t>Skuta Proof Jacket Men</t>
  </si>
  <si>
    <t>607613</t>
  </si>
  <si>
    <t>L.I.M Airak 2,5L Pant Men</t>
  </si>
  <si>
    <t>607618</t>
  </si>
  <si>
    <t>L.I.M Airak 2,5L Pant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</si>
  <si>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</si>
  <si>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607609</t>
  </si>
  <si>
    <t>L.I.M Airak GTX Jacket Men</t>
  </si>
  <si>
    <t>Mid Jacket</t>
  </si>
  <si>
    <t>608863</t>
  </si>
  <si>
    <t>Skuta Proof Jacket Women</t>
  </si>
  <si>
    <t>Solar orange out? Tech Bright yellow out? Charlotte: Drop Solar Orange (might look "cheap" on a non-premium style). 7SCO. 2NEW. 20/11: Drop Chlorophyll.</t>
  </si>
  <si>
    <t>Old XXL Style</t>
  </si>
  <si>
    <t>607614</t>
  </si>
  <si>
    <t>L.I.M Airak GTX Jacket Women</t>
  </si>
  <si>
    <t>only Black. 25/11 Pontus: Only Black. No New.</t>
  </si>
  <si>
    <t>608216</t>
  </si>
  <si>
    <t>L.I.M Delta Crop Tee Women</t>
  </si>
  <si>
    <t>608759</t>
  </si>
  <si>
    <t>Buteo Mid II Jacket Men AF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</si>
  <si>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</si>
  <si>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Lightweight Synthetic</t>
  </si>
  <si>
    <t>608215</t>
  </si>
  <si>
    <t>L.I.M Delta Tee Men</t>
  </si>
  <si>
    <t>607855</t>
  </si>
  <si>
    <t>Trekk Tech LS Tee Men</t>
  </si>
  <si>
    <t>607640</t>
  </si>
  <si>
    <t>L.I.M Fuse II Pant Men</t>
  </si>
  <si>
    <t>Climatic</t>
  </si>
  <si>
    <t>607641</t>
  </si>
  <si>
    <t>L.I.M Fuse II Pant Women</t>
  </si>
  <si>
    <t>607709</t>
  </si>
  <si>
    <t>L.I.M Fuse II Shorts Men</t>
  </si>
  <si>
    <t>FW27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</si>
  <si>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   LSO-FW27</t>
    </r>
  </si>
  <si>
    <t>Tech Tee</t>
  </si>
  <si>
    <t>607710</t>
  </si>
  <si>
    <t>L.I.M Fuse II Shorts Women</t>
  </si>
  <si>
    <t>607858</t>
  </si>
  <si>
    <t>Trekk Tech LS Tee Women</t>
  </si>
  <si>
    <t>Tech bright yellow out? Charlotte: 7SCO. 1 New.</t>
  </si>
  <si>
    <t>607631</t>
  </si>
  <si>
    <t>L.I.M Mid Multi II Hood Men</t>
  </si>
  <si>
    <t>608760</t>
  </si>
  <si>
    <t>Buteo Mid II Jacket Women AF</t>
  </si>
  <si>
    <t>607634</t>
  </si>
  <si>
    <t>L.I.M Mid Multi II Hood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</si>
  <si>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   LSO-FW27</t>
    </r>
  </si>
  <si>
    <t>608417</t>
  </si>
  <si>
    <t>L.I.M Mid Multi Jacket Men</t>
  </si>
  <si>
    <t>607856</t>
  </si>
  <si>
    <t>Trekk Tech Tee Men</t>
  </si>
  <si>
    <t>608418</t>
  </si>
  <si>
    <t>L.I.M Mid Multi Jacket Women</t>
  </si>
  <si>
    <t>Carryover from SS28 — aligned Activity→Daily Essentials</t>
  </si>
  <si>
    <t>607964</t>
  </si>
  <si>
    <t>L.I.M Mimic Barrier Hood 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</si>
  <si>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   LSO-FW27</t>
    </r>
  </si>
  <si>
    <t>607967</t>
  </si>
  <si>
    <t>L.I.M Mimic Barrier Hood Women</t>
  </si>
  <si>
    <t>Potential Update, New Vietnam GTX</t>
  </si>
  <si>
    <t>607857</t>
  </si>
  <si>
    <t>Trekk Tech Tee Women</t>
  </si>
  <si>
    <t>607966</t>
  </si>
  <si>
    <t>L.I.M Mimic Barrier Vest Men</t>
  </si>
  <si>
    <t>Check col with Tom F in Finland. 25/11 Tom: Drop Haze Blue. 1 New (Seaweed Green).</t>
  </si>
  <si>
    <t>Skiing/Snowboarding / Touring  [CHECK - collection + activity]</t>
  </si>
  <si>
    <t>607969</t>
  </si>
  <si>
    <t>L.I.M Mimic Barrier Vest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</si>
  <si>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   LSO-FW27</t>
    </r>
  </si>
  <si>
    <t>608202</t>
  </si>
  <si>
    <t>L.I.M Pace Cap</t>
  </si>
  <si>
    <t>608874</t>
  </si>
  <si>
    <t>Steep GTX Jacket Men</t>
  </si>
  <si>
    <t>608159</t>
  </si>
  <si>
    <t>L.I.M Pace Shorts Men</t>
  </si>
  <si>
    <t>Check col with Tom F in Finland. 25/11 Tom: Drop Haze Blue, Raspberry Red. 1 New (Seaweed Green).</t>
  </si>
  <si>
    <t>608179</t>
  </si>
  <si>
    <t>L.I.M Pace Shorts Women</t>
  </si>
  <si>
    <t>608420</t>
  </si>
  <si>
    <t>L.I.M Ridge Tank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</si>
  <si>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</si>
  <si>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Tank</t>
  </si>
  <si>
    <t>607685</t>
  </si>
  <si>
    <t>L.I.M Ridge Tee Men</t>
  </si>
  <si>
    <t>check Col with Tom F in Finland. 25/11 Tom: No New.</t>
  </si>
  <si>
    <t>608873</t>
  </si>
  <si>
    <t>Steep GTX Jacket Women</t>
  </si>
  <si>
    <t>607686</t>
  </si>
  <si>
    <t>L.I.M Ridge Tee Women</t>
  </si>
  <si>
    <t>Outdoor / Trekking  [CHECK - collection + activity]</t>
  </si>
  <si>
    <t>608170</t>
  </si>
  <si>
    <t>L.I.M Sunpack Hoodie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</si>
  <si>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</si>
  <si>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check Col with Tom F in Finland. 25/11 Tom: Drop Tarn Blue. Add Seaweed Green.</t>
  </si>
  <si>
    <t>SPECIALIST</t>
  </si>
  <si>
    <t>608256</t>
  </si>
  <si>
    <t>Bield Down II Hood Men</t>
  </si>
  <si>
    <t>Windbreaker</t>
  </si>
  <si>
    <t>608190</t>
  </si>
  <si>
    <t>L.I.M Sunpack Hoodie Women</t>
  </si>
  <si>
    <t>608481</t>
  </si>
  <si>
    <t>Fram Mimic Jacket Men</t>
  </si>
  <si>
    <t>608160</t>
  </si>
  <si>
    <t>Levante Pant Men</t>
  </si>
  <si>
    <t>Charlotte: 3SCO. 1 New.</t>
  </si>
  <si>
    <t>608176</t>
  </si>
  <si>
    <t>Levante Pant Women</t>
  </si>
  <si>
    <t>608257</t>
  </si>
  <si>
    <t>Bield Down II Hood Women</t>
  </si>
  <si>
    <t>608482</t>
  </si>
  <si>
    <t>Fram Mimic Jacket Women</t>
  </si>
  <si>
    <t>608161</t>
  </si>
  <si>
    <t>Levante Shorts Men</t>
  </si>
  <si>
    <t>3SCO. 1 New.</t>
  </si>
  <si>
    <t>608180</t>
  </si>
  <si>
    <t>Levante Shorts Women</t>
  </si>
  <si>
    <t>608562</t>
  </si>
  <si>
    <t>Levante Tank Top Women</t>
  </si>
  <si>
    <t>608872</t>
  </si>
  <si>
    <t>Zircon Flex Pant Men</t>
  </si>
  <si>
    <t>608459</t>
  </si>
  <si>
    <t>Lite Standard Zip-Off II Pant Men</t>
  </si>
  <si>
    <t>Deactivated Tarn Blue</t>
  </si>
  <si>
    <t>608458</t>
  </si>
  <si>
    <t>Lite Standard Zip-Off II Pant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</si>
  <si>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</si>
  <si>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608637</t>
  </si>
  <si>
    <t>Lizard Softshell II Shorts Men</t>
  </si>
  <si>
    <t>Flexable</t>
  </si>
  <si>
    <t>606705</t>
  </si>
  <si>
    <t>Lizard Softshell Shorts Men</t>
  </si>
  <si>
    <t>608871</t>
  </si>
  <si>
    <t>Zircon Flex Pant Women</t>
  </si>
  <si>
    <t>608638</t>
  </si>
  <si>
    <t>Lizard Softshell II Shorts Women</t>
  </si>
  <si>
    <t>605253</t>
  </si>
  <si>
    <t>Lizard Shorts Women</t>
  </si>
  <si>
    <t>608560</t>
  </si>
  <si>
    <t>Ljusna Proof Parka Men</t>
  </si>
  <si>
    <t>RRP 3000sek</t>
  </si>
  <si>
    <t>Deactivated Raspberry Red.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</si>
  <si>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</si>
  <si>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608561</t>
  </si>
  <si>
    <t>Ljusna Proof Parka Women</t>
  </si>
  <si>
    <t>608639</t>
  </si>
  <si>
    <t>Zodiac Mid II Jacket Men</t>
  </si>
  <si>
    <t>RRP 3000 sek</t>
  </si>
  <si>
    <t>Charlotte: 5SCO. 1New. New colour added in SS27. (second most selled shell jacket). 26/11: Maroon Trail/ Solar Orange dropped. 2New.</t>
  </si>
  <si>
    <t>607629</t>
  </si>
  <si>
    <t>Magma Mid Hood Men</t>
  </si>
  <si>
    <t>607632</t>
  </si>
  <si>
    <t>Magma Mid Hood Women</t>
  </si>
  <si>
    <t>608836</t>
  </si>
  <si>
    <t>Front Proof II Jacket Men AF</t>
  </si>
  <si>
    <t>STILL OFFERING THIS ABS PAST FW27?</t>
  </si>
  <si>
    <t>607708</t>
  </si>
  <si>
    <t>Magma Rugged Pant Men</t>
  </si>
  <si>
    <t>608640</t>
  </si>
  <si>
    <t>Zodiac Mid II Jacket Women</t>
  </si>
  <si>
    <t>Outdoor / Mountaineering | Skiing/Snowboarding / Touring  [CHECK - activity]</t>
  </si>
  <si>
    <t>607707</t>
  </si>
  <si>
    <t>Magma Rugged Pant Women</t>
  </si>
  <si>
    <t>608620</t>
  </si>
  <si>
    <t>Mid Slim II Pant Men</t>
  </si>
  <si>
    <t>Carried from FW27 fit-variant base: Front Proof II Jacket Men</t>
  </si>
  <si>
    <t>608619</t>
  </si>
  <si>
    <t>Mid Slim II Pant Women</t>
  </si>
  <si>
    <t>608774</t>
  </si>
  <si>
    <t>607252</t>
  </si>
  <si>
    <t>Polka Aresk Beanie</t>
  </si>
  <si>
    <t>Charlotte: 5SCO. 1New. New colour added in SS27. (second most selled shell jacket)</t>
  </si>
  <si>
    <t>Mid Slim Pant Women</t>
  </si>
  <si>
    <t>608666</t>
  </si>
  <si>
    <t>Midnattssol L.I.M Ridge Tank Women</t>
  </si>
  <si>
    <t>DTC Exclusive</t>
  </si>
  <si>
    <t>608664</t>
  </si>
  <si>
    <t>Midnattssol L.I.M Ridge Tee Men</t>
  </si>
  <si>
    <t>608837</t>
  </si>
  <si>
    <t>Front Proof II Jacket Women AF</t>
  </si>
  <si>
    <t>608820</t>
  </si>
  <si>
    <t>Sunpack Prototype Hoodie Men</t>
  </si>
  <si>
    <t>608665</t>
  </si>
  <si>
    <t>Midnattssol L.I.M Ridge Tee Women</t>
  </si>
  <si>
    <t>608646</t>
  </si>
  <si>
    <t>Midnattssol Sunpack Hoodie Men</t>
  </si>
  <si>
    <t>Carried from FW27 fit-variant base: Front Proof II Jacket Women</t>
  </si>
  <si>
    <t>607817</t>
  </si>
  <si>
    <t>Funäs Pile Hood Men</t>
  </si>
  <si>
    <t>Change Seasonality</t>
  </si>
  <si>
    <t>608645</t>
  </si>
  <si>
    <t>608858</t>
  </si>
  <si>
    <t>Midnattssol Sunpack Hoodie Women</t>
  </si>
  <si>
    <t>Team SWE Mitten</t>
  </si>
  <si>
    <t>Bring back Seaweed green + 1 new (chalk). Charlotte: Drop Misty Mauve. 2 New progressive colors.</t>
  </si>
  <si>
    <t>Primaloft</t>
  </si>
  <si>
    <t>Heavyweight</t>
  </si>
  <si>
    <t>607444</t>
  </si>
  <si>
    <t>Mimic Alert Hood Men</t>
  </si>
  <si>
    <t>607818</t>
  </si>
  <si>
    <t>Funäs Pile Hood Women</t>
  </si>
  <si>
    <t>Deactivated Haze Blue. Check w. Björn &amp; Tom.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</si>
  <si>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</si>
  <si>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 xml:space="preserve">FW27: Haglöfs Mimic Mitten </t>
  </si>
  <si>
    <t>Chalk beige? Charlotte: 4SCO. 1 New. Progressive color.</t>
  </si>
  <si>
    <t>Handwear</t>
  </si>
  <si>
    <t>607447</t>
  </si>
  <si>
    <t>Mimic Alert Hood Women</t>
  </si>
  <si>
    <t>608345</t>
  </si>
  <si>
    <t>Nallo Touring Hybrid Mid Men</t>
  </si>
  <si>
    <t>w40: sell from stock</t>
  </si>
  <si>
    <t>Ski Touring</t>
  </si>
  <si>
    <t>Skiing/Snowboarding / Touring  [MATCH]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</si>
  <si>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</si>
  <si>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608346</t>
  </si>
  <si>
    <t>Nallo Touring Hybrid Mid Women</t>
  </si>
  <si>
    <t>608875</t>
  </si>
  <si>
    <t>Zircon Proof Jacket Men</t>
  </si>
  <si>
    <t>608549</t>
  </si>
  <si>
    <t>Norrvind Shield Hood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</si>
  <si>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</si>
  <si>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608550</t>
  </si>
  <si>
    <t>Norrvind Shield Hood Women</t>
  </si>
  <si>
    <t>608869</t>
  </si>
  <si>
    <t>Zircon Proof Jacket Women</t>
  </si>
  <si>
    <t>608821</t>
  </si>
  <si>
    <t>Haglöfs Alpha Prototype Sweater Men</t>
  </si>
  <si>
    <t>608151</t>
  </si>
  <si>
    <t>LS Roundneck</t>
  </si>
  <si>
    <t>Outsiders Graphic Tee Men</t>
  </si>
  <si>
    <t>608194</t>
  </si>
  <si>
    <t>Outsiders Graphic Tee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</si>
  <si>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</si>
  <si>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Pullover</t>
  </si>
  <si>
    <t>Polartec Alpha = insulating midlayer, not Tops/Cotton. Set Fleece-Midlayer/Lightweight; prototype—confirm.</t>
  </si>
  <si>
    <t>607659</t>
  </si>
  <si>
    <t>Outsiders Tee Men</t>
  </si>
  <si>
    <t>Neckwarmer</t>
  </si>
  <si>
    <t>Check w. Björn &amp; Tom.</t>
  </si>
  <si>
    <t>607664</t>
  </si>
  <si>
    <t>Outsiders Tee Women</t>
  </si>
  <si>
    <t>608173</t>
  </si>
  <si>
    <t>Ozka Proof Jacket Men</t>
  </si>
  <si>
    <t>Outdoor / Hiking  [CHECK - activity]</t>
  </si>
  <si>
    <t>608601</t>
  </si>
  <si>
    <t>Ozka Proof Jacket Men AF</t>
  </si>
  <si>
    <t>Asia Fit version of Ozka Proof Jacket Men 608173</t>
  </si>
  <si>
    <t>608193</t>
  </si>
  <si>
    <t>Ozka Proof Jacket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</si>
  <si>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</si>
  <si>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request for more colors from sales. Charlotte: 4SCO. 1 New.</t>
  </si>
  <si>
    <t>608819</t>
  </si>
  <si>
    <t>Hede Down Prototype Hood Men</t>
  </si>
  <si>
    <t>608208</t>
  </si>
  <si>
    <t>Ozka Proof Pant Men</t>
  </si>
  <si>
    <t>Women specific col?</t>
  </si>
  <si>
    <t>608209</t>
  </si>
  <si>
    <t>Ozka Proof Pant Women</t>
  </si>
  <si>
    <t>Everyday</t>
  </si>
  <si>
    <t>Lifestyle</t>
  </si>
  <si>
    <t>LS Tee</t>
  </si>
  <si>
    <t>Deactivated Haze Blue, Oak Brown.</t>
  </si>
  <si>
    <t>replace Lt Haze blue with a FW color. Charlotte: 4SCO. 1 New. Drop Maroon Trail.</t>
  </si>
  <si>
    <t>605079</t>
  </si>
  <si>
    <t>Pollux 1/2 zip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</si>
  <si>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</si>
  <si>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replace Lt Haze blue with a FW color. Charlotte: 4SCO. 1 New. Drop Misty Mauve. Add Dusty Rose to align with Tee.</t>
  </si>
  <si>
    <t>605080</t>
  </si>
  <si>
    <t>Pollux 1/2 zip Women</t>
  </si>
  <si>
    <t>608823</t>
  </si>
  <si>
    <t>Magma Rugged Prototype Pant Men</t>
  </si>
  <si>
    <t>608525</t>
  </si>
  <si>
    <t>Pollux II Jacket Men</t>
  </si>
  <si>
    <t>Deactivated Haze Blue, Raspberry Red.</t>
  </si>
  <si>
    <t>copy of Buteo Mid II Jacket 608351</t>
  </si>
  <si>
    <t>Hat</t>
  </si>
  <si>
    <t>608526</t>
  </si>
  <si>
    <t>Pollux II Jacket Women</t>
  </si>
  <si>
    <t>copy of Buteo Mid II Jacket 608352</t>
  </si>
  <si>
    <t>606595</t>
  </si>
  <si>
    <t>Haglöfs Mimic Mitten</t>
  </si>
  <si>
    <t>Ridge Hike Tee Women</t>
  </si>
  <si>
    <t>Insulated Glove</t>
  </si>
  <si>
    <t>606594</t>
  </si>
  <si>
    <t>Ridge Tee Men</t>
  </si>
  <si>
    <t>Handwear (Mimic insulation) — confirm Subtype.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</si>
  <si>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</si>
  <si>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SS Tee</t>
  </si>
  <si>
    <t>607463</t>
  </si>
  <si>
    <t>ROC Flash Down Hood Men</t>
  </si>
  <si>
    <t>XXL, Drop? Use to be high vol. -&gt;F25 with XXL, F26-&gt; vol. f. Sweden</t>
  </si>
  <si>
    <t>Conslidate colors with LS Tee. Charlotte: 4SCO. 1 New.</t>
  </si>
  <si>
    <t>Sell from stock</t>
  </si>
  <si>
    <t>607466</t>
  </si>
  <si>
    <t>ROC Flash Down Hood Women</t>
  </si>
  <si>
    <t>sell from stock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</si>
  <si>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LS-FW27  US-FW30 LSO-??</t>
    </r>
  </si>
  <si>
    <t>Conslidate colors with LS Tee. Charlotte: 4SCO. 0 New.</t>
  </si>
  <si>
    <t>608266</t>
  </si>
  <si>
    <t>ROC Lite Slim II Pant Men</t>
  </si>
  <si>
    <t>608773</t>
  </si>
  <si>
    <t>Polka Outsiders Graphic Tee Men</t>
  </si>
  <si>
    <t>608265</t>
  </si>
  <si>
    <t>ROC Lite Slim II Pant Women</t>
  </si>
  <si>
    <t>608447</t>
  </si>
  <si>
    <t>ROC Sight GTX Jacket Men</t>
  </si>
  <si>
    <t>608772</t>
  </si>
  <si>
    <t>Polka Outsiders Graphic Tee Women</t>
  </si>
  <si>
    <t>Mountaineering</t>
  </si>
  <si>
    <t>Outdoor / Mountaineering  [MATCH]</t>
  </si>
  <si>
    <t>608448</t>
  </si>
  <si>
    <t>ROC Sight GTX Jacket Women</t>
  </si>
  <si>
    <t>608102</t>
  </si>
  <si>
    <t>Hede Down Coat Women</t>
  </si>
  <si>
    <t>608556</t>
  </si>
  <si>
    <t>Rosson Mid II Hood Men</t>
  </si>
  <si>
    <t>replace Chalk beige? Charlotte: 3SCO. Drop Chalk Beige. 1 new</t>
  </si>
  <si>
    <t>607605</t>
  </si>
  <si>
    <t>Rosson Mid Hood Men</t>
  </si>
  <si>
    <t>608558</t>
  </si>
  <si>
    <t>608767</t>
  </si>
  <si>
    <t>Rosson Mid II Hood Women</t>
  </si>
  <si>
    <t>Polka Saulo Proof Jacket Men</t>
  </si>
  <si>
    <t>Coat</t>
  </si>
  <si>
    <t>Hi-loft Down</t>
  </si>
  <si>
    <t>607474</t>
  </si>
  <si>
    <t>Rosson Mid Hood Women</t>
  </si>
  <si>
    <t>608557</t>
  </si>
  <si>
    <t>Rosson Mid II Jacket Men</t>
  </si>
  <si>
    <t>607473</t>
  </si>
  <si>
    <t>Rosson Mid Jacket Men</t>
  </si>
  <si>
    <t>replace Dew Green. Charlotte: 4SCO. 1 New. Drop Dew Green.</t>
  </si>
  <si>
    <t>608559</t>
  </si>
  <si>
    <t>Rosson Mid II Jacket Women</t>
  </si>
  <si>
    <t>607606</t>
  </si>
  <si>
    <t>Rosson Mid Jacket Women</t>
  </si>
  <si>
    <t>608423</t>
  </si>
  <si>
    <t>Rosson Softshell Hood Men</t>
  </si>
  <si>
    <t>608770</t>
  </si>
  <si>
    <t>Polka Saulo Proof Jacket Women</t>
  </si>
  <si>
    <t>608424</t>
  </si>
  <si>
    <t>Rosson Softshell Hood Women</t>
  </si>
  <si>
    <t>Charlotte: 4SCO. 1New.</t>
  </si>
  <si>
    <t>608616</t>
  </si>
  <si>
    <t>Rugged Slim II Pant Men</t>
  </si>
  <si>
    <t>608617</t>
  </si>
  <si>
    <t>Rugged Slim II Pant Women</t>
  </si>
  <si>
    <t>608325</t>
  </si>
  <si>
    <t>Salo Dress Women</t>
  </si>
  <si>
    <t>If needed check col with Pontus. 25/11 Pontus: 2 New (Seaweed Green and Tarn Blue).</t>
  </si>
  <si>
    <t>New style — suggestion looks consistent; confirmed.</t>
  </si>
  <si>
    <t>Dress</t>
  </si>
  <si>
    <t>608155</t>
  </si>
  <si>
    <t>Salo Shirt II Men</t>
  </si>
  <si>
    <t>Shirt</t>
  </si>
  <si>
    <t>If needed check col with Pontus. 25/11 Pontus: 3 New (Misty Mauve, Olive Green, Seaweed Green)</t>
  </si>
  <si>
    <t>608198</t>
  </si>
  <si>
    <t>Salo Shirt II Women</t>
  </si>
  <si>
    <t>2SCO. 2 NEW. Align w. Hood (Walnut Brown &amp; Haze Blue)</t>
  </si>
  <si>
    <t>608407</t>
  </si>
  <si>
    <t>Salo Shirt SS II Men</t>
  </si>
  <si>
    <t>608366</t>
  </si>
  <si>
    <t>Särna Mimic II Hood Men</t>
  </si>
  <si>
    <t>608768</t>
  </si>
  <si>
    <t>Polka Saulo Proof Pant Men</t>
  </si>
  <si>
    <t>607771</t>
  </si>
  <si>
    <t>Särna Mimic Hood Men</t>
  </si>
  <si>
    <t>Charlotte: 1SCO.</t>
  </si>
  <si>
    <t>608367</t>
  </si>
  <si>
    <t>Särna Mimic II Hood Women</t>
  </si>
  <si>
    <t>607776</t>
  </si>
  <si>
    <t>Särna Mimic Hood Women</t>
  </si>
  <si>
    <t>608771</t>
  </si>
  <si>
    <t>Polka Saulo Proof Pant Women</t>
  </si>
  <si>
    <t>608270</t>
  </si>
  <si>
    <t>Scree II Pant Men</t>
  </si>
  <si>
    <t>608271</t>
  </si>
  <si>
    <t>Scree II Pant Women</t>
  </si>
  <si>
    <t>New S28</t>
  </si>
  <si>
    <t>608201</t>
  </si>
  <si>
    <t>Solis Hat</t>
  </si>
  <si>
    <t>608236</t>
  </si>
  <si>
    <t>Solis Zip Off Jacket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</si>
  <si>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</si>
  <si>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SS27 — aligned Silhouette→Long Sleeve, Subtype→Lightweight Wool</t>
  </si>
  <si>
    <t>608237</t>
  </si>
  <si>
    <t>Solis Zip Off Jacket Women</t>
  </si>
  <si>
    <t>608156</t>
  </si>
  <si>
    <t>Solis Zip Off Pant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</si>
  <si>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</si>
  <si>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608175</t>
  </si>
  <si>
    <t>Solis Zip Off Pant Women</t>
  </si>
  <si>
    <t>New style — proposed from FW27 rules; confirm Activity/Subtype</t>
  </si>
  <si>
    <t>608609</t>
  </si>
  <si>
    <t>Solvik Seersucker Shorts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</si>
  <si>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</si>
  <si>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TR &amp; FH?</t>
  </si>
  <si>
    <t>Updated in S23</t>
  </si>
  <si>
    <t>608610</t>
  </si>
  <si>
    <t>Solvik Seersucker Shorts Women</t>
  </si>
  <si>
    <t>Kaja Proof II Jacket Men</t>
  </si>
  <si>
    <t>608611</t>
  </si>
  <si>
    <t>Solvik Seersucker SS Shirt Men</t>
  </si>
  <si>
    <t>New Zircon Proof</t>
  </si>
  <si>
    <t>608612</t>
  </si>
  <si>
    <t>Solvik Seersucker SS Shirt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</si>
  <si>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</si>
  <si>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608570</t>
  </si>
  <si>
    <t>Spitz GTX Pro II Jacket Men</t>
  </si>
  <si>
    <t>Prev-season SS27 "Steep 2.5L" / workbook "Kaja Proof II" (Pertex Shield 2.5L). Subtype→2.5L; confirm Activity (multi-season hiking → Day Hiking?).</t>
  </si>
  <si>
    <t>Kaja Proof II Jacket Women</t>
  </si>
  <si>
    <t>608571</t>
  </si>
  <si>
    <t>Spitz GTX Pro II Jacket Women</t>
  </si>
  <si>
    <t>608498</t>
  </si>
  <si>
    <t>Steep Proof 3L Jacket Men</t>
  </si>
  <si>
    <t>Deactivated Flare Orange.</t>
  </si>
  <si>
    <t>copy of Front Proof II Jacket 607823</t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</si>
  <si>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</si>
  <si>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608499</t>
  </si>
  <si>
    <t>Steep Proof 3L Jacket Women</t>
  </si>
  <si>
    <t>Keep as Inline</t>
  </si>
  <si>
    <t>607538</t>
  </si>
  <si>
    <t>Latnja Wool 3/4 Pant Men</t>
  </si>
  <si>
    <t>copy of Front Proof II Jacket 607821</t>
  </si>
  <si>
    <t>Baselayer</t>
  </si>
  <si>
    <t>Check Col with Pontus. 25/11 Pontus: 1 New (Evening Blue).</t>
  </si>
  <si>
    <t>603989</t>
  </si>
  <si>
    <t>Stretch Webbing Belt</t>
  </si>
  <si>
    <t>Belt</t>
  </si>
  <si>
    <t>608165</t>
  </si>
  <si>
    <t>Swook II Mid Hood Men</t>
  </si>
  <si>
    <t>Replaced with new basic baselayers FW28</t>
  </si>
  <si>
    <t>Check Col with Pontus. 25/11 Pontus: No New.</t>
  </si>
  <si>
    <t>Merino Wool</t>
  </si>
  <si>
    <t>608185</t>
  </si>
  <si>
    <t>Swook II Mid Hood Women</t>
  </si>
  <si>
    <t>Vara Alpha Prototype Sweater Men</t>
  </si>
  <si>
    <t>608166</t>
  </si>
  <si>
    <t>Swook II Mid Jacket Men</t>
  </si>
  <si>
    <t>608186</t>
  </si>
  <si>
    <t>Swook II Mid Jacket Women</t>
  </si>
  <si>
    <t>Carryover from SS27 — aligned Subtype→2L</t>
  </si>
  <si>
    <t>ADD Vest, look into 1/2 Zip</t>
  </si>
  <si>
    <t>607539</t>
  </si>
  <si>
    <t>Latnja Wool 3/4 Pant Women</t>
  </si>
  <si>
    <t>Should be treated as inline</t>
  </si>
  <si>
    <t>Deactivated Echo Green, Flare Orange.</t>
  </si>
  <si>
    <t>607959</t>
  </si>
  <si>
    <t>Check FC if should be Active or dropped. Carry over col only.</t>
  </si>
  <si>
    <t>607960</t>
  </si>
  <si>
    <t>608076</t>
  </si>
  <si>
    <t>Zed Jacket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</si>
  <si>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</si>
  <si>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Deactivated Echo Green, Raspberry Red.</t>
  </si>
  <si>
    <t>608077</t>
  </si>
  <si>
    <t>Zed Jacket Women</t>
  </si>
  <si>
    <t>608471</t>
  </si>
  <si>
    <t>Zircon II Shorts Men</t>
  </si>
  <si>
    <t>608472</t>
  </si>
  <si>
    <t>Zircon II Shorts Women</t>
  </si>
  <si>
    <t>608252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</si>
  <si>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</si>
  <si>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Drop?</t>
  </si>
  <si>
    <t>Half Zip</t>
  </si>
  <si>
    <t>608253</t>
  </si>
  <si>
    <t>Replace Solar Orange? Charlotte: 4SCO. 1 New. Replace Solar Orange.</t>
  </si>
  <si>
    <t>608494</t>
  </si>
  <si>
    <t>Steep GTX Jacket Men</t>
  </si>
  <si>
    <t>Follow Korp Mid Jacket. Hood selling better than Jacket on women. 5SCO on Hood. 4 on Halfzip.</t>
  </si>
  <si>
    <t>Confirm</t>
  </si>
  <si>
    <t>608495</t>
  </si>
  <si>
    <r>
      <rPr>
        <rFont val="Aptos Narrow"/>
        <b/>
        <i/>
        <color rgb="FF000000"/>
        <sz val="9.0"/>
      </rPr>
      <t xml:space="preserve">CORE - PLC:  </t>
    </r>
    <r>
      <rPr>
        <rFont val="Aptos Narrow"/>
        <b/>
        <i val="0"/>
        <color rgb="FF000000"/>
        <sz val="9.0"/>
      </rPr>
      <t xml:space="preserve">LS-FW25  US-FW29 </t>
    </r>
  </si>
  <si>
    <t>Replace Echo Green or Solar orange? Charlotte: 5SCO. 1 New. Replace Solar Orange. Cross merchandise. technical color needed</t>
  </si>
  <si>
    <t>Copy of Rosson MId II Jacket 608557</t>
  </si>
  <si>
    <t>UPDATE</t>
  </si>
  <si>
    <t>608147</t>
  </si>
  <si>
    <t>Zodiac Mid Jacket Men</t>
  </si>
  <si>
    <t>Replace Echo Green? Charlotte: 4SCOS. 1New. Drop Raspberry Red. Technical color needed (Blue or Green)</t>
  </si>
  <si>
    <t>Copy of Rosson MId II Jacket 608559</t>
  </si>
  <si>
    <t>608148</t>
  </si>
  <si>
    <t>Zodiac Mid Jacket Women</t>
  </si>
  <si>
    <r>
      <rPr>
        <rFont val="Aptos Narrow"/>
        <b/>
        <i/>
        <color rgb="FF000000"/>
        <sz val="9.0"/>
      </rPr>
      <t xml:space="preserve">CORE - PLC:  </t>
    </r>
    <r>
      <rPr>
        <rFont val="Aptos Narrow"/>
        <b/>
        <i val="0"/>
        <color rgb="FF000000"/>
        <sz val="9.0"/>
      </rPr>
      <t xml:space="preserve">LS-FW25  US-FW29 </t>
    </r>
  </si>
  <si>
    <t>608565</t>
  </si>
  <si>
    <t>Fast Hike Low Men</t>
  </si>
  <si>
    <t>Footwear</t>
  </si>
  <si>
    <t>Hiking Shoes</t>
  </si>
  <si>
    <t>SPECIALIST, GENERALIST MULTISPORT, INTERSPORT NORDIC, Nordic SHOE STORE, Lifestyle/DAY</t>
  </si>
  <si>
    <t>Shoe (Low)</t>
  </si>
  <si>
    <t>Non-waterproof</t>
  </si>
  <si>
    <t>608567</t>
  </si>
  <si>
    <t>Fast Hike Low Women</t>
  </si>
  <si>
    <t>Follow col on Halfzip. Jacket more popular than Halfzip. 5Hood, 4SCO on Halfzip and jacket. technical color needed</t>
  </si>
  <si>
    <t>608093</t>
  </si>
  <si>
    <t>Haglöfs Incline GTX Mid</t>
  </si>
  <si>
    <t>Trekking Shoes</t>
  </si>
  <si>
    <t>SPECIALIST, GENERALIST MULTISPORT, INTERSPORT NORDIC, Nordic SHOE STORE</t>
  </si>
  <si>
    <t>Follow col on Halfzip. 4SCO. No New. Idea: Drop Raspberry. Replace with Green or Blue colourstory. technical color needed</t>
  </si>
  <si>
    <t>Boot (Mid)</t>
  </si>
  <si>
    <t>Waterproof (GTX/Proof)</t>
  </si>
  <si>
    <t>607514</t>
  </si>
  <si>
    <t>Haglöfs Incline Pro GTX High</t>
  </si>
  <si>
    <t>Boot (High)</t>
  </si>
  <si>
    <t>608277</t>
  </si>
  <si>
    <t>Haglöfs Krusa GTX II Low Men</t>
  </si>
  <si>
    <t>INTERSPORT NORDIC, Nordic SHOE STORE</t>
  </si>
  <si>
    <t>608283</t>
  </si>
  <si>
    <t>Haglöfs Krusa GTX II Low Women</t>
  </si>
  <si>
    <t>608295</t>
  </si>
  <si>
    <t>Haglöfs L.I.M Horizon GTX Low Men</t>
  </si>
  <si>
    <t>Trail Shoes</t>
  </si>
  <si>
    <t>608860</t>
  </si>
  <si>
    <t>Essential Tights</t>
  </si>
  <si>
    <t>608296</t>
  </si>
  <si>
    <t>Haglöfs L.I.M Horizon GTX Low Women</t>
  </si>
  <si>
    <t>Tights</t>
  </si>
  <si>
    <t>608290</t>
  </si>
  <si>
    <t>Haglöfs L.I.M Horizon Hike GTX Low Men</t>
  </si>
  <si>
    <t>Logo update for upcoming season.</t>
  </si>
  <si>
    <t>608292</t>
  </si>
  <si>
    <t>Haglöfs L.I.M Horizon Hike GTX Low Women</t>
  </si>
  <si>
    <t>608840</t>
  </si>
  <si>
    <t>Korp Proof Jacket Men AF</t>
  </si>
  <si>
    <r>
      <rPr>
        <rFont val="Aptos Narrow"/>
        <b/>
        <i/>
        <color rgb="FF000000"/>
        <sz val="9.0"/>
      </rPr>
      <t xml:space="preserve">CORE - PLC:  </t>
    </r>
    <r>
      <rPr>
        <rFont val="Aptos Narrow"/>
        <b/>
        <i val="0"/>
        <color rgb="FF000000"/>
        <sz val="9.0"/>
      </rPr>
      <t xml:space="preserve">LS-FW25  US-FW29 </t>
    </r>
  </si>
  <si>
    <t>608289</t>
  </si>
  <si>
    <t>Haglöfs L.I.M Horizon Hike GTX Mid Men</t>
  </si>
  <si>
    <t>608293</t>
  </si>
  <si>
    <t>Haglöfs L.I.M Horizon Hike GTX Mid Women</t>
  </si>
  <si>
    <t>608291</t>
  </si>
  <si>
    <t>Haglöfs L.I.M Horizon Hike Light Mid Men</t>
  </si>
  <si>
    <t>Room for both Hede and Fram?</t>
  </si>
  <si>
    <t>608841</t>
  </si>
  <si>
    <t>Korp Proof Jacket Women AF</t>
  </si>
  <si>
    <r>
      <rPr>
        <rFont val="Aptos Narrow"/>
        <b/>
        <i/>
        <color rgb="FF000000"/>
        <sz val="9.0"/>
      </rPr>
      <t xml:space="preserve">CORE - PLC:  </t>
    </r>
    <r>
      <rPr>
        <rFont val="Aptos Narrow"/>
        <b/>
        <i val="0"/>
        <color rgb="FF000000"/>
        <sz val="9.0"/>
      </rPr>
      <t xml:space="preserve">LS-FW25  US-FW29 </t>
    </r>
  </si>
  <si>
    <t>608294</t>
  </si>
  <si>
    <t>Haglöfs L.I.M Horizon Hike Light Mid Women</t>
  </si>
  <si>
    <t>608388</t>
  </si>
  <si>
    <t>Haglöfs L.I.M Horizon Low Men</t>
  </si>
  <si>
    <t>608389</t>
  </si>
  <si>
    <t>Haglöfs L.I.M Horizon Low Women</t>
  </si>
  <si>
    <t>Keep S27 col</t>
  </si>
  <si>
    <t>608278</t>
  </si>
  <si>
    <t>Haglöfs Path GTX II Low Men</t>
  </si>
  <si>
    <t>608856</t>
  </si>
  <si>
    <t>Korp Softshell Hood Men AF</t>
  </si>
  <si>
    <t>Team Sportia, Eventyr Sport</t>
  </si>
  <si>
    <t>608284</t>
  </si>
  <si>
    <t>Haglöfs Path GTX II Low Women</t>
  </si>
  <si>
    <t>608279</t>
  </si>
  <si>
    <t>Haglöfs Ridge GTX II Low Men</t>
  </si>
  <si>
    <t>608285</t>
  </si>
  <si>
    <t>Haglöfs Ridge GTX II Low Women</t>
  </si>
  <si>
    <t>608857</t>
  </si>
  <si>
    <t>607476</t>
  </si>
  <si>
    <t>Korp Softshell Hood Women AF</t>
  </si>
  <si>
    <t>Latnja Wool Crew Neck Men</t>
  </si>
  <si>
    <t>608280</t>
  </si>
  <si>
    <t>Haglöfs Ridge GTX II Mid Men</t>
  </si>
  <si>
    <t>608286</t>
  </si>
  <si>
    <t>Haglöfs Ridge GTX II Mid Women</t>
  </si>
  <si>
    <t>608391</t>
  </si>
  <si>
    <t>Haglöfs Rosson FG Proof Mid Men</t>
  </si>
  <si>
    <t>608392</t>
  </si>
  <si>
    <t>Haglöfs Rosson FG Proof Mid Women</t>
  </si>
  <si>
    <t>608282</t>
  </si>
  <si>
    <t>Haglöfs Rosson Proof Mid Men</t>
  </si>
  <si>
    <t>NEW is S28</t>
  </si>
  <si>
    <t>608288</t>
  </si>
  <si>
    <t>Haglöfs Rosson Proof Mid Women</t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</si>
  <si>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</si>
  <si>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last season. Carefull with news. Charlotte: 4SCO. No New.</t>
  </si>
  <si>
    <t>608069</t>
  </si>
  <si>
    <t>Haglöfs Scand GTX Mid</t>
  </si>
  <si>
    <t>608071</t>
  </si>
  <si>
    <t>Haglöfs Solid Pro 2 GTX Mid</t>
  </si>
  <si>
    <t>Deactivate: Flare Orange, Northern Blue.</t>
  </si>
  <si>
    <t>608649</t>
  </si>
  <si>
    <t>Kobbe Sandal Low Men</t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</si>
  <si>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</si>
  <si>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Casual Shoes</t>
  </si>
  <si>
    <t>Charlotte: 1SCO. No New.</t>
  </si>
  <si>
    <t>Sandal (Low)</t>
  </si>
  <si>
    <t>608651</t>
  </si>
  <si>
    <t>Kobbe Sandal Low Women</t>
  </si>
  <si>
    <t>608566</t>
  </si>
  <si>
    <t>Vertigo Proof Low Men</t>
  </si>
  <si>
    <t>608568</t>
  </si>
  <si>
    <t>Vertigo Proof Low Women</t>
  </si>
  <si>
    <t>last season. Careful with news. Charlotte: 3SCO. No New. Drop Tech Bright Yellow.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</si>
  <si>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</si>
  <si>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607590</t>
  </si>
  <si>
    <t>Artemis +6</t>
  </si>
  <si>
    <t>Hardware</t>
  </si>
  <si>
    <t>Sleeping Bags</t>
  </si>
  <si>
    <t>Deactivate Raspberry Red.</t>
  </si>
  <si>
    <t>Sleep</t>
  </si>
  <si>
    <t>Sleeping Bag</t>
  </si>
  <si>
    <t>Summer</t>
  </si>
  <si>
    <t>New style — proposed from FW27 rules; confirm Activity/Subtype | needs: Category/Layer(V2), Silhouette, Subtype</t>
  </si>
  <si>
    <t>last season. Careful with news. Charlotte: 3SCO. 1 New. Drop Misty Mauve.</t>
  </si>
  <si>
    <t>338156</t>
  </si>
  <si>
    <t>Backup</t>
  </si>
  <si>
    <t>Daypacks</t>
  </si>
  <si>
    <t>Backpacks</t>
  </si>
  <si>
    <t>Daypack</t>
  </si>
  <si>
    <t>607562</t>
  </si>
  <si>
    <t>Corker Large</t>
  </si>
  <si>
    <t>607561</t>
  </si>
  <si>
    <t>Corker Medium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</si>
  <si>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</si>
  <si>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608501</t>
  </si>
  <si>
    <t>Fjatla 40</t>
  </si>
  <si>
    <t>Bags</t>
  </si>
  <si>
    <t>606990</t>
  </si>
  <si>
    <t>Hiking Pack</t>
  </si>
  <si>
    <t>31–50L</t>
  </si>
  <si>
    <t>608500</t>
  </si>
  <si>
    <t>Fjatla 60</t>
  </si>
  <si>
    <t>607795</t>
  </si>
  <si>
    <t>L.I.M Down II Hood Men</t>
  </si>
  <si>
    <t>606989</t>
  </si>
  <si>
    <t>UPDATE or COMPLIMENTARY TO NEW PILE PROGRAMME</t>
  </si>
  <si>
    <t>51L+</t>
  </si>
  <si>
    <t>potentially 1 new col. Last season. Charlotte: 3SCO. 1 New. Drop Chlorophyll Green/ Dew Green.</t>
  </si>
  <si>
    <t>608419</t>
  </si>
  <si>
    <t>Flat accessory bag</t>
  </si>
  <si>
    <t>607802</t>
  </si>
  <si>
    <t>L.I.M Down II Hood Women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</si>
  <si>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US-SS29 LSO-??</t>
    </r>
  </si>
  <si>
    <t>Pouch/Organizer</t>
  </si>
  <si>
    <t>Organization</t>
  </si>
  <si>
    <t>608443</t>
  </si>
  <si>
    <t>Fram 1L</t>
  </si>
  <si>
    <t>potentially 1 new col. Last season. Charlotte: 3SCO. 1 New. Drop Dew Green/ Chlorophyll Green.</t>
  </si>
  <si>
    <t>Carry</t>
  </si>
  <si>
    <t>606956</t>
  </si>
  <si>
    <t>Jarve Multi 22</t>
  </si>
  <si>
    <t>New S28 in OUT</t>
  </si>
  <si>
    <t>16–30L</t>
  </si>
  <si>
    <t>606955</t>
  </si>
  <si>
    <t>Jarve Multi 28</t>
  </si>
  <si>
    <t>608852</t>
  </si>
  <si>
    <t>607691</t>
  </si>
  <si>
    <t>L.I.M 25</t>
  </si>
  <si>
    <t>L.I.M Fuse II Pant Men AF</t>
  </si>
  <si>
    <t>Hiking Packs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</si>
  <si>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US-SS29 LSO-??</t>
    </r>
  </si>
  <si>
    <t>607477</t>
  </si>
  <si>
    <t>607692</t>
  </si>
  <si>
    <t>Latnja Wool Crew Neck Women</t>
  </si>
  <si>
    <t>L.I.M 35</t>
  </si>
  <si>
    <t>606972</t>
  </si>
  <si>
    <t>L.I.M Airak Down -0</t>
  </si>
  <si>
    <t>3-Season</t>
  </si>
  <si>
    <t>607555</t>
  </si>
  <si>
    <t>L.I.M Mountain Trail 25</t>
  </si>
  <si>
    <t>608853</t>
  </si>
  <si>
    <t>608810</t>
  </si>
  <si>
    <t>Fuse III Pant Men</t>
  </si>
  <si>
    <t>L.I.M Fuse II Pant Women AF</t>
  </si>
  <si>
    <t>607554</t>
  </si>
  <si>
    <t>L.I.M Trail 15</t>
  </si>
  <si>
    <t>607475</t>
  </si>
  <si>
    <t>Latnja Wool Long John's Men</t>
  </si>
  <si>
    <t>≤15L</t>
  </si>
  <si>
    <t>608315</t>
  </si>
  <si>
    <t>Lava 110</t>
  </si>
  <si>
    <t>608813</t>
  </si>
  <si>
    <t>Fuse III Pant Women</t>
  </si>
  <si>
    <t>Bags &amp; Luggage</t>
  </si>
  <si>
    <t>Duffle</t>
  </si>
  <si>
    <t>607688</t>
  </si>
  <si>
    <t>Lava 30</t>
  </si>
  <si>
    <t>608811</t>
  </si>
  <si>
    <t>Fuse III Short Men</t>
  </si>
  <si>
    <t>607687</t>
  </si>
  <si>
    <t>Lava 50</t>
  </si>
  <si>
    <t>607690</t>
  </si>
  <si>
    <t>Lava 70</t>
  </si>
  <si>
    <t>608812</t>
  </si>
  <si>
    <t>608973</t>
  </si>
  <si>
    <t>Fuse III Short Women</t>
  </si>
  <si>
    <t>L.I.M GTX III Jacket Men</t>
  </si>
  <si>
    <t>Add missing data</t>
  </si>
  <si>
    <t>607689</t>
  </si>
  <si>
    <t>Lava 90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</si>
  <si>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</si>
  <si>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608442</t>
  </si>
  <si>
    <t>Lava travel tube</t>
  </si>
  <si>
    <t>608972</t>
  </si>
  <si>
    <t>L.I.M GTX III Jacket Women</t>
  </si>
  <si>
    <t>Only Black.</t>
  </si>
  <si>
    <t>Travel Case</t>
  </si>
  <si>
    <t>608438</t>
  </si>
  <si>
    <t>Magma  60L</t>
  </si>
  <si>
    <t>Mountain Packs</t>
  </si>
  <si>
    <t>608563</t>
  </si>
  <si>
    <t>Magma 30</t>
  </si>
  <si>
    <t>last season. Only Carry over col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</si>
  <si>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</si>
  <si>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608221</t>
  </si>
  <si>
    <t>Magma 42L</t>
  </si>
  <si>
    <t>608846</t>
  </si>
  <si>
    <t>L.I.M Mid Multi II Hood Men AF</t>
  </si>
  <si>
    <t>608439</t>
  </si>
  <si>
    <t>Magma 50L</t>
  </si>
  <si>
    <t>Deactivated all colours.</t>
  </si>
  <si>
    <t>608222</t>
  </si>
  <si>
    <t>Magma 65L</t>
  </si>
  <si>
    <t>Carryover from SS28 — aligned Subtype→Bandana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</si>
  <si>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</si>
  <si>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608224</t>
  </si>
  <si>
    <t>Magma Roll-top 40 WR</t>
  </si>
  <si>
    <t>608564</t>
  </si>
  <si>
    <t>Magma Waist pack 3,5L</t>
  </si>
  <si>
    <t>608847</t>
  </si>
  <si>
    <t>L.I.M Mid Multi II Hood Women AF</t>
  </si>
  <si>
    <t>Hip/Waist Pack</t>
  </si>
  <si>
    <t>Deactivate Haze Blue.</t>
  </si>
  <si>
    <t>416240</t>
  </si>
  <si>
    <t>Moonlite +7</t>
  </si>
  <si>
    <t>416230</t>
  </si>
  <si>
    <t>Moonlite -1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</si>
  <si>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</si>
  <si>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416330</t>
  </si>
  <si>
    <t>Moonlite Junior</t>
  </si>
  <si>
    <t>Junior</t>
  </si>
  <si>
    <t>Kids</t>
  </si>
  <si>
    <t>607125</t>
  </si>
  <si>
    <t>Mossen 55</t>
  </si>
  <si>
    <t>Trekking Packs</t>
  </si>
  <si>
    <t>416220</t>
  </si>
  <si>
    <t>Musca -1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</si>
  <si>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</si>
  <si>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416190</t>
  </si>
  <si>
    <t>Musca -13</t>
  </si>
  <si>
    <t>Cold</t>
  </si>
  <si>
    <t>608844</t>
  </si>
  <si>
    <t>416180</t>
  </si>
  <si>
    <t>Musca -26</t>
  </si>
  <si>
    <t>L.I.M Mimic Barrier Hood Men AF</t>
  </si>
  <si>
    <t>Expedition</t>
  </si>
  <si>
    <t>416210</t>
  </si>
  <si>
    <t>Musca -5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</si>
  <si>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</si>
  <si>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606969</t>
  </si>
  <si>
    <t>Nordic Expedition Down -2</t>
  </si>
  <si>
    <t>608273</t>
  </si>
  <si>
    <t>Kyligt Softshell Pant Men</t>
  </si>
  <si>
    <t>In FW27 but not attributed there — proposed from FW27 rules; confirm | needs: Category/Layer(V2), Silhouette, Subtype</t>
  </si>
  <si>
    <t>607129</t>
  </si>
  <si>
    <t>Oxo 60 W</t>
  </si>
  <si>
    <t>BIG BOX</t>
  </si>
  <si>
    <t>608845</t>
  </si>
  <si>
    <t>L.I.M Mimic Barrier Hood Women AF</t>
  </si>
  <si>
    <t>607122</t>
  </si>
  <si>
    <t>Oxo 80</t>
  </si>
  <si>
    <t>608444</t>
  </si>
  <si>
    <t>Packing cube 12L</t>
  </si>
  <si>
    <t>608274</t>
  </si>
  <si>
    <t>Kyligt Softshell Pant Women</t>
  </si>
  <si>
    <t>Packing Cube</t>
  </si>
  <si>
    <t>608445</t>
  </si>
  <si>
    <t>Packing cube 8L</t>
  </si>
  <si>
    <t>Deactivate Misty Mauve. Lt Haze Blue. Can we add Walnut Brown?</t>
  </si>
  <si>
    <t>608013</t>
  </si>
  <si>
    <t>Raincover 15-30L</t>
  </si>
  <si>
    <t>Rain Cover</t>
  </si>
  <si>
    <t>Protection</t>
  </si>
  <si>
    <t>608012</t>
  </si>
  <si>
    <t>Raincover 25-40L</t>
  </si>
  <si>
    <t>608014</t>
  </si>
  <si>
    <t>Raincover 40-60L</t>
  </si>
  <si>
    <t>608011</t>
  </si>
  <si>
    <t>Raincover 60-80L</t>
  </si>
  <si>
    <r>
      <rPr>
        <rFont val="Aptos Narrow"/>
        <i val="0"/>
        <color rgb="FF000000"/>
        <sz val="9.0"/>
      </rPr>
      <t>CORE: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LS-FW26  US-FW29 LSO-??</t>
    </r>
  </si>
  <si>
    <t>606971</t>
  </si>
  <si>
    <t>Scand Down +5</t>
  </si>
  <si>
    <t>608542</t>
  </si>
  <si>
    <t>Shoulder pocket</t>
  </si>
  <si>
    <t>608543</t>
  </si>
  <si>
    <t>Shoulder pouch</t>
  </si>
  <si>
    <r>
      <rPr>
        <rFont val="Aptos Narrow"/>
        <i val="0"/>
        <color rgb="FF000000"/>
        <sz val="9.0"/>
      </rPr>
      <t>CORE: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LS-FW26  US-FW29 LSO-??</t>
    </r>
  </si>
  <si>
    <t>608223</t>
  </si>
  <si>
    <t>Skuta 15</t>
  </si>
  <si>
    <t>416290</t>
  </si>
  <si>
    <t>Spacelite +7</t>
  </si>
  <si>
    <t>Deactivate Echo Green.</t>
  </si>
  <si>
    <t>416280</t>
  </si>
  <si>
    <t>Spacelite -1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</si>
  <si>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</si>
  <si>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416160</t>
  </si>
  <si>
    <t>Tarius +1</t>
  </si>
  <si>
    <t>416170</t>
  </si>
  <si>
    <t>Tarius +6</t>
  </si>
  <si>
    <t>416140</t>
  </si>
  <si>
    <t>Tarius -18</t>
  </si>
  <si>
    <t>Deactivate Chalk Beige/ Magnetite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</si>
  <si>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</si>
  <si>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416150</t>
  </si>
  <si>
    <t>Tarius -5</t>
  </si>
  <si>
    <t>608974</t>
  </si>
  <si>
    <t>Hede Cargo Pant Men</t>
  </si>
  <si>
    <t>607808</t>
  </si>
  <si>
    <t>ROC Sight Softshell II Jacket Men</t>
  </si>
  <si>
    <t>416260</t>
  </si>
  <si>
    <t>Tarius Lite +8</t>
  </si>
  <si>
    <t>608975</t>
  </si>
  <si>
    <t>Hede Cargo Pant Women</t>
  </si>
  <si>
    <t>607752</t>
  </si>
  <si>
    <t>607469</t>
  </si>
  <si>
    <t>Tight duffle 50</t>
  </si>
  <si>
    <t>Latnja GTX Insulated Jacket 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</si>
  <si>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</si>
  <si>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t>4SCOS. 1NEW. Drop Tarn Blue. Give space for new Ski Insulated. 20/11 New Chalk Beige, New Orange, Haze Blue.</t>
  </si>
  <si>
    <t>607755</t>
  </si>
  <si>
    <t>Tight hip pack 1</t>
  </si>
  <si>
    <t>607806</t>
  </si>
  <si>
    <t>ROC Sight Softshell II Jacket Women</t>
  </si>
  <si>
    <t>607471</t>
  </si>
  <si>
    <t>Latnja GTX Insulated Jacket Women</t>
  </si>
  <si>
    <t>608063</t>
  </si>
  <si>
    <t>Tight hip pack 3,5</t>
  </si>
  <si>
    <t>4SCOS. Keep Chlorophyll. 1NEW.</t>
  </si>
  <si>
    <t>608304</t>
  </si>
  <si>
    <t>Tight Junior 15</t>
  </si>
  <si>
    <t>607470</t>
  </si>
  <si>
    <t>Latnja GTX Insulated Pant Men</t>
  </si>
  <si>
    <t>Kids Pack</t>
  </si>
  <si>
    <t>608303</t>
  </si>
  <si>
    <t>Tight Junior 8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</si>
  <si>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</si>
  <si>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t>3SCOS. No New.</t>
  </si>
  <si>
    <t>608311</t>
  </si>
  <si>
    <t>Tight Large</t>
  </si>
  <si>
    <t>607472</t>
  </si>
  <si>
    <t>Latnja GTX Insulated Pant Women</t>
  </si>
  <si>
    <t>608310</t>
  </si>
  <si>
    <t>Tight Medium</t>
  </si>
  <si>
    <t>Deactivate Flare Orange, Chalk Beige</t>
  </si>
  <si>
    <t>607757</t>
  </si>
  <si>
    <t>Tight Pocket bag</t>
  </si>
  <si>
    <t>3/4 Pants</t>
  </si>
  <si>
    <t>no new color - too high MOQ, only DTC buying</t>
  </si>
  <si>
    <t>608309</t>
  </si>
  <si>
    <t>Tight Pro Large</t>
  </si>
  <si>
    <t>608308</t>
  </si>
  <si>
    <t>Tight Pro Medium</t>
  </si>
  <si>
    <t>608307</t>
  </si>
  <si>
    <t>Tight Small</t>
  </si>
  <si>
    <t>Deactivate Raspberry Red, Chalk Beige</t>
  </si>
  <si>
    <r>
      <rPr>
        <rFont val="Aptos Narrow"/>
        <i val="0"/>
        <color rgb="FF000000"/>
        <sz val="9.0"/>
      </rPr>
      <t>CORE -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LS-FW??  US-FW??  LSO??</t>
    </r>
  </si>
  <si>
    <t>SS23</t>
  </si>
  <si>
    <t>Change Seasonality?</t>
  </si>
  <si>
    <t>Baselayer LS Tee</t>
  </si>
  <si>
    <t>607756</t>
  </si>
  <si>
    <t>Tight Tote 25</t>
  </si>
  <si>
    <t>Tote</t>
  </si>
  <si>
    <t>608306</t>
  </si>
  <si>
    <t>Tight X-Small</t>
  </si>
  <si>
    <t>608446</t>
  </si>
  <si>
    <t>Utility pouch 3L</t>
  </si>
  <si>
    <t>608441</t>
  </si>
  <si>
    <t>Vara 20L</t>
  </si>
  <si>
    <t>Baselayer Tights</t>
  </si>
  <si>
    <t>608608</t>
  </si>
  <si>
    <t>Vide 20</t>
  </si>
  <si>
    <r>
      <rPr>
        <rFont val="Aptos Narrow"/>
        <i val="0"/>
        <color rgb="FF000000"/>
        <sz val="9.0"/>
      </rPr>
      <t>CORE -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LS-FW??  US-FW??  LSO??</t>
    </r>
  </si>
  <si>
    <t>607106</t>
  </si>
  <si>
    <t>608607</t>
  </si>
  <si>
    <t>Vide 30</t>
  </si>
  <si>
    <t>607478</t>
  </si>
  <si>
    <t>Latnja Wool Long John's Women</t>
  </si>
  <si>
    <t>607107</t>
  </si>
  <si>
    <t>Vide 25</t>
  </si>
  <si>
    <t>608662</t>
  </si>
  <si>
    <t>Midnattssol Buteo Mid Jacket Men</t>
  </si>
  <si>
    <t>N/A</t>
  </si>
  <si>
    <t>608663</t>
  </si>
  <si>
    <t>Midnattssol Buteo Mid Jacket Women</t>
  </si>
  <si>
    <t>Charlotte: 2SCO.</t>
  </si>
  <si>
    <t>607053</t>
  </si>
  <si>
    <t>Mid Standard Pant Men</t>
  </si>
  <si>
    <t>607604</t>
  </si>
  <si>
    <t>Mid Standard Pant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</si>
  <si>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US-FW28 LSO-FW27/SS28</t>
    </r>
  </si>
  <si>
    <t>608217</t>
  </si>
  <si>
    <t>Ridge Short Tights Women</t>
  </si>
  <si>
    <t>608648</t>
  </si>
  <si>
    <t>L.I.M Basecamp Sandal Low Men</t>
  </si>
  <si>
    <t>608650</t>
  </si>
  <si>
    <t>L.I.M Basecamp Sandal Low Women</t>
  </si>
  <si>
    <t>606976</t>
  </si>
  <si>
    <t>Jarve Single 20</t>
  </si>
  <si>
    <t>608162</t>
  </si>
  <si>
    <t>Hede Shorts Men</t>
  </si>
  <si>
    <t>606970</t>
  </si>
  <si>
    <t>Scand Down -5</t>
  </si>
  <si>
    <t>Deactivate Chlorophyll Green</t>
  </si>
  <si>
    <t>Move to Kajse. Change name.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</si>
  <si>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US-FW28 LSO-FW27/SS28</t>
    </r>
  </si>
  <si>
    <t>608182</t>
  </si>
  <si>
    <t>Hede Shorts Women</t>
  </si>
  <si>
    <t>Carryover from SS27 — aligned Silhouette→Tee</t>
  </si>
  <si>
    <t>Zip-Off Pants</t>
  </si>
  <si>
    <t>608815</t>
  </si>
  <si>
    <t>Hiking Tights Women</t>
  </si>
  <si>
    <t>Zip-off Pant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</si>
  <si>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</si>
  <si>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Charlotte: 3SCO. 1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</si>
  <si>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LSO??</t>
    </r>
  </si>
  <si>
    <t>607775</t>
  </si>
  <si>
    <t>Long Down II Parka Women</t>
  </si>
  <si>
    <t>Charlotte: 3SCO. 1 New. Focus on Vara &amp; Yra.</t>
  </si>
  <si>
    <t>608796</t>
  </si>
  <si>
    <t>Kaise Wool II LS Tee Men</t>
  </si>
  <si>
    <t>608537</t>
  </si>
  <si>
    <t>Long Mimic III Parka Women</t>
  </si>
  <si>
    <t>replace oak brown? Charlotte: 3SCOS. 1 New. Drop Oak Brown.</t>
  </si>
  <si>
    <t>608803</t>
  </si>
  <si>
    <t>Kaise Wool II LS Tee Women</t>
  </si>
  <si>
    <t>Hi-loft Synthetic</t>
  </si>
  <si>
    <t>608694</t>
  </si>
  <si>
    <t>Lugna Softshell Overshirt Men</t>
  </si>
  <si>
    <t>Mov to Softshell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</si>
  <si>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</si>
  <si>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LS Shirt</t>
  </si>
  <si>
    <t>Charlotte: 2SCO. 2 New.</t>
  </si>
  <si>
    <t>608795</t>
  </si>
  <si>
    <t>Kaise Wool II Tee Men</t>
  </si>
  <si>
    <t>Overshirt</t>
  </si>
  <si>
    <t>608695</t>
  </si>
  <si>
    <t>Lugna Softshell Overshirt Women</t>
  </si>
  <si>
    <t>608804</t>
  </si>
  <si>
    <t>Kaise Wool II Tee Women</t>
  </si>
  <si>
    <t>Dropped in F27</t>
  </si>
  <si>
    <t>608842</t>
  </si>
  <si>
    <t>Norrvind Shield Hood Men AF</t>
  </si>
  <si>
    <t>Carryover from SS27 — aligned Subtype→Lightweight Synthetic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</si>
  <si>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</si>
  <si>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608843</t>
  </si>
  <si>
    <t>Norrvind Shield Hood Women AF</t>
  </si>
  <si>
    <t>Carryover from SS28 — aligned Silhouette→Long Sleeve, Subtype→Lightweight Wool</t>
  </si>
  <si>
    <t>608854</t>
  </si>
  <si>
    <t>Rosson Softshell Hood Men AF</t>
  </si>
  <si>
    <t>608855</t>
  </si>
  <si>
    <t>Rosson Softshell Hood Women AF</t>
  </si>
  <si>
    <t>608816</t>
  </si>
  <si>
    <t>Kaise Wool Tank Top</t>
  </si>
  <si>
    <t>608848</t>
  </si>
  <si>
    <t>Swook II Mid Hood Men AF</t>
  </si>
  <si>
    <t>2SCO (FW26 &amp; SS27 only have 2)</t>
  </si>
  <si>
    <t>608849</t>
  </si>
  <si>
    <t>Swook II Mid Hood Women AF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</si>
  <si>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</si>
  <si>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Move to inline.</t>
  </si>
  <si>
    <t>608850</t>
  </si>
  <si>
    <t>Swook II Mid Jacket Men AF</t>
  </si>
  <si>
    <t>608851</t>
  </si>
  <si>
    <t>Swook II Mid Jacket Women AF</t>
  </si>
  <si>
    <t>Asia-Style</t>
  </si>
  <si>
    <t>SMU for Asia. Check col with Daniel. 3 New (activate old colours: Sand/Magnetite &amp; Tarn Blue/True Black)</t>
  </si>
  <si>
    <t>Replaced with Zircon Jacket</t>
  </si>
  <si>
    <t>Check Col with Pontus. 25/11: No New.</t>
  </si>
  <si>
    <t>Carryover from SS28 — aligned Subtype→2.5L</t>
  </si>
  <si>
    <t>SMU for Asia. Check col with Daniel. 2New (activate old SCO: Fjell Green/True Black, Tarn Blue &amp; Sand/Magnetite). Deactivate Magnetite/ True Black.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</si>
  <si>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</si>
  <si>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Check Col with Pontus. 25/11 Pontus: 1 New (Misty Mauve)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</si>
  <si>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</si>
  <si>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SS27 — aligned Subtype→Windbreaker</t>
  </si>
  <si>
    <t>608678</t>
  </si>
  <si>
    <t>Mimic Alert 2.0 Hood Men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</si>
  <si>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LS-FW25  US-SS30 LSO-??</t>
    </r>
  </si>
  <si>
    <t>5SCO. 5 NEW.</t>
  </si>
  <si>
    <t>Carryover from SS28 — aligned Subtype→2L</t>
  </si>
  <si>
    <t>608680</t>
  </si>
  <si>
    <t>Mimic Alert 2.0 Hood Women</t>
  </si>
  <si>
    <t>608679</t>
  </si>
  <si>
    <t>Mimic Alert 2.0 Jacket Men</t>
  </si>
  <si>
    <t>3SCO. 3 NEW.</t>
  </si>
  <si>
    <t>608681</t>
  </si>
  <si>
    <t>Mimic Alert 2.0 Jacket Women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</si>
  <si>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LS-FW25  US-SS30 LSO-??</t>
    </r>
  </si>
  <si>
    <t>NEW Mimic Alert 2.0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</si>
  <si>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LS-FW25  US-SS30 LSO-??</t>
    </r>
  </si>
  <si>
    <t>608830</t>
  </si>
  <si>
    <t>Mimic Silver II Pant Men</t>
  </si>
  <si>
    <t>608831</t>
  </si>
  <si>
    <t>Mimic Silver II Pant Women</t>
  </si>
  <si>
    <t>Carryover from SS28 — aligned Collection→Outdoor, Activity→Day Hiking</t>
  </si>
  <si>
    <t>607814</t>
  </si>
  <si>
    <t>Mountain II Cap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</si>
  <si>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LS-FW25  US-SS30 LSO-??</t>
    </r>
  </si>
  <si>
    <t>5SCO. 4 NEW.</t>
  </si>
  <si>
    <t>608341</t>
  </si>
  <si>
    <t>Nallo Touring Down Hood Men</t>
  </si>
  <si>
    <t>Deactivated Flare Orange, Northern Blue</t>
  </si>
  <si>
    <t>2SCO. 1 New. Drop Chlorophyll.20/11: Colour TBC due to Diamond Fuse.</t>
  </si>
  <si>
    <t>Skiing/Snowboarding / Resort  [CHECK - activity]</t>
  </si>
  <si>
    <t>608342</t>
  </si>
  <si>
    <t>Nallo Touring Down Hood Women</t>
  </si>
  <si>
    <t>2SCO. 1 New. Drop Maroon Trail.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</si>
  <si>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</si>
  <si>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608333</t>
  </si>
  <si>
    <t>Nallo Touring GTX Jacket Men</t>
  </si>
  <si>
    <t>1New (Suggestion: Haze Blue)</t>
  </si>
  <si>
    <t>Deactivated Raspberry Red, Misty Mauve</t>
  </si>
  <si>
    <t>608334</t>
  </si>
  <si>
    <t>Nallo Touring GTX Jacket Women</t>
  </si>
  <si>
    <t>608335</t>
  </si>
  <si>
    <t>Nallo Touring GTX Pant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</si>
  <si>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</si>
  <si>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608336</t>
  </si>
  <si>
    <t>Nallo Touring GTX Pant Women</t>
  </si>
  <si>
    <t>Deactivate Flare Orange, Northern Blue</t>
  </si>
  <si>
    <t>Sell from stock for SS28: Haze Blue, True Black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</si>
  <si>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</si>
  <si>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Deactivate Raspberry Red</t>
  </si>
  <si>
    <t>1 New. Solar Orange dropped.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</si>
  <si>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</si>
  <si>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Deactivate: Flare Orange, Northern Blue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</si>
  <si>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</si>
  <si>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607788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</si>
  <si>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</si>
  <si>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Outsiders Beanie</t>
  </si>
  <si>
    <t>Deactivate: Raspberry Red</t>
  </si>
  <si>
    <t>Charlotte: 6SCO. 2New.</t>
  </si>
  <si>
    <t>low volume in a FW. Do we  need both Outsider and Outsider Graphic Tee? Spreading the volume. Charlotte: 4SCO. No New. Drop Chlorophyll Green, Maroon Trail, Lt Haze Blue Mountain. 25/11 Charlotte: 4SCO. 2 New. Drop Tarn and Haze Blue Poppy and Lt Haze Blue? Get in colours for Cross-Merchandising. Spicy Orange and Haze Blue? Keep Tarn Blue and Soft White. 11/12/25: Drop Mountain Print due to MOQ. IMPORTANT! Graphics create high workload for Design and PD.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</si>
  <si>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</si>
  <si>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low volume in a FW. Do we  need both Outsider and Outsider Graphic Tee? Spreading the volume. Charlotte: 4SCO. No New. Align with SS27 to drop colours. Same for mens and other tees. Drop&gt; Chlorophyll and Lt Haze Blue Mountain. 25/11 Charlotte: 3SCO. Drop Soft White and Haze Blue Poppy. Raspberry Red drop? Coffee Bean, Lt Haze Blue. Drop: Raspberry Red Mountain and Tarn Blue wave due to MOQ.  IMPORTANT! Graphics create high workload for Design and PD.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</si>
  <si>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</si>
  <si>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low volume in a FW. Do we  need both Outsider and Outsider Graphic Tee? Spreading the volume. Charlotte: Agree. Sell from stock? Drop: Chlorophyll, Maroon Trail.</t>
  </si>
  <si>
    <t>low volume in a FW. Do we  need both Outsider and Outsider Graphic Tee? Spreading the volume. Charlotte: Agree. Sell from stock? Drop: Chlorophyll and Lt Haze Blue.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</si>
  <si>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</si>
  <si>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Sofia. Replace Chlorophyll? Charlotte: 4SCO. Drop Chlorophyll. 1 New.</t>
  </si>
  <si>
    <t>follow non AF. Charlotte: 4SCO. Drop Chlorophyll. 1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</si>
  <si>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</si>
  <si>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replace Chlorophyll? Charlotte: 4SCO. 1 New. Replace Maroon.</t>
  </si>
  <si>
    <t>1SCO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</si>
  <si>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</si>
  <si>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</si>
  <si>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Skiing/Snowboarding / Resort  [MATCH]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</si>
  <si>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</si>
  <si>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</si>
  <si>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FW24</t>
  </si>
  <si>
    <t>Move to Inline as Buteo 1/2 zip</t>
  </si>
  <si>
    <t>Deactivate Chalk Beige</t>
  </si>
  <si>
    <t>Check col with Pontus. 25/11 Pontus: No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</si>
  <si>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</si>
  <si>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</si>
  <si>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US-SS29  LSO-??</t>
    </r>
  </si>
  <si>
    <t>replace Chlorophyll green. Charlotte: 4SCO. 1 New. Replace Chlorophyll Green. Hede Down almost same product. Strong color differentiation necessary.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</si>
  <si>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US-SS29  LSO-??</t>
    </r>
  </si>
  <si>
    <t>replace Chlorophyll green. Charlotte: 5SCO. 1 New.</t>
  </si>
  <si>
    <t>Deactivate Tarn Blue</t>
  </si>
  <si>
    <t>607462</t>
  </si>
  <si>
    <t>ROC Flash Down Jacket Men</t>
  </si>
  <si>
    <t>FW-Style???</t>
  </si>
  <si>
    <t>Sell from FW27 stock for SS28.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</si>
  <si>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</si>
  <si>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Fast Hike</t>
  </si>
  <si>
    <t>607465</t>
  </si>
  <si>
    <t>ROC Flash Down Jacket Women</t>
  </si>
  <si>
    <t>607461</t>
  </si>
  <si>
    <t>ROC Flash Down Vest 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</si>
  <si>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</si>
  <si>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607464</t>
  </si>
  <si>
    <t>ROC Flash Down Vest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</si>
  <si>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</si>
  <si>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Black Only</t>
  </si>
  <si>
    <t>Black only</t>
  </si>
  <si>
    <t>New in F28</t>
  </si>
  <si>
    <t>608783</t>
  </si>
  <si>
    <t>L.I.M 3L Proof Jacket 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</si>
  <si>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</si>
  <si>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Replace Chlorophyll green? Charlotte: 3SCO. 1 New. Keep Black.</t>
  </si>
  <si>
    <t>608792</t>
  </si>
  <si>
    <t>L.I.M 3L Proof Jacket Women</t>
  </si>
  <si>
    <t>Replace Chlorophyll green? Black instead of Tarn blue? Charlotte: 2SCO. 2 New.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</si>
  <si>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</si>
  <si>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2SCO. 2NEW.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</si>
  <si>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</si>
  <si>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607809</t>
  </si>
  <si>
    <t>ROC Sight Softshell II Pant Men</t>
  </si>
  <si>
    <t>Charlotte: Update for FW28?</t>
  </si>
  <si>
    <t>607807</t>
  </si>
  <si>
    <t>ROC Sight Softshell II Pant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</si>
  <si>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</si>
  <si>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Trail Running, Fast Hike</t>
  </si>
  <si>
    <t>Charlotte: Cancel style for FW28? Or update?</t>
  </si>
  <si>
    <t>608720</t>
  </si>
  <si>
    <t>Rosson Beanie</t>
  </si>
  <si>
    <t>Follow Rosson Mid Hood &amp; Jacket. 5SCO. 5NEW. Add Chalk Beige.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</si>
  <si>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FW27</t>
    </r>
  </si>
  <si>
    <t>607460</t>
  </si>
  <si>
    <t>Rosson Down Hood Men</t>
  </si>
  <si>
    <t>Replace Maroon Trail. 5SCO. 1 New.</t>
  </si>
  <si>
    <t>607468</t>
  </si>
  <si>
    <t>Rosson Down Hood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</si>
  <si>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US?? LSO??</t>
    </r>
  </si>
  <si>
    <t>Drop Purple Fog and Maroon Trail. 4SCO. 2NEW. Cross-check with Mens.</t>
  </si>
  <si>
    <t>608125</t>
  </si>
  <si>
    <t>Rosson Down Parka Men</t>
  </si>
  <si>
    <t>2SCO. No New.</t>
  </si>
  <si>
    <t>608124</t>
  </si>
  <si>
    <t>Rosson Down Parka Women</t>
  </si>
  <si>
    <t>3SCO. No New.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</si>
  <si>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US?? LSO??</t>
    </r>
  </si>
  <si>
    <t>608689</t>
  </si>
  <si>
    <t>Rosson II Balaclava</t>
  </si>
  <si>
    <t>Fabric update</t>
  </si>
  <si>
    <t>Balaclava</t>
  </si>
  <si>
    <t>608832</t>
  </si>
  <si>
    <t>Rosson II Tights Men</t>
  </si>
  <si>
    <t>608833</t>
  </si>
  <si>
    <t>Rosson II Tights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</si>
  <si>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US?? LSO??</t>
    </r>
  </si>
  <si>
    <t>6SCO.  1New. Keep SS27. Align with Jacket. Drop other colour (not Blue and Black).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</si>
  <si>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LS??  US?? LSO??</t>
    </r>
  </si>
  <si>
    <t>Charlotte: 6SCO.  1New. Keep SS27. Align with Jacket. Drop other colour (not Blue and Black). Drop Lt Haze Blue.</t>
  </si>
  <si>
    <t>Dropped: Dew Green, Soft White, Echo Green</t>
  </si>
  <si>
    <t>4SCO.  2New (Walnut Brown &amp; Flare Orange. Align with Hood.</t>
  </si>
  <si>
    <t>Carryover from SS28 — aligned Subtype→Lightweight Synthetic</t>
  </si>
  <si>
    <t xml:space="preserve">CORE  - PLC:  LS-FW24  US-FW29 </t>
  </si>
  <si>
    <t>Freeride</t>
  </si>
  <si>
    <t>608808</t>
  </si>
  <si>
    <t>Move to All Mountain since it's insulated</t>
  </si>
  <si>
    <t>L.I.M Down Hood Men</t>
  </si>
  <si>
    <t>4SCO.  0 New.</t>
  </si>
  <si>
    <t>608807</t>
  </si>
  <si>
    <t>L.I.M Down Hood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</si>
  <si>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</si>
  <si>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Asia SMU. Ask Daniel for Color input. 2 New (Activate Fjell Green/ True Black &amp; Tarn Blue/ True Black).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</si>
  <si>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</si>
  <si>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Asia SMU. Ask Daniel for Color input. 2New (Activate Fjell Green/ True Black &amp; Tarn Blue/ True Black)</t>
  </si>
  <si>
    <t>608241</t>
  </si>
  <si>
    <t>Salix Proof Mimic II Parka Men</t>
  </si>
  <si>
    <t>Charlotte: 3SCO. 1New. Keep Black and Tarn Blue. Drop Stone Brick.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</si>
  <si>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</si>
  <si>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608242</t>
  </si>
  <si>
    <t>Salix Proof Mimic II Parka Women</t>
  </si>
  <si>
    <t>3SCO. 1 New. Drop Maroon.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</si>
  <si>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</si>
  <si>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</si>
  <si>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</si>
  <si>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NEW S27 - late</t>
  </si>
  <si>
    <t>608671</t>
  </si>
  <si>
    <t>Saulo Proof Jacket Men</t>
  </si>
  <si>
    <t>3NEW.</t>
  </si>
  <si>
    <t>608676</t>
  </si>
  <si>
    <t>Saulo Proof Jacket Women</t>
  </si>
  <si>
    <t>608672</t>
  </si>
  <si>
    <t>Saulo Proof Pant Men</t>
  </si>
  <si>
    <t>608677</t>
  </si>
  <si>
    <t>Saulo Proof Pant Women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</si>
  <si>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US-SS30  LSO-??</t>
    </r>
  </si>
  <si>
    <t>608692</t>
  </si>
  <si>
    <t>Skalvik Softshell Parka Men</t>
  </si>
  <si>
    <t>Drop: Norther Blue, Stone Grey, True Black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</si>
  <si>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</si>
  <si>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608693</t>
  </si>
  <si>
    <t>Skalvik Softshell Parka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</si>
  <si>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</si>
  <si>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Drop Lt Haze Blue, Stone Grey, True Black</t>
  </si>
  <si>
    <t>Collection (New)</t>
  </si>
  <si>
    <t>Activity (New)</t>
  </si>
  <si>
    <t>Concept (New)</t>
  </si>
  <si>
    <r>
      <rPr>
        <rFont val="Aptos Narrow"/>
        <i val="0"/>
        <color rgb="FF000000"/>
        <sz val="9.0"/>
      </rPr>
      <t>CORE: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LS??  US??  LSO??</t>
    </r>
  </si>
  <si>
    <t>Dropped in Color meeting</t>
  </si>
  <si>
    <t>Core/Day</t>
  </si>
  <si>
    <t>Carryover from SS27 — aligned Activity→Day Hiking, Subtype→Lightweight Synthetic, Collection→Outdoor</t>
  </si>
  <si>
    <r>
      <rPr>
        <rFont val="Aptos Narrow"/>
        <i val="0"/>
        <color rgb="FF000000"/>
        <sz val="9.0"/>
      </rPr>
      <t>CORE:</t>
    </r>
    <r>
      <rPr>
        <rFont val="Aptos Narrow"/>
        <i/>
        <color rgb="FF000000"/>
        <sz val="9.0"/>
      </rPr>
      <t xml:space="preserve"> PLC:  </t>
    </r>
    <r>
      <rPr>
        <rFont val="Aptos Narrow"/>
        <i val="0"/>
        <color rgb="FF000000"/>
        <sz val="9.0"/>
      </rPr>
      <t>LS??  US??  LSO??</t>
    </r>
  </si>
  <si>
    <t>609008</t>
  </si>
  <si>
    <t>Buteo Mid Vest Men</t>
  </si>
  <si>
    <t>609009</t>
  </si>
  <si>
    <t>Buteo Mid Vest Women</t>
  </si>
  <si>
    <t>608701</t>
  </si>
  <si>
    <t>Courier Messenger Bag</t>
  </si>
  <si>
    <t>Drop all colours</t>
  </si>
  <si>
    <t>608779</t>
  </si>
  <si>
    <t>Haglöfs Fast Hike PROOF Low Men</t>
  </si>
  <si>
    <t>608780</t>
  </si>
  <si>
    <t>Haglöfs Fast Hike PROOF Low Women</t>
  </si>
  <si>
    <t>608538</t>
  </si>
  <si>
    <t>Haglöfs Horizon Hike GTX WL Mid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</si>
  <si>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LS-FW26  US-?? LSO-??</t>
    </r>
  </si>
  <si>
    <t>608541</t>
  </si>
  <si>
    <t>Haglöfs Horizon Hike GTX WL Mid Women</t>
  </si>
  <si>
    <t>608703</t>
  </si>
  <si>
    <t>Haglöfs L.I.M Horizon GTX Mid Men</t>
  </si>
  <si>
    <t>608705</t>
  </si>
  <si>
    <t>Haglöfs L.I.M Horizon GTX Mid Women</t>
  </si>
  <si>
    <t>608540</t>
  </si>
  <si>
    <t>Haglöfs Solid Pro 2 WL GTX Mid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</si>
  <si>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LS-FW26  US-?? LSO-??</t>
    </r>
  </si>
  <si>
    <t>608702</t>
  </si>
  <si>
    <t>Haglöfs Vertigo QL PROOF Low Men</t>
  </si>
  <si>
    <t>608704</t>
  </si>
  <si>
    <t>Haglöfs Vertigo QL PROOF Low Women</t>
  </si>
  <si>
    <t>Hede Cargo II Pant Men</t>
  </si>
  <si>
    <t>Hede Cargo II Pant Women</t>
  </si>
  <si>
    <t>608706</t>
  </si>
  <si>
    <t>608707</t>
  </si>
  <si>
    <t>SS Shirt</t>
  </si>
  <si>
    <t>LIM</t>
  </si>
  <si>
    <t>608710</t>
  </si>
  <si>
    <t>Latnja 18L</t>
  </si>
  <si>
    <t>609002</t>
  </si>
  <si>
    <t>Latnja GTX Insulated II Jacket Men</t>
  </si>
  <si>
    <t>609004</t>
  </si>
  <si>
    <t>Latnja GTX Insulated II Jacket Women</t>
  </si>
  <si>
    <t>609003</t>
  </si>
  <si>
    <t>Latnja GTX Insulated II Pant Men</t>
  </si>
  <si>
    <t>609005</t>
  </si>
  <si>
    <t>Latnja GTX Insulated II Pant Women</t>
  </si>
  <si>
    <t>607459</t>
  </si>
  <si>
    <t>Spitz Down Hood Men</t>
  </si>
  <si>
    <t>replace Dew green Charlotte: 4SCO. 1NEW. Drop Dew Green.</t>
  </si>
  <si>
    <t>Magma 60L</t>
  </si>
  <si>
    <t>607467</t>
  </si>
  <si>
    <t>Spitz Down Hood Women</t>
  </si>
  <si>
    <t>1 new? Charlotte: 4SCO. 1 New. Drop Stone Brick. CA Tarn blue lowest FW26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</si>
  <si>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LS-FW25  US-SS29  LSO-??</t>
    </r>
  </si>
  <si>
    <t>608709</t>
  </si>
  <si>
    <t>Nallo Pro 40L</t>
  </si>
  <si>
    <t>Touring</t>
  </si>
  <si>
    <t>Replace Chlorophyll and keep S28. Charlotte: 3SCO. 1 New. Drop Dew Green/ Chlorophyll.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</si>
  <si>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</si>
  <si>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608766</t>
  </si>
  <si>
    <t>Polka Pouch</t>
  </si>
  <si>
    <t>Replace Chlorophyll and keep S28. Cjarlotte: 2SCO. 1 New. Drop Dew Green/ Chlorophyll.</t>
  </si>
  <si>
    <t>608809</t>
  </si>
  <si>
    <t>L.I.M Pant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</si>
  <si>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</si>
  <si>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608814</t>
  </si>
  <si>
    <t>L.I.M Pant Women</t>
  </si>
  <si>
    <t>608696</t>
  </si>
  <si>
    <t>Selme LS Crewneck Men</t>
  </si>
  <si>
    <t>608697</t>
  </si>
  <si>
    <t>Selme LS Crewneck Women</t>
  </si>
  <si>
    <t>608700</t>
  </si>
  <si>
    <t>Sling pouch 2L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</si>
  <si>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</si>
  <si>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SS28 — aligned Silhouette→Tank, Subtype→Lightweight Synthetic</t>
  </si>
  <si>
    <t>608686</t>
  </si>
  <si>
    <t>Swook Mid Halfzip W</t>
  </si>
  <si>
    <t>608687</t>
  </si>
  <si>
    <t>Swook Mid Sweater M</t>
  </si>
  <si>
    <t>608670</t>
  </si>
  <si>
    <t>Tarre Proof Insulated Jacket Men</t>
  </si>
  <si>
    <t>608674</t>
  </si>
  <si>
    <t>Tarre Proof Insulated Jacket Women</t>
  </si>
  <si>
    <t>608673</t>
  </si>
  <si>
    <t>Tarre Proof Insulated Pant Men</t>
  </si>
  <si>
    <t>608675</t>
  </si>
  <si>
    <t>Tarre Proof Insulated Pant Women</t>
  </si>
  <si>
    <t>608751</t>
  </si>
  <si>
    <t>Thermal Beanie</t>
  </si>
  <si>
    <t>Carryover from SS27 — aligned Silhouette→Jacket, Subtype→3L</t>
  </si>
  <si>
    <t>608691</t>
  </si>
  <si>
    <t>Tova Wool Beanie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</si>
  <si>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</si>
  <si>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608483</t>
  </si>
  <si>
    <t>Vara Alpha Cap</t>
  </si>
  <si>
    <t>608477</t>
  </si>
  <si>
    <t>Vara Alpha Sweater Men</t>
  </si>
  <si>
    <t>608478</t>
  </si>
  <si>
    <t>ALL Year style</t>
  </si>
  <si>
    <t>Vara Alpha Sweater Women</t>
  </si>
  <si>
    <t>608375</t>
  </si>
  <si>
    <t>Vara Down GTX Parka Men</t>
  </si>
  <si>
    <t>608376</t>
  </si>
  <si>
    <t>Vara Down GTX Parka Women</t>
  </si>
  <si>
    <t>608750</t>
  </si>
  <si>
    <t>Vassi Beanie</t>
  </si>
  <si>
    <t>608574</t>
  </si>
  <si>
    <t>Vassi GTX II Jacket Men</t>
  </si>
  <si>
    <t>608578</t>
  </si>
  <si>
    <t>Vassi GTX II Jacket Women</t>
  </si>
  <si>
    <t>608575</t>
  </si>
  <si>
    <t>Vassi GTX II Pant Men</t>
  </si>
  <si>
    <t>608580</t>
  </si>
  <si>
    <t>Vassi GTX II Pant Women</t>
  </si>
  <si>
    <t>608576</t>
  </si>
  <si>
    <t>Vassi GTX Pro II Bib Men</t>
  </si>
  <si>
    <t>608581</t>
  </si>
  <si>
    <t>Vassi GTX Pro II Bib Women</t>
  </si>
  <si>
    <t>608577</t>
  </si>
  <si>
    <t>Vassi GTX Pro II Jacket Men</t>
  </si>
  <si>
    <t>608582</t>
  </si>
  <si>
    <t>Vassi GTX Pro II Jacket Women</t>
  </si>
  <si>
    <t>607790</t>
  </si>
  <si>
    <t>Vassi Headband</t>
  </si>
  <si>
    <t>606844</t>
  </si>
  <si>
    <t>Vassi Mid Hood Men</t>
  </si>
  <si>
    <t>606826</t>
  </si>
  <si>
    <t>Vassi Mid Hood Women</t>
  </si>
  <si>
    <t>608711</t>
  </si>
  <si>
    <t>Vassi Pro 32L</t>
  </si>
  <si>
    <t>Belts</t>
  </si>
  <si>
    <t>607819</t>
  </si>
  <si>
    <t>Warm Flex Pant Men</t>
  </si>
  <si>
    <t>607820</t>
  </si>
  <si>
    <t>Warm Flex Pant Women</t>
  </si>
  <si>
    <t>608377</t>
  </si>
  <si>
    <t>Yra Mimic Proof Parka Men</t>
  </si>
  <si>
    <t>608378</t>
  </si>
  <si>
    <t>Yra Mimic Proof Parka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</si>
  <si>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</si>
  <si>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608799</t>
  </si>
  <si>
    <t>L.I.M Top Men</t>
  </si>
  <si>
    <t>608835</t>
  </si>
  <si>
    <t>Sun Capsule Halfzip</t>
  </si>
  <si>
    <t>Carryover from SS28 — aligned Silhouette→Tee</t>
  </si>
  <si>
    <t>608800</t>
  </si>
  <si>
    <t>L.I.M Top Women</t>
  </si>
  <si>
    <t>608828</t>
  </si>
  <si>
    <t>Sun Capsule Multi Cover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</si>
  <si>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</si>
  <si>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n/a</t>
  </si>
  <si>
    <t>608784</t>
  </si>
  <si>
    <t>L.I.M Windbreaker Men</t>
  </si>
  <si>
    <t>Sun cover — confirm Silhouette (neckwear/sun cover) vs "Headwear".</t>
  </si>
  <si>
    <t>608834</t>
  </si>
  <si>
    <t>Sun Capsule Pant</t>
  </si>
  <si>
    <t>608791</t>
  </si>
  <si>
    <t>L.I.M Windbreaker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</si>
  <si>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</si>
  <si>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Sunna LS Crewneck Men</t>
  </si>
  <si>
    <t>Sunna LS Crewneck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</si>
  <si>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</si>
  <si>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</si>
  <si>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can we do 1 gender specific col? 4SCO. 1 New. 20/11 SS27 Buy for all year.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</si>
  <si>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</si>
  <si>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can we do 1 gender specific col? 4SCO. 1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</si>
  <si>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</si>
  <si>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</si>
  <si>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New Base layer in Good will replace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</si>
  <si>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</si>
  <si>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</si>
  <si>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Silouette TBD. Charlotte: 4SCO. 4 New. Keep Swook Family aligned.</t>
  </si>
  <si>
    <t>Silouette TBD. Charlotte: 4SCO. 4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</si>
  <si>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</si>
  <si>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Charlotte: 5SCO. 1 New.</t>
  </si>
  <si>
    <t>Charlotte: 5SCO. 1 New. Finland fond of Rasperry Red, big seller in the Nordics (keep in mind for PM, but open for Design)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</si>
  <si>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</si>
  <si>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</si>
  <si>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</si>
  <si>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4SCO. 4 New.</t>
  </si>
  <si>
    <t>W47: Solar Orange deactivated. Add Flare Orange.</t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</si>
  <si>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</si>
  <si>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</si>
  <si>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 over col? Charlotte: 3SCO. 1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</si>
  <si>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</si>
  <si>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Carry over col? Charlotte: 2SCO. No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</si>
  <si>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</si>
  <si>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Add Tarn blue? Charlotte: Keep 2SCO. No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</si>
  <si>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</si>
  <si>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Follow Headband. 5 Total, 1New. 5 NEW (new branding)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</si>
  <si>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</si>
  <si>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4 SCOS. Add 2 New. Drop Dew Green &amp; Purple Night. 23/01: After GTM1 Tarm Blue dropped. Add Walnut Brown.</t>
  </si>
  <si>
    <t>Skiing/Snowboarding / Freeride  [MATCH]</t>
  </si>
  <si>
    <t>3SCOS,1NEW. Drop Dew Green.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</si>
  <si>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</si>
  <si>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3SCO. 2 New. Drop Tarn Blue. 23/01: After GTM1 Tarm Blue dropped. Add Walnut Brown.</t>
  </si>
  <si>
    <t>3SCO. 0 New. 20/11: Tarn Blue dropped. Chalk Beige dropped. Stone Grey NEW.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</si>
  <si>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</si>
  <si>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Inactivate Purple Night + Chlorophyll. 3SCOS, 2NEW.</t>
  </si>
  <si>
    <t>Bibs</t>
  </si>
  <si>
    <t>3SCO. True Black +1NEW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</si>
  <si>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</si>
  <si>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t>3SCOS, 2NEW. Bringing Newness driving Branding.</t>
  </si>
  <si>
    <t>3SCO. 2NEW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</si>
  <si>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</si>
  <si>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t>Headband</t>
  </si>
  <si>
    <t>4SCO. Align with Beanie. Drop Dew Green.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</si>
  <si>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</si>
  <si>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t>2SCO. 1 New (Echo green?)</t>
  </si>
  <si>
    <t>Velum Jacket Men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</si>
  <si>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</si>
  <si>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t>Prev-season SS27 "Skuta Proof Jacket" — suggestion matches (Active Essentials/Shell/Jacket/2L). OK.</t>
  </si>
  <si>
    <t>Velum Jacket Women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</si>
  <si>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</si>
  <si>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 LSO-??</t>
    </r>
  </si>
  <si>
    <t>add 1 new? Charlotte: 3SCO. 1 New</t>
  </si>
  <si>
    <t>Drop F27, focus on Rosson?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</si>
  <si>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 LSO SS28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</si>
  <si>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 LSO SS28</t>
    </r>
  </si>
  <si>
    <t>Drop Oak Brown</t>
  </si>
  <si>
    <t>Carryover from SS27 — aligned Activity→Day Hiking, Collection→Outdoor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</si>
  <si>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</si>
  <si>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Zircon Slim II Pant Men</t>
  </si>
  <si>
    <t>NEW Inline style Zircon Flex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</si>
  <si>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LSO-??</t>
    </r>
  </si>
  <si>
    <t>Prev-season SS27 "Zircon Flex Pant" — aligned Activity→Day Hiking.</t>
  </si>
  <si>
    <t>Zircon Slim II Pant Women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</si>
  <si>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LS-FW24  US-FW29 LSO-??</t>
    </r>
  </si>
  <si>
    <t>Zodiac III Jacket Men</t>
  </si>
  <si>
    <t>Prev-season SS27 "Steep GTX" / workbook "Zodiac III" (GORE-TEX 2L). Subtype→2L; confirm Activity (active hiking → Day Hiking?).</t>
  </si>
  <si>
    <t>Zodiac III Jacket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</si>
  <si>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</si>
  <si>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Check col with Pontus. Follow Rosson MId colors. 25/11 Pontus: No New.</t>
  </si>
  <si>
    <t>Asia style, Drop?</t>
  </si>
  <si>
    <t>Low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</si>
  <si>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</si>
  <si>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608715</t>
  </si>
  <si>
    <t>Haglöfs Fubuki Arctic Birch GTX Low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</si>
  <si>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</si>
  <si>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Seasonal Brand Style, Drop</t>
  </si>
  <si>
    <t>New footwear — set Footwear / Shoe (Low) / Waterproof (GTX/Proof) from name. Fubuki=winter/lifestyle line — confirm Activity.</t>
  </si>
  <si>
    <t>608716</t>
  </si>
  <si>
    <t>Haglöfs Fubuki Arctic Birch GTX Low Women</t>
  </si>
  <si>
    <t>Mid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</si>
  <si>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</si>
  <si>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</si>
  <si>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SS28 — aligned Subtype→Windbreaker</t>
  </si>
  <si>
    <t>High</t>
  </si>
  <si>
    <t>Replaced in F28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</si>
  <si>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LS-FW27  US-SS30 LSO-??</t>
    </r>
  </si>
  <si>
    <t>Drop: Echo Green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</si>
  <si>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LS-FW27  US-SS30 LSO-??</t>
    </r>
  </si>
  <si>
    <t>Drop Echo Green</t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</si>
  <si>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LS-FW27  US-SS30 LSO-??</t>
    </r>
  </si>
  <si>
    <r>
      <rPr>
        <rFont val="Aptos Narrow"/>
        <b/>
        <i val="0"/>
        <color rgb="FF000000"/>
        <sz val="9.0"/>
      </rPr>
      <t>CORE:</t>
    </r>
    <r>
      <rPr>
        <rFont val="Aptos Narrow"/>
        <b/>
        <i/>
        <color rgb="FF000000"/>
        <sz val="9.0"/>
      </rPr>
      <t xml:space="preserve"> PLC:  </t>
    </r>
    <r>
      <rPr>
        <rFont val="Aptos Narrow"/>
        <b/>
        <i val="0"/>
        <color rgb="FF000000"/>
        <sz val="9.0"/>
      </rPr>
      <t>LS-FW27  US-SS30 LSO-??</t>
    </r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</si>
  <si>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</si>
  <si>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t>Salix</t>
  </si>
  <si>
    <t>NEW F27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</si>
  <si>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</si>
  <si>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t>Need for this in F28 (LIM Mimic?) - Should this be in Insulation???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</si>
  <si>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LS-FW26  US-FW29  LSO-??</t>
    </r>
  </si>
  <si>
    <t>Update FW24</t>
  </si>
  <si>
    <t>Team Sportia</t>
  </si>
  <si>
    <r>
      <rPr>
        <rFont val="Aptos Narrow"/>
        <b/>
        <i val="0"/>
        <color rgb="FF000000"/>
        <sz val="9.0"/>
      </rPr>
      <t xml:space="preserve">CORE: </t>
    </r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LS-FW26  US-FW29 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</si>
  <si>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</si>
  <si>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</si>
  <si>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</si>
  <si>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</si>
  <si>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LSO-??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</si>
  <si>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</si>
  <si>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 LSO 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</si>
  <si>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 LSO 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</si>
  <si>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</si>
  <si>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</si>
  <si>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Backpacks 20-29L</t>
  </si>
  <si>
    <t>Backpack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</si>
  <si>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</si>
  <si>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Sell from stock FW27. Drop Echo Green.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</si>
  <si>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</si>
  <si>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Bags &lt;19L</t>
  </si>
  <si>
    <t>Bag</t>
  </si>
  <si>
    <t>Review - Arc Sunna</t>
  </si>
  <si>
    <t>Messenger Bag</t>
  </si>
  <si>
    <t>Bags 30-49L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</si>
  <si>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</si>
  <si>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Bags &gt;50L</t>
  </si>
  <si>
    <t>608876</t>
  </si>
  <si>
    <t>Neck Tube</t>
  </si>
  <si>
    <t>Other Accessories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</si>
  <si>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</si>
  <si>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Neckwear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</si>
  <si>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</si>
  <si>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</si>
  <si>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</si>
  <si>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SS27 — aligned Category→Backpacks, Silhouette→Hiking Pack, Subtype→16–30L</t>
  </si>
  <si>
    <t>Backpacks 30-49L</t>
  </si>
  <si>
    <t>Carryover from SS27 — aligned Category→Backpacks, Silhouette→Hiking Pack, Subtype→31–50L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</si>
  <si>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</si>
  <si>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Backpacks &lt;19L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</si>
  <si>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</si>
  <si>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</si>
  <si>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000000"/>
        <sz val="9.0"/>
      </rPr>
      <t>LS-FW??  US-FW?? LSO SS28</t>
    </r>
  </si>
  <si>
    <t>Backpacks &gt;50L</t>
  </si>
  <si>
    <t>Drop: Chlorophyll Green, Raspberry</t>
  </si>
  <si>
    <t>Drop Northern Blue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</si>
  <si>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</si>
  <si>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</si>
  <si>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FW23</t>
  </si>
  <si>
    <t>Carryover from SS27 — aligned Activity→Trekking, Category→Backpacks, Silhouette→Hiking Pack, Subtype→51L+, Collection→Outdoor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</si>
  <si>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</si>
  <si>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</si>
  <si>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</si>
  <si>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</si>
  <si>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t>REPLACE WITH BUTEO 1/ 2 Zip? Old XXL Style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</si>
  <si>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LS-FW27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</si>
  <si>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LS-FW27  US-?? LSO-??</t>
    </r>
  </si>
  <si>
    <t>Drop: Echo Green, Raspberry Red</t>
  </si>
  <si>
    <t>608794</t>
  </si>
  <si>
    <t>Ridge II LS Tee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</si>
  <si>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</si>
  <si>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608805</t>
  </si>
  <si>
    <t>Ridge II LS Tee Women</t>
  </si>
  <si>
    <t>608793</t>
  </si>
  <si>
    <t>Ridge II Tee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</si>
  <si>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</si>
  <si>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608806</t>
  </si>
  <si>
    <t>Ridge II Tee Women</t>
  </si>
  <si>
    <t>Move to Active Essential</t>
  </si>
  <si>
    <t>Drop: Echo Green, Flare Orange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</si>
  <si>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</si>
  <si>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</si>
  <si>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</si>
  <si>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</si>
  <si>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LSO??</t>
    </r>
  </si>
  <si>
    <t>Drop Chalk Beige, Tarn Blue</t>
  </si>
  <si>
    <t>Should this be a UPDATE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</si>
  <si>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LSO??</t>
    </r>
  </si>
  <si>
    <t>NEW/UPDATE in F28 - Merge Airak GTX</t>
  </si>
  <si>
    <t>Drop Flare Orange</t>
  </si>
  <si>
    <t>Drop Raspberry Red</t>
  </si>
  <si>
    <t>L.I.M Airak 2,5L Proof Jacket Men</t>
  </si>
  <si>
    <t>NEW/UPDATE F28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</si>
  <si>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</si>
  <si>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L.I.M Airak 2,5L Proof Jacket Women</t>
  </si>
  <si>
    <t>L.I.M Airak 2,5L Proof Pant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</si>
  <si>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</si>
  <si>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L.I.M Airak 2,5L Proof Pant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</si>
  <si>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</si>
  <si>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</si>
  <si>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</si>
  <si>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607827</t>
  </si>
  <si>
    <t>Rosson Balaclava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</si>
  <si>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</si>
  <si>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</si>
  <si>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608798</t>
  </si>
  <si>
    <t>Trekk Tech II LS Tee Men</t>
  </si>
  <si>
    <t>608801</t>
  </si>
  <si>
    <t>Trekk Tech II LS Tee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</si>
  <si>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</si>
  <si>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608797</t>
  </si>
  <si>
    <t>Trekk Tech II Tee Men</t>
  </si>
  <si>
    <t>608802</t>
  </si>
  <si>
    <t>Trekk Tech II Tee Women</t>
  </si>
  <si>
    <t>608890</t>
  </si>
  <si>
    <t>NEW [Core] Low Men</t>
  </si>
  <si>
    <t>608893</t>
  </si>
  <si>
    <t>NEW [Core] Low Women</t>
  </si>
  <si>
    <t>608889</t>
  </si>
  <si>
    <t>NEW [Ultralight Fast Hiking] GTX Low Men</t>
  </si>
  <si>
    <t>608892</t>
  </si>
  <si>
    <t>NEW [Ultralight Fast Hiking] GTX Low Women</t>
  </si>
  <si>
    <t>608888</t>
  </si>
  <si>
    <t>NEW [Ultralight Trail running] Low Men</t>
  </si>
  <si>
    <t>608891</t>
  </si>
  <si>
    <t>NEW [Ultralight Trail running] Low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</si>
  <si>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</si>
  <si>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608817</t>
  </si>
  <si>
    <t>NEW Flat accessory bag II</t>
  </si>
  <si>
    <t>608818</t>
  </si>
  <si>
    <t>NEW Keywallet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</si>
  <si>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</si>
  <si>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Drop: Flare Orange, Chalk Beige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</si>
  <si>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</si>
  <si>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Drop: Raspberry Red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</si>
  <si>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</si>
  <si>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Drop: Flare Orange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</si>
  <si>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 LSO SS28</t>
    </r>
  </si>
  <si>
    <t>Drop: Raspberry</t>
  </si>
  <si>
    <t>Volume to move to Korp</t>
  </si>
  <si>
    <t>L.I.M Horizon GTX Mid 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</si>
  <si>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</si>
  <si>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L.I.M Horizon GTX Mid Women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</si>
  <si>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</si>
  <si>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Carryover from SS28 — aligned Activity→Daily Essentials, Silhouette→Dress, Subtype→Lightweight Synthetic</t>
  </si>
  <si>
    <t>Drop: Oak Brown</t>
  </si>
  <si>
    <t>Carryover from SS28 — aligned Activity→Daily Essentials, Silhouette→Shirt, Subtype→Lightweight Synthetic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</si>
  <si>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</si>
  <si>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</si>
  <si>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</si>
  <si>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</si>
  <si>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</si>
  <si>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</si>
  <si>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</si>
  <si>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</si>
  <si>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</si>
  <si>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</si>
  <si>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</si>
  <si>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Old Velum , XXL</t>
  </si>
  <si>
    <t>Check w. Pontus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</si>
  <si>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</si>
  <si>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LSO-??</t>
    </r>
  </si>
  <si>
    <t>Drop: Haze Blue</t>
  </si>
  <si>
    <t>Carryover from SS28 — aligned Activity→Day Hiking</t>
  </si>
  <si>
    <r>
      <rPr>
        <rFont val="Aptos Narrow"/>
        <i val="0"/>
        <color rgb="FF000000"/>
        <sz val="9.0"/>
      </rPr>
      <t xml:space="preserve">CORE: </t>
    </r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 LSO-??</t>
    </r>
  </si>
  <si>
    <t>Carryover from SS28 — aligned Collection→Outdoor, Activity→Day Hiking, Subtype→Lightweight Synthetic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</si>
  <si>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</si>
  <si>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REQUEST TO ADD True Black as All year sco! SS-Styel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</si>
  <si>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</si>
  <si>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Carryover from SS28 — aligned Silhouette→Shirt, Subtype→Lightweight Synthetic</t>
  </si>
  <si>
    <t>Potetntial UPDATE???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</si>
  <si>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</si>
  <si>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US?? LSO??</t>
    </r>
  </si>
  <si>
    <t>Sell from stock FW27?</t>
  </si>
  <si>
    <t>Move to Inline?, Old Zodiac GTX J. XXL</t>
  </si>
  <si>
    <t>Old XXL Style, Drop?</t>
  </si>
  <si>
    <t>Check Col with Pontus. Follow Front proof. 25/11 Pontus: No New.</t>
  </si>
  <si>
    <t>Carryover from SS28 — aligned Silhouette→Jacket, Subtype→3L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</si>
  <si>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LS-FW??  US-FW??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</si>
  <si>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</si>
  <si>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</si>
  <si>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Add Vest</t>
  </si>
  <si>
    <t>Drop: Stone Brick, Seaweed Green</t>
  </si>
  <si>
    <t>Drop: Lt Haze Blue, Chalk Beige</t>
  </si>
  <si>
    <t>UV Capsule Blanket</t>
  </si>
  <si>
    <t>DTC Capsule, Sesonal?</t>
  </si>
  <si>
    <t>Confirm — 'Blanket' currently tagged Headwear/Cap; likely mis-categorised.</t>
  </si>
  <si>
    <t>UV Capsule Pant</t>
  </si>
  <si>
    <t>UV/sun line — confirm Subtype (Lightweight Synthetic vs Classic Softshell).</t>
  </si>
  <si>
    <t>UV Halfzip</t>
  </si>
  <si>
    <t>UV sun layer — Subtype→Lightweight Synthetic; confirm.</t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</si>
  <si>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</si>
  <si>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</si>
  <si>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</si>
  <si>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</si>
  <si>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</si>
  <si>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</si>
  <si>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</si>
  <si>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</si>
  <si>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</si>
  <si>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r>
      <rPr>
        <rFont val="Aptos Narrow"/>
        <i/>
        <color rgb="FF000000"/>
        <sz val="9.0"/>
      </rPr>
      <t xml:space="preserve">PLC:  </t>
    </r>
    <r>
      <rPr>
        <rFont val="Aptos Narrow"/>
        <i val="0"/>
        <color rgb="FF000000"/>
        <sz val="9.0"/>
      </rPr>
      <t>LS??  US-?? LSO-??</t>
    </r>
  </si>
  <si>
    <t>608708</t>
  </si>
  <si>
    <t>607267</t>
  </si>
  <si>
    <t>Nordic Expedition Down -12</t>
  </si>
  <si>
    <t>606967</t>
  </si>
  <si>
    <t>Nordic Expedition Down -26</t>
  </si>
  <si>
    <t>Replaced with Skuta Proof Jacket</t>
  </si>
  <si>
    <t>check col with Pontus. 25/11 Pontus: No New.</t>
  </si>
  <si>
    <t>608533</t>
  </si>
  <si>
    <t>Mojo Down Hood 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</si>
  <si>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FF0000"/>
        <sz val="9.0"/>
      </rPr>
      <t xml:space="preserve">LS-FW27  </t>
    </r>
    <r>
      <rPr>
        <rFont val="Aptos Narrow"/>
        <b/>
        <i val="0"/>
        <color rgb="FF000000"/>
        <sz val="9.0"/>
      </rPr>
      <t>US-?? LSO-??</t>
    </r>
  </si>
  <si>
    <t>Relaunch F27</t>
  </si>
  <si>
    <t>608534</t>
  </si>
  <si>
    <t>Mojo Down Hood Women</t>
  </si>
  <si>
    <r>
      <rPr>
        <rFont val="Aptos Narrow"/>
        <b/>
        <i/>
        <color rgb="FF000000"/>
        <sz val="9.0"/>
      </rPr>
      <t xml:space="preserve">PLC:  </t>
    </r>
    <r>
      <rPr>
        <rFont val="Aptos Narrow"/>
        <b/>
        <i val="0"/>
        <color rgb="FFFF0000"/>
        <sz val="9.0"/>
      </rPr>
      <t xml:space="preserve">LS-FW27  </t>
    </r>
    <r>
      <rPr>
        <rFont val="Aptos Narrow"/>
        <b/>
        <i val="0"/>
        <color rgb="FF000000"/>
        <sz val="9.0"/>
      </rPr>
      <t>US-?? LSO-??</t>
    </r>
  </si>
  <si>
    <t>Move to Inline? Old Zircon Slim, XXL</t>
  </si>
  <si>
    <t>Move to Inline?, Old Kaja Proof J, XXL</t>
  </si>
  <si>
    <t>Replaced with Zircon Flex Pant</t>
  </si>
  <si>
    <t>Replaced with Steep GTX Jacket</t>
  </si>
  <si>
    <t>Fubuki, Seasonal Brand Style, Drop</t>
  </si>
  <si>
    <t>Carryover from SS28 — aligned Category→Footwear, Silhouette→Shoe (Low), Subtype→Waterproof (GTX/Proof), WP→Y</t>
  </si>
  <si>
    <t>608878</t>
  </si>
  <si>
    <t>Haglöfs Horizon GTX Low Men</t>
  </si>
  <si>
    <t>New footwear — set Footwear / Shoe (Low) / Waterproof (GTX/Proof) from name. Horizon=trail/hike line — confirm Activity (Trail Run/Day Hiking) &amp; Collection=Outdoor.</t>
  </si>
  <si>
    <t>608882</t>
  </si>
  <si>
    <t>Haglöfs Horizon GTX Low Women</t>
  </si>
  <si>
    <t>608884</t>
  </si>
  <si>
    <t>Haglöfs Horizon Hike GTX Low Men</t>
  </si>
  <si>
    <t>608886</t>
  </si>
  <si>
    <t>Haglöfs Horizon Hike GTX Low Women</t>
  </si>
  <si>
    <t>608885</t>
  </si>
  <si>
    <t>Haglöfs Horizon Hike GTX Mid Men</t>
  </si>
  <si>
    <t>New footwear — set Footwear / Boot (Mid) / Waterproof (GTX/Proof) from name. Horizon=trail/hike line — confirm Activity (Trail Run/Day Hiking) &amp; Collection=Outdoor.</t>
  </si>
  <si>
    <t>608887</t>
  </si>
  <si>
    <t>Haglöfs Horizon Hike GTX Mid Women</t>
  </si>
  <si>
    <t>608880</t>
  </si>
  <si>
    <t>Haglöfs Horizon Low Men</t>
  </si>
  <si>
    <t>608883</t>
  </si>
  <si>
    <t>Haglöfs Horizon Low Women</t>
  </si>
  <si>
    <t>Drop with NEW Krusa PROOF???</t>
  </si>
  <si>
    <t>CORE</t>
  </si>
  <si>
    <t>Carryover from SS28 — aligned Category→Footwear, Silhouette→Sandal (Low), Subtype→Non-waterproof</t>
  </si>
  <si>
    <t xml:space="preserve">Confirm  </t>
  </si>
  <si>
    <t>NEW style in S28</t>
  </si>
  <si>
    <t>UPDATED in F27</t>
  </si>
  <si>
    <t>NEW LIM strategy</t>
  </si>
  <si>
    <t>Carryover from SS28 — aligned Category→Backpacks, Silhouette→Hiking Pack, Subtype→16–30L</t>
  </si>
  <si>
    <t>Carryover from SS28 — aligned Category→Backpacks, Silhouette→Hiking Pack, Subtype→31–50L</t>
  </si>
  <si>
    <t>Carryover from SS28 — aligned Collection→Outdoor, Activity→Trekking, Category→Backpacks, Silhouette→Hiking Pack, Subtype→51L+</t>
  </si>
  <si>
    <t>CORE???</t>
  </si>
  <si>
    <t>Spitz GTX Pro III Jacket Men</t>
  </si>
  <si>
    <t>F28</t>
  </si>
  <si>
    <t>REPLACE Spitz GTX Pro II</t>
  </si>
  <si>
    <t>Spitz GTX Pro III Jacket Women</t>
  </si>
  <si>
    <t>Spitz GTX Pant Men</t>
  </si>
  <si>
    <t>NEW F28</t>
  </si>
  <si>
    <t>Spitz GTX Pant Women</t>
  </si>
  <si>
    <t>Spitz GTX Jacket Men</t>
  </si>
  <si>
    <t>REPLACE ROC Sight GTX</t>
  </si>
  <si>
    <t>Spitz GTX Jacket Women</t>
  </si>
  <si>
    <t>Spitz Softshell Jacket Men</t>
  </si>
  <si>
    <t>REPLACE ROC Sight Softshell</t>
  </si>
  <si>
    <t>Spitz Softshell Jacket Women</t>
  </si>
  <si>
    <t>Spitz Softshell Pant Men</t>
  </si>
  <si>
    <t>Spitz Softshell Pant Women</t>
  </si>
  <si>
    <t>"Pile" Jacket Men</t>
  </si>
  <si>
    <t>"Piile" Jacket Women</t>
  </si>
  <si>
    <t>"Pile" Vest Men</t>
  </si>
  <si>
    <t>"Pile" Vest Women</t>
  </si>
  <si>
    <t>Buteo Vest Men</t>
  </si>
  <si>
    <t>Buteo Vest Women</t>
  </si>
  <si>
    <t>Brisen Hoodie Men</t>
  </si>
  <si>
    <t>Brisen Hoodie Women</t>
  </si>
  <si>
    <t>Särna Mimic Vest Men</t>
  </si>
  <si>
    <t>Särna Mimic Vest Women</t>
  </si>
  <si>
    <t>Essential Tights Warm</t>
  </si>
  <si>
    <t>"Mimic"  Pant Pant Men</t>
  </si>
  <si>
    <t>"Mimic"  Pant Pant Women</t>
  </si>
  <si>
    <t>"Mimic"  Pant 3/4 Pant Men</t>
  </si>
  <si>
    <t>"Mimic"  Pant 3/4 Pant Women</t>
  </si>
  <si>
    <t>NEW Female Focus Insulation</t>
  </si>
  <si>
    <t>Placeholder — confirm Silhouette &amp; Subtype (synthetic insulation piece).</t>
  </si>
  <si>
    <t>Base Layer Top Men</t>
  </si>
  <si>
    <t>Base Layer Top Women</t>
  </si>
  <si>
    <t>Base Layer Bottom Men</t>
  </si>
  <si>
    <t>Bottoms</t>
  </si>
  <si>
    <t>Base Layer Bottom Women</t>
  </si>
  <si>
    <t>Technical Head/Neckwear</t>
  </si>
  <si>
    <t>Ski Glove</t>
  </si>
  <si>
    <t>Ski Mitten</t>
  </si>
  <si>
    <t>Ski Sock</t>
  </si>
  <si>
    <t>Socks</t>
  </si>
  <si>
    <t>Hiking Sock</t>
  </si>
  <si>
    <t>NEW L.I.M Fast Hiker GTX Mid Men</t>
  </si>
  <si>
    <t>NEW L.I.M Fast Hiker GTX Mid Women</t>
  </si>
  <si>
    <t>NEW Krusa PROOF Low Men</t>
  </si>
  <si>
    <t>NEW Krusa PROOF Low Women</t>
  </si>
  <si>
    <t>NEW Mountanering Pack 38L</t>
  </si>
  <si>
    <t>NEW Mountanering Pack 28L</t>
  </si>
  <si>
    <t>NEW Crag Bag 2L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</si>
</sst>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2.0"/>
      <color theme="1"/>
      <name val="Aptos Narrow"/>
      <scheme val="minor"/>
    </font>
    <font>
      <sz val="9.0"/>
      <color theme="1"/>
      <name val="Aptos Narrow"/>
    </font>
    <font>
      <sz val="10.0"/>
      <color theme="4"/>
      <name val="Aptos Narrow"/>
    </font>
    <font>
      <sz val="10.0"/>
      <color theme="1"/>
      <name val="Aptos Narrow"/>
    </font>
    <font>
      <b/>
      <sz val="9.0"/>
      <color theme="0"/>
      <name val="Aptos Narrow"/>
    </font>
    <font>
      <color theme="1"/>
      <name val="Aptos Narrow"/>
      <scheme val="minor"/>
    </font>
    <font>
      <b/>
      <sz val="10.0"/>
      <color theme="1"/>
      <name val="Aptos Narrow"/>
    </font>
    <font>
      <b/>
      <sz val="10.0"/>
      <color rgb="FFF2F2F2"/>
      <name val="Aptos Narrow"/>
    </font>
    <font>
      <b/>
      <sz val="9.0"/>
      <color theme="1"/>
      <name val="Aptos Narrow"/>
    </font>
    <font>
      <i/>
      <sz val="9.0"/>
      <color rgb="FF7F7F7F"/>
      <name val="Aptos Narrow"/>
    </font>
    <font>
      <sz val="12.0"/>
      <color theme="1"/>
      <name val="Aptos Narrow"/>
    </font>
    <font>
      <i/>
      <sz val="9.0"/>
      <color theme="1"/>
      <name val="Aptos Narrow"/>
    </font>
    <font>
      <b/>
      <sz val="10.0"/>
      <color theme="0"/>
      <name val="Aptos Narrow"/>
    </font>
    <font>
      <b/>
      <sz val="12.0"/>
      <color theme="1"/>
      <name val="Aptos Narrow"/>
    </font>
    <font>
      <sz val="9.0"/>
      <color rgb="FF0070C0"/>
      <name val="Aptos Narrow"/>
    </font>
    <font>
      <i/>
      <sz val="9.0"/>
      <color rgb="FF000000"/>
      <name val="Aptos Narrow"/>
    </font>
    <font>
      <sz val="9.0"/>
      <color rgb="FF000000"/>
      <name val="Aptos Narrow"/>
    </font>
    <font>
      <b/>
      <sz val="9.0"/>
      <color rgb="FFFF0000"/>
      <name val="Aptos Narrow"/>
    </font>
    <font>
      <b/>
      <i/>
      <sz val="9.0"/>
      <color rgb="FF000000"/>
      <name val="Aptos Narrow"/>
    </font>
    <font>
      <b/>
      <i/>
      <sz val="9.0"/>
      <color theme="1"/>
      <name val="Aptos Narrow"/>
    </font>
    <font>
      <b/>
      <i/>
      <sz val="9.0"/>
      <color rgb="FFFF0000"/>
      <name val="Aptos Narrow"/>
    </font>
    <font>
      <sz val="9.0"/>
      <color rgb="FF7030A0"/>
      <name val="Aptos Narrow"/>
    </font>
    <font>
      <i/>
      <sz val="9.0"/>
      <color rgb="FFFF0000"/>
      <name val="Aptos Narrow"/>
    </font>
    <font>
      <b/>
      <sz val="9.0"/>
      <color rgb="FF00B050"/>
      <name val="Aptos Narrow"/>
    </font>
    <font>
      <b/>
      <sz val="9.0"/>
      <color rgb="FF000000"/>
      <name val="Aptos Narrow"/>
    </font>
    <font>
      <sz val="9.0"/>
      <color rgb="FFFF0000"/>
      <name val="Aptos Narrow"/>
    </font>
  </fonts>
  <fills count="2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E2841"/>
        <bgColor rgb="FF0E2841"/>
      </patternFill>
    </fill>
    <fill>
      <patternFill patternType="solid">
        <fgColor rgb="FFC1F0C8"/>
        <bgColor rgb="FFC1F0C8"/>
      </patternFill>
    </fill>
    <fill>
      <patternFill patternType="solid">
        <fgColor rgb="FFFFFF99"/>
        <bgColor rgb="FFFFFF99"/>
      </patternFill>
    </fill>
    <fill>
      <patternFill patternType="solid">
        <fgColor rgb="FF275317"/>
        <bgColor rgb="FF275317"/>
      </patternFill>
    </fill>
    <fill>
      <patternFill patternType="solid">
        <fgColor rgb="FFFAE2D5"/>
        <bgColor rgb="FFFAE2D5"/>
      </patternFill>
    </fill>
    <fill>
      <patternFill patternType="solid">
        <fgColor rgb="FFFFDE75"/>
        <bgColor rgb="FFFFDE7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CE4D6"/>
        <bgColor rgb="FFFCE4D6"/>
      </patternFill>
    </fill>
    <fill>
      <patternFill patternType="solid">
        <fgColor rgb="FFDDFFDD"/>
        <bgColor rgb="FFDDFFDD"/>
      </patternFill>
    </fill>
    <fill>
      <patternFill patternType="solid">
        <fgColor rgb="FFE49EDD"/>
        <bgColor rgb="FFE49EDD"/>
      </patternFill>
    </fill>
    <fill>
      <patternFill patternType="solid">
        <fgColor rgb="FFFFFFCC"/>
        <bgColor rgb="FFFFFFCC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  <fill>
      <patternFill patternType="solid">
        <fgColor rgb="FFFFA7A7"/>
        <bgColor rgb="FFFFA7A7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3" fontId="4" numFmtId="0" xfId="0" applyAlignment="1" applyBorder="1" applyFill="1" applyFont="1">
      <alignment shrinkToFit="0" wrapText="1"/>
    </xf>
    <xf borderId="0" fillId="0" fontId="5" numFmtId="0" xfId="0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6" numFmtId="0" xfId="0" applyBorder="1" applyFill="1" applyFont="1"/>
    <xf borderId="1" fillId="7" fontId="1" numFmtId="0" xfId="0" applyBorder="1" applyFill="1" applyFont="1"/>
    <xf borderId="1" fillId="6" fontId="7" numFmtId="0" xfId="0" applyAlignment="1" applyBorder="1" applyFill="1" applyFont="1">
      <alignment shrinkToFit="0" wrapText="1"/>
    </xf>
    <xf borderId="1" fillId="6" fontId="7" numFmtId="0" xfId="0" applyBorder="1" applyFill="1" applyFont="1"/>
    <xf borderId="1" fillId="8" fontId="3" numFmtId="0" xfId="0" applyAlignment="1" applyBorder="1" applyFill="1" applyFont="1">
      <alignment horizontal="center" vertical="center"/>
    </xf>
    <xf borderId="1" fillId="7" fontId="8" numFmtId="0" xfId="0" applyBorder="1" applyFill="1" applyFont="1"/>
    <xf borderId="1" fillId="9" fontId="6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1" fillId="9" fontId="3" numFmtId="0" xfId="0" applyAlignment="1" applyBorder="1" applyFill="1" applyFont="1">
      <alignment horizontal="center" shrinkToFit="0" vertical="center" wrapText="1"/>
    </xf>
    <xf borderId="1" fillId="9" fontId="1" numFmtId="0" xfId="0" applyBorder="1" applyFill="1" applyFont="1"/>
    <xf borderId="0" fillId="0" fontId="3" numFmtId="0" xfId="0" applyAlignment="1" applyFont="1">
      <alignment shrinkToFit="0" wrapText="1"/>
    </xf>
    <xf borderId="0" fillId="0" fontId="1" numFmtId="3" xfId="0" applyFont="1" applyNumberFormat="1"/>
    <xf borderId="0" fillId="0" fontId="1" numFmtId="4" xfId="0" applyFont="1" applyNumberFormat="1"/>
    <xf borderId="0" fillId="0" fontId="9" numFmtId="164" xfId="0" applyFont="1" applyNumberFormat="1"/>
    <xf borderId="1" fillId="10" fontId="1" numFmtId="0" xfId="0" applyBorder="1" applyFill="1" applyFont="1"/>
    <xf borderId="0" fillId="0" fontId="1" numFmtId="0" xfId="0" applyAlignment="1" applyFont="1">
      <alignment horizontal="center"/>
    </xf>
    <xf borderId="1" fillId="11" fontId="10" numFmtId="0" xfId="0" applyBorder="1" applyFill="1" applyFont="1"/>
    <xf borderId="0" fillId="0" fontId="11" numFmtId="0" xfId="0" applyFont="1"/>
    <xf borderId="0" fillId="0" fontId="10" numFmtId="4" xfId="0" applyFont="1" applyNumberFormat="1"/>
    <xf borderId="0" fillId="0" fontId="10" numFmtId="164" xfId="0" applyFont="1" applyNumberFormat="1"/>
    <xf borderId="0" fillId="0" fontId="10" numFmtId="3" xfId="0" applyFont="1" applyNumberFormat="1"/>
    <xf borderId="1" fillId="6" fontId="12" numFmtId="0" xfId="0" applyAlignment="1" applyBorder="1" applyFill="1" applyFont="1">
      <alignment horizontal="left" vertical="center"/>
    </xf>
    <xf borderId="1" fillId="12" fontId="10" numFmtId="3" xfId="0" applyBorder="1" applyFill="1" applyFont="1" applyNumberFormat="1"/>
    <xf borderId="1" fillId="6" fontId="12" numFmtId="0" xfId="0" applyAlignment="1" applyBorder="1" applyFill="1" applyFont="1">
      <alignment shrinkToFit="0" wrapText="1"/>
    </xf>
    <xf borderId="1" fillId="13" fontId="10" numFmtId="0" xfId="0" applyBorder="1" applyFill="1" applyFont="1"/>
    <xf borderId="1" fillId="9" fontId="13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1" fillId="14" fontId="10" numFmtId="0" xfId="0" applyBorder="1" applyFill="1" applyFont="1"/>
    <xf borderId="1" fillId="14" fontId="11" numFmtId="0" xfId="0" applyBorder="1" applyFill="1" applyFont="1"/>
    <xf borderId="0" fillId="0" fontId="8" numFmtId="0" xfId="0" applyAlignment="1" applyFont="1">
      <alignment horizontal="center"/>
    </xf>
    <xf borderId="0" fillId="0" fontId="15" numFmtId="0" xfId="0" applyAlignment="1" applyFont="1">
      <alignment horizontal="left" readingOrder="1" vertical="center"/>
    </xf>
    <xf borderId="0" fillId="0" fontId="8" numFmtId="0" xfId="0" applyFont="1"/>
    <xf quotePrefix="1" borderId="0" fillId="0" fontId="1" numFmtId="0" xfId="0" applyFont="1"/>
    <xf quotePrefix="1" borderId="0" fillId="0" fontId="8" numFmtId="0" xfId="0" applyFont="1"/>
    <xf borderId="1" fillId="15" fontId="10" numFmtId="3" xfId="0" applyBorder="1" applyFill="1" applyFont="1" applyNumberFormat="1"/>
    <xf borderId="1" fillId="16" fontId="10" numFmtId="0" xfId="0" applyBorder="1" applyFill="1" applyFont="1"/>
    <xf borderId="1" fillId="16" fontId="11" numFmtId="0" xfId="0" applyBorder="1" applyFill="1" applyFont="1"/>
    <xf borderId="1" fillId="17" fontId="10" numFmtId="0" xfId="0" applyBorder="1" applyFill="1" applyFont="1"/>
    <xf borderId="1" fillId="17" fontId="11" numFmtId="0" xfId="0" applyBorder="1" applyFill="1" applyFont="1"/>
    <xf borderId="1" fillId="18" fontId="10" numFmtId="0" xfId="0" applyBorder="1" applyFill="1" applyFont="1"/>
    <xf borderId="1" fillId="18" fontId="11" numFmtId="0" xfId="0" applyBorder="1" applyFill="1" applyFont="1"/>
    <xf borderId="1" fillId="11" fontId="8" numFmtId="0" xfId="0" applyBorder="1" applyFill="1" applyFont="1"/>
    <xf borderId="1" fillId="11" fontId="1" numFmtId="0" xfId="0" applyBorder="1" applyFill="1" applyFont="1"/>
    <xf borderId="0" fillId="0" fontId="16" numFmtId="0" xfId="0" applyFont="1"/>
    <xf borderId="1" fillId="12" fontId="10" numFmtId="0" xfId="0" applyBorder="1" applyFill="1" applyFont="1"/>
    <xf borderId="0" fillId="0" fontId="8" numFmtId="0" xfId="0" applyAlignment="1" applyFont="1">
      <alignment horizontal="left"/>
    </xf>
    <xf borderId="0" fillId="0" fontId="17" numFmtId="0" xfId="0" applyFont="1"/>
    <xf borderId="0" fillId="0" fontId="18" numFmtId="0" xfId="0" applyAlignment="1" applyFont="1">
      <alignment horizontal="left" readingOrder="1" vertical="center"/>
    </xf>
    <xf borderId="1" fillId="15" fontId="10" numFmtId="0" xfId="0" applyBorder="1" applyFill="1" applyFont="1"/>
    <xf borderId="1" fillId="5" fontId="10" numFmtId="0" xfId="0" applyBorder="1" applyFill="1" applyFont="1"/>
    <xf borderId="1" fillId="5" fontId="11" numFmtId="0" xfId="0" applyBorder="1" applyFill="1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9" numFmtId="0" xfId="0" applyFont="1"/>
    <xf quotePrefix="1" borderId="0" fillId="0" fontId="11" numFmtId="0" xfId="0" applyFont="1"/>
    <xf borderId="0" fillId="0" fontId="20" numFmtId="0" xfId="0" applyFont="1"/>
    <xf borderId="0" fillId="0" fontId="21" numFmtId="0" xfId="0" applyFont="1"/>
    <xf quotePrefix="1" borderId="0" fillId="0" fontId="17" numFmtId="0" xfId="0" applyFont="1"/>
    <xf borderId="0" fillId="0" fontId="22" numFmtId="0" xfId="0" applyAlignment="1" applyFont="1">
      <alignment horizontal="left" readingOrder="1" vertical="center"/>
    </xf>
    <xf borderId="0" fillId="0" fontId="15" numFmtId="0" xfId="0" applyAlignment="1" applyFont="1">
      <alignment horizontal="left" readingOrder="1" shrinkToFit="0" vertical="center" wrapText="1"/>
    </xf>
    <xf borderId="1" fillId="7" fontId="10" numFmtId="0" xfId="0" applyBorder="1" applyFill="1" applyFont="1"/>
    <xf borderId="1" fillId="7" fontId="11" numFmtId="0" xfId="0" applyBorder="1" applyFill="1" applyFont="1"/>
    <xf borderId="0" fillId="0" fontId="23" numFmtId="0" xfId="0" applyFont="1"/>
    <xf borderId="1" fillId="19" fontId="10" numFmtId="0" xfId="0" applyBorder="1" applyFill="1" applyFont="1"/>
    <xf borderId="1" fillId="19" fontId="11" numFmtId="0" xfId="0" applyBorder="1" applyFill="1" applyFont="1"/>
    <xf borderId="0" fillId="0" fontId="24" numFmtId="0" xfId="0" applyAlignment="1" applyFont="1">
      <alignment horizontal="left" readingOrder="1" vertical="center"/>
    </xf>
    <xf borderId="0" fillId="0" fontId="20" numFmtId="0" xfId="0" applyAlignment="1" applyFont="1">
      <alignment horizontal="left" readingOrder="1" vertical="center"/>
    </xf>
    <xf borderId="1" fillId="20" fontId="8" numFmtId="0" xfId="0" applyBorder="1" applyFill="1" applyFont="1"/>
    <xf borderId="1" fillId="20" fontId="1" numFmtId="0" xfId="0" applyBorder="1" applyFill="1" applyFont="1"/>
    <xf borderId="0" fillId="0" fontId="18" numFmtId="0" xfId="0" applyAlignment="1" applyFont="1">
      <alignment horizontal="left" readingOrder="1" shrinkToFit="0" vertical="center" wrapText="1"/>
    </xf>
    <xf borderId="0" fillId="0" fontId="25" numFmtId="0" xfId="0" applyFont="1"/>
    <xf borderId="0" fillId="0" fontId="13" numFmtId="0" xfId="0" applyFont="1"/>
    <xf borderId="0" fillId="0" fontId="10" numFmtId="49" xfId="0" applyFont="1" applyNumberFormat="1"/>
    <xf borderId="0" fillId="0" fontId="24" numFmtId="0" xfId="0" applyFont="1"/>
    <xf quotePrefix="1" borderId="1" fillId="18" fontId="10" numFmtId="0" xfId="0" applyBorder="1" applyFill="1" applyFont="1"/>
    <xf quotePrefix="1" borderId="0" fillId="0" fontId="10" numFmtId="0" xfId="0" applyFont="1"/>
    <xf borderId="0" fillId="0" fontId="22" numFmtId="0" xfId="0" applyAlignment="1" applyFont="1">
      <alignment horizontal="left" readingOrder="1" shrinkToFit="0" vertical="center" wrapText="1"/>
    </xf>
    <xf borderId="0" fillId="0" fontId="16" numFmtId="0" xfId="0" applyAlignment="1" applyFont="1">
      <alignment horizontal="left" readingOrder="1" vertical="center"/>
    </xf>
  </cellXfs>
  <cellStyles count="1">
    <cellStyle xfId="0" name="Normal" builtinId="0"/>
  </cellStyles>
  <dxfs count="8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none"/>
      </fill>
      <border>
        <top style="thin">
          <color rgb="FF7F7F7F"/>
        </top>
        <bottom style="thin">
          <color rgb="FF7F7F7F"/>
        </bottom>
      </border>
    </dxf>
    <dxf>
      <font/>
      <fill>
        <patternFill patternType="solid">
          <fgColor rgb="FFFFCC66"/>
          <bgColor rgb="FFFFCC66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>
        <color rgb="FF9C0006"/>
      </font>
      <fill>
        <patternFill patternType="solid">
          <fgColor rgb="FFFFFF00"/>
          <bgColor rgb="FFFFFF00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2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Q:/Product%20department/1.%20Category/BAM/4.%20PRODUCT%20CONTROLLER/3.%20COSTING/NEW%20COSTSHEET%20ALL%20BA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Desktop/_Product/_Merchandising/_Forecasts/FW27%20Forecast%202%20Summary%20ver%20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25"/>
      <sheetName val="F25"/>
      <sheetName val="S26"/>
      <sheetName val="F26"/>
      <sheetName val="S27"/>
      <sheetName val="F27"/>
      <sheetName val="Supplier info"/>
      <sheetName val="mu"/>
      <sheetName val="S28"/>
      <sheetName val="F28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Market"/>
      <sheetName val="SUMMARY BA"/>
      <sheetName val="STYLE DETAILS MOQ"/>
      <sheetName val="GTN"/>
      <sheetName val="BUYING DATA"/>
      <sheetName val="AD-HOC (2)"/>
      <sheetName val="TOP-LIST"/>
      <sheetName val="AD-Hoc"/>
      <sheetName val="COGS-Value"/>
      <sheetName val="Forecast_data"/>
      <sheetName val="STYLE DETAILS MOQ COMMENTS"/>
      <sheetName val="MARKET_INFO"/>
      <sheetName val="RANGE"/>
      <sheetName val="PRICING"/>
      <sheetName val="TARGET"/>
      <sheetName val="STYLE_LINK"/>
      <sheetName val="LAST_FORECAST"/>
      <sheetName val="LAST_SEASON"/>
      <sheetName val="COLORS"/>
      <sheetName val="ACTIVE_SCO"/>
      <sheetName val="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1.22" defaultRowHeight="15.0"/>
  <cols>
    <col customWidth="1" min="1" max="3" width="11.0"/>
    <col customWidth="1" min="4" max="4" width="30.33"/>
    <col customWidth="1" min="5" max="9" width="11.0"/>
    <col customWidth="1" min="10" max="31" width="25.56"/>
    <col customWidth="1" min="32" max="32" width="11.0"/>
    <col customWidth="1" min="33" max="33" width="16.89"/>
    <col customWidth="1" min="34" max="34" width="31.56"/>
    <col customWidth="1" min="35" max="35" width="17.0"/>
    <col customWidth="1" min="36" max="36" width="15.56"/>
    <col customWidth="1" min="37" max="37" width="27.44"/>
    <col customWidth="1" min="38" max="38" width="11.0"/>
    <col customWidth="1" min="39" max="39" width="23.56"/>
    <col customWidth="1" min="40" max="40" width="15.22"/>
    <col customWidth="1" min="41" max="42" width="11.0"/>
  </cols>
  <sheetData>
    <row r="1" ht="16.5" customHeight="1">
      <c r="B1" s="1"/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3"/>
      <c r="AE1" s="3" t="s">
        <v>0</v>
      </c>
      <c r="AF1" s="2"/>
      <c r="AG1" s="2"/>
      <c r="AH1" s="2"/>
      <c r="AI1" s="2"/>
      <c r="AJ1" s="2"/>
      <c r="AK1" s="2"/>
      <c r="AL1" s="2"/>
      <c r="AM1" s="2"/>
      <c r="AN1" s="2"/>
    </row>
    <row r="2" ht="16.5" customHeight="1">
      <c r="A2" s="5" t="s">
        <v>1</v>
      </c>
      <c r="B2" s="6" t="s">
        <v>3</v>
      </c>
      <c r="C2" s="6" t="s">
        <v>4</v>
      </c>
      <c r="D2" s="6" t="s">
        <v>5</v>
      </c>
      <c r="E2" s="6" t="s">
        <v>7</v>
      </c>
      <c r="F2" s="6" t="s">
        <v>8</v>
      </c>
      <c r="G2" s="6" t="s">
        <v>9</v>
      </c>
      <c r="H2" s="6" t="s">
        <v>11</v>
      </c>
      <c r="I2" s="6" t="s">
        <v>12</v>
      </c>
      <c r="J2" s="7" t="s">
        <v>14</v>
      </c>
      <c r="K2" s="6" t="s">
        <v>16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24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9" t="s">
        <v>30</v>
      </c>
      <c r="X2" s="9" t="s">
        <v>33</v>
      </c>
      <c r="Y2" s="9" t="s">
        <v>35</v>
      </c>
      <c r="Z2" s="9" t="s">
        <v>37</v>
      </c>
      <c r="AA2" s="9" t="s">
        <v>39</v>
      </c>
      <c r="AB2" s="9" t="s">
        <v>40</v>
      </c>
      <c r="AC2" s="9" t="s">
        <v>43</v>
      </c>
      <c r="AD2" s="13" t="s">
        <v>44</v>
      </c>
      <c r="AE2" s="3" t="s">
        <v>45</v>
      </c>
      <c r="AF2" s="3" t="s">
        <v>47</v>
      </c>
      <c r="AG2" s="3" t="s">
        <v>48</v>
      </c>
      <c r="AH2" s="15" t="s">
        <v>51</v>
      </c>
      <c r="AI2" s="3" t="s">
        <v>52</v>
      </c>
      <c r="AJ2" s="3" t="s">
        <v>53</v>
      </c>
      <c r="AK2" s="3" t="s">
        <v>54</v>
      </c>
      <c r="AL2" s="3" t="s">
        <v>56</v>
      </c>
      <c r="AM2" s="3" t="s">
        <v>57</v>
      </c>
      <c r="AN2" s="3" t="s">
        <v>58</v>
      </c>
      <c r="AP2" s="3"/>
    </row>
    <row r="3" ht="16.5" customHeight="1">
      <c r="A3" s="5" t="s">
        <v>60</v>
      </c>
      <c r="B3" s="1" t="b">
        <v>1</v>
      </c>
      <c r="C3" s="1" t="s">
        <v>62</v>
      </c>
      <c r="D3" s="1" t="s">
        <v>64</v>
      </c>
      <c r="E3" s="1" t="s">
        <v>65</v>
      </c>
      <c r="F3" s="1" t="s">
        <v>66</v>
      </c>
      <c r="G3" s="1" t="s">
        <v>68</v>
      </c>
      <c r="H3" s="1" t="s">
        <v>69</v>
      </c>
      <c r="I3" s="1" t="s">
        <v>70</v>
      </c>
      <c r="J3" s="17"/>
      <c r="K3" s="1" t="b">
        <v>1</v>
      </c>
      <c r="L3" s="1" t="b">
        <v>0</v>
      </c>
      <c r="M3" s="19">
        <v>3800.0</v>
      </c>
      <c r="N3" s="20">
        <v>2.1</v>
      </c>
      <c r="O3" s="20">
        <v>1809.52</v>
      </c>
      <c r="P3" s="21">
        <v>0.6050223263627924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0</v>
      </c>
      <c r="V3" s="1" t="s">
        <v>0</v>
      </c>
      <c r="W3" s="22" t="s">
        <v>82</v>
      </c>
      <c r="X3" s="20">
        <v>714.7199999999999</v>
      </c>
      <c r="Y3" s="1" t="s">
        <v>0</v>
      </c>
      <c r="Z3" s="1" t="s">
        <v>0</v>
      </c>
      <c r="AA3" s="23" t="s">
        <v>85</v>
      </c>
      <c r="AB3" s="1">
        <v>1000.0</v>
      </c>
      <c r="AC3" s="1">
        <v>300.0</v>
      </c>
      <c r="AD3" s="1" t="s">
        <v>62</v>
      </c>
      <c r="AE3" s="1">
        <v>4.0</v>
      </c>
      <c r="AF3" s="5" t="s">
        <v>86</v>
      </c>
      <c r="AG3" s="5" t="s">
        <v>87</v>
      </c>
      <c r="AH3" s="5" t="s">
        <v>88</v>
      </c>
      <c r="AI3" s="5" t="s">
        <v>68</v>
      </c>
      <c r="AJ3" s="5" t="s">
        <v>89</v>
      </c>
      <c r="AK3" s="5" t="s">
        <v>90</v>
      </c>
      <c r="AL3" s="5" t="s">
        <v>91</v>
      </c>
    </row>
    <row r="4" ht="16.5" customHeight="1">
      <c r="A4" s="5" t="s">
        <v>60</v>
      </c>
      <c r="B4" s="1" t="b">
        <v>1</v>
      </c>
      <c r="C4" s="1" t="s">
        <v>94</v>
      </c>
      <c r="D4" s="1" t="s">
        <v>95</v>
      </c>
      <c r="E4" s="1" t="s">
        <v>65</v>
      </c>
      <c r="F4" s="1" t="s">
        <v>66</v>
      </c>
      <c r="G4" s="1" t="s">
        <v>68</v>
      </c>
      <c r="H4" s="1" t="s">
        <v>96</v>
      </c>
      <c r="I4" s="1" t="s">
        <v>70</v>
      </c>
      <c r="J4" s="1"/>
      <c r="K4" s="1" t="b">
        <v>1</v>
      </c>
      <c r="L4" s="1" t="b">
        <v>0</v>
      </c>
      <c r="M4" s="19">
        <v>3800.0</v>
      </c>
      <c r="N4" s="20">
        <v>2.1</v>
      </c>
      <c r="O4" s="20">
        <v>1809.52</v>
      </c>
      <c r="P4" s="21">
        <v>0.6149586630708697</v>
      </c>
      <c r="Q4" s="1" t="s">
        <v>78</v>
      </c>
      <c r="R4" s="1" t="s">
        <v>97</v>
      </c>
      <c r="S4" s="1" t="s">
        <v>80</v>
      </c>
      <c r="T4" s="1" t="s">
        <v>81</v>
      </c>
      <c r="U4" s="1" t="s">
        <v>98</v>
      </c>
      <c r="V4" s="1" t="s">
        <v>97</v>
      </c>
      <c r="W4" s="22" t="s">
        <v>82</v>
      </c>
      <c r="X4" s="20">
        <v>696.74</v>
      </c>
      <c r="Y4" s="1" t="s">
        <v>0</v>
      </c>
      <c r="Z4" s="1" t="s">
        <v>0</v>
      </c>
      <c r="AA4" s="23" t="s">
        <v>101</v>
      </c>
      <c r="AB4" s="1">
        <v>1000.0</v>
      </c>
      <c r="AC4" s="1">
        <v>300.0</v>
      </c>
      <c r="AD4" s="1" t="s">
        <v>94</v>
      </c>
      <c r="AE4" s="1">
        <v>4.0</v>
      </c>
      <c r="AF4" s="5" t="s">
        <v>86</v>
      </c>
      <c r="AG4" s="5" t="s">
        <v>87</v>
      </c>
      <c r="AH4" s="5" t="s">
        <v>88</v>
      </c>
      <c r="AI4" s="5" t="s">
        <v>68</v>
      </c>
      <c r="AJ4" s="5" t="s">
        <v>89</v>
      </c>
      <c r="AK4" s="5" t="s">
        <v>90</v>
      </c>
      <c r="AL4" s="5" t="s">
        <v>91</v>
      </c>
    </row>
    <row r="5" ht="16.5" customHeight="1">
      <c r="A5" s="5" t="s">
        <v>60</v>
      </c>
      <c r="B5" s="1" t="b">
        <v>1</v>
      </c>
      <c r="C5" s="1" t="s">
        <v>104</v>
      </c>
      <c r="D5" s="1" t="s">
        <v>105</v>
      </c>
      <c r="E5" s="1" t="s">
        <v>65</v>
      </c>
      <c r="F5" s="1" t="s">
        <v>66</v>
      </c>
      <c r="G5" s="1" t="s">
        <v>68</v>
      </c>
      <c r="H5" s="1" t="s">
        <v>69</v>
      </c>
      <c r="I5" s="1" t="s">
        <v>107</v>
      </c>
      <c r="J5" s="1"/>
      <c r="K5" s="1" t="b">
        <v>1</v>
      </c>
      <c r="L5" s="1" t="b">
        <v>0</v>
      </c>
      <c r="M5" s="19">
        <v>3800.0</v>
      </c>
      <c r="N5" s="20">
        <v>2.1</v>
      </c>
      <c r="O5" s="20">
        <v>1809.52</v>
      </c>
      <c r="P5" s="21">
        <v>0.6515926875635528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0</v>
      </c>
      <c r="V5" s="1" t="s">
        <v>0</v>
      </c>
      <c r="W5" s="22" t="s">
        <v>82</v>
      </c>
      <c r="X5" s="20">
        <v>630.4499999999999</v>
      </c>
      <c r="Y5" s="1" t="s">
        <v>0</v>
      </c>
      <c r="Z5" s="1" t="s">
        <v>0</v>
      </c>
      <c r="AA5" s="23" t="s">
        <v>85</v>
      </c>
      <c r="AB5" s="1">
        <v>1000.0</v>
      </c>
      <c r="AC5" s="1">
        <v>300.0</v>
      </c>
      <c r="AD5" s="1" t="s">
        <v>104</v>
      </c>
      <c r="AE5" s="1">
        <v>4.0</v>
      </c>
      <c r="AF5" s="5" t="s">
        <v>86</v>
      </c>
      <c r="AG5" s="5" t="s">
        <v>87</v>
      </c>
      <c r="AH5" s="5" t="s">
        <v>88</v>
      </c>
      <c r="AI5" s="5" t="s">
        <v>68</v>
      </c>
      <c r="AJ5" s="5" t="s">
        <v>89</v>
      </c>
      <c r="AK5" s="5" t="s">
        <v>90</v>
      </c>
      <c r="AL5" s="5" t="s">
        <v>91</v>
      </c>
    </row>
    <row r="6" ht="16.5" customHeight="1">
      <c r="A6" s="5" t="s">
        <v>60</v>
      </c>
      <c r="B6" s="1" t="b">
        <v>1</v>
      </c>
      <c r="C6" s="1" t="s">
        <v>111</v>
      </c>
      <c r="D6" s="1" t="s">
        <v>112</v>
      </c>
      <c r="E6" s="1" t="s">
        <v>65</v>
      </c>
      <c r="F6" s="1" t="s">
        <v>66</v>
      </c>
      <c r="G6" s="1" t="s">
        <v>113</v>
      </c>
      <c r="H6" s="1" t="s">
        <v>69</v>
      </c>
      <c r="I6" s="1" t="s">
        <v>70</v>
      </c>
      <c r="J6" s="1"/>
      <c r="K6" s="1" t="b">
        <v>1</v>
      </c>
      <c r="L6" s="1" t="b">
        <v>0</v>
      </c>
      <c r="M6" s="19">
        <v>1700.0</v>
      </c>
      <c r="N6" s="20">
        <v>2.1</v>
      </c>
      <c r="O6" s="20">
        <v>809.52</v>
      </c>
      <c r="P6" s="21">
        <v>0.6178599663998419</v>
      </c>
      <c r="Q6" s="1" t="s">
        <v>117</v>
      </c>
      <c r="R6" s="1" t="s">
        <v>79</v>
      </c>
      <c r="S6" s="1" t="s">
        <v>81</v>
      </c>
      <c r="T6" s="1" t="s">
        <v>81</v>
      </c>
      <c r="U6" s="1" t="s">
        <v>0</v>
      </c>
      <c r="V6" s="1" t="s">
        <v>0</v>
      </c>
      <c r="W6" s="22" t="s">
        <v>82</v>
      </c>
      <c r="X6" s="20">
        <v>309.35</v>
      </c>
      <c r="Y6" s="1" t="s">
        <v>0</v>
      </c>
      <c r="Z6" s="1" t="s">
        <v>0</v>
      </c>
      <c r="AA6" s="23" t="s">
        <v>85</v>
      </c>
      <c r="AB6" s="1">
        <v>2000.0</v>
      </c>
      <c r="AC6" s="1">
        <v>500.0</v>
      </c>
      <c r="AD6" s="1" t="s">
        <v>111</v>
      </c>
      <c r="AE6" s="1">
        <v>4.0</v>
      </c>
      <c r="AF6" s="5" t="s">
        <v>86</v>
      </c>
      <c r="AG6" s="5" t="s">
        <v>121</v>
      </c>
      <c r="AH6" s="32" t="s">
        <v>122</v>
      </c>
      <c r="AI6" s="5" t="s">
        <v>126</v>
      </c>
      <c r="AJ6" s="5" t="s">
        <v>128</v>
      </c>
      <c r="AK6" s="5" t="s">
        <v>130</v>
      </c>
      <c r="AL6" s="5" t="s">
        <v>131</v>
      </c>
    </row>
    <row r="7" ht="16.5" customHeight="1">
      <c r="A7" s="5" t="s">
        <v>60</v>
      </c>
      <c r="B7" s="1" t="b">
        <v>1</v>
      </c>
      <c r="C7" s="1" t="s">
        <v>134</v>
      </c>
      <c r="D7" s="1" t="s">
        <v>135</v>
      </c>
      <c r="E7" s="1" t="s">
        <v>65</v>
      </c>
      <c r="F7" s="1" t="s">
        <v>66</v>
      </c>
      <c r="G7" s="1" t="s">
        <v>113</v>
      </c>
      <c r="H7" s="1" t="s">
        <v>69</v>
      </c>
      <c r="I7" s="1" t="s">
        <v>107</v>
      </c>
      <c r="J7" s="1"/>
      <c r="K7" s="1" t="b">
        <v>1</v>
      </c>
      <c r="L7" s="1" t="b">
        <v>0</v>
      </c>
      <c r="M7" s="19">
        <v>1700.0</v>
      </c>
      <c r="N7" s="20">
        <v>2.1</v>
      </c>
      <c r="O7" s="20">
        <v>809.52</v>
      </c>
      <c r="P7" s="21">
        <v>0.6485201106828737</v>
      </c>
      <c r="Q7" s="1" t="s">
        <v>117</v>
      </c>
      <c r="R7" s="1" t="s">
        <v>79</v>
      </c>
      <c r="S7" s="1" t="s">
        <v>81</v>
      </c>
      <c r="T7" s="1" t="s">
        <v>81</v>
      </c>
      <c r="U7" s="1" t="s">
        <v>0</v>
      </c>
      <c r="V7" s="1" t="s">
        <v>0</v>
      </c>
      <c r="W7" s="22" t="s">
        <v>82</v>
      </c>
      <c r="X7" s="20">
        <v>284.53000000000003</v>
      </c>
      <c r="Y7" s="1" t="s">
        <v>0</v>
      </c>
      <c r="Z7" s="1" t="s">
        <v>0</v>
      </c>
      <c r="AA7" s="23" t="s">
        <v>85</v>
      </c>
      <c r="AB7" s="1">
        <v>2000.0</v>
      </c>
      <c r="AC7" s="1">
        <v>500.0</v>
      </c>
      <c r="AD7" s="1" t="s">
        <v>134</v>
      </c>
      <c r="AE7" s="1">
        <v>4.0</v>
      </c>
      <c r="AF7" s="5" t="s">
        <v>86</v>
      </c>
      <c r="AG7" s="5" t="s">
        <v>121</v>
      </c>
      <c r="AH7" s="32" t="s">
        <v>122</v>
      </c>
      <c r="AI7" s="5" t="s">
        <v>126</v>
      </c>
      <c r="AJ7" s="5" t="s">
        <v>128</v>
      </c>
      <c r="AK7" s="5" t="s">
        <v>130</v>
      </c>
      <c r="AL7" s="5" t="s">
        <v>131</v>
      </c>
    </row>
    <row r="8" ht="16.5" customHeight="1">
      <c r="A8" s="5" t="s">
        <v>60</v>
      </c>
      <c r="B8" s="1" t="b">
        <v>1</v>
      </c>
      <c r="C8" s="1" t="s">
        <v>143</v>
      </c>
      <c r="D8" s="1" t="s">
        <v>144</v>
      </c>
      <c r="E8" s="1" t="s">
        <v>65</v>
      </c>
      <c r="F8" s="1" t="s">
        <v>66</v>
      </c>
      <c r="G8" s="1" t="s">
        <v>113</v>
      </c>
      <c r="H8" s="1" t="s">
        <v>69</v>
      </c>
      <c r="I8" s="1" t="s">
        <v>70</v>
      </c>
      <c r="J8" s="1"/>
      <c r="K8" s="1" t="b">
        <v>1</v>
      </c>
      <c r="L8" s="1" t="b">
        <v>0</v>
      </c>
      <c r="M8" s="19">
        <v>1200.0</v>
      </c>
      <c r="N8" s="20">
        <v>2.1</v>
      </c>
      <c r="O8" s="20">
        <v>571.43</v>
      </c>
      <c r="P8" s="21"/>
      <c r="Q8" s="1" t="s">
        <v>117</v>
      </c>
      <c r="R8" s="1" t="s">
        <v>145</v>
      </c>
      <c r="S8" s="1" t="s">
        <v>81</v>
      </c>
      <c r="T8" s="1" t="s">
        <v>81</v>
      </c>
      <c r="U8" s="1" t="s">
        <v>0</v>
      </c>
      <c r="V8" s="1" t="s">
        <v>0</v>
      </c>
      <c r="W8" s="22" t="s">
        <v>82</v>
      </c>
      <c r="X8" s="20">
        <v>212.18</v>
      </c>
      <c r="Y8" s="1" t="s">
        <v>0</v>
      </c>
      <c r="Z8" s="1" t="s">
        <v>0</v>
      </c>
      <c r="AA8" s="23" t="s">
        <v>85</v>
      </c>
      <c r="AB8" s="1">
        <v>2000.0</v>
      </c>
      <c r="AC8" s="1">
        <v>500.0</v>
      </c>
      <c r="AD8" s="1" t="s">
        <v>143</v>
      </c>
      <c r="AE8" s="1">
        <v>5.0</v>
      </c>
      <c r="AF8" s="5" t="s">
        <v>125</v>
      </c>
      <c r="AG8" s="5" t="s">
        <v>121</v>
      </c>
      <c r="AI8" s="5" t="s">
        <v>126</v>
      </c>
      <c r="AJ8" s="5" t="s">
        <v>147</v>
      </c>
      <c r="AK8" s="5" t="s">
        <v>130</v>
      </c>
      <c r="AL8" s="5" t="s">
        <v>131</v>
      </c>
    </row>
    <row r="9" ht="16.5" customHeight="1">
      <c r="A9" s="5" t="s">
        <v>60</v>
      </c>
      <c r="B9" s="1" t="b">
        <v>1</v>
      </c>
      <c r="C9" s="1" t="s">
        <v>148</v>
      </c>
      <c r="D9" s="1" t="s">
        <v>149</v>
      </c>
      <c r="E9" s="1" t="s">
        <v>65</v>
      </c>
      <c r="F9" s="1" t="s">
        <v>66</v>
      </c>
      <c r="G9" s="1" t="s">
        <v>113</v>
      </c>
      <c r="H9" s="1" t="s">
        <v>69</v>
      </c>
      <c r="I9" s="1" t="s">
        <v>107</v>
      </c>
      <c r="J9" s="1"/>
      <c r="K9" s="1" t="b">
        <v>1</v>
      </c>
      <c r="L9" s="1" t="b">
        <v>0</v>
      </c>
      <c r="M9" s="19">
        <v>1200.0</v>
      </c>
      <c r="N9" s="20">
        <v>2.1</v>
      </c>
      <c r="O9" s="20">
        <v>571.43</v>
      </c>
      <c r="P9" s="21"/>
      <c r="Q9" s="1" t="s">
        <v>117</v>
      </c>
      <c r="R9" s="1" t="s">
        <v>145</v>
      </c>
      <c r="S9" s="1" t="s">
        <v>81</v>
      </c>
      <c r="T9" s="1" t="s">
        <v>81</v>
      </c>
      <c r="U9" s="1" t="s">
        <v>0</v>
      </c>
      <c r="V9" s="1" t="s">
        <v>0</v>
      </c>
      <c r="W9" s="22" t="s">
        <v>82</v>
      </c>
      <c r="X9" s="20">
        <v>198.41</v>
      </c>
      <c r="Y9" s="1" t="s">
        <v>0</v>
      </c>
      <c r="Z9" s="1" t="s">
        <v>0</v>
      </c>
      <c r="AA9" s="23" t="s">
        <v>85</v>
      </c>
      <c r="AB9" s="1">
        <v>2000.0</v>
      </c>
      <c r="AC9" s="1">
        <v>500.0</v>
      </c>
      <c r="AD9" s="1" t="s">
        <v>148</v>
      </c>
      <c r="AE9" s="1">
        <v>5.0</v>
      </c>
      <c r="AF9" s="5" t="s">
        <v>125</v>
      </c>
      <c r="AG9" s="5" t="s">
        <v>121</v>
      </c>
      <c r="AI9" s="5" t="s">
        <v>126</v>
      </c>
      <c r="AJ9" s="5" t="s">
        <v>147</v>
      </c>
      <c r="AK9" s="5" t="s">
        <v>130</v>
      </c>
      <c r="AL9" s="5" t="s">
        <v>131</v>
      </c>
    </row>
    <row r="10" ht="16.5" customHeight="1">
      <c r="A10" s="5" t="s">
        <v>60</v>
      </c>
      <c r="B10" s="1" t="b">
        <v>1</v>
      </c>
      <c r="C10" s="1" t="s">
        <v>152</v>
      </c>
      <c r="D10" s="1" t="s">
        <v>153</v>
      </c>
      <c r="E10" s="1" t="s">
        <v>65</v>
      </c>
      <c r="F10" s="1" t="s">
        <v>66</v>
      </c>
      <c r="G10" s="1" t="s">
        <v>126</v>
      </c>
      <c r="H10" s="1" t="s">
        <v>141</v>
      </c>
      <c r="I10" s="1" t="s">
        <v>70</v>
      </c>
      <c r="J10" s="1"/>
      <c r="K10" s="1" t="b">
        <v>1</v>
      </c>
      <c r="L10" s="1" t="b">
        <v>0</v>
      </c>
      <c r="M10" s="19">
        <v>2200.0</v>
      </c>
      <c r="N10" s="20">
        <v>2.1</v>
      </c>
      <c r="O10" s="20">
        <v>1047.62</v>
      </c>
      <c r="P10" s="21"/>
      <c r="Q10" s="1" t="s">
        <v>117</v>
      </c>
      <c r="R10" s="1" t="s">
        <v>154</v>
      </c>
      <c r="S10" s="1" t="s">
        <v>81</v>
      </c>
      <c r="T10" s="1" t="s">
        <v>81</v>
      </c>
      <c r="U10" s="1" t="s">
        <v>0</v>
      </c>
      <c r="V10" s="1" t="s">
        <v>156</v>
      </c>
      <c r="W10" s="22" t="s">
        <v>82</v>
      </c>
      <c r="X10" s="20">
        <v>342.0</v>
      </c>
      <c r="Y10" s="1" t="s">
        <v>0</v>
      </c>
      <c r="Z10" s="1" t="s">
        <v>0</v>
      </c>
      <c r="AA10" s="23" t="s">
        <v>101</v>
      </c>
      <c r="AB10" s="1">
        <v>800.0</v>
      </c>
      <c r="AC10" s="1">
        <v>500.0</v>
      </c>
      <c r="AD10" s="1" t="s">
        <v>152</v>
      </c>
      <c r="AE10" s="1">
        <v>1.0</v>
      </c>
      <c r="AF10" s="5" t="s">
        <v>125</v>
      </c>
      <c r="AG10" s="5" t="s">
        <v>127</v>
      </c>
      <c r="AI10" s="5" t="s">
        <v>126</v>
      </c>
      <c r="AJ10" s="5" t="s">
        <v>161</v>
      </c>
      <c r="AK10" s="5" t="s">
        <v>130</v>
      </c>
      <c r="AL10" s="5" t="s">
        <v>131</v>
      </c>
    </row>
    <row r="11" ht="16.5" customHeight="1">
      <c r="A11" s="5" t="s">
        <v>60</v>
      </c>
      <c r="B11" s="1" t="b">
        <v>1</v>
      </c>
      <c r="C11" s="1" t="s">
        <v>162</v>
      </c>
      <c r="D11" s="1" t="s">
        <v>163</v>
      </c>
      <c r="E11" s="1" t="s">
        <v>65</v>
      </c>
      <c r="F11" s="1" t="s">
        <v>66</v>
      </c>
      <c r="G11" s="1" t="s">
        <v>126</v>
      </c>
      <c r="H11" s="1" t="s">
        <v>141</v>
      </c>
      <c r="I11" s="1" t="s">
        <v>107</v>
      </c>
      <c r="J11" s="1"/>
      <c r="K11" s="1" t="b">
        <v>1</v>
      </c>
      <c r="L11" s="1" t="b">
        <v>0</v>
      </c>
      <c r="M11" s="19">
        <v>2200.0</v>
      </c>
      <c r="N11" s="20">
        <v>2.1</v>
      </c>
      <c r="O11" s="20">
        <v>1047.62</v>
      </c>
      <c r="P11" s="21"/>
      <c r="Q11" s="1" t="s">
        <v>117</v>
      </c>
      <c r="R11" s="1" t="s">
        <v>154</v>
      </c>
      <c r="S11" s="1" t="s">
        <v>81</v>
      </c>
      <c r="T11" s="1" t="s">
        <v>81</v>
      </c>
      <c r="U11" s="1" t="s">
        <v>0</v>
      </c>
      <c r="V11" s="1" t="s">
        <v>156</v>
      </c>
      <c r="W11" s="22" t="s">
        <v>82</v>
      </c>
      <c r="X11" s="20">
        <v>319.09000000000003</v>
      </c>
      <c r="Y11" s="1" t="s">
        <v>0</v>
      </c>
      <c r="Z11" s="1" t="s">
        <v>0</v>
      </c>
      <c r="AA11" s="23" t="s">
        <v>101</v>
      </c>
      <c r="AB11" s="1">
        <v>800.0</v>
      </c>
      <c r="AC11" s="1">
        <v>500.0</v>
      </c>
      <c r="AD11" s="1" t="s">
        <v>162</v>
      </c>
      <c r="AE11" s="1">
        <v>1.0</v>
      </c>
      <c r="AF11" s="5" t="s">
        <v>125</v>
      </c>
      <c r="AG11" s="5" t="s">
        <v>127</v>
      </c>
      <c r="AI11" s="5" t="s">
        <v>126</v>
      </c>
      <c r="AJ11" s="5" t="s">
        <v>161</v>
      </c>
      <c r="AK11" s="5" t="s">
        <v>130</v>
      </c>
      <c r="AL11" s="5" t="s">
        <v>131</v>
      </c>
    </row>
    <row r="12" ht="16.5" customHeight="1">
      <c r="A12" s="5" t="s">
        <v>60</v>
      </c>
      <c r="B12" s="1" t="b">
        <v>1</v>
      </c>
      <c r="C12" s="1" t="s">
        <v>170</v>
      </c>
      <c r="D12" s="1" t="s">
        <v>171</v>
      </c>
      <c r="E12" s="1" t="s">
        <v>65</v>
      </c>
      <c r="F12" s="1" t="s">
        <v>66</v>
      </c>
      <c r="G12" s="1" t="s">
        <v>68</v>
      </c>
      <c r="H12" s="1" t="s">
        <v>69</v>
      </c>
      <c r="I12" s="1" t="s">
        <v>107</v>
      </c>
      <c r="J12" s="1"/>
      <c r="K12" s="1" t="b">
        <v>1</v>
      </c>
      <c r="L12" s="1" t="b">
        <v>0</v>
      </c>
      <c r="M12" s="19">
        <v>2500.0</v>
      </c>
      <c r="N12" s="20">
        <v>2.1</v>
      </c>
      <c r="O12" s="20">
        <v>1190.48</v>
      </c>
      <c r="P12" s="21"/>
      <c r="Q12" s="1" t="s">
        <v>117</v>
      </c>
      <c r="R12" s="1" t="s">
        <v>145</v>
      </c>
      <c r="S12" s="1" t="s">
        <v>166</v>
      </c>
      <c r="T12" s="1" t="s">
        <v>81</v>
      </c>
      <c r="U12" s="1" t="s">
        <v>0</v>
      </c>
      <c r="V12" s="1" t="s">
        <v>156</v>
      </c>
      <c r="W12" s="22" t="s">
        <v>82</v>
      </c>
      <c r="X12" s="20">
        <v>498.54</v>
      </c>
      <c r="Y12" s="1" t="s">
        <v>0</v>
      </c>
      <c r="Z12" s="1" t="s">
        <v>0</v>
      </c>
      <c r="AA12" s="23" t="s">
        <v>173</v>
      </c>
      <c r="AB12" s="1">
        <v>1000.0</v>
      </c>
      <c r="AC12" s="1">
        <v>300.0</v>
      </c>
      <c r="AD12" s="1" t="s">
        <v>170</v>
      </c>
      <c r="AE12" s="1">
        <v>3.0</v>
      </c>
      <c r="AF12" s="5" t="s">
        <v>125</v>
      </c>
      <c r="AG12" s="5" t="s">
        <v>174</v>
      </c>
      <c r="AI12" s="5" t="s">
        <v>68</v>
      </c>
      <c r="AJ12" s="5" t="s">
        <v>175</v>
      </c>
      <c r="AK12" s="5" t="s">
        <v>90</v>
      </c>
      <c r="AL12" s="5" t="s">
        <v>91</v>
      </c>
    </row>
    <row r="13" ht="16.5" customHeight="1">
      <c r="A13" s="5" t="s">
        <v>60</v>
      </c>
      <c r="B13" s="1" t="b">
        <v>1</v>
      </c>
      <c r="C13" s="1" t="s">
        <v>176</v>
      </c>
      <c r="D13" s="1" t="s">
        <v>177</v>
      </c>
      <c r="E13" s="1" t="s">
        <v>65</v>
      </c>
      <c r="F13" s="1" t="s">
        <v>66</v>
      </c>
      <c r="G13" s="1" t="s">
        <v>68</v>
      </c>
      <c r="H13" s="1" t="s">
        <v>141</v>
      </c>
      <c r="I13" s="1" t="s">
        <v>70</v>
      </c>
      <c r="J13" s="1"/>
      <c r="K13" s="1" t="b">
        <v>1</v>
      </c>
      <c r="L13" s="1" t="b">
        <v>0</v>
      </c>
      <c r="M13" s="19">
        <v>2200.0</v>
      </c>
      <c r="N13" s="20">
        <v>2.1</v>
      </c>
      <c r="O13" s="20">
        <v>1047.62</v>
      </c>
      <c r="P13" s="21"/>
      <c r="Q13" s="1" t="s">
        <v>78</v>
      </c>
      <c r="R13" s="1" t="s">
        <v>182</v>
      </c>
      <c r="S13" s="1" t="s">
        <v>166</v>
      </c>
      <c r="T13" s="1" t="s">
        <v>81</v>
      </c>
      <c r="U13" s="1" t="s">
        <v>184</v>
      </c>
      <c r="V13" s="1" t="s">
        <v>146</v>
      </c>
      <c r="W13" s="22" t="s">
        <v>82</v>
      </c>
      <c r="X13" s="20">
        <v>345.71999999999997</v>
      </c>
      <c r="Y13" s="1" t="s">
        <v>0</v>
      </c>
      <c r="Z13" s="1" t="s">
        <v>0</v>
      </c>
      <c r="AA13" s="23" t="s">
        <v>85</v>
      </c>
      <c r="AB13" s="1">
        <v>1000.0</v>
      </c>
      <c r="AC13" s="1">
        <v>300.0</v>
      </c>
      <c r="AD13" s="1" t="s">
        <v>176</v>
      </c>
      <c r="AE13" s="1">
        <v>3.0</v>
      </c>
      <c r="AF13" s="5" t="s">
        <v>125</v>
      </c>
      <c r="AG13" s="5" t="s">
        <v>127</v>
      </c>
      <c r="AI13" s="5" t="s">
        <v>68</v>
      </c>
      <c r="AJ13" s="5" t="s">
        <v>89</v>
      </c>
      <c r="AK13" s="5" t="s">
        <v>90</v>
      </c>
      <c r="AL13" s="5" t="s">
        <v>91</v>
      </c>
    </row>
    <row r="14" ht="16.5" customHeight="1">
      <c r="A14" s="5" t="s">
        <v>60</v>
      </c>
      <c r="B14" s="1" t="b">
        <v>1</v>
      </c>
      <c r="C14" s="1" t="s">
        <v>187</v>
      </c>
      <c r="D14" s="1" t="s">
        <v>188</v>
      </c>
      <c r="E14" s="1" t="s">
        <v>65</v>
      </c>
      <c r="F14" s="1" t="s">
        <v>66</v>
      </c>
      <c r="G14" s="1" t="s">
        <v>68</v>
      </c>
      <c r="H14" s="1" t="s">
        <v>141</v>
      </c>
      <c r="I14" s="1" t="s">
        <v>107</v>
      </c>
      <c r="J14" s="1"/>
      <c r="K14" s="1" t="b">
        <v>1</v>
      </c>
      <c r="L14" s="1" t="b">
        <v>0</v>
      </c>
      <c r="M14" s="19">
        <v>2200.0</v>
      </c>
      <c r="N14" s="20">
        <v>2.1</v>
      </c>
      <c r="O14" s="20">
        <v>1047.62</v>
      </c>
      <c r="P14" s="21"/>
      <c r="Q14" s="1" t="s">
        <v>78</v>
      </c>
      <c r="R14" s="1" t="s">
        <v>182</v>
      </c>
      <c r="S14" s="1" t="s">
        <v>166</v>
      </c>
      <c r="T14" s="1" t="s">
        <v>81</v>
      </c>
      <c r="U14" s="1" t="s">
        <v>190</v>
      </c>
      <c r="V14" s="1" t="s">
        <v>146</v>
      </c>
      <c r="W14" s="22" t="s">
        <v>82</v>
      </c>
      <c r="X14" s="20">
        <v>322.11</v>
      </c>
      <c r="Y14" s="1" t="s">
        <v>0</v>
      </c>
      <c r="Z14" s="1" t="s">
        <v>0</v>
      </c>
      <c r="AA14" s="23" t="s">
        <v>85</v>
      </c>
      <c r="AB14" s="1">
        <v>1000.0</v>
      </c>
      <c r="AC14" s="1">
        <v>300.0</v>
      </c>
      <c r="AD14" s="1" t="s">
        <v>187</v>
      </c>
      <c r="AE14" s="1">
        <v>4.0</v>
      </c>
      <c r="AF14" s="5" t="s">
        <v>125</v>
      </c>
      <c r="AG14" s="5" t="s">
        <v>127</v>
      </c>
      <c r="AI14" s="5" t="s">
        <v>68</v>
      </c>
      <c r="AJ14" s="5" t="s">
        <v>89</v>
      </c>
      <c r="AK14" s="5" t="s">
        <v>90</v>
      </c>
      <c r="AL14" s="5" t="s">
        <v>91</v>
      </c>
    </row>
    <row r="15" ht="16.5" customHeight="1">
      <c r="A15" s="5" t="s">
        <v>60</v>
      </c>
      <c r="B15" s="1" t="b">
        <v>1</v>
      </c>
      <c r="C15" s="1" t="s">
        <v>191</v>
      </c>
      <c r="D15" s="1" t="s">
        <v>192</v>
      </c>
      <c r="E15" s="1" t="s">
        <v>65</v>
      </c>
      <c r="F15" s="1" t="s">
        <v>66</v>
      </c>
      <c r="G15" s="1" t="s">
        <v>68</v>
      </c>
      <c r="H15" s="1" t="s">
        <v>141</v>
      </c>
      <c r="I15" s="1" t="s">
        <v>70</v>
      </c>
      <c r="J15" s="1"/>
      <c r="K15" s="1" t="b">
        <v>1</v>
      </c>
      <c r="L15" s="1" t="b">
        <v>0</v>
      </c>
      <c r="M15" s="19">
        <v>1700.0</v>
      </c>
      <c r="N15" s="20">
        <v>2.1</v>
      </c>
      <c r="O15" s="20">
        <v>809.52</v>
      </c>
      <c r="P15" s="21"/>
      <c r="Q15" s="1" t="s">
        <v>78</v>
      </c>
      <c r="R15" s="1" t="s">
        <v>182</v>
      </c>
      <c r="S15" s="1" t="s">
        <v>166</v>
      </c>
      <c r="T15" s="1" t="s">
        <v>81</v>
      </c>
      <c r="U15" s="1" t="s">
        <v>0</v>
      </c>
      <c r="V15" s="1" t="s">
        <v>146</v>
      </c>
      <c r="W15" s="22" t="s">
        <v>82</v>
      </c>
      <c r="X15" s="20">
        <v>269.65</v>
      </c>
      <c r="Y15" s="1" t="s">
        <v>0</v>
      </c>
      <c r="Z15" s="1" t="s">
        <v>0</v>
      </c>
      <c r="AA15" s="23" t="s">
        <v>85</v>
      </c>
      <c r="AB15" s="1">
        <v>1000.0</v>
      </c>
      <c r="AC15" s="1">
        <v>300.0</v>
      </c>
      <c r="AD15" s="1" t="s">
        <v>191</v>
      </c>
      <c r="AE15" s="1">
        <v>1.0</v>
      </c>
      <c r="AF15" s="5" t="s">
        <v>125</v>
      </c>
      <c r="AG15" s="5" t="s">
        <v>127</v>
      </c>
      <c r="AI15" s="5" t="s">
        <v>68</v>
      </c>
      <c r="AJ15" s="5" t="s">
        <v>128</v>
      </c>
      <c r="AK15" s="5" t="s">
        <v>90</v>
      </c>
      <c r="AL15" s="5" t="s">
        <v>91</v>
      </c>
    </row>
    <row r="16" ht="16.5" customHeight="1">
      <c r="A16" s="5" t="s">
        <v>60</v>
      </c>
      <c r="B16" s="1" t="b">
        <v>1</v>
      </c>
      <c r="C16" s="1" t="s">
        <v>195</v>
      </c>
      <c r="D16" s="1" t="s">
        <v>196</v>
      </c>
      <c r="E16" s="1" t="s">
        <v>65</v>
      </c>
      <c r="F16" s="1" t="s">
        <v>66</v>
      </c>
      <c r="G16" s="1" t="s">
        <v>68</v>
      </c>
      <c r="H16" s="1" t="s">
        <v>141</v>
      </c>
      <c r="I16" s="1" t="s">
        <v>107</v>
      </c>
      <c r="J16" s="1"/>
      <c r="K16" s="1" t="b">
        <v>1</v>
      </c>
      <c r="L16" s="1" t="b">
        <v>0</v>
      </c>
      <c r="M16" s="19">
        <v>1700.0</v>
      </c>
      <c r="N16" s="20">
        <v>2.1</v>
      </c>
      <c r="O16" s="20">
        <v>809.52</v>
      </c>
      <c r="P16" s="21"/>
      <c r="Q16" s="1" t="s">
        <v>78</v>
      </c>
      <c r="R16" s="1" t="s">
        <v>182</v>
      </c>
      <c r="S16" s="1" t="s">
        <v>166</v>
      </c>
      <c r="T16" s="1" t="s">
        <v>81</v>
      </c>
      <c r="U16" s="1" t="s">
        <v>0</v>
      </c>
      <c r="V16" s="1" t="s">
        <v>146</v>
      </c>
      <c r="W16" s="22" t="s">
        <v>82</v>
      </c>
      <c r="X16" s="20">
        <v>263.71999999999997</v>
      </c>
      <c r="Y16" s="1" t="s">
        <v>0</v>
      </c>
      <c r="Z16" s="1" t="s">
        <v>0</v>
      </c>
      <c r="AA16" s="23" t="s">
        <v>85</v>
      </c>
      <c r="AB16" s="1">
        <v>1000.0</v>
      </c>
      <c r="AC16" s="1">
        <v>300.0</v>
      </c>
      <c r="AD16" s="1" t="s">
        <v>195</v>
      </c>
      <c r="AE16" s="1">
        <v>1.0</v>
      </c>
      <c r="AF16" s="5" t="s">
        <v>125</v>
      </c>
      <c r="AG16" s="5" t="s">
        <v>127</v>
      </c>
      <c r="AI16" s="5" t="s">
        <v>68</v>
      </c>
      <c r="AJ16" s="5" t="s">
        <v>128</v>
      </c>
      <c r="AK16" s="5" t="s">
        <v>90</v>
      </c>
      <c r="AL16" s="5" t="s">
        <v>91</v>
      </c>
    </row>
    <row r="17" ht="16.5" customHeight="1">
      <c r="A17" s="5" t="s">
        <v>60</v>
      </c>
      <c r="B17" s="1" t="b">
        <v>1</v>
      </c>
      <c r="C17" s="1" t="s">
        <v>139</v>
      </c>
      <c r="D17" s="1" t="s">
        <v>140</v>
      </c>
      <c r="E17" s="1" t="s">
        <v>65</v>
      </c>
      <c r="F17" s="1" t="s">
        <v>66</v>
      </c>
      <c r="G17" s="1" t="s">
        <v>126</v>
      </c>
      <c r="H17" s="1" t="s">
        <v>141</v>
      </c>
      <c r="I17" s="1" t="s">
        <v>70</v>
      </c>
      <c r="J17" s="1"/>
      <c r="K17" s="1" t="b">
        <v>0</v>
      </c>
      <c r="L17" s="1" t="b">
        <v>0</v>
      </c>
      <c r="M17" s="19">
        <v>1800.0</v>
      </c>
      <c r="N17" s="20">
        <v>2.1</v>
      </c>
      <c r="O17" s="20">
        <v>714.29</v>
      </c>
      <c r="P17" s="21"/>
      <c r="Q17" s="1" t="s">
        <v>78</v>
      </c>
      <c r="R17" s="1" t="s">
        <v>182</v>
      </c>
      <c r="S17" s="1" t="s">
        <v>81</v>
      </c>
      <c r="T17" s="1" t="s">
        <v>81</v>
      </c>
      <c r="U17" s="1" t="s">
        <v>201</v>
      </c>
      <c r="V17" s="1" t="s">
        <v>146</v>
      </c>
      <c r="W17" s="22" t="s">
        <v>202</v>
      </c>
      <c r="X17" s="20">
        <v>241.92000000000002</v>
      </c>
      <c r="Y17" s="1" t="s">
        <v>0</v>
      </c>
      <c r="Z17" s="1" t="s">
        <v>0</v>
      </c>
      <c r="AA17" s="23" t="s">
        <v>85</v>
      </c>
      <c r="AB17" s="1">
        <v>1000.0</v>
      </c>
      <c r="AC17" s="1">
        <v>300.0</v>
      </c>
      <c r="AD17" s="1" t="s">
        <v>139</v>
      </c>
      <c r="AE17" s="1">
        <v>4.0</v>
      </c>
      <c r="AF17" s="5" t="s">
        <v>86</v>
      </c>
      <c r="AG17" s="5" t="s">
        <v>87</v>
      </c>
      <c r="AH17" s="5" t="s">
        <v>88</v>
      </c>
      <c r="AI17" s="5" t="s">
        <v>126</v>
      </c>
      <c r="AJ17" s="5" t="s">
        <v>161</v>
      </c>
      <c r="AK17" s="5" t="s">
        <v>130</v>
      </c>
      <c r="AL17" s="5" t="s">
        <v>131</v>
      </c>
      <c r="AM17" s="5" t="s">
        <v>205</v>
      </c>
    </row>
    <row r="18" ht="16.5" customHeight="1">
      <c r="A18" s="5" t="s">
        <v>60</v>
      </c>
      <c r="B18" s="1" t="b">
        <v>1</v>
      </c>
      <c r="C18" s="1" t="s">
        <v>167</v>
      </c>
      <c r="D18" s="1" t="s">
        <v>168</v>
      </c>
      <c r="E18" s="1" t="s">
        <v>65</v>
      </c>
      <c r="F18" s="1" t="s">
        <v>66</v>
      </c>
      <c r="G18" s="1" t="s">
        <v>126</v>
      </c>
      <c r="H18" s="1" t="s">
        <v>141</v>
      </c>
      <c r="I18" s="1" t="s">
        <v>107</v>
      </c>
      <c r="J18" s="1"/>
      <c r="K18" s="1" t="b">
        <v>0</v>
      </c>
      <c r="L18" s="1" t="b">
        <v>0</v>
      </c>
      <c r="M18" s="19">
        <v>1800.0</v>
      </c>
      <c r="N18" s="20">
        <v>2.1</v>
      </c>
      <c r="O18" s="20">
        <v>714.29</v>
      </c>
      <c r="P18" s="21"/>
      <c r="Q18" s="1" t="s">
        <v>78</v>
      </c>
      <c r="R18" s="1" t="s">
        <v>182</v>
      </c>
      <c r="S18" s="1" t="s">
        <v>81</v>
      </c>
      <c r="T18" s="1" t="s">
        <v>81</v>
      </c>
      <c r="U18" s="1" t="s">
        <v>207</v>
      </c>
      <c r="V18" s="1" t="s">
        <v>146</v>
      </c>
      <c r="W18" s="22" t="s">
        <v>202</v>
      </c>
      <c r="X18" s="20">
        <v>221.62</v>
      </c>
      <c r="Y18" s="1" t="s">
        <v>0</v>
      </c>
      <c r="Z18" s="1" t="s">
        <v>0</v>
      </c>
      <c r="AA18" s="23" t="s">
        <v>85</v>
      </c>
      <c r="AB18" s="1">
        <v>1000.0</v>
      </c>
      <c r="AC18" s="1">
        <v>300.0</v>
      </c>
      <c r="AD18" s="1" t="s">
        <v>167</v>
      </c>
      <c r="AE18" s="1">
        <v>4.0</v>
      </c>
      <c r="AF18" s="5" t="s">
        <v>86</v>
      </c>
      <c r="AG18" s="5" t="s">
        <v>87</v>
      </c>
      <c r="AH18" s="5" t="s">
        <v>88</v>
      </c>
      <c r="AI18" s="5" t="s">
        <v>126</v>
      </c>
      <c r="AJ18" s="5" t="s">
        <v>161</v>
      </c>
      <c r="AK18" s="5" t="s">
        <v>130</v>
      </c>
      <c r="AL18" s="5" t="s">
        <v>131</v>
      </c>
      <c r="AM18" s="5" t="s">
        <v>205</v>
      </c>
    </row>
    <row r="19" ht="16.5" customHeight="1">
      <c r="A19" s="5" t="s">
        <v>60</v>
      </c>
      <c r="B19" s="1" t="b">
        <v>1</v>
      </c>
      <c r="C19" s="1" t="s">
        <v>212</v>
      </c>
      <c r="D19" s="1" t="s">
        <v>213</v>
      </c>
      <c r="E19" s="1" t="s">
        <v>65</v>
      </c>
      <c r="F19" s="1" t="s">
        <v>66</v>
      </c>
      <c r="G19" s="1" t="s">
        <v>126</v>
      </c>
      <c r="H19" s="1" t="s">
        <v>141</v>
      </c>
      <c r="I19" s="1" t="s">
        <v>70</v>
      </c>
      <c r="J19" s="1"/>
      <c r="K19" s="1" t="b">
        <v>0</v>
      </c>
      <c r="L19" s="1" t="b">
        <v>0</v>
      </c>
      <c r="M19" s="19">
        <v>1400.0</v>
      </c>
      <c r="N19" s="20">
        <v>2.1</v>
      </c>
      <c r="O19" s="20">
        <v>571.43</v>
      </c>
      <c r="P19" s="21"/>
      <c r="Q19" s="1" t="s">
        <v>78</v>
      </c>
      <c r="R19" s="1" t="s">
        <v>182</v>
      </c>
      <c r="S19" s="1" t="s">
        <v>81</v>
      </c>
      <c r="T19" s="1" t="s">
        <v>81</v>
      </c>
      <c r="U19" s="1" t="s">
        <v>214</v>
      </c>
      <c r="V19" s="1" t="s">
        <v>146</v>
      </c>
      <c r="W19" s="22" t="s">
        <v>202</v>
      </c>
      <c r="X19" s="20">
        <v>200.22000000000003</v>
      </c>
      <c r="Y19" s="1" t="s">
        <v>0</v>
      </c>
      <c r="Z19" s="1" t="s">
        <v>0</v>
      </c>
      <c r="AA19" s="23" t="s">
        <v>85</v>
      </c>
      <c r="AB19" s="1">
        <v>1000.0</v>
      </c>
      <c r="AC19" s="1">
        <v>300.0</v>
      </c>
      <c r="AD19" s="1" t="s">
        <v>212</v>
      </c>
      <c r="AE19" s="1">
        <v>1.0</v>
      </c>
      <c r="AF19" s="5" t="s">
        <v>86</v>
      </c>
      <c r="AG19" s="5" t="s">
        <v>87</v>
      </c>
      <c r="AH19" s="5" t="s">
        <v>88</v>
      </c>
      <c r="AI19" s="5" t="s">
        <v>126</v>
      </c>
      <c r="AJ19" s="5" t="s">
        <v>128</v>
      </c>
      <c r="AK19" s="5" t="s">
        <v>130</v>
      </c>
      <c r="AL19" s="5" t="s">
        <v>131</v>
      </c>
      <c r="AM19" s="5" t="s">
        <v>205</v>
      </c>
    </row>
    <row r="20" ht="16.5" customHeight="1">
      <c r="A20" s="5" t="s">
        <v>60</v>
      </c>
      <c r="B20" s="1" t="b">
        <v>1</v>
      </c>
      <c r="C20" s="1" t="s">
        <v>221</v>
      </c>
      <c r="D20" s="1" t="s">
        <v>222</v>
      </c>
      <c r="E20" s="1" t="s">
        <v>65</v>
      </c>
      <c r="F20" s="1" t="s">
        <v>66</v>
      </c>
      <c r="G20" s="1" t="s">
        <v>126</v>
      </c>
      <c r="H20" s="1" t="s">
        <v>141</v>
      </c>
      <c r="I20" s="1" t="s">
        <v>107</v>
      </c>
      <c r="J20" s="1"/>
      <c r="K20" s="1" t="b">
        <v>0</v>
      </c>
      <c r="L20" s="1" t="b">
        <v>0</v>
      </c>
      <c r="M20" s="19">
        <v>1400.0</v>
      </c>
      <c r="N20" s="20">
        <v>2.1</v>
      </c>
      <c r="O20" s="20">
        <v>571.43</v>
      </c>
      <c r="P20" s="21"/>
      <c r="Q20" s="1" t="s">
        <v>78</v>
      </c>
      <c r="R20" s="1" t="s">
        <v>182</v>
      </c>
      <c r="S20" s="1" t="s">
        <v>81</v>
      </c>
      <c r="T20" s="1" t="s">
        <v>81</v>
      </c>
      <c r="U20" s="1" t="s">
        <v>224</v>
      </c>
      <c r="V20" s="1" t="s">
        <v>146</v>
      </c>
      <c r="W20" s="22" t="s">
        <v>202</v>
      </c>
      <c r="X20" s="20">
        <v>193.69</v>
      </c>
      <c r="Y20" s="1" t="s">
        <v>0</v>
      </c>
      <c r="Z20" s="1" t="s">
        <v>0</v>
      </c>
      <c r="AA20" s="23" t="s">
        <v>85</v>
      </c>
      <c r="AB20" s="1">
        <v>1000.0</v>
      </c>
      <c r="AC20" s="1">
        <v>300.0</v>
      </c>
      <c r="AD20" s="1" t="s">
        <v>221</v>
      </c>
      <c r="AE20" s="1">
        <v>1.0</v>
      </c>
      <c r="AF20" s="5" t="s">
        <v>86</v>
      </c>
      <c r="AG20" s="5" t="s">
        <v>87</v>
      </c>
      <c r="AH20" s="5" t="s">
        <v>88</v>
      </c>
      <c r="AI20" s="5" t="s">
        <v>126</v>
      </c>
      <c r="AJ20" s="5" t="s">
        <v>128</v>
      </c>
      <c r="AK20" s="5" t="s">
        <v>130</v>
      </c>
      <c r="AL20" s="5" t="s">
        <v>131</v>
      </c>
      <c r="AM20" s="5" t="s">
        <v>205</v>
      </c>
    </row>
    <row r="21" ht="16.5" customHeight="1">
      <c r="A21" s="5" t="s">
        <v>60</v>
      </c>
      <c r="B21" s="1" t="b">
        <v>1</v>
      </c>
      <c r="C21" s="1" t="s">
        <v>228</v>
      </c>
      <c r="D21" s="1" t="s">
        <v>230</v>
      </c>
      <c r="E21" s="1" t="s">
        <v>65</v>
      </c>
      <c r="F21" s="1" t="s">
        <v>66</v>
      </c>
      <c r="G21" s="1" t="s">
        <v>68</v>
      </c>
      <c r="H21" s="1" t="s">
        <v>69</v>
      </c>
      <c r="I21" s="1" t="s">
        <v>70</v>
      </c>
      <c r="J21" s="1"/>
      <c r="K21" s="1" t="b">
        <v>1</v>
      </c>
      <c r="L21" s="1" t="b">
        <v>0</v>
      </c>
      <c r="M21" s="19">
        <v>4500.0</v>
      </c>
      <c r="N21" s="20">
        <v>2.1</v>
      </c>
      <c r="O21" s="20">
        <v>2142.86</v>
      </c>
      <c r="P21" s="21"/>
      <c r="Q21" s="1" t="s">
        <v>117</v>
      </c>
      <c r="R21" s="1" t="s">
        <v>145</v>
      </c>
      <c r="S21" s="1" t="s">
        <v>80</v>
      </c>
      <c r="T21" s="1" t="s">
        <v>81</v>
      </c>
      <c r="U21" s="1" t="s">
        <v>0</v>
      </c>
      <c r="V21" s="1" t="s">
        <v>0</v>
      </c>
      <c r="W21" s="22" t="s">
        <v>82</v>
      </c>
      <c r="X21" s="20">
        <v>1032.36</v>
      </c>
      <c r="Y21" s="1" t="s">
        <v>0</v>
      </c>
      <c r="Z21" s="1" t="s">
        <v>0</v>
      </c>
      <c r="AA21" s="23" t="s">
        <v>85</v>
      </c>
      <c r="AB21" s="1">
        <v>1000.0</v>
      </c>
      <c r="AC21" s="1">
        <v>300.0</v>
      </c>
      <c r="AD21" s="1" t="s">
        <v>228</v>
      </c>
      <c r="AE21" s="1">
        <v>5.0</v>
      </c>
      <c r="AF21" s="5" t="s">
        <v>125</v>
      </c>
      <c r="AG21" s="5" t="s">
        <v>127</v>
      </c>
      <c r="AH21" s="5" t="s">
        <v>237</v>
      </c>
      <c r="AI21" s="5" t="s">
        <v>68</v>
      </c>
      <c r="AJ21" s="5" t="s">
        <v>89</v>
      </c>
      <c r="AK21" s="5" t="s">
        <v>90</v>
      </c>
      <c r="AL21" s="5" t="s">
        <v>91</v>
      </c>
    </row>
    <row r="22" ht="16.5" customHeight="1">
      <c r="A22" s="5" t="s">
        <v>60</v>
      </c>
      <c r="B22" s="1" t="b">
        <v>1</v>
      </c>
      <c r="C22" s="1" t="s">
        <v>239</v>
      </c>
      <c r="D22" s="1" t="s">
        <v>241</v>
      </c>
      <c r="E22" s="1" t="s">
        <v>65</v>
      </c>
      <c r="F22" s="1" t="s">
        <v>66</v>
      </c>
      <c r="G22" s="1" t="s">
        <v>68</v>
      </c>
      <c r="H22" s="1" t="s">
        <v>69</v>
      </c>
      <c r="I22" s="1" t="s">
        <v>107</v>
      </c>
      <c r="J22" s="1"/>
      <c r="K22" s="1" t="b">
        <v>1</v>
      </c>
      <c r="L22" s="1" t="b">
        <v>0</v>
      </c>
      <c r="M22" s="19">
        <v>4500.0</v>
      </c>
      <c r="N22" s="20">
        <v>2.1</v>
      </c>
      <c r="O22" s="20">
        <v>2142.86</v>
      </c>
      <c r="P22" s="21"/>
      <c r="Q22" s="1" t="s">
        <v>117</v>
      </c>
      <c r="R22" s="1" t="s">
        <v>145</v>
      </c>
      <c r="S22" s="1" t="s">
        <v>80</v>
      </c>
      <c r="T22" s="1" t="s">
        <v>81</v>
      </c>
      <c r="U22" s="1" t="s">
        <v>0</v>
      </c>
      <c r="V22" s="1" t="s">
        <v>0</v>
      </c>
      <c r="W22" s="22" t="s">
        <v>82</v>
      </c>
      <c r="X22" s="20">
        <v>919.5</v>
      </c>
      <c r="Y22" s="1" t="s">
        <v>0</v>
      </c>
      <c r="Z22" s="1" t="s">
        <v>0</v>
      </c>
      <c r="AA22" s="23" t="s">
        <v>85</v>
      </c>
      <c r="AB22" s="1">
        <v>1000.0</v>
      </c>
      <c r="AC22" s="1">
        <v>300.0</v>
      </c>
      <c r="AD22" s="1" t="s">
        <v>239</v>
      </c>
      <c r="AE22" s="1">
        <v>5.0</v>
      </c>
      <c r="AF22" s="5" t="s">
        <v>125</v>
      </c>
      <c r="AG22" s="5" t="s">
        <v>127</v>
      </c>
      <c r="AH22" s="5" t="s">
        <v>237</v>
      </c>
      <c r="AI22" s="5" t="s">
        <v>68</v>
      </c>
      <c r="AJ22" s="5" t="s">
        <v>89</v>
      </c>
      <c r="AK22" s="5" t="s">
        <v>90</v>
      </c>
      <c r="AL22" s="5" t="s">
        <v>91</v>
      </c>
    </row>
    <row r="23" ht="16.5" customHeight="1">
      <c r="A23" s="5" t="s">
        <v>60</v>
      </c>
      <c r="B23" s="1" t="b">
        <v>1</v>
      </c>
      <c r="C23" s="1" t="s">
        <v>245</v>
      </c>
      <c r="D23" s="1" t="s">
        <v>246</v>
      </c>
      <c r="E23" s="1" t="s">
        <v>65</v>
      </c>
      <c r="F23" s="1" t="s">
        <v>247</v>
      </c>
      <c r="G23" s="1" t="s">
        <v>248</v>
      </c>
      <c r="H23" s="1" t="s">
        <v>69</v>
      </c>
      <c r="I23" s="1" t="s">
        <v>249</v>
      </c>
      <c r="J23" s="1"/>
      <c r="K23" s="1" t="b">
        <v>1</v>
      </c>
      <c r="L23" s="1" t="b">
        <v>0</v>
      </c>
      <c r="M23" s="19">
        <v>450.0</v>
      </c>
      <c r="N23" s="20">
        <v>2.1</v>
      </c>
      <c r="O23" s="20">
        <v>214.29</v>
      </c>
      <c r="P23" s="21"/>
      <c r="Q23" s="1" t="s">
        <v>117</v>
      </c>
      <c r="R23" s="1" t="s">
        <v>250</v>
      </c>
      <c r="S23" s="1" t="s">
        <v>81</v>
      </c>
      <c r="T23" s="1" t="s">
        <v>81</v>
      </c>
      <c r="U23" s="1" t="s">
        <v>0</v>
      </c>
      <c r="V23" s="1" t="s">
        <v>0</v>
      </c>
      <c r="W23" s="22" t="s">
        <v>82</v>
      </c>
      <c r="X23" s="20">
        <v>67.26</v>
      </c>
      <c r="Y23" s="1" t="s">
        <v>0</v>
      </c>
      <c r="Z23" s="1" t="s">
        <v>0</v>
      </c>
      <c r="AA23" s="23" t="s">
        <v>173</v>
      </c>
      <c r="AB23" s="1">
        <v>600.0</v>
      </c>
      <c r="AC23" s="1">
        <v>600.0</v>
      </c>
      <c r="AD23" s="1" t="s">
        <v>245</v>
      </c>
      <c r="AE23" s="1">
        <v>6.0</v>
      </c>
      <c r="AF23" s="5" t="s">
        <v>125</v>
      </c>
      <c r="AG23" s="5" t="s">
        <v>127</v>
      </c>
      <c r="AI23" s="5" t="s">
        <v>248</v>
      </c>
      <c r="AJ23" s="5" t="s">
        <v>253</v>
      </c>
      <c r="AK23" s="5" t="s">
        <v>254</v>
      </c>
      <c r="AL23" s="5" t="s">
        <v>131</v>
      </c>
    </row>
    <row r="24" ht="16.5" customHeight="1">
      <c r="A24" s="5" t="s">
        <v>60</v>
      </c>
      <c r="B24" s="1" t="b">
        <v>1</v>
      </c>
      <c r="C24" s="1" t="s">
        <v>256</v>
      </c>
      <c r="D24" s="1" t="s">
        <v>258</v>
      </c>
      <c r="E24" s="1" t="s">
        <v>65</v>
      </c>
      <c r="F24" s="1" t="s">
        <v>66</v>
      </c>
      <c r="G24" s="1" t="s">
        <v>68</v>
      </c>
      <c r="H24" s="1" t="s">
        <v>69</v>
      </c>
      <c r="I24" s="1" t="s">
        <v>70</v>
      </c>
      <c r="J24" s="1"/>
      <c r="K24" s="1" t="b">
        <v>1</v>
      </c>
      <c r="L24" s="1" t="b">
        <v>0</v>
      </c>
      <c r="M24" s="19">
        <v>2000.0</v>
      </c>
      <c r="N24" s="20">
        <v>2.1</v>
      </c>
      <c r="O24" s="20">
        <v>952.38</v>
      </c>
      <c r="P24" s="21"/>
      <c r="Q24" s="1" t="s">
        <v>78</v>
      </c>
      <c r="R24" s="1" t="s">
        <v>79</v>
      </c>
      <c r="S24" s="1" t="s">
        <v>166</v>
      </c>
      <c r="T24" s="1" t="s">
        <v>81</v>
      </c>
      <c r="U24" s="1" t="s">
        <v>0</v>
      </c>
      <c r="V24" s="1" t="s">
        <v>0</v>
      </c>
      <c r="W24" s="22" t="s">
        <v>82</v>
      </c>
      <c r="X24" s="20">
        <v>334.57000000000005</v>
      </c>
      <c r="Y24" s="1" t="s">
        <v>0</v>
      </c>
      <c r="Z24" s="1" t="s">
        <v>0</v>
      </c>
      <c r="AA24" s="23" t="s">
        <v>85</v>
      </c>
      <c r="AB24" s="1">
        <v>1000.0</v>
      </c>
      <c r="AC24" s="1">
        <v>300.0</v>
      </c>
      <c r="AD24" s="1" t="s">
        <v>256</v>
      </c>
      <c r="AE24" s="1">
        <v>7.0</v>
      </c>
      <c r="AF24" s="5" t="s">
        <v>125</v>
      </c>
      <c r="AG24" s="5" t="s">
        <v>174</v>
      </c>
      <c r="AH24" s="32" t="s">
        <v>264</v>
      </c>
      <c r="AI24" s="5" t="s">
        <v>68</v>
      </c>
      <c r="AJ24" s="5" t="s">
        <v>89</v>
      </c>
      <c r="AK24" s="5" t="s">
        <v>90</v>
      </c>
      <c r="AL24" s="5" t="s">
        <v>91</v>
      </c>
    </row>
    <row r="25" ht="16.5" customHeight="1">
      <c r="A25" s="5" t="s">
        <v>60</v>
      </c>
      <c r="B25" s="1" t="b">
        <v>1</v>
      </c>
      <c r="C25" s="1" t="s">
        <v>265</v>
      </c>
      <c r="D25" s="1" t="s">
        <v>266</v>
      </c>
      <c r="E25" s="1" t="s">
        <v>65</v>
      </c>
      <c r="F25" s="1" t="s">
        <v>66</v>
      </c>
      <c r="G25" s="1" t="s">
        <v>68</v>
      </c>
      <c r="H25" s="1" t="s">
        <v>69</v>
      </c>
      <c r="I25" s="1" t="s">
        <v>107</v>
      </c>
      <c r="J25" s="1"/>
      <c r="K25" s="1" t="b">
        <v>1</v>
      </c>
      <c r="L25" s="1" t="b">
        <v>0</v>
      </c>
      <c r="M25" s="19">
        <v>2000.0</v>
      </c>
      <c r="N25" s="20">
        <v>2.1</v>
      </c>
      <c r="O25" s="20">
        <v>952.38</v>
      </c>
      <c r="P25" s="21"/>
      <c r="Q25" s="1" t="s">
        <v>78</v>
      </c>
      <c r="R25" s="1" t="s">
        <v>79</v>
      </c>
      <c r="S25" s="1" t="s">
        <v>166</v>
      </c>
      <c r="T25" s="1" t="s">
        <v>81</v>
      </c>
      <c r="U25" s="1" t="s">
        <v>0</v>
      </c>
      <c r="V25" s="1" t="s">
        <v>0</v>
      </c>
      <c r="W25" s="22" t="s">
        <v>82</v>
      </c>
      <c r="X25" s="20">
        <v>314.78000000000003</v>
      </c>
      <c r="Y25" s="1" t="s">
        <v>0</v>
      </c>
      <c r="Z25" s="1" t="s">
        <v>0</v>
      </c>
      <c r="AA25" s="23" t="s">
        <v>85</v>
      </c>
      <c r="AB25" s="1">
        <v>1000.0</v>
      </c>
      <c r="AC25" s="1">
        <v>300.0</v>
      </c>
      <c r="AD25" s="1" t="s">
        <v>265</v>
      </c>
      <c r="AE25" s="1">
        <v>6.0</v>
      </c>
      <c r="AF25" s="5" t="s">
        <v>125</v>
      </c>
      <c r="AG25" s="5" t="s">
        <v>174</v>
      </c>
      <c r="AH25" s="32" t="s">
        <v>264</v>
      </c>
      <c r="AI25" s="5" t="s">
        <v>68</v>
      </c>
      <c r="AJ25" s="5" t="s">
        <v>89</v>
      </c>
      <c r="AK25" s="5" t="s">
        <v>90</v>
      </c>
      <c r="AL25" s="5" t="s">
        <v>91</v>
      </c>
    </row>
    <row r="26" ht="16.5" customHeight="1">
      <c r="A26" s="5" t="s">
        <v>60</v>
      </c>
      <c r="B26" s="1" t="b">
        <v>1</v>
      </c>
      <c r="C26" s="1" t="s">
        <v>268</v>
      </c>
      <c r="D26" s="1" t="s">
        <v>269</v>
      </c>
      <c r="E26" s="1" t="s">
        <v>65</v>
      </c>
      <c r="F26" s="1" t="s">
        <v>66</v>
      </c>
      <c r="G26" s="1" t="s">
        <v>270</v>
      </c>
      <c r="H26" s="1" t="s">
        <v>69</v>
      </c>
      <c r="I26" s="1" t="s">
        <v>70</v>
      </c>
      <c r="J26" s="1"/>
      <c r="K26" s="1" t="b">
        <v>1</v>
      </c>
      <c r="L26" s="1" t="b">
        <v>0</v>
      </c>
      <c r="M26" s="19">
        <v>900.0</v>
      </c>
      <c r="N26" s="20">
        <v>2.1</v>
      </c>
      <c r="O26" s="20">
        <v>428.57</v>
      </c>
      <c r="P26" s="21"/>
      <c r="Q26" s="1" t="s">
        <v>78</v>
      </c>
      <c r="R26" s="1" t="s">
        <v>79</v>
      </c>
      <c r="S26" s="1" t="s">
        <v>273</v>
      </c>
      <c r="T26" s="1" t="s">
        <v>81</v>
      </c>
      <c r="U26" s="1" t="s">
        <v>0</v>
      </c>
      <c r="V26" s="1" t="s">
        <v>0</v>
      </c>
      <c r="W26" s="22" t="s">
        <v>82</v>
      </c>
      <c r="X26" s="20">
        <v>145.36</v>
      </c>
      <c r="Y26" s="1" t="s">
        <v>274</v>
      </c>
      <c r="Z26" s="1" t="s">
        <v>275</v>
      </c>
      <c r="AA26" s="23" t="s">
        <v>85</v>
      </c>
      <c r="AB26" s="1">
        <v>1000.0</v>
      </c>
      <c r="AC26" s="1">
        <v>300.0</v>
      </c>
      <c r="AD26" s="1" t="s">
        <v>268</v>
      </c>
      <c r="AE26" s="1">
        <v>6.0</v>
      </c>
      <c r="AF26" s="5" t="s">
        <v>125</v>
      </c>
      <c r="AG26" s="5" t="s">
        <v>127</v>
      </c>
      <c r="AH26" s="5" t="s">
        <v>237</v>
      </c>
      <c r="AI26" s="5" t="s">
        <v>276</v>
      </c>
      <c r="AJ26" s="5" t="s">
        <v>89</v>
      </c>
      <c r="AK26" s="5" t="s">
        <v>277</v>
      </c>
      <c r="AL26" s="5" t="s">
        <v>131</v>
      </c>
    </row>
    <row r="27" ht="16.5" customHeight="1">
      <c r="A27" s="5" t="s">
        <v>60</v>
      </c>
      <c r="B27" s="1" t="b">
        <v>1</v>
      </c>
      <c r="C27" s="1" t="s">
        <v>278</v>
      </c>
      <c r="D27" s="1" t="s">
        <v>279</v>
      </c>
      <c r="E27" s="1" t="s">
        <v>65</v>
      </c>
      <c r="F27" s="1" t="s">
        <v>66</v>
      </c>
      <c r="G27" s="1" t="s">
        <v>270</v>
      </c>
      <c r="H27" s="1" t="s">
        <v>69</v>
      </c>
      <c r="I27" s="1" t="s">
        <v>107</v>
      </c>
      <c r="J27" s="1"/>
      <c r="K27" s="1" t="b">
        <v>1</v>
      </c>
      <c r="L27" s="1" t="b">
        <v>0</v>
      </c>
      <c r="M27" s="19">
        <v>900.0</v>
      </c>
      <c r="N27" s="20">
        <v>2.1</v>
      </c>
      <c r="O27" s="20">
        <v>428.57</v>
      </c>
      <c r="P27" s="21"/>
      <c r="Q27" s="1" t="s">
        <v>78</v>
      </c>
      <c r="R27" s="1" t="s">
        <v>79</v>
      </c>
      <c r="S27" s="1" t="s">
        <v>273</v>
      </c>
      <c r="T27" s="1" t="s">
        <v>81</v>
      </c>
      <c r="U27" s="1" t="s">
        <v>0</v>
      </c>
      <c r="V27" s="1" t="s">
        <v>0</v>
      </c>
      <c r="W27" s="22" t="s">
        <v>82</v>
      </c>
      <c r="X27" s="20">
        <v>137.49</v>
      </c>
      <c r="Y27" s="1" t="s">
        <v>283</v>
      </c>
      <c r="Z27" s="1" t="s">
        <v>284</v>
      </c>
      <c r="AA27" s="23" t="s">
        <v>85</v>
      </c>
      <c r="AB27" s="1">
        <v>1000.0</v>
      </c>
      <c r="AC27" s="1">
        <v>300.0</v>
      </c>
      <c r="AD27" s="1" t="s">
        <v>278</v>
      </c>
      <c r="AE27" s="1">
        <v>6.0</v>
      </c>
      <c r="AF27" s="5" t="s">
        <v>125</v>
      </c>
      <c r="AG27" s="5" t="s">
        <v>127</v>
      </c>
      <c r="AH27" s="5" t="s">
        <v>237</v>
      </c>
      <c r="AI27" s="5" t="s">
        <v>276</v>
      </c>
      <c r="AJ27" s="5" t="s">
        <v>89</v>
      </c>
      <c r="AK27" s="5" t="s">
        <v>277</v>
      </c>
      <c r="AL27" s="5" t="s">
        <v>131</v>
      </c>
    </row>
    <row r="28" ht="16.5" customHeight="1">
      <c r="A28" s="5" t="s">
        <v>60</v>
      </c>
      <c r="B28" s="1" t="b">
        <v>1</v>
      </c>
      <c r="C28" s="1" t="s">
        <v>285</v>
      </c>
      <c r="D28" s="1" t="s">
        <v>286</v>
      </c>
      <c r="E28" s="1" t="s">
        <v>65</v>
      </c>
      <c r="F28" s="1" t="s">
        <v>66</v>
      </c>
      <c r="G28" s="1" t="s">
        <v>68</v>
      </c>
      <c r="H28" s="1" t="s">
        <v>141</v>
      </c>
      <c r="I28" s="1" t="s">
        <v>70</v>
      </c>
      <c r="J28" s="1"/>
      <c r="K28" s="1" t="b">
        <v>1</v>
      </c>
      <c r="L28" s="1" t="b">
        <v>0</v>
      </c>
      <c r="M28" s="19">
        <v>3500.0</v>
      </c>
      <c r="N28" s="20">
        <v>2.1</v>
      </c>
      <c r="O28" s="20">
        <v>1666.67</v>
      </c>
      <c r="P28" s="21"/>
      <c r="Q28" s="1" t="s">
        <v>78</v>
      </c>
      <c r="R28" s="1" t="s">
        <v>182</v>
      </c>
      <c r="S28" s="1" t="s">
        <v>80</v>
      </c>
      <c r="T28" s="1" t="s">
        <v>81</v>
      </c>
      <c r="U28" s="1" t="s">
        <v>0</v>
      </c>
      <c r="V28" s="1" t="s">
        <v>146</v>
      </c>
      <c r="W28" s="22" t="s">
        <v>82</v>
      </c>
      <c r="X28" s="20">
        <v>545.7199999999999</v>
      </c>
      <c r="Y28" s="1" t="s">
        <v>0</v>
      </c>
      <c r="Z28" s="1" t="s">
        <v>0</v>
      </c>
      <c r="AA28" s="23" t="s">
        <v>173</v>
      </c>
      <c r="AB28" s="1">
        <v>1000.0</v>
      </c>
      <c r="AC28" s="1">
        <v>300.0</v>
      </c>
      <c r="AD28" s="1" t="s">
        <v>285</v>
      </c>
      <c r="AE28" s="1">
        <v>3.0</v>
      </c>
      <c r="AF28" s="5" t="s">
        <v>125</v>
      </c>
      <c r="AG28" s="5" t="s">
        <v>127</v>
      </c>
      <c r="AH28" s="5" t="s">
        <v>237</v>
      </c>
      <c r="AI28" s="5" t="s">
        <v>68</v>
      </c>
      <c r="AJ28" s="5" t="s">
        <v>89</v>
      </c>
      <c r="AK28" s="5" t="s">
        <v>90</v>
      </c>
      <c r="AL28" s="5" t="s">
        <v>91</v>
      </c>
    </row>
    <row r="29" ht="16.5" customHeight="1">
      <c r="A29" s="5" t="s">
        <v>60</v>
      </c>
      <c r="B29" s="1" t="b">
        <v>1</v>
      </c>
      <c r="C29" s="1" t="s">
        <v>289</v>
      </c>
      <c r="D29" s="1" t="s">
        <v>290</v>
      </c>
      <c r="E29" s="1" t="s">
        <v>65</v>
      </c>
      <c r="F29" s="1" t="s">
        <v>66</v>
      </c>
      <c r="G29" s="1" t="s">
        <v>68</v>
      </c>
      <c r="H29" s="1" t="s">
        <v>141</v>
      </c>
      <c r="I29" s="1" t="s">
        <v>107</v>
      </c>
      <c r="J29" s="1"/>
      <c r="K29" s="1" t="b">
        <v>1</v>
      </c>
      <c r="L29" s="1" t="b">
        <v>0</v>
      </c>
      <c r="M29" s="19">
        <v>3500.0</v>
      </c>
      <c r="N29" s="20">
        <v>2.1</v>
      </c>
      <c r="O29" s="20">
        <v>1666.67</v>
      </c>
      <c r="P29" s="21"/>
      <c r="Q29" s="1" t="s">
        <v>78</v>
      </c>
      <c r="R29" s="1" t="s">
        <v>182</v>
      </c>
      <c r="S29" s="1" t="s">
        <v>80</v>
      </c>
      <c r="T29" s="1" t="s">
        <v>81</v>
      </c>
      <c r="U29" s="1" t="s">
        <v>0</v>
      </c>
      <c r="V29" s="1" t="s">
        <v>146</v>
      </c>
      <c r="W29" s="22" t="s">
        <v>82</v>
      </c>
      <c r="X29" s="20">
        <v>515.04</v>
      </c>
      <c r="Y29" s="1" t="s">
        <v>0</v>
      </c>
      <c r="Z29" s="1" t="s">
        <v>0</v>
      </c>
      <c r="AA29" s="23" t="s">
        <v>173</v>
      </c>
      <c r="AB29" s="1">
        <v>1000.0</v>
      </c>
      <c r="AC29" s="1">
        <v>300.0</v>
      </c>
      <c r="AD29" s="1" t="s">
        <v>289</v>
      </c>
      <c r="AE29" s="1">
        <v>3.0</v>
      </c>
      <c r="AF29" s="5" t="s">
        <v>86</v>
      </c>
      <c r="AG29" s="5" t="s">
        <v>127</v>
      </c>
      <c r="AH29" s="32" t="s">
        <v>295</v>
      </c>
      <c r="AI29" s="5" t="s">
        <v>68</v>
      </c>
      <c r="AJ29" s="5" t="s">
        <v>89</v>
      </c>
      <c r="AK29" s="5" t="s">
        <v>90</v>
      </c>
      <c r="AL29" s="5" t="s">
        <v>91</v>
      </c>
    </row>
    <row r="30" ht="16.5" customHeight="1">
      <c r="A30" s="5" t="s">
        <v>60</v>
      </c>
      <c r="B30" s="1" t="b">
        <v>1</v>
      </c>
      <c r="C30" s="1" t="s">
        <v>296</v>
      </c>
      <c r="D30" s="1" t="s">
        <v>297</v>
      </c>
      <c r="E30" s="1" t="s">
        <v>65</v>
      </c>
      <c r="F30" s="1" t="s">
        <v>66</v>
      </c>
      <c r="G30" s="1" t="s">
        <v>113</v>
      </c>
      <c r="H30" s="1" t="s">
        <v>69</v>
      </c>
      <c r="I30" s="1" t="s">
        <v>70</v>
      </c>
      <c r="J30" s="1"/>
      <c r="K30" s="1" t="b">
        <v>1</v>
      </c>
      <c r="L30" s="1" t="b">
        <v>0</v>
      </c>
      <c r="M30" s="19">
        <v>1500.0</v>
      </c>
      <c r="N30" s="20">
        <v>2.1</v>
      </c>
      <c r="O30" s="20">
        <v>714.29</v>
      </c>
      <c r="P30" s="21"/>
      <c r="Q30" s="1" t="s">
        <v>117</v>
      </c>
      <c r="R30" s="1" t="s">
        <v>145</v>
      </c>
      <c r="S30" s="1" t="s">
        <v>81</v>
      </c>
      <c r="T30" s="1" t="s">
        <v>81</v>
      </c>
      <c r="U30" s="1" t="s">
        <v>0</v>
      </c>
      <c r="V30" s="1" t="s">
        <v>0</v>
      </c>
      <c r="W30" s="22" t="s">
        <v>82</v>
      </c>
      <c r="X30" s="20">
        <v>290.96000000000004</v>
      </c>
      <c r="Y30" s="1" t="s">
        <v>0</v>
      </c>
      <c r="Z30" s="1" t="s">
        <v>0</v>
      </c>
      <c r="AA30" s="23" t="s">
        <v>173</v>
      </c>
      <c r="AB30" s="1">
        <v>2000.0</v>
      </c>
      <c r="AC30" s="1">
        <v>500.0</v>
      </c>
      <c r="AD30" s="1" t="s">
        <v>296</v>
      </c>
      <c r="AE30" s="1">
        <v>1.0</v>
      </c>
      <c r="AF30" s="5" t="s">
        <v>86</v>
      </c>
      <c r="AG30" s="5" t="s">
        <v>121</v>
      </c>
      <c r="AH30" s="32" t="s">
        <v>122</v>
      </c>
      <c r="AI30" s="5" t="s">
        <v>126</v>
      </c>
      <c r="AJ30" s="5" t="s">
        <v>128</v>
      </c>
      <c r="AK30" s="5" t="s">
        <v>130</v>
      </c>
      <c r="AL30" s="5" t="s">
        <v>131</v>
      </c>
    </row>
    <row r="31" ht="16.5" customHeight="1">
      <c r="A31" s="5" t="s">
        <v>60</v>
      </c>
      <c r="B31" s="1" t="b">
        <v>1</v>
      </c>
      <c r="C31" s="1" t="s">
        <v>299</v>
      </c>
      <c r="D31" s="1" t="s">
        <v>300</v>
      </c>
      <c r="E31" s="1" t="s">
        <v>65</v>
      </c>
      <c r="F31" s="1" t="s">
        <v>66</v>
      </c>
      <c r="G31" s="1" t="s">
        <v>113</v>
      </c>
      <c r="H31" s="1" t="s">
        <v>69</v>
      </c>
      <c r="I31" s="1" t="s">
        <v>107</v>
      </c>
      <c r="J31" s="1"/>
      <c r="K31" s="1" t="b">
        <v>1</v>
      </c>
      <c r="L31" s="1" t="b">
        <v>0</v>
      </c>
      <c r="M31" s="19">
        <v>1500.0</v>
      </c>
      <c r="N31" s="20">
        <v>2.1</v>
      </c>
      <c r="O31" s="20">
        <v>714.29</v>
      </c>
      <c r="P31" s="21"/>
      <c r="Q31" s="1" t="s">
        <v>117</v>
      </c>
      <c r="R31" s="1" t="s">
        <v>145</v>
      </c>
      <c r="S31" s="1" t="s">
        <v>81</v>
      </c>
      <c r="T31" s="1" t="s">
        <v>81</v>
      </c>
      <c r="U31" s="1" t="s">
        <v>0</v>
      </c>
      <c r="V31" s="1" t="s">
        <v>0</v>
      </c>
      <c r="W31" s="22" t="s">
        <v>82</v>
      </c>
      <c r="X31" s="20">
        <v>274.38000000000005</v>
      </c>
      <c r="Y31" s="1" t="s">
        <v>0</v>
      </c>
      <c r="Z31" s="1" t="s">
        <v>0</v>
      </c>
      <c r="AA31" s="23" t="s">
        <v>173</v>
      </c>
      <c r="AB31" s="1">
        <v>2000.0</v>
      </c>
      <c r="AC31" s="1">
        <v>500.0</v>
      </c>
      <c r="AD31" s="1" t="s">
        <v>299</v>
      </c>
      <c r="AE31" s="1">
        <v>1.0</v>
      </c>
      <c r="AF31" s="5" t="s">
        <v>86</v>
      </c>
      <c r="AG31" s="5" t="s">
        <v>121</v>
      </c>
      <c r="AH31" s="32" t="s">
        <v>122</v>
      </c>
      <c r="AI31" s="5" t="s">
        <v>126</v>
      </c>
      <c r="AJ31" s="5" t="s">
        <v>128</v>
      </c>
      <c r="AK31" s="5" t="s">
        <v>130</v>
      </c>
      <c r="AL31" s="5" t="s">
        <v>131</v>
      </c>
    </row>
    <row r="32" ht="16.5" customHeight="1">
      <c r="A32" s="5" t="s">
        <v>60</v>
      </c>
      <c r="B32" s="1" t="b">
        <v>1</v>
      </c>
      <c r="C32" s="1" t="s">
        <v>302</v>
      </c>
      <c r="D32" s="1" t="s">
        <v>303</v>
      </c>
      <c r="E32" s="1" t="s">
        <v>65</v>
      </c>
      <c r="F32" s="1" t="s">
        <v>66</v>
      </c>
      <c r="G32" s="1" t="s">
        <v>68</v>
      </c>
      <c r="H32" s="1" t="s">
        <v>69</v>
      </c>
      <c r="I32" s="1" t="s">
        <v>70</v>
      </c>
      <c r="J32" s="1"/>
      <c r="K32" s="1" t="b">
        <v>1</v>
      </c>
      <c r="L32" s="1" t="b">
        <v>0</v>
      </c>
      <c r="M32" s="19">
        <v>3300.0</v>
      </c>
      <c r="N32" s="20">
        <v>2.1</v>
      </c>
      <c r="O32" s="20">
        <v>1571.43</v>
      </c>
      <c r="P32" s="21"/>
      <c r="Q32" s="1" t="s">
        <v>117</v>
      </c>
      <c r="R32" s="1" t="s">
        <v>79</v>
      </c>
      <c r="S32" s="1" t="s">
        <v>166</v>
      </c>
      <c r="T32" s="1" t="s">
        <v>81</v>
      </c>
      <c r="U32" s="1" t="s">
        <v>0</v>
      </c>
      <c r="V32" s="1" t="s">
        <v>0</v>
      </c>
      <c r="W32" s="22" t="s">
        <v>82</v>
      </c>
      <c r="X32" s="20">
        <v>671.22</v>
      </c>
      <c r="Y32" s="1" t="s">
        <v>0</v>
      </c>
      <c r="Z32" s="1" t="s">
        <v>0</v>
      </c>
      <c r="AA32" s="23" t="s">
        <v>85</v>
      </c>
      <c r="AB32" s="1">
        <v>1000.0</v>
      </c>
      <c r="AC32" s="1">
        <v>300.0</v>
      </c>
      <c r="AD32" s="1" t="s">
        <v>302</v>
      </c>
      <c r="AE32" s="1">
        <v>5.0</v>
      </c>
      <c r="AF32" s="5" t="s">
        <v>86</v>
      </c>
      <c r="AG32" s="5" t="s">
        <v>121</v>
      </c>
      <c r="AH32" s="5" t="s">
        <v>306</v>
      </c>
      <c r="AI32" s="5" t="s">
        <v>68</v>
      </c>
      <c r="AJ32" s="5" t="s">
        <v>89</v>
      </c>
      <c r="AK32" s="5" t="s">
        <v>132</v>
      </c>
      <c r="AL32" s="5" t="s">
        <v>91</v>
      </c>
    </row>
    <row r="33" ht="16.5" customHeight="1">
      <c r="A33" s="5" t="s">
        <v>60</v>
      </c>
      <c r="B33" s="1" t="b">
        <v>1</v>
      </c>
      <c r="C33" s="1" t="s">
        <v>307</v>
      </c>
      <c r="D33" s="1" t="s">
        <v>308</v>
      </c>
      <c r="E33" s="1" t="s">
        <v>65</v>
      </c>
      <c r="F33" s="1" t="s">
        <v>66</v>
      </c>
      <c r="G33" s="1" t="s">
        <v>68</v>
      </c>
      <c r="H33" s="1" t="s">
        <v>69</v>
      </c>
      <c r="I33" s="1" t="s">
        <v>107</v>
      </c>
      <c r="J33" s="1"/>
      <c r="K33" s="1" t="b">
        <v>1</v>
      </c>
      <c r="L33" s="1" t="b">
        <v>0</v>
      </c>
      <c r="M33" s="19">
        <v>3300.0</v>
      </c>
      <c r="N33" s="20">
        <v>2.1</v>
      </c>
      <c r="O33" s="20">
        <v>1571.43</v>
      </c>
      <c r="P33" s="21"/>
      <c r="Q33" s="1" t="s">
        <v>117</v>
      </c>
      <c r="R33" s="1" t="s">
        <v>79</v>
      </c>
      <c r="S33" s="1" t="s">
        <v>166</v>
      </c>
      <c r="T33" s="1" t="s">
        <v>81</v>
      </c>
      <c r="U33" s="1" t="s">
        <v>0</v>
      </c>
      <c r="V33" s="1" t="s">
        <v>0</v>
      </c>
      <c r="W33" s="22" t="s">
        <v>82</v>
      </c>
      <c r="X33" s="20">
        <v>637.9</v>
      </c>
      <c r="Y33" s="1" t="s">
        <v>0</v>
      </c>
      <c r="Z33" s="1" t="s">
        <v>0</v>
      </c>
      <c r="AA33" s="23" t="s">
        <v>85</v>
      </c>
      <c r="AB33" s="1">
        <v>1000.0</v>
      </c>
      <c r="AC33" s="1">
        <v>300.0</v>
      </c>
      <c r="AD33" s="1" t="s">
        <v>307</v>
      </c>
      <c r="AE33" s="1">
        <v>5.0</v>
      </c>
      <c r="AF33" s="5" t="s">
        <v>86</v>
      </c>
      <c r="AG33" s="5" t="s">
        <v>121</v>
      </c>
      <c r="AH33" s="5" t="s">
        <v>306</v>
      </c>
      <c r="AI33" s="5" t="s">
        <v>68</v>
      </c>
      <c r="AJ33" s="5" t="s">
        <v>89</v>
      </c>
      <c r="AK33" s="5" t="s">
        <v>132</v>
      </c>
      <c r="AL33" s="5" t="s">
        <v>91</v>
      </c>
    </row>
    <row r="34" ht="16.5" customHeight="1">
      <c r="A34" s="5" t="s">
        <v>60</v>
      </c>
      <c r="B34" s="1" t="b">
        <v>1</v>
      </c>
      <c r="C34" s="1" t="s">
        <v>310</v>
      </c>
      <c r="D34" s="1" t="s">
        <v>311</v>
      </c>
      <c r="E34" s="1" t="s">
        <v>65</v>
      </c>
      <c r="F34" s="1" t="s">
        <v>66</v>
      </c>
      <c r="G34" s="1" t="s">
        <v>126</v>
      </c>
      <c r="H34" s="1" t="s">
        <v>141</v>
      </c>
      <c r="I34" s="1" t="s">
        <v>70</v>
      </c>
      <c r="J34" s="1"/>
      <c r="K34" s="1" t="b">
        <v>1</v>
      </c>
      <c r="L34" s="1" t="b">
        <v>0</v>
      </c>
      <c r="M34" s="19">
        <v>2200.0</v>
      </c>
      <c r="N34" s="20">
        <v>2.1</v>
      </c>
      <c r="O34" s="20">
        <v>1047.62</v>
      </c>
      <c r="P34" s="21"/>
      <c r="Q34" s="1" t="s">
        <v>117</v>
      </c>
      <c r="R34" s="1" t="s">
        <v>154</v>
      </c>
      <c r="S34" s="1" t="s">
        <v>81</v>
      </c>
      <c r="T34" s="1" t="s">
        <v>81</v>
      </c>
      <c r="U34" s="1" t="s">
        <v>0</v>
      </c>
      <c r="V34" s="1" t="s">
        <v>156</v>
      </c>
      <c r="W34" s="22" t="s">
        <v>82</v>
      </c>
      <c r="X34" s="20">
        <v>323.46</v>
      </c>
      <c r="Y34" s="1" t="s">
        <v>312</v>
      </c>
      <c r="Z34" s="1" t="s">
        <v>313</v>
      </c>
      <c r="AA34" s="23" t="s">
        <v>101</v>
      </c>
      <c r="AB34" s="1">
        <v>1000.0</v>
      </c>
      <c r="AC34" s="1">
        <v>300.0</v>
      </c>
      <c r="AD34" s="1" t="s">
        <v>310</v>
      </c>
      <c r="AE34" s="1">
        <v>1.0</v>
      </c>
      <c r="AF34" s="5" t="s">
        <v>125</v>
      </c>
      <c r="AG34" s="5" t="s">
        <v>127</v>
      </c>
      <c r="AI34" s="5" t="s">
        <v>126</v>
      </c>
      <c r="AJ34" s="5" t="s">
        <v>128</v>
      </c>
      <c r="AK34" s="5" t="s">
        <v>130</v>
      </c>
      <c r="AL34" s="5" t="s">
        <v>131</v>
      </c>
    </row>
    <row r="35" ht="16.5" customHeight="1">
      <c r="A35" s="5" t="s">
        <v>60</v>
      </c>
      <c r="B35" s="1" t="b">
        <v>1</v>
      </c>
      <c r="C35" s="1" t="s">
        <v>314</v>
      </c>
      <c r="D35" s="1" t="s">
        <v>315</v>
      </c>
      <c r="E35" s="1" t="s">
        <v>65</v>
      </c>
      <c r="F35" s="1" t="s">
        <v>66</v>
      </c>
      <c r="G35" s="1" t="s">
        <v>126</v>
      </c>
      <c r="H35" s="1" t="s">
        <v>141</v>
      </c>
      <c r="I35" s="1" t="s">
        <v>107</v>
      </c>
      <c r="J35" s="1"/>
      <c r="K35" s="1" t="b">
        <v>1</v>
      </c>
      <c r="L35" s="1" t="b">
        <v>0</v>
      </c>
      <c r="M35" s="19">
        <v>2200.0</v>
      </c>
      <c r="N35" s="20">
        <v>2.1</v>
      </c>
      <c r="O35" s="20">
        <v>1047.62</v>
      </c>
      <c r="P35" s="21"/>
      <c r="Q35" s="1" t="s">
        <v>117</v>
      </c>
      <c r="R35" s="1" t="s">
        <v>154</v>
      </c>
      <c r="S35" s="1" t="s">
        <v>81</v>
      </c>
      <c r="T35" s="1" t="s">
        <v>81</v>
      </c>
      <c r="U35" s="1" t="s">
        <v>0</v>
      </c>
      <c r="V35" s="1" t="s">
        <v>156</v>
      </c>
      <c r="W35" s="22" t="s">
        <v>82</v>
      </c>
      <c r="X35" s="20">
        <v>301.45</v>
      </c>
      <c r="Y35" s="1" t="s">
        <v>317</v>
      </c>
      <c r="Z35" s="1" t="s">
        <v>318</v>
      </c>
      <c r="AA35" s="23" t="s">
        <v>101</v>
      </c>
      <c r="AB35" s="1">
        <v>1000.0</v>
      </c>
      <c r="AC35" s="1">
        <v>300.0</v>
      </c>
      <c r="AD35" s="1" t="s">
        <v>314</v>
      </c>
      <c r="AE35" s="1">
        <v>1.0</v>
      </c>
      <c r="AF35" s="5" t="s">
        <v>125</v>
      </c>
      <c r="AG35" s="5" t="s">
        <v>127</v>
      </c>
      <c r="AI35" s="5" t="s">
        <v>126</v>
      </c>
      <c r="AJ35" s="5" t="s">
        <v>128</v>
      </c>
      <c r="AK35" s="5" t="s">
        <v>130</v>
      </c>
      <c r="AL35" s="5" t="s">
        <v>131</v>
      </c>
    </row>
    <row r="36" ht="16.5" customHeight="1">
      <c r="A36" s="5" t="s">
        <v>60</v>
      </c>
      <c r="B36" s="1" t="b">
        <v>1</v>
      </c>
      <c r="C36" s="1" t="s">
        <v>320</v>
      </c>
      <c r="D36" s="1" t="s">
        <v>321</v>
      </c>
      <c r="E36" s="1" t="s">
        <v>65</v>
      </c>
      <c r="F36" s="1" t="s">
        <v>247</v>
      </c>
      <c r="G36" s="1" t="s">
        <v>248</v>
      </c>
      <c r="H36" s="1" t="s">
        <v>69</v>
      </c>
      <c r="I36" s="1" t="s">
        <v>249</v>
      </c>
      <c r="J36" s="1"/>
      <c r="K36" s="1" t="b">
        <v>1</v>
      </c>
      <c r="L36" s="1" t="b">
        <v>0</v>
      </c>
      <c r="M36" s="19">
        <v>400.0</v>
      </c>
      <c r="N36" s="20">
        <v>2.1</v>
      </c>
      <c r="O36" s="20">
        <v>190.48</v>
      </c>
      <c r="P36" s="21"/>
      <c r="Q36" s="1" t="s">
        <v>117</v>
      </c>
      <c r="R36" s="1" t="s">
        <v>145</v>
      </c>
      <c r="S36" s="1" t="s">
        <v>81</v>
      </c>
      <c r="T36" s="1" t="s">
        <v>81</v>
      </c>
      <c r="U36" s="1" t="s">
        <v>0</v>
      </c>
      <c r="V36" s="1" t="s">
        <v>0</v>
      </c>
      <c r="W36" s="22" t="s">
        <v>82</v>
      </c>
      <c r="X36" s="20">
        <v>76.85</v>
      </c>
      <c r="Y36" s="1" t="s">
        <v>0</v>
      </c>
      <c r="Z36" s="1" t="s">
        <v>0</v>
      </c>
      <c r="AA36" s="23" t="s">
        <v>173</v>
      </c>
      <c r="AB36" s="1">
        <v>500.0</v>
      </c>
      <c r="AC36" s="1">
        <v>500.0</v>
      </c>
      <c r="AD36" s="1" t="s">
        <v>320</v>
      </c>
      <c r="AE36" s="1">
        <v>4.0</v>
      </c>
      <c r="AF36" s="5" t="s">
        <v>125</v>
      </c>
      <c r="AG36" s="5" t="s">
        <v>174</v>
      </c>
      <c r="AI36" s="5" t="s">
        <v>248</v>
      </c>
      <c r="AJ36" s="5" t="s">
        <v>253</v>
      </c>
      <c r="AK36" s="5" t="s">
        <v>324</v>
      </c>
      <c r="AL36" s="5" t="s">
        <v>131</v>
      </c>
    </row>
    <row r="37" ht="16.5" customHeight="1">
      <c r="A37" s="5" t="s">
        <v>60</v>
      </c>
      <c r="B37" s="1" t="b">
        <v>1</v>
      </c>
      <c r="C37" s="1" t="s">
        <v>325</v>
      </c>
      <c r="D37" s="1" t="s">
        <v>326</v>
      </c>
      <c r="E37" s="1" t="s">
        <v>65</v>
      </c>
      <c r="F37" s="1" t="s">
        <v>247</v>
      </c>
      <c r="G37" s="1" t="s">
        <v>248</v>
      </c>
      <c r="H37" s="1" t="s">
        <v>69</v>
      </c>
      <c r="I37" s="1" t="s">
        <v>249</v>
      </c>
      <c r="J37" s="1"/>
      <c r="K37" s="1" t="b">
        <v>1</v>
      </c>
      <c r="L37" s="1" t="b">
        <v>0</v>
      </c>
      <c r="M37" s="19">
        <v>400.0</v>
      </c>
      <c r="N37" s="20">
        <v>2.1</v>
      </c>
      <c r="O37" s="20">
        <v>190.48</v>
      </c>
      <c r="P37" s="21"/>
      <c r="Q37" s="1" t="s">
        <v>78</v>
      </c>
      <c r="R37" s="1" t="s">
        <v>250</v>
      </c>
      <c r="S37" s="1" t="s">
        <v>81</v>
      </c>
      <c r="T37" s="1" t="s">
        <v>81</v>
      </c>
      <c r="U37" s="1" t="s">
        <v>0</v>
      </c>
      <c r="V37" s="1" t="s">
        <v>0</v>
      </c>
      <c r="W37" s="22" t="s">
        <v>82</v>
      </c>
      <c r="X37" s="20">
        <v>68.88</v>
      </c>
      <c r="Y37" s="1" t="s">
        <v>0</v>
      </c>
      <c r="Z37" s="1" t="s">
        <v>0</v>
      </c>
      <c r="AA37" s="23" t="s">
        <v>85</v>
      </c>
      <c r="AB37" s="1">
        <v>600.0</v>
      </c>
      <c r="AC37" s="1">
        <v>600.0</v>
      </c>
      <c r="AD37" s="1" t="s">
        <v>325</v>
      </c>
      <c r="AE37" s="1">
        <v>5.0</v>
      </c>
      <c r="AF37" s="5" t="s">
        <v>125</v>
      </c>
      <c r="AG37" s="5" t="s">
        <v>174</v>
      </c>
      <c r="AI37" s="5" t="s">
        <v>248</v>
      </c>
      <c r="AJ37" s="5" t="s">
        <v>253</v>
      </c>
      <c r="AK37" s="5" t="s">
        <v>254</v>
      </c>
      <c r="AL37" s="5" t="s">
        <v>131</v>
      </c>
    </row>
    <row r="38" ht="16.5" customHeight="1">
      <c r="A38" s="5" t="s">
        <v>60</v>
      </c>
      <c r="B38" s="1" t="b">
        <v>1</v>
      </c>
      <c r="C38" s="1" t="s">
        <v>327</v>
      </c>
      <c r="D38" s="1" t="s">
        <v>328</v>
      </c>
      <c r="E38" s="1" t="s">
        <v>65</v>
      </c>
      <c r="F38" s="1" t="s">
        <v>247</v>
      </c>
      <c r="G38" s="1" t="s">
        <v>270</v>
      </c>
      <c r="H38" s="1" t="s">
        <v>69</v>
      </c>
      <c r="I38" s="1" t="s">
        <v>70</v>
      </c>
      <c r="J38" s="1"/>
      <c r="K38" s="1" t="b">
        <v>1</v>
      </c>
      <c r="L38" s="1" t="b">
        <v>0</v>
      </c>
      <c r="M38" s="19">
        <v>1500.0</v>
      </c>
      <c r="N38" s="20">
        <v>2.1</v>
      </c>
      <c r="O38" s="20">
        <v>714.29</v>
      </c>
      <c r="P38" s="21"/>
      <c r="Q38" s="1" t="s">
        <v>117</v>
      </c>
      <c r="R38" s="1" t="s">
        <v>145</v>
      </c>
      <c r="S38" s="1" t="s">
        <v>81</v>
      </c>
      <c r="T38" s="1" t="s">
        <v>81</v>
      </c>
      <c r="U38" s="1" t="s">
        <v>0</v>
      </c>
      <c r="V38" s="1" t="s">
        <v>0</v>
      </c>
      <c r="W38" s="22" t="s">
        <v>82</v>
      </c>
      <c r="X38" s="20">
        <v>318.03000000000003</v>
      </c>
      <c r="Y38" s="1" t="s">
        <v>0</v>
      </c>
      <c r="Z38" s="1" t="s">
        <v>0</v>
      </c>
      <c r="AA38" s="23" t="s">
        <v>173</v>
      </c>
      <c r="AB38" s="1">
        <v>500.0</v>
      </c>
      <c r="AC38" s="1">
        <v>500.0</v>
      </c>
      <c r="AD38" s="1" t="s">
        <v>327</v>
      </c>
      <c r="AE38" s="1">
        <v>3.0</v>
      </c>
      <c r="AF38" s="5" t="s">
        <v>125</v>
      </c>
      <c r="AG38" s="5" t="s">
        <v>174</v>
      </c>
      <c r="AH38" s="5" t="s">
        <v>237</v>
      </c>
      <c r="AI38" s="5" t="s">
        <v>276</v>
      </c>
      <c r="AJ38" s="5" t="s">
        <v>161</v>
      </c>
      <c r="AK38" s="5" t="s">
        <v>277</v>
      </c>
      <c r="AL38" s="5" t="s">
        <v>131</v>
      </c>
    </row>
    <row r="39" ht="16.5" customHeight="1">
      <c r="A39" s="5" t="s">
        <v>60</v>
      </c>
      <c r="B39" s="1" t="b">
        <v>1</v>
      </c>
      <c r="C39" s="1" t="s">
        <v>330</v>
      </c>
      <c r="D39" s="1" t="s">
        <v>331</v>
      </c>
      <c r="E39" s="1" t="s">
        <v>65</v>
      </c>
      <c r="F39" s="1" t="s">
        <v>247</v>
      </c>
      <c r="G39" s="1" t="s">
        <v>270</v>
      </c>
      <c r="H39" s="1" t="s">
        <v>69</v>
      </c>
      <c r="I39" s="1" t="s">
        <v>107</v>
      </c>
      <c r="J39" s="1"/>
      <c r="K39" s="1" t="b">
        <v>1</v>
      </c>
      <c r="L39" s="1" t="b">
        <v>0</v>
      </c>
      <c r="M39" s="19">
        <v>1500.0</v>
      </c>
      <c r="N39" s="20">
        <v>2.1</v>
      </c>
      <c r="O39" s="20">
        <v>714.29</v>
      </c>
      <c r="P39" s="21"/>
      <c r="Q39" s="1" t="s">
        <v>117</v>
      </c>
      <c r="R39" s="1" t="s">
        <v>145</v>
      </c>
      <c r="S39" s="1" t="s">
        <v>81</v>
      </c>
      <c r="T39" s="1" t="s">
        <v>81</v>
      </c>
      <c r="U39" s="1" t="s">
        <v>0</v>
      </c>
      <c r="V39" s="1" t="s">
        <v>0</v>
      </c>
      <c r="W39" s="22" t="s">
        <v>82</v>
      </c>
      <c r="X39" s="20">
        <v>285.58</v>
      </c>
      <c r="Y39" s="1" t="s">
        <v>0</v>
      </c>
      <c r="Z39" s="1" t="s">
        <v>0</v>
      </c>
      <c r="AA39" s="23" t="s">
        <v>173</v>
      </c>
      <c r="AB39" s="1">
        <v>500.0</v>
      </c>
      <c r="AC39" s="1">
        <v>500.0</v>
      </c>
      <c r="AD39" s="1" t="s">
        <v>330</v>
      </c>
      <c r="AE39" s="1">
        <v>3.0</v>
      </c>
      <c r="AF39" s="5" t="s">
        <v>125</v>
      </c>
      <c r="AG39" s="5" t="s">
        <v>174</v>
      </c>
      <c r="AH39" s="5" t="s">
        <v>237</v>
      </c>
      <c r="AI39" s="5" t="s">
        <v>276</v>
      </c>
      <c r="AJ39" s="5" t="s">
        <v>161</v>
      </c>
      <c r="AK39" s="5" t="s">
        <v>277</v>
      </c>
      <c r="AL39" s="5" t="s">
        <v>131</v>
      </c>
    </row>
    <row r="40" ht="16.5" customHeight="1">
      <c r="A40" s="5" t="s">
        <v>60</v>
      </c>
      <c r="B40" s="1" t="b">
        <v>1</v>
      </c>
      <c r="C40" s="1" t="s">
        <v>332</v>
      </c>
      <c r="D40" s="1" t="s">
        <v>333</v>
      </c>
      <c r="E40" s="1" t="s">
        <v>65</v>
      </c>
      <c r="F40" s="1" t="s">
        <v>247</v>
      </c>
      <c r="G40" s="1" t="s">
        <v>334</v>
      </c>
      <c r="H40" s="1" t="s">
        <v>69</v>
      </c>
      <c r="I40" s="1" t="s">
        <v>70</v>
      </c>
      <c r="J40" s="1"/>
      <c r="K40" s="1" t="b">
        <v>1</v>
      </c>
      <c r="L40" s="1" t="b">
        <v>0</v>
      </c>
      <c r="M40" s="19">
        <v>800.0</v>
      </c>
      <c r="N40" s="20">
        <v>2.1</v>
      </c>
      <c r="O40" s="20">
        <v>380.95</v>
      </c>
      <c r="P40" s="21"/>
      <c r="Q40" s="1" t="s">
        <v>117</v>
      </c>
      <c r="R40" s="1" t="s">
        <v>336</v>
      </c>
      <c r="S40" s="1" t="s">
        <v>81</v>
      </c>
      <c r="T40" s="1" t="s">
        <v>81</v>
      </c>
      <c r="U40" s="1" t="s">
        <v>0</v>
      </c>
      <c r="V40" s="1" t="s">
        <v>0</v>
      </c>
      <c r="W40" s="22" t="s">
        <v>82</v>
      </c>
      <c r="X40" s="20">
        <v>159.59000000000003</v>
      </c>
      <c r="Y40" s="1" t="s">
        <v>0</v>
      </c>
      <c r="Z40" s="1" t="s">
        <v>0</v>
      </c>
      <c r="AA40" s="23" t="s">
        <v>173</v>
      </c>
      <c r="AB40" s="1">
        <v>500.0</v>
      </c>
      <c r="AC40" s="1">
        <v>500.0</v>
      </c>
      <c r="AD40" s="1" t="s">
        <v>332</v>
      </c>
      <c r="AE40" s="1">
        <v>5.0</v>
      </c>
      <c r="AF40" s="5" t="s">
        <v>125</v>
      </c>
      <c r="AG40" s="5" t="s">
        <v>174</v>
      </c>
      <c r="AH40" s="5" t="s">
        <v>237</v>
      </c>
      <c r="AI40" s="5" t="s">
        <v>334</v>
      </c>
      <c r="AJ40" s="5" t="s">
        <v>337</v>
      </c>
      <c r="AK40" s="5" t="s">
        <v>338</v>
      </c>
      <c r="AL40" s="5" t="s">
        <v>131</v>
      </c>
    </row>
    <row r="41" ht="16.5" customHeight="1">
      <c r="A41" s="5" t="s">
        <v>60</v>
      </c>
      <c r="B41" s="1" t="b">
        <v>1</v>
      </c>
      <c r="C41" s="1" t="s">
        <v>339</v>
      </c>
      <c r="D41" s="1" t="s">
        <v>340</v>
      </c>
      <c r="E41" s="1" t="s">
        <v>65</v>
      </c>
      <c r="F41" s="1" t="s">
        <v>247</v>
      </c>
      <c r="G41" s="1" t="s">
        <v>334</v>
      </c>
      <c r="H41" s="1" t="s">
        <v>69</v>
      </c>
      <c r="I41" s="1" t="s">
        <v>107</v>
      </c>
      <c r="J41" s="1"/>
      <c r="K41" s="1" t="b">
        <v>1</v>
      </c>
      <c r="L41" s="1" t="b">
        <v>0</v>
      </c>
      <c r="M41" s="19">
        <v>800.0</v>
      </c>
      <c r="N41" s="20">
        <v>2.1</v>
      </c>
      <c r="O41" s="20">
        <v>380.95</v>
      </c>
      <c r="P41" s="21"/>
      <c r="Q41" s="1" t="s">
        <v>242</v>
      </c>
      <c r="R41" s="1" t="s">
        <v>336</v>
      </c>
      <c r="S41" s="1" t="s">
        <v>81</v>
      </c>
      <c r="T41" s="1" t="s">
        <v>81</v>
      </c>
      <c r="U41" s="1" t="s">
        <v>0</v>
      </c>
      <c r="V41" s="1" t="s">
        <v>0</v>
      </c>
      <c r="W41" s="22" t="s">
        <v>82</v>
      </c>
      <c r="X41" s="20">
        <v>149.86</v>
      </c>
      <c r="Y41" s="1" t="s">
        <v>0</v>
      </c>
      <c r="Z41" s="1" t="s">
        <v>0</v>
      </c>
      <c r="AA41" s="23" t="s">
        <v>173</v>
      </c>
      <c r="AB41" s="1">
        <v>500.0</v>
      </c>
      <c r="AC41" s="1">
        <v>500.0</v>
      </c>
      <c r="AD41" s="1" t="s">
        <v>339</v>
      </c>
      <c r="AE41" s="1">
        <v>5.0</v>
      </c>
      <c r="AF41" s="5" t="s">
        <v>125</v>
      </c>
      <c r="AG41" s="5" t="s">
        <v>174</v>
      </c>
      <c r="AH41" s="5" t="s">
        <v>237</v>
      </c>
      <c r="AI41" s="5" t="s">
        <v>334</v>
      </c>
      <c r="AJ41" s="5" t="s">
        <v>337</v>
      </c>
      <c r="AK41" s="5" t="s">
        <v>338</v>
      </c>
      <c r="AL41" s="5" t="s">
        <v>131</v>
      </c>
    </row>
    <row r="42" ht="16.5" customHeight="1">
      <c r="A42" s="5" t="s">
        <v>60</v>
      </c>
      <c r="B42" s="1" t="b">
        <v>1</v>
      </c>
      <c r="C42" s="1" t="s">
        <v>342</v>
      </c>
      <c r="D42" s="1" t="s">
        <v>343</v>
      </c>
      <c r="E42" s="1" t="s">
        <v>65</v>
      </c>
      <c r="F42" s="1" t="s">
        <v>247</v>
      </c>
      <c r="G42" s="1" t="s">
        <v>248</v>
      </c>
      <c r="H42" s="1" t="s">
        <v>69</v>
      </c>
      <c r="I42" s="1" t="s">
        <v>249</v>
      </c>
      <c r="J42" s="1"/>
      <c r="K42" s="1" t="b">
        <v>1</v>
      </c>
      <c r="L42" s="1" t="b">
        <v>0</v>
      </c>
      <c r="M42" s="19">
        <v>500.0</v>
      </c>
      <c r="N42" s="20">
        <v>2.1</v>
      </c>
      <c r="O42" s="20">
        <v>238.1</v>
      </c>
      <c r="P42" s="21"/>
      <c r="Q42" s="1" t="s">
        <v>117</v>
      </c>
      <c r="R42" s="1" t="s">
        <v>145</v>
      </c>
      <c r="S42" s="1" t="s">
        <v>81</v>
      </c>
      <c r="T42" s="1" t="s">
        <v>81</v>
      </c>
      <c r="U42" s="1" t="s">
        <v>0</v>
      </c>
      <c r="V42" s="1" t="s">
        <v>0</v>
      </c>
      <c r="W42" s="22" t="s">
        <v>82</v>
      </c>
      <c r="X42" s="20">
        <v>78.46999999999998</v>
      </c>
      <c r="Y42" s="1" t="s">
        <v>0</v>
      </c>
      <c r="Z42" s="1" t="s">
        <v>0</v>
      </c>
      <c r="AA42" s="23" t="s">
        <v>85</v>
      </c>
      <c r="AB42" s="1">
        <v>600.0</v>
      </c>
      <c r="AC42" s="1">
        <v>600.0</v>
      </c>
      <c r="AD42" s="1" t="s">
        <v>342</v>
      </c>
      <c r="AE42" s="1">
        <v>4.0</v>
      </c>
      <c r="AF42" s="5" t="s">
        <v>125</v>
      </c>
      <c r="AG42" s="5" t="s">
        <v>174</v>
      </c>
      <c r="AI42" s="5" t="s">
        <v>248</v>
      </c>
      <c r="AJ42" s="5" t="s">
        <v>253</v>
      </c>
      <c r="AK42" s="5" t="s">
        <v>254</v>
      </c>
      <c r="AL42" s="5" t="s">
        <v>131</v>
      </c>
    </row>
    <row r="43" ht="16.5" customHeight="1">
      <c r="A43" s="5" t="s">
        <v>60</v>
      </c>
      <c r="B43" s="1" t="b">
        <v>1</v>
      </c>
      <c r="C43" s="1" t="s">
        <v>345</v>
      </c>
      <c r="D43" s="1" t="s">
        <v>346</v>
      </c>
      <c r="E43" s="1" t="s">
        <v>65</v>
      </c>
      <c r="F43" s="1" t="s">
        <v>247</v>
      </c>
      <c r="G43" s="1" t="s">
        <v>334</v>
      </c>
      <c r="H43" s="1" t="s">
        <v>69</v>
      </c>
      <c r="I43" s="1" t="s">
        <v>70</v>
      </c>
      <c r="J43" s="1"/>
      <c r="K43" s="1" t="b">
        <v>1</v>
      </c>
      <c r="L43" s="1" t="b">
        <v>0</v>
      </c>
      <c r="M43" s="19">
        <v>700.0</v>
      </c>
      <c r="N43" s="20">
        <v>2.1</v>
      </c>
      <c r="O43" s="20">
        <v>333.33</v>
      </c>
      <c r="P43" s="21"/>
      <c r="Q43" s="1" t="s">
        <v>242</v>
      </c>
      <c r="R43" s="1" t="s">
        <v>336</v>
      </c>
      <c r="S43" s="1" t="s">
        <v>81</v>
      </c>
      <c r="T43" s="1" t="s">
        <v>81</v>
      </c>
      <c r="U43" s="1" t="s">
        <v>0</v>
      </c>
      <c r="V43" s="1" t="s">
        <v>0</v>
      </c>
      <c r="W43" s="22" t="s">
        <v>82</v>
      </c>
      <c r="X43" s="20">
        <v>127.15</v>
      </c>
      <c r="Y43" s="1" t="s">
        <v>0</v>
      </c>
      <c r="Z43" s="1" t="s">
        <v>0</v>
      </c>
      <c r="AA43" s="23" t="s">
        <v>85</v>
      </c>
      <c r="AB43" s="1">
        <v>500.0</v>
      </c>
      <c r="AC43" s="1">
        <v>500.0</v>
      </c>
      <c r="AD43" s="1" t="s">
        <v>345</v>
      </c>
      <c r="AE43" s="1">
        <v>5.0</v>
      </c>
      <c r="AF43" s="5" t="s">
        <v>125</v>
      </c>
      <c r="AG43" s="5" t="s">
        <v>174</v>
      </c>
      <c r="AH43" s="5" t="s">
        <v>237</v>
      </c>
      <c r="AI43" s="5" t="s">
        <v>334</v>
      </c>
      <c r="AJ43" s="5" t="s">
        <v>348</v>
      </c>
      <c r="AK43" s="5" t="s">
        <v>338</v>
      </c>
      <c r="AL43" s="5" t="s">
        <v>131</v>
      </c>
    </row>
    <row r="44" ht="16.5" customHeight="1">
      <c r="A44" s="5" t="s">
        <v>60</v>
      </c>
      <c r="B44" s="1" t="b">
        <v>1</v>
      </c>
      <c r="C44" s="1" t="s">
        <v>349</v>
      </c>
      <c r="D44" s="1" t="s">
        <v>350</v>
      </c>
      <c r="E44" s="1" t="s">
        <v>65</v>
      </c>
      <c r="F44" s="1" t="s">
        <v>247</v>
      </c>
      <c r="G44" s="1" t="s">
        <v>334</v>
      </c>
      <c r="H44" s="1" t="s">
        <v>69</v>
      </c>
      <c r="I44" s="1" t="s">
        <v>107</v>
      </c>
      <c r="J44" s="1"/>
      <c r="K44" s="1" t="b">
        <v>1</v>
      </c>
      <c r="L44" s="1" t="b">
        <v>0</v>
      </c>
      <c r="M44" s="19">
        <v>700.0</v>
      </c>
      <c r="N44" s="20">
        <v>2.1</v>
      </c>
      <c r="O44" s="20">
        <v>333.33</v>
      </c>
      <c r="P44" s="21"/>
      <c r="Q44" s="1" t="s">
        <v>242</v>
      </c>
      <c r="R44" s="1" t="s">
        <v>336</v>
      </c>
      <c r="S44" s="1" t="s">
        <v>81</v>
      </c>
      <c r="T44" s="1" t="s">
        <v>81</v>
      </c>
      <c r="U44" s="1" t="s">
        <v>0</v>
      </c>
      <c r="V44" s="1" t="s">
        <v>0</v>
      </c>
      <c r="W44" s="22" t="s">
        <v>82</v>
      </c>
      <c r="X44" s="20">
        <v>120.66</v>
      </c>
      <c r="Y44" s="1" t="s">
        <v>0</v>
      </c>
      <c r="Z44" s="1" t="s">
        <v>0</v>
      </c>
      <c r="AA44" s="23" t="s">
        <v>85</v>
      </c>
      <c r="AB44" s="1">
        <v>500.0</v>
      </c>
      <c r="AC44" s="1">
        <v>500.0</v>
      </c>
      <c r="AD44" s="1" t="s">
        <v>349</v>
      </c>
      <c r="AE44" s="1">
        <v>5.0</v>
      </c>
      <c r="AF44" s="5" t="s">
        <v>125</v>
      </c>
      <c r="AG44" s="5" t="s">
        <v>174</v>
      </c>
      <c r="AH44" s="5" t="s">
        <v>237</v>
      </c>
      <c r="AI44" s="5" t="s">
        <v>334</v>
      </c>
      <c r="AJ44" s="5" t="s">
        <v>348</v>
      </c>
      <c r="AK44" s="5" t="s">
        <v>338</v>
      </c>
      <c r="AL44" s="5" t="s">
        <v>131</v>
      </c>
    </row>
    <row r="45" ht="16.5" customHeight="1">
      <c r="A45" s="5" t="s">
        <v>60</v>
      </c>
      <c r="B45" s="1" t="b">
        <v>1</v>
      </c>
      <c r="C45" s="1" t="s">
        <v>351</v>
      </c>
      <c r="D45" s="1" t="s">
        <v>352</v>
      </c>
      <c r="E45" s="1" t="s">
        <v>65</v>
      </c>
      <c r="F45" s="1" t="s">
        <v>247</v>
      </c>
      <c r="G45" s="1" t="s">
        <v>248</v>
      </c>
      <c r="H45" s="1" t="s">
        <v>69</v>
      </c>
      <c r="I45" s="1" t="s">
        <v>249</v>
      </c>
      <c r="J45" s="1"/>
      <c r="K45" s="1" t="b">
        <v>1</v>
      </c>
      <c r="L45" s="1" t="b">
        <v>0</v>
      </c>
      <c r="M45" s="19">
        <v>400.0</v>
      </c>
      <c r="N45" s="20">
        <v>2.1</v>
      </c>
      <c r="O45" s="20">
        <v>190.48</v>
      </c>
      <c r="P45" s="21"/>
      <c r="Q45" s="1" t="s">
        <v>117</v>
      </c>
      <c r="R45" s="1" t="s">
        <v>145</v>
      </c>
      <c r="S45" s="1" t="s">
        <v>81</v>
      </c>
      <c r="T45" s="1" t="s">
        <v>81</v>
      </c>
      <c r="U45" s="1" t="s">
        <v>0</v>
      </c>
      <c r="V45" s="1" t="s">
        <v>156</v>
      </c>
      <c r="W45" s="22" t="s">
        <v>82</v>
      </c>
      <c r="X45" s="20">
        <v>67.87</v>
      </c>
      <c r="Y45" s="1" t="s">
        <v>0</v>
      </c>
      <c r="Z45" s="1" t="s">
        <v>0</v>
      </c>
      <c r="AA45" s="23" t="s">
        <v>173</v>
      </c>
      <c r="AB45" s="1">
        <v>600.0</v>
      </c>
      <c r="AC45" s="1">
        <v>600.0</v>
      </c>
      <c r="AD45" s="1" t="s">
        <v>351</v>
      </c>
      <c r="AE45" s="1">
        <v>4.0</v>
      </c>
      <c r="AF45" s="5" t="s">
        <v>125</v>
      </c>
      <c r="AG45" s="5" t="s">
        <v>174</v>
      </c>
      <c r="AI45" s="5" t="s">
        <v>248</v>
      </c>
      <c r="AJ45" s="5" t="s">
        <v>253</v>
      </c>
      <c r="AK45" s="5" t="s">
        <v>254</v>
      </c>
      <c r="AL45" s="5" t="s">
        <v>131</v>
      </c>
    </row>
    <row r="46" ht="16.5" customHeight="1">
      <c r="A46" s="5" t="s">
        <v>60</v>
      </c>
      <c r="B46" s="1" t="b">
        <v>1</v>
      </c>
      <c r="C46" s="1" t="s">
        <v>356</v>
      </c>
      <c r="D46" s="1" t="s">
        <v>357</v>
      </c>
      <c r="E46" s="1" t="s">
        <v>65</v>
      </c>
      <c r="F46" s="1" t="s">
        <v>247</v>
      </c>
      <c r="G46" s="1" t="s">
        <v>355</v>
      </c>
      <c r="H46" s="1" t="s">
        <v>69</v>
      </c>
      <c r="I46" s="1" t="s">
        <v>70</v>
      </c>
      <c r="J46" s="1"/>
      <c r="K46" s="1" t="b">
        <v>1</v>
      </c>
      <c r="L46" s="1" t="b">
        <v>0</v>
      </c>
      <c r="M46" s="19">
        <v>2800.0</v>
      </c>
      <c r="N46" s="20">
        <v>2.1</v>
      </c>
      <c r="O46" s="20">
        <v>1333.33</v>
      </c>
      <c r="P46" s="21"/>
      <c r="Q46" s="1" t="s">
        <v>117</v>
      </c>
      <c r="R46" s="1" t="s">
        <v>358</v>
      </c>
      <c r="S46" s="1" t="s">
        <v>359</v>
      </c>
      <c r="T46" s="1" t="s">
        <v>81</v>
      </c>
      <c r="U46" s="1" t="s">
        <v>0</v>
      </c>
      <c r="V46" s="1" t="s">
        <v>0</v>
      </c>
      <c r="W46" s="22" t="s">
        <v>82</v>
      </c>
      <c r="X46" s="20">
        <v>510.16</v>
      </c>
      <c r="Y46" s="1" t="s">
        <v>0</v>
      </c>
      <c r="Z46" s="1" t="s">
        <v>0</v>
      </c>
      <c r="AA46" s="23" t="s">
        <v>173</v>
      </c>
      <c r="AB46" s="1">
        <v>800.0</v>
      </c>
      <c r="AC46" s="1">
        <v>100.0</v>
      </c>
      <c r="AD46" s="1" t="s">
        <v>356</v>
      </c>
      <c r="AE46" s="1">
        <v>3.0</v>
      </c>
      <c r="AF46" s="5" t="s">
        <v>125</v>
      </c>
      <c r="AG46" s="5" t="s">
        <v>127</v>
      </c>
      <c r="AH46" s="5" t="s">
        <v>237</v>
      </c>
      <c r="AI46" s="5" t="s">
        <v>355</v>
      </c>
      <c r="AJ46" s="5" t="s">
        <v>161</v>
      </c>
      <c r="AK46" s="5" t="s">
        <v>360</v>
      </c>
      <c r="AL46" s="5" t="s">
        <v>131</v>
      </c>
    </row>
    <row r="47" ht="16.5" customHeight="1">
      <c r="A47" s="5" t="s">
        <v>60</v>
      </c>
      <c r="B47" s="1" t="b">
        <v>1</v>
      </c>
      <c r="C47" s="1" t="s">
        <v>361</v>
      </c>
      <c r="D47" s="1" t="s">
        <v>362</v>
      </c>
      <c r="E47" s="1" t="s">
        <v>65</v>
      </c>
      <c r="F47" s="1" t="s">
        <v>247</v>
      </c>
      <c r="G47" s="1" t="s">
        <v>355</v>
      </c>
      <c r="H47" s="1" t="s">
        <v>69</v>
      </c>
      <c r="I47" s="1" t="s">
        <v>107</v>
      </c>
      <c r="J47" s="1"/>
      <c r="K47" s="1" t="b">
        <v>1</v>
      </c>
      <c r="L47" s="1" t="b">
        <v>0</v>
      </c>
      <c r="M47" s="19">
        <v>2800.0</v>
      </c>
      <c r="N47" s="20">
        <v>2.1</v>
      </c>
      <c r="O47" s="20">
        <v>1333.33</v>
      </c>
      <c r="P47" s="21"/>
      <c r="Q47" s="1" t="s">
        <v>117</v>
      </c>
      <c r="R47" s="1" t="s">
        <v>358</v>
      </c>
      <c r="S47" s="1" t="s">
        <v>359</v>
      </c>
      <c r="T47" s="1" t="s">
        <v>81</v>
      </c>
      <c r="U47" s="1" t="s">
        <v>0</v>
      </c>
      <c r="V47" s="1" t="s">
        <v>0</v>
      </c>
      <c r="W47" s="22" t="s">
        <v>82</v>
      </c>
      <c r="X47" s="20">
        <v>455.64000000000004</v>
      </c>
      <c r="Y47" s="1" t="s">
        <v>0</v>
      </c>
      <c r="Z47" s="1" t="s">
        <v>0</v>
      </c>
      <c r="AA47" s="23" t="s">
        <v>173</v>
      </c>
      <c r="AB47" s="1">
        <v>800.0</v>
      </c>
      <c r="AC47" s="1">
        <v>100.0</v>
      </c>
      <c r="AD47" s="1" t="s">
        <v>361</v>
      </c>
      <c r="AE47" s="1">
        <v>3.0</v>
      </c>
      <c r="AF47" s="5" t="s">
        <v>125</v>
      </c>
      <c r="AG47" s="5" t="s">
        <v>127</v>
      </c>
      <c r="AH47" s="5" t="s">
        <v>237</v>
      </c>
      <c r="AI47" s="5" t="s">
        <v>355</v>
      </c>
      <c r="AJ47" s="5" t="s">
        <v>161</v>
      </c>
      <c r="AK47" s="5" t="s">
        <v>360</v>
      </c>
      <c r="AL47" s="5" t="s">
        <v>131</v>
      </c>
    </row>
    <row r="48" ht="16.5" hidden="1" customHeight="1">
      <c r="A48" s="5" t="s">
        <v>60</v>
      </c>
      <c r="B48" s="1" t="b">
        <v>0</v>
      </c>
      <c r="C48" s="1" t="s">
        <v>368</v>
      </c>
      <c r="D48" s="1" t="s">
        <v>369</v>
      </c>
      <c r="E48" s="1" t="s">
        <v>65</v>
      </c>
      <c r="F48" s="1" t="s">
        <v>247</v>
      </c>
      <c r="G48" s="1" t="s">
        <v>355</v>
      </c>
      <c r="H48" s="1" t="s">
        <v>69</v>
      </c>
      <c r="I48" s="1" t="s">
        <v>70</v>
      </c>
      <c r="J48" s="1"/>
      <c r="K48" s="1" t="b">
        <v>1</v>
      </c>
      <c r="L48" s="1" t="b">
        <v>0</v>
      </c>
      <c r="M48" s="19">
        <v>2000.0</v>
      </c>
      <c r="N48" s="20">
        <v>2.1</v>
      </c>
      <c r="O48" s="20">
        <v>952.38</v>
      </c>
      <c r="P48" s="21"/>
      <c r="Q48" s="1" t="s">
        <v>117</v>
      </c>
      <c r="R48" s="1" t="s">
        <v>358</v>
      </c>
      <c r="S48" s="1" t="s">
        <v>359</v>
      </c>
      <c r="T48" s="1" t="s">
        <v>81</v>
      </c>
      <c r="U48" s="1" t="s">
        <v>372</v>
      </c>
      <c r="V48" s="1" t="s">
        <v>0</v>
      </c>
      <c r="W48" s="22" t="s">
        <v>82</v>
      </c>
      <c r="X48" s="20">
        <v>335.12</v>
      </c>
      <c r="Y48" s="1" t="s">
        <v>0</v>
      </c>
      <c r="Z48" s="1" t="s">
        <v>0</v>
      </c>
      <c r="AA48" s="23" t="s">
        <v>173</v>
      </c>
      <c r="AB48" s="1">
        <v>800.0</v>
      </c>
      <c r="AC48" s="1">
        <v>100.0</v>
      </c>
      <c r="AD48" s="1" t="s">
        <v>368</v>
      </c>
      <c r="AE48" s="1">
        <v>0.0</v>
      </c>
      <c r="AF48" s="5" t="s">
        <v>125</v>
      </c>
      <c r="AG48" s="5" t="s">
        <v>127</v>
      </c>
      <c r="AH48" s="5" t="s">
        <v>237</v>
      </c>
      <c r="AI48" s="5" t="s">
        <v>355</v>
      </c>
      <c r="AJ48" s="5" t="s">
        <v>373</v>
      </c>
      <c r="AK48" s="5" t="s">
        <v>360</v>
      </c>
      <c r="AL48" s="5" t="s">
        <v>131</v>
      </c>
    </row>
    <row r="49" ht="16.5" hidden="1" customHeight="1">
      <c r="A49" s="5" t="s">
        <v>60</v>
      </c>
      <c r="B49" s="1" t="b">
        <v>0</v>
      </c>
      <c r="C49" s="1" t="s">
        <v>374</v>
      </c>
      <c r="D49" s="1" t="s">
        <v>375</v>
      </c>
      <c r="E49" s="1" t="s">
        <v>65</v>
      </c>
      <c r="F49" s="1" t="s">
        <v>247</v>
      </c>
      <c r="G49" s="1" t="s">
        <v>355</v>
      </c>
      <c r="H49" s="1" t="s">
        <v>69</v>
      </c>
      <c r="I49" s="1" t="s">
        <v>107</v>
      </c>
      <c r="J49" s="1"/>
      <c r="K49" s="1" t="b">
        <v>1</v>
      </c>
      <c r="L49" s="1" t="b">
        <v>0</v>
      </c>
      <c r="M49" s="19">
        <v>2000.0</v>
      </c>
      <c r="N49" s="20">
        <v>2.1</v>
      </c>
      <c r="O49" s="20">
        <v>952.38</v>
      </c>
      <c r="P49" s="21"/>
      <c r="Q49" s="1" t="s">
        <v>117</v>
      </c>
      <c r="R49" s="1" t="s">
        <v>358</v>
      </c>
      <c r="S49" s="1" t="s">
        <v>359</v>
      </c>
      <c r="T49" s="1" t="s">
        <v>81</v>
      </c>
      <c r="U49" s="1" t="s">
        <v>372</v>
      </c>
      <c r="V49" s="1" t="s">
        <v>0</v>
      </c>
      <c r="W49" s="22" t="s">
        <v>82</v>
      </c>
      <c r="X49" s="20">
        <v>301.81000000000006</v>
      </c>
      <c r="Y49" s="1" t="s">
        <v>0</v>
      </c>
      <c r="Z49" s="1" t="s">
        <v>0</v>
      </c>
      <c r="AA49" s="23" t="s">
        <v>173</v>
      </c>
      <c r="AB49" s="1">
        <v>800.0</v>
      </c>
      <c r="AC49" s="1">
        <v>100.0</v>
      </c>
      <c r="AD49" s="1" t="s">
        <v>374</v>
      </c>
      <c r="AE49" s="1">
        <v>0.0</v>
      </c>
      <c r="AF49" s="5" t="s">
        <v>125</v>
      </c>
      <c r="AG49" s="5" t="s">
        <v>127</v>
      </c>
      <c r="AH49" s="5" t="s">
        <v>237</v>
      </c>
      <c r="AI49" s="5" t="s">
        <v>355</v>
      </c>
      <c r="AJ49" s="5" t="s">
        <v>373</v>
      </c>
      <c r="AK49" s="5" t="s">
        <v>360</v>
      </c>
      <c r="AL49" s="5" t="s">
        <v>131</v>
      </c>
    </row>
    <row r="50" ht="16.5" customHeight="1">
      <c r="A50" s="5" t="s">
        <v>60</v>
      </c>
      <c r="B50" s="1" t="b">
        <v>1</v>
      </c>
      <c r="C50" s="1" t="s">
        <v>376</v>
      </c>
      <c r="D50" s="1" t="s">
        <v>377</v>
      </c>
      <c r="E50" s="1" t="s">
        <v>65</v>
      </c>
      <c r="F50" s="1" t="s">
        <v>66</v>
      </c>
      <c r="G50" s="1" t="s">
        <v>68</v>
      </c>
      <c r="H50" s="1" t="s">
        <v>69</v>
      </c>
      <c r="I50" s="1" t="s">
        <v>70</v>
      </c>
      <c r="J50" s="1"/>
      <c r="K50" s="1" t="b">
        <v>0</v>
      </c>
      <c r="L50" s="1" t="b">
        <v>0</v>
      </c>
      <c r="M50" s="19">
        <v>2800.0</v>
      </c>
      <c r="N50" s="20">
        <v>2.1</v>
      </c>
      <c r="O50" s="20">
        <v>1190.48</v>
      </c>
      <c r="P50" s="21"/>
      <c r="Q50" s="1" t="s">
        <v>117</v>
      </c>
      <c r="R50" s="1" t="s">
        <v>145</v>
      </c>
      <c r="S50" s="1" t="s">
        <v>80</v>
      </c>
      <c r="T50" s="1" t="s">
        <v>81</v>
      </c>
      <c r="U50" s="1" t="s">
        <v>0</v>
      </c>
      <c r="V50" s="1" t="s">
        <v>0</v>
      </c>
      <c r="W50" s="22" t="s">
        <v>202</v>
      </c>
      <c r="X50" s="20">
        <v>560.79</v>
      </c>
      <c r="Y50" s="1" t="s">
        <v>0</v>
      </c>
      <c r="Z50" s="1" t="s">
        <v>0</v>
      </c>
      <c r="AA50" s="23" t="s">
        <v>85</v>
      </c>
      <c r="AB50" s="1">
        <v>1000.0</v>
      </c>
      <c r="AC50" s="1">
        <v>300.0</v>
      </c>
      <c r="AD50" s="1" t="s">
        <v>376</v>
      </c>
      <c r="AE50" s="1">
        <v>1.0</v>
      </c>
      <c r="AF50" s="5" t="s">
        <v>86</v>
      </c>
      <c r="AG50" s="5" t="s">
        <v>87</v>
      </c>
      <c r="AH50" s="32" t="s">
        <v>379</v>
      </c>
      <c r="AI50" s="5" t="s">
        <v>68</v>
      </c>
      <c r="AJ50" s="5" t="s">
        <v>128</v>
      </c>
      <c r="AK50" s="5" t="s">
        <v>90</v>
      </c>
      <c r="AL50" s="5" t="s">
        <v>91</v>
      </c>
    </row>
    <row r="51" ht="16.5" customHeight="1">
      <c r="A51" s="5" t="s">
        <v>60</v>
      </c>
      <c r="B51" s="1" t="b">
        <v>1</v>
      </c>
      <c r="C51" s="1" t="s">
        <v>380</v>
      </c>
      <c r="D51" s="1" t="s">
        <v>381</v>
      </c>
      <c r="E51" s="1" t="s">
        <v>65</v>
      </c>
      <c r="F51" s="1" t="s">
        <v>66</v>
      </c>
      <c r="G51" s="1" t="s">
        <v>68</v>
      </c>
      <c r="H51" s="1" t="s">
        <v>69</v>
      </c>
      <c r="I51" s="1" t="s">
        <v>107</v>
      </c>
      <c r="J51" s="1"/>
      <c r="K51" s="1" t="b">
        <v>0</v>
      </c>
      <c r="L51" s="1" t="b">
        <v>0</v>
      </c>
      <c r="M51" s="19">
        <v>2800.0</v>
      </c>
      <c r="N51" s="20">
        <v>2.1</v>
      </c>
      <c r="O51" s="20">
        <v>1190.48</v>
      </c>
      <c r="P51" s="21"/>
      <c r="Q51" s="1" t="s">
        <v>117</v>
      </c>
      <c r="R51" s="1" t="s">
        <v>145</v>
      </c>
      <c r="S51" s="1" t="s">
        <v>80</v>
      </c>
      <c r="T51" s="1" t="s">
        <v>81</v>
      </c>
      <c r="U51" s="1" t="s">
        <v>0</v>
      </c>
      <c r="V51" s="1" t="s">
        <v>0</v>
      </c>
      <c r="W51" s="22" t="s">
        <v>202</v>
      </c>
      <c r="X51" s="20">
        <v>536.73</v>
      </c>
      <c r="Y51" s="1" t="s">
        <v>0</v>
      </c>
      <c r="Z51" s="1" t="s">
        <v>0</v>
      </c>
      <c r="AA51" s="23" t="s">
        <v>85</v>
      </c>
      <c r="AB51" s="1">
        <v>1000.0</v>
      </c>
      <c r="AC51" s="1">
        <v>300.0</v>
      </c>
      <c r="AD51" s="1" t="s">
        <v>380</v>
      </c>
      <c r="AE51" s="1">
        <v>1.0</v>
      </c>
      <c r="AF51" s="5" t="s">
        <v>86</v>
      </c>
      <c r="AG51" s="5" t="s">
        <v>87</v>
      </c>
      <c r="AH51" s="32" t="s">
        <v>379</v>
      </c>
      <c r="AI51" s="5" t="s">
        <v>68</v>
      </c>
      <c r="AJ51" s="5" t="s">
        <v>128</v>
      </c>
      <c r="AK51" s="5" t="s">
        <v>90</v>
      </c>
      <c r="AL51" s="5" t="s">
        <v>91</v>
      </c>
    </row>
    <row r="52" ht="16.5" customHeight="1">
      <c r="A52" s="5" t="s">
        <v>60</v>
      </c>
      <c r="B52" s="1" t="b">
        <v>1</v>
      </c>
      <c r="C52" s="1" t="s">
        <v>384</v>
      </c>
      <c r="D52" s="1" t="s">
        <v>385</v>
      </c>
      <c r="E52" s="1" t="s">
        <v>65</v>
      </c>
      <c r="F52" s="1" t="s">
        <v>66</v>
      </c>
      <c r="G52" s="1" t="s">
        <v>334</v>
      </c>
      <c r="H52" s="1" t="s">
        <v>69</v>
      </c>
      <c r="I52" s="1" t="s">
        <v>70</v>
      </c>
      <c r="J52" s="1"/>
      <c r="K52" s="1" t="b">
        <v>1</v>
      </c>
      <c r="L52" s="1" t="b">
        <v>0</v>
      </c>
      <c r="M52" s="19">
        <v>900.0</v>
      </c>
      <c r="N52" s="20">
        <v>2.1</v>
      </c>
      <c r="O52" s="20">
        <v>428.57</v>
      </c>
      <c r="P52" s="21"/>
      <c r="Q52" s="1" t="s">
        <v>117</v>
      </c>
      <c r="R52" s="1" t="s">
        <v>386</v>
      </c>
      <c r="S52" s="1" t="s">
        <v>81</v>
      </c>
      <c r="T52" s="1" t="s">
        <v>81</v>
      </c>
      <c r="U52" s="1" t="s">
        <v>0</v>
      </c>
      <c r="V52" s="1" t="s">
        <v>386</v>
      </c>
      <c r="W52" s="22" t="s">
        <v>82</v>
      </c>
      <c r="X52" s="20">
        <v>164.45000000000002</v>
      </c>
      <c r="Y52" s="1" t="s">
        <v>0</v>
      </c>
      <c r="Z52" s="1" t="s">
        <v>0</v>
      </c>
      <c r="AA52" s="23" t="s">
        <v>101</v>
      </c>
      <c r="AB52" s="1">
        <v>1000.0</v>
      </c>
      <c r="AC52" s="1">
        <v>300.0</v>
      </c>
      <c r="AD52" s="1" t="s">
        <v>384</v>
      </c>
      <c r="AE52" s="1">
        <v>3.0</v>
      </c>
      <c r="AF52" s="5" t="s">
        <v>125</v>
      </c>
      <c r="AG52" s="5" t="s">
        <v>127</v>
      </c>
      <c r="AH52" s="5" t="s">
        <v>237</v>
      </c>
      <c r="AI52" s="5" t="s">
        <v>334</v>
      </c>
      <c r="AJ52" s="5" t="s">
        <v>337</v>
      </c>
      <c r="AK52" s="5" t="s">
        <v>387</v>
      </c>
      <c r="AL52" s="5" t="s">
        <v>131</v>
      </c>
    </row>
    <row r="53" ht="16.5" customHeight="1">
      <c r="A53" s="5" t="s">
        <v>60</v>
      </c>
      <c r="B53" s="1" t="b">
        <v>1</v>
      </c>
      <c r="C53" s="1" t="s">
        <v>388</v>
      </c>
      <c r="D53" s="1" t="s">
        <v>389</v>
      </c>
      <c r="E53" s="1" t="s">
        <v>65</v>
      </c>
      <c r="F53" s="1" t="s">
        <v>66</v>
      </c>
      <c r="G53" s="1" t="s">
        <v>334</v>
      </c>
      <c r="H53" s="1" t="s">
        <v>69</v>
      </c>
      <c r="I53" s="1" t="s">
        <v>107</v>
      </c>
      <c r="J53" s="1"/>
      <c r="K53" s="1" t="b">
        <v>1</v>
      </c>
      <c r="L53" s="1" t="b">
        <v>0</v>
      </c>
      <c r="M53" s="19">
        <v>900.0</v>
      </c>
      <c r="N53" s="20">
        <v>2.1</v>
      </c>
      <c r="O53" s="20">
        <v>428.57</v>
      </c>
      <c r="P53" s="21"/>
      <c r="Q53" s="1" t="s">
        <v>117</v>
      </c>
      <c r="R53" s="1" t="s">
        <v>386</v>
      </c>
      <c r="S53" s="1" t="s">
        <v>81</v>
      </c>
      <c r="T53" s="1" t="s">
        <v>81</v>
      </c>
      <c r="U53" s="1" t="s">
        <v>0</v>
      </c>
      <c r="V53" s="1" t="s">
        <v>386</v>
      </c>
      <c r="W53" s="22" t="s">
        <v>82</v>
      </c>
      <c r="X53" s="20">
        <v>145.25</v>
      </c>
      <c r="Y53" s="1" t="s">
        <v>0</v>
      </c>
      <c r="Z53" s="1" t="s">
        <v>0</v>
      </c>
      <c r="AA53" s="23" t="s">
        <v>101</v>
      </c>
      <c r="AB53" s="1">
        <v>1000.0</v>
      </c>
      <c r="AC53" s="1">
        <v>300.0</v>
      </c>
      <c r="AD53" s="1" t="s">
        <v>388</v>
      </c>
      <c r="AE53" s="1">
        <v>3.0</v>
      </c>
      <c r="AF53" s="5" t="s">
        <v>125</v>
      </c>
      <c r="AG53" s="5" t="s">
        <v>127</v>
      </c>
      <c r="AH53" s="5" t="s">
        <v>237</v>
      </c>
      <c r="AI53" s="5" t="s">
        <v>334</v>
      </c>
      <c r="AJ53" s="5" t="s">
        <v>337</v>
      </c>
      <c r="AK53" s="5" t="s">
        <v>387</v>
      </c>
      <c r="AL53" s="5" t="s">
        <v>131</v>
      </c>
    </row>
    <row r="54" ht="16.5" customHeight="1">
      <c r="A54" s="5" t="s">
        <v>60</v>
      </c>
      <c r="B54" s="1" t="b">
        <v>1</v>
      </c>
      <c r="C54" s="1" t="s">
        <v>392</v>
      </c>
      <c r="D54" s="1" t="s">
        <v>393</v>
      </c>
      <c r="E54" s="1" t="s">
        <v>65</v>
      </c>
      <c r="F54" s="1" t="s">
        <v>66</v>
      </c>
      <c r="G54" s="1" t="s">
        <v>334</v>
      </c>
      <c r="H54" s="1" t="s">
        <v>69</v>
      </c>
      <c r="I54" s="1" t="s">
        <v>70</v>
      </c>
      <c r="J54" s="1"/>
      <c r="K54" s="1" t="b">
        <v>1</v>
      </c>
      <c r="L54" s="1" t="b">
        <v>0</v>
      </c>
      <c r="M54" s="19">
        <v>750.0</v>
      </c>
      <c r="N54" s="20">
        <v>2.1</v>
      </c>
      <c r="O54" s="20">
        <v>357.14</v>
      </c>
      <c r="P54" s="21"/>
      <c r="Q54" s="1" t="s">
        <v>117</v>
      </c>
      <c r="R54" s="1" t="s">
        <v>386</v>
      </c>
      <c r="S54" s="1" t="s">
        <v>81</v>
      </c>
      <c r="T54" s="1" t="s">
        <v>81</v>
      </c>
      <c r="U54" s="1" t="s">
        <v>0</v>
      </c>
      <c r="V54" s="1" t="s">
        <v>386</v>
      </c>
      <c r="W54" s="22" t="s">
        <v>82</v>
      </c>
      <c r="X54" s="20">
        <v>134.4</v>
      </c>
      <c r="Y54" s="1" t="s">
        <v>0</v>
      </c>
      <c r="Z54" s="1" t="s">
        <v>0</v>
      </c>
      <c r="AA54" s="23" t="s">
        <v>101</v>
      </c>
      <c r="AB54" s="1">
        <v>1000.0</v>
      </c>
      <c r="AC54" s="1">
        <v>300.0</v>
      </c>
      <c r="AD54" s="1" t="s">
        <v>392</v>
      </c>
      <c r="AE54" s="1">
        <v>3.0</v>
      </c>
      <c r="AF54" s="5" t="s">
        <v>125</v>
      </c>
      <c r="AG54" s="5" t="s">
        <v>127</v>
      </c>
      <c r="AH54" s="5" t="s">
        <v>237</v>
      </c>
      <c r="AI54" s="5" t="s">
        <v>334</v>
      </c>
      <c r="AJ54" s="5" t="s">
        <v>348</v>
      </c>
      <c r="AK54" s="5" t="s">
        <v>338</v>
      </c>
      <c r="AL54" s="5" t="s">
        <v>131</v>
      </c>
    </row>
    <row r="55" ht="16.5" customHeight="1">
      <c r="A55" s="5" t="s">
        <v>60</v>
      </c>
      <c r="B55" s="1" t="b">
        <v>1</v>
      </c>
      <c r="C55" s="1" t="s">
        <v>396</v>
      </c>
      <c r="D55" s="1" t="s">
        <v>397</v>
      </c>
      <c r="E55" s="1" t="s">
        <v>65</v>
      </c>
      <c r="F55" s="1" t="s">
        <v>66</v>
      </c>
      <c r="G55" s="1" t="s">
        <v>334</v>
      </c>
      <c r="H55" s="1" t="s">
        <v>69</v>
      </c>
      <c r="I55" s="1" t="s">
        <v>107</v>
      </c>
      <c r="J55" s="1"/>
      <c r="K55" s="1" t="b">
        <v>1</v>
      </c>
      <c r="L55" s="1" t="b">
        <v>0</v>
      </c>
      <c r="M55" s="19">
        <v>750.0</v>
      </c>
      <c r="N55" s="20">
        <v>2.1</v>
      </c>
      <c r="O55" s="20">
        <v>357.14</v>
      </c>
      <c r="P55" s="21"/>
      <c r="Q55" s="1" t="s">
        <v>117</v>
      </c>
      <c r="R55" s="1" t="s">
        <v>386</v>
      </c>
      <c r="S55" s="1" t="s">
        <v>81</v>
      </c>
      <c r="T55" s="1" t="s">
        <v>81</v>
      </c>
      <c r="U55" s="1" t="s">
        <v>0</v>
      </c>
      <c r="V55" s="1" t="s">
        <v>386</v>
      </c>
      <c r="W55" s="22" t="s">
        <v>82</v>
      </c>
      <c r="X55" s="20">
        <v>124.05</v>
      </c>
      <c r="Y55" s="1" t="s">
        <v>0</v>
      </c>
      <c r="Z55" s="1" t="s">
        <v>0</v>
      </c>
      <c r="AA55" s="23" t="s">
        <v>101</v>
      </c>
      <c r="AB55" s="1">
        <v>1000.0</v>
      </c>
      <c r="AC55" s="1">
        <v>300.0</v>
      </c>
      <c r="AD55" s="1" t="s">
        <v>396</v>
      </c>
      <c r="AE55" s="1">
        <v>3.0</v>
      </c>
      <c r="AF55" s="5" t="s">
        <v>125</v>
      </c>
      <c r="AG55" s="5" t="s">
        <v>127</v>
      </c>
      <c r="AH55" s="5" t="s">
        <v>237</v>
      </c>
      <c r="AI55" s="5" t="s">
        <v>334</v>
      </c>
      <c r="AJ55" s="5" t="s">
        <v>348</v>
      </c>
      <c r="AK55" s="5" t="s">
        <v>338</v>
      </c>
      <c r="AL55" s="5" t="s">
        <v>131</v>
      </c>
    </row>
    <row r="56" ht="16.5" customHeight="1">
      <c r="A56" s="5" t="s">
        <v>60</v>
      </c>
      <c r="B56" s="1" t="b">
        <v>1</v>
      </c>
      <c r="C56" s="1" t="s">
        <v>398</v>
      </c>
      <c r="D56" s="1" t="s">
        <v>399</v>
      </c>
      <c r="E56" s="1" t="s">
        <v>65</v>
      </c>
      <c r="F56" s="1" t="s">
        <v>66</v>
      </c>
      <c r="G56" s="1" t="s">
        <v>68</v>
      </c>
      <c r="H56" s="1" t="s">
        <v>69</v>
      </c>
      <c r="I56" s="1" t="s">
        <v>70</v>
      </c>
      <c r="J56" s="1"/>
      <c r="K56" s="1" t="b">
        <v>0</v>
      </c>
      <c r="L56" s="1" t="b">
        <v>0</v>
      </c>
      <c r="M56" s="19">
        <v>2500.0</v>
      </c>
      <c r="N56" s="20">
        <v>2.1</v>
      </c>
      <c r="O56" s="20">
        <v>1190.48</v>
      </c>
      <c r="P56" s="21"/>
      <c r="Q56" s="1" t="s">
        <v>78</v>
      </c>
      <c r="R56" s="1" t="s">
        <v>154</v>
      </c>
      <c r="S56" s="1" t="s">
        <v>166</v>
      </c>
      <c r="T56" s="1" t="s">
        <v>81</v>
      </c>
      <c r="U56" s="1" t="s">
        <v>0</v>
      </c>
      <c r="V56" s="1"/>
      <c r="W56" s="22" t="s">
        <v>202</v>
      </c>
      <c r="X56" s="20">
        <v>454.36</v>
      </c>
      <c r="Y56" s="1" t="s">
        <v>0</v>
      </c>
      <c r="Z56" s="1" t="s">
        <v>0</v>
      </c>
      <c r="AA56" s="23" t="s">
        <v>101</v>
      </c>
      <c r="AB56" s="1">
        <v>1000.0</v>
      </c>
      <c r="AC56" s="1">
        <v>300.0</v>
      </c>
      <c r="AD56" s="1" t="s">
        <v>398</v>
      </c>
      <c r="AE56" s="1">
        <v>3.0</v>
      </c>
      <c r="AF56" s="5" t="s">
        <v>125</v>
      </c>
      <c r="AG56" s="5" t="s">
        <v>127</v>
      </c>
      <c r="AI56" s="5" t="s">
        <v>68</v>
      </c>
      <c r="AJ56" s="5" t="s">
        <v>161</v>
      </c>
      <c r="AK56" s="5" t="s">
        <v>178</v>
      </c>
      <c r="AL56" s="5" t="s">
        <v>91</v>
      </c>
      <c r="AM56" s="5" t="s">
        <v>403</v>
      </c>
    </row>
    <row r="57" ht="16.5" customHeight="1">
      <c r="A57" s="5" t="s">
        <v>60</v>
      </c>
      <c r="B57" s="1" t="b">
        <v>1</v>
      </c>
      <c r="C57" s="1" t="s">
        <v>405</v>
      </c>
      <c r="D57" s="1" t="s">
        <v>406</v>
      </c>
      <c r="E57" s="1" t="s">
        <v>65</v>
      </c>
      <c r="F57" s="1" t="s">
        <v>66</v>
      </c>
      <c r="G57" s="1" t="s">
        <v>68</v>
      </c>
      <c r="H57" s="1" t="s">
        <v>69</v>
      </c>
      <c r="I57" s="1" t="s">
        <v>107</v>
      </c>
      <c r="J57" s="1"/>
      <c r="K57" s="1" t="b">
        <v>0</v>
      </c>
      <c r="L57" s="1" t="b">
        <v>0</v>
      </c>
      <c r="M57" s="19">
        <v>2500.0</v>
      </c>
      <c r="N57" s="20">
        <v>2.1</v>
      </c>
      <c r="O57" s="20">
        <v>1190.48</v>
      </c>
      <c r="P57" s="21"/>
      <c r="Q57" s="1" t="s">
        <v>78</v>
      </c>
      <c r="R57" s="1" t="s">
        <v>154</v>
      </c>
      <c r="S57" s="1" t="s">
        <v>166</v>
      </c>
      <c r="T57" s="1" t="s">
        <v>81</v>
      </c>
      <c r="U57" s="1" t="s">
        <v>0</v>
      </c>
      <c r="V57" s="1"/>
      <c r="W57" s="22" t="s">
        <v>202</v>
      </c>
      <c r="X57" s="20">
        <v>423.81</v>
      </c>
      <c r="Y57" s="1" t="s">
        <v>0</v>
      </c>
      <c r="Z57" s="1" t="s">
        <v>0</v>
      </c>
      <c r="AA57" s="23" t="s">
        <v>101</v>
      </c>
      <c r="AB57" s="1">
        <v>1000.0</v>
      </c>
      <c r="AC57" s="1">
        <v>300.0</v>
      </c>
      <c r="AD57" s="1" t="s">
        <v>405</v>
      </c>
      <c r="AE57" s="1">
        <v>3.0</v>
      </c>
      <c r="AF57" s="5" t="s">
        <v>125</v>
      </c>
      <c r="AG57" s="5" t="s">
        <v>127</v>
      </c>
      <c r="AI57" s="5" t="s">
        <v>68</v>
      </c>
      <c r="AJ57" s="5" t="s">
        <v>161</v>
      </c>
      <c r="AK57" s="5" t="s">
        <v>178</v>
      </c>
      <c r="AL57" s="5" t="s">
        <v>91</v>
      </c>
      <c r="AM57" s="5" t="s">
        <v>403</v>
      </c>
    </row>
    <row r="58" ht="16.5" customHeight="1">
      <c r="A58" s="5" t="s">
        <v>60</v>
      </c>
      <c r="B58" s="1" t="b">
        <v>1</v>
      </c>
      <c r="C58" s="1" t="s">
        <v>407</v>
      </c>
      <c r="D58" s="1" t="s">
        <v>408</v>
      </c>
      <c r="E58" s="1" t="s">
        <v>65</v>
      </c>
      <c r="F58" s="1" t="s">
        <v>66</v>
      </c>
      <c r="G58" s="1" t="s">
        <v>68</v>
      </c>
      <c r="H58" s="1" t="s">
        <v>69</v>
      </c>
      <c r="I58" s="1" t="s">
        <v>70</v>
      </c>
      <c r="J58" s="1"/>
      <c r="K58" s="1" t="b">
        <v>1</v>
      </c>
      <c r="L58" s="1" t="b">
        <v>0</v>
      </c>
      <c r="M58" s="19">
        <v>3500.0</v>
      </c>
      <c r="N58" s="20">
        <v>2.1</v>
      </c>
      <c r="O58" s="20">
        <v>1523.81</v>
      </c>
      <c r="P58" s="21"/>
      <c r="Q58" s="1" t="s">
        <v>78</v>
      </c>
      <c r="R58" s="1" t="s">
        <v>154</v>
      </c>
      <c r="S58" s="1" t="s">
        <v>80</v>
      </c>
      <c r="T58" s="1" t="s">
        <v>81</v>
      </c>
      <c r="U58" s="1" t="s">
        <v>0</v>
      </c>
      <c r="V58" s="1"/>
      <c r="W58" s="22" t="s">
        <v>82</v>
      </c>
      <c r="X58" s="20">
        <v>613.48</v>
      </c>
      <c r="Y58" s="1" t="s">
        <v>0</v>
      </c>
      <c r="Z58" s="1" t="s">
        <v>0</v>
      </c>
      <c r="AA58" s="23" t="s">
        <v>101</v>
      </c>
      <c r="AB58" s="1">
        <v>1000.0</v>
      </c>
      <c r="AC58" s="1">
        <v>300.0</v>
      </c>
      <c r="AD58" s="1" t="s">
        <v>407</v>
      </c>
      <c r="AE58" s="1">
        <v>2.0</v>
      </c>
      <c r="AF58" s="5" t="s">
        <v>125</v>
      </c>
      <c r="AG58" s="5" t="s">
        <v>127</v>
      </c>
      <c r="AH58" s="5" t="s">
        <v>410</v>
      </c>
      <c r="AI58" s="5" t="s">
        <v>68</v>
      </c>
      <c r="AJ58" s="5" t="s">
        <v>161</v>
      </c>
      <c r="AK58" s="5" t="s">
        <v>90</v>
      </c>
      <c r="AL58" s="5" t="s">
        <v>91</v>
      </c>
    </row>
    <row r="59" ht="16.5" customHeight="1">
      <c r="A59" s="5" t="s">
        <v>60</v>
      </c>
      <c r="B59" s="1" t="b">
        <v>1</v>
      </c>
      <c r="C59" s="1" t="s">
        <v>411</v>
      </c>
      <c r="D59" s="1" t="s">
        <v>412</v>
      </c>
      <c r="E59" s="1" t="s">
        <v>65</v>
      </c>
      <c r="F59" s="1" t="s">
        <v>66</v>
      </c>
      <c r="G59" s="1" t="s">
        <v>68</v>
      </c>
      <c r="H59" s="1" t="s">
        <v>69</v>
      </c>
      <c r="I59" s="1" t="s">
        <v>107</v>
      </c>
      <c r="J59" s="1"/>
      <c r="K59" s="1" t="b">
        <v>1</v>
      </c>
      <c r="L59" s="1" t="b">
        <v>0</v>
      </c>
      <c r="M59" s="19">
        <v>3500.0</v>
      </c>
      <c r="N59" s="20">
        <v>2.1</v>
      </c>
      <c r="O59" s="20">
        <v>1523.81</v>
      </c>
      <c r="P59" s="21"/>
      <c r="Q59" s="1" t="s">
        <v>78</v>
      </c>
      <c r="R59" s="1" t="s">
        <v>154</v>
      </c>
      <c r="S59" s="1" t="s">
        <v>80</v>
      </c>
      <c r="T59" s="1" t="s">
        <v>81</v>
      </c>
      <c r="U59" s="1" t="s">
        <v>0</v>
      </c>
      <c r="V59" s="1"/>
      <c r="W59" s="22" t="s">
        <v>82</v>
      </c>
      <c r="X59" s="20">
        <v>547.3</v>
      </c>
      <c r="Y59" s="1" t="s">
        <v>0</v>
      </c>
      <c r="Z59" s="1" t="s">
        <v>0</v>
      </c>
      <c r="AA59" s="23" t="s">
        <v>101</v>
      </c>
      <c r="AB59" s="1">
        <v>1000.0</v>
      </c>
      <c r="AC59" s="1">
        <v>300.0</v>
      </c>
      <c r="AD59" s="1" t="s">
        <v>411</v>
      </c>
      <c r="AE59" s="1">
        <v>3.0</v>
      </c>
      <c r="AF59" s="5" t="s">
        <v>125</v>
      </c>
      <c r="AG59" s="5" t="s">
        <v>127</v>
      </c>
      <c r="AH59" s="5" t="s">
        <v>410</v>
      </c>
      <c r="AI59" s="5" t="s">
        <v>68</v>
      </c>
      <c r="AJ59" s="5" t="s">
        <v>161</v>
      </c>
      <c r="AK59" s="5" t="s">
        <v>90</v>
      </c>
      <c r="AL59" s="5" t="s">
        <v>91</v>
      </c>
    </row>
    <row r="60" ht="16.5" customHeight="1">
      <c r="A60" s="5" t="s">
        <v>60</v>
      </c>
      <c r="B60" s="1" t="b">
        <v>1</v>
      </c>
      <c r="C60" s="1" t="s">
        <v>415</v>
      </c>
      <c r="D60" s="1" t="s">
        <v>416</v>
      </c>
      <c r="E60" s="1" t="s">
        <v>65</v>
      </c>
      <c r="F60" s="1" t="s">
        <v>66</v>
      </c>
      <c r="G60" s="1" t="s">
        <v>68</v>
      </c>
      <c r="H60" s="1" t="s">
        <v>141</v>
      </c>
      <c r="I60" s="1" t="s">
        <v>70</v>
      </c>
      <c r="J60" s="1"/>
      <c r="K60" s="1" t="b">
        <v>0</v>
      </c>
      <c r="L60" s="1" t="b">
        <v>0</v>
      </c>
      <c r="M60" s="19">
        <v>2800.0</v>
      </c>
      <c r="N60" s="20">
        <v>2.1</v>
      </c>
      <c r="O60" s="20">
        <v>1190.48</v>
      </c>
      <c r="P60" s="21"/>
      <c r="Q60" s="1" t="s">
        <v>117</v>
      </c>
      <c r="R60" s="1" t="s">
        <v>154</v>
      </c>
      <c r="S60" s="1" t="s">
        <v>80</v>
      </c>
      <c r="T60" s="1" t="s">
        <v>81</v>
      </c>
      <c r="U60" s="1" t="s">
        <v>419</v>
      </c>
      <c r="V60" s="1"/>
      <c r="W60" s="22" t="s">
        <v>202</v>
      </c>
      <c r="X60" s="20">
        <v>573.6999999999999</v>
      </c>
      <c r="Y60" s="1" t="s">
        <v>0</v>
      </c>
      <c r="Z60" s="1" t="s">
        <v>0</v>
      </c>
      <c r="AA60" s="23" t="s">
        <v>101</v>
      </c>
      <c r="AB60" s="1">
        <v>1000.0</v>
      </c>
      <c r="AC60" s="1">
        <v>300.0</v>
      </c>
      <c r="AD60" s="1" t="s">
        <v>415</v>
      </c>
      <c r="AE60" s="1">
        <v>1.0</v>
      </c>
      <c r="AF60" s="5" t="s">
        <v>125</v>
      </c>
      <c r="AG60" s="5" t="s">
        <v>127</v>
      </c>
      <c r="AI60" s="5" t="s">
        <v>68</v>
      </c>
      <c r="AJ60" s="5" t="s">
        <v>128</v>
      </c>
      <c r="AK60" s="5" t="s">
        <v>90</v>
      </c>
      <c r="AL60" s="5" t="s">
        <v>91</v>
      </c>
      <c r="AM60" s="5" t="s">
        <v>420</v>
      </c>
    </row>
    <row r="61" ht="16.5" customHeight="1">
      <c r="A61" s="5" t="s">
        <v>60</v>
      </c>
      <c r="B61" s="1" t="b">
        <v>1</v>
      </c>
      <c r="C61" s="1" t="s">
        <v>422</v>
      </c>
      <c r="D61" s="1" t="s">
        <v>423</v>
      </c>
      <c r="E61" s="1" t="s">
        <v>65</v>
      </c>
      <c r="F61" s="1" t="s">
        <v>66</v>
      </c>
      <c r="G61" s="1" t="s">
        <v>68</v>
      </c>
      <c r="H61" s="1" t="s">
        <v>141</v>
      </c>
      <c r="I61" s="1" t="s">
        <v>107</v>
      </c>
      <c r="J61" s="1"/>
      <c r="K61" s="1" t="b">
        <v>0</v>
      </c>
      <c r="L61" s="1" t="b">
        <v>0</v>
      </c>
      <c r="M61" s="19">
        <v>2800.0</v>
      </c>
      <c r="N61" s="20">
        <v>2.1</v>
      </c>
      <c r="O61" s="20">
        <v>1190.48</v>
      </c>
      <c r="P61" s="21"/>
      <c r="Q61" s="1" t="s">
        <v>117</v>
      </c>
      <c r="R61" s="1" t="s">
        <v>154</v>
      </c>
      <c r="S61" s="1" t="s">
        <v>80</v>
      </c>
      <c r="T61" s="1" t="s">
        <v>81</v>
      </c>
      <c r="U61" s="1" t="s">
        <v>424</v>
      </c>
      <c r="V61" s="1"/>
      <c r="W61" s="22" t="s">
        <v>202</v>
      </c>
      <c r="X61" s="20">
        <v>540.67</v>
      </c>
      <c r="Y61" s="1" t="s">
        <v>0</v>
      </c>
      <c r="Z61" s="1" t="s">
        <v>0</v>
      </c>
      <c r="AA61" s="23" t="s">
        <v>101</v>
      </c>
      <c r="AB61" s="1">
        <v>1000.0</v>
      </c>
      <c r="AC61" s="1">
        <v>300.0</v>
      </c>
      <c r="AD61" s="1" t="s">
        <v>422</v>
      </c>
      <c r="AE61" s="1">
        <v>1.0</v>
      </c>
      <c r="AF61" s="5" t="s">
        <v>125</v>
      </c>
      <c r="AG61" s="5" t="s">
        <v>127</v>
      </c>
      <c r="AI61" s="5" t="s">
        <v>68</v>
      </c>
      <c r="AJ61" s="5" t="s">
        <v>128</v>
      </c>
      <c r="AK61" s="5" t="s">
        <v>90</v>
      </c>
      <c r="AL61" s="5" t="s">
        <v>91</v>
      </c>
      <c r="AM61" s="5" t="s">
        <v>420</v>
      </c>
    </row>
    <row r="62" ht="16.5" customHeight="1">
      <c r="A62" s="5" t="s">
        <v>60</v>
      </c>
      <c r="B62" s="1" t="b">
        <v>1</v>
      </c>
      <c r="C62" s="1" t="s">
        <v>426</v>
      </c>
      <c r="D62" s="1" t="s">
        <v>427</v>
      </c>
      <c r="E62" s="1" t="s">
        <v>65</v>
      </c>
      <c r="F62" s="1" t="s">
        <v>66</v>
      </c>
      <c r="G62" s="1" t="s">
        <v>113</v>
      </c>
      <c r="H62" s="1" t="s">
        <v>69</v>
      </c>
      <c r="I62" s="1" t="s">
        <v>70</v>
      </c>
      <c r="J62" s="1"/>
      <c r="K62" s="1" t="b">
        <v>1</v>
      </c>
      <c r="L62" s="1" t="b">
        <v>0</v>
      </c>
      <c r="M62" s="19">
        <v>1300.0</v>
      </c>
      <c r="N62" s="20">
        <v>2.1</v>
      </c>
      <c r="O62" s="20">
        <v>619.05</v>
      </c>
      <c r="P62" s="21"/>
      <c r="Q62" s="1" t="s">
        <v>78</v>
      </c>
      <c r="R62" s="1" t="s">
        <v>145</v>
      </c>
      <c r="S62" s="1" t="s">
        <v>81</v>
      </c>
      <c r="T62" s="1" t="s">
        <v>81</v>
      </c>
      <c r="U62" s="1" t="s">
        <v>0</v>
      </c>
      <c r="V62" s="1" t="s">
        <v>0</v>
      </c>
      <c r="W62" s="22" t="s">
        <v>82</v>
      </c>
      <c r="X62" s="20">
        <v>202.13000000000002</v>
      </c>
      <c r="Y62" s="1" t="s">
        <v>0</v>
      </c>
      <c r="Z62" s="1" t="s">
        <v>0</v>
      </c>
      <c r="AA62" s="23" t="s">
        <v>85</v>
      </c>
      <c r="AB62" s="1">
        <v>1000.0</v>
      </c>
      <c r="AC62" s="1">
        <v>300.0</v>
      </c>
      <c r="AD62" s="1" t="s">
        <v>426</v>
      </c>
      <c r="AE62" s="1">
        <v>5.0</v>
      </c>
      <c r="AF62" s="5" t="s">
        <v>86</v>
      </c>
      <c r="AG62" s="5" t="s">
        <v>87</v>
      </c>
      <c r="AH62" s="32" t="s">
        <v>429</v>
      </c>
      <c r="AI62" s="5" t="s">
        <v>126</v>
      </c>
      <c r="AJ62" s="5" t="s">
        <v>128</v>
      </c>
      <c r="AK62" s="5" t="s">
        <v>130</v>
      </c>
      <c r="AL62" s="5" t="s">
        <v>131</v>
      </c>
    </row>
    <row r="63" ht="16.5" customHeight="1">
      <c r="A63" s="5" t="s">
        <v>60</v>
      </c>
      <c r="B63" s="1" t="b">
        <v>1</v>
      </c>
      <c r="C63" s="1" t="s">
        <v>430</v>
      </c>
      <c r="D63" s="1" t="s">
        <v>431</v>
      </c>
      <c r="E63" s="1" t="s">
        <v>65</v>
      </c>
      <c r="F63" s="1" t="s">
        <v>66</v>
      </c>
      <c r="G63" s="1" t="s">
        <v>113</v>
      </c>
      <c r="H63" s="1" t="s">
        <v>96</v>
      </c>
      <c r="I63" s="1" t="s">
        <v>70</v>
      </c>
      <c r="J63" s="1"/>
      <c r="K63" s="1" t="b">
        <v>1</v>
      </c>
      <c r="L63" s="1" t="b">
        <v>0</v>
      </c>
      <c r="M63" s="19">
        <v>1300.0</v>
      </c>
      <c r="N63" s="20">
        <v>2.1</v>
      </c>
      <c r="O63" s="20">
        <v>619.05</v>
      </c>
      <c r="P63" s="21"/>
      <c r="Q63" s="1" t="s">
        <v>78</v>
      </c>
      <c r="R63" s="1" t="s">
        <v>97</v>
      </c>
      <c r="S63" s="1" t="s">
        <v>81</v>
      </c>
      <c r="T63" s="1" t="s">
        <v>81</v>
      </c>
      <c r="U63" s="1" t="s">
        <v>434</v>
      </c>
      <c r="V63" s="1" t="s">
        <v>97</v>
      </c>
      <c r="W63" s="22" t="s">
        <v>82</v>
      </c>
      <c r="X63" s="20">
        <v>207.35</v>
      </c>
      <c r="Y63" s="1" t="s">
        <v>0</v>
      </c>
      <c r="Z63" s="1" t="s">
        <v>0</v>
      </c>
      <c r="AA63" s="23" t="s">
        <v>101</v>
      </c>
      <c r="AB63" s="1">
        <v>1000.0</v>
      </c>
      <c r="AC63" s="1">
        <v>300.0</v>
      </c>
      <c r="AD63" s="1" t="s">
        <v>430</v>
      </c>
      <c r="AE63" s="1">
        <v>5.0</v>
      </c>
      <c r="AF63" s="5" t="s">
        <v>86</v>
      </c>
      <c r="AG63" s="5" t="s">
        <v>87</v>
      </c>
      <c r="AH63" s="32" t="s">
        <v>429</v>
      </c>
      <c r="AI63" s="5" t="s">
        <v>126</v>
      </c>
      <c r="AJ63" s="5" t="s">
        <v>128</v>
      </c>
      <c r="AK63" s="5" t="s">
        <v>130</v>
      </c>
      <c r="AL63" s="5" t="s">
        <v>131</v>
      </c>
    </row>
    <row r="64" ht="16.5" customHeight="1">
      <c r="A64" s="5" t="s">
        <v>60</v>
      </c>
      <c r="B64" s="1" t="b">
        <v>1</v>
      </c>
      <c r="C64" s="1" t="s">
        <v>438</v>
      </c>
      <c r="D64" s="1" t="s">
        <v>439</v>
      </c>
      <c r="E64" s="1" t="s">
        <v>65</v>
      </c>
      <c r="F64" s="1" t="s">
        <v>66</v>
      </c>
      <c r="G64" s="1" t="s">
        <v>113</v>
      </c>
      <c r="H64" s="1" t="s">
        <v>69</v>
      </c>
      <c r="I64" s="1" t="s">
        <v>107</v>
      </c>
      <c r="J64" s="1"/>
      <c r="K64" s="1" t="b">
        <v>1</v>
      </c>
      <c r="L64" s="1" t="b">
        <v>0</v>
      </c>
      <c r="M64" s="19">
        <v>1300.0</v>
      </c>
      <c r="N64" s="20">
        <v>2.1</v>
      </c>
      <c r="O64" s="20">
        <v>619.05</v>
      </c>
      <c r="P64" s="21"/>
      <c r="Q64" s="1" t="s">
        <v>78</v>
      </c>
      <c r="R64" s="1" t="s">
        <v>145</v>
      </c>
      <c r="S64" s="1" t="s">
        <v>81</v>
      </c>
      <c r="T64" s="1" t="s">
        <v>81</v>
      </c>
      <c r="U64" s="1" t="s">
        <v>0</v>
      </c>
      <c r="V64" s="1" t="s">
        <v>0</v>
      </c>
      <c r="W64" s="22" t="s">
        <v>82</v>
      </c>
      <c r="X64" s="20">
        <v>194.29</v>
      </c>
      <c r="Y64" s="1" t="s">
        <v>0</v>
      </c>
      <c r="Z64" s="1" t="s">
        <v>0</v>
      </c>
      <c r="AA64" s="23" t="s">
        <v>85</v>
      </c>
      <c r="AB64" s="1">
        <v>1000.0</v>
      </c>
      <c r="AC64" s="1">
        <v>300.0</v>
      </c>
      <c r="AD64" s="1" t="s">
        <v>438</v>
      </c>
      <c r="AE64" s="1">
        <v>5.0</v>
      </c>
      <c r="AF64" s="5" t="s">
        <v>86</v>
      </c>
      <c r="AG64" s="5" t="s">
        <v>87</v>
      </c>
      <c r="AH64" s="32" t="s">
        <v>429</v>
      </c>
      <c r="AI64" s="5" t="s">
        <v>126</v>
      </c>
      <c r="AJ64" s="5" t="s">
        <v>128</v>
      </c>
      <c r="AK64" s="5" t="s">
        <v>130</v>
      </c>
      <c r="AL64" s="5" t="s">
        <v>131</v>
      </c>
    </row>
    <row r="65" ht="16.5" customHeight="1">
      <c r="A65" s="5" t="s">
        <v>60</v>
      </c>
      <c r="B65" s="1" t="b">
        <v>1</v>
      </c>
      <c r="C65" s="1" t="s">
        <v>440</v>
      </c>
      <c r="D65" s="1" t="s">
        <v>441</v>
      </c>
      <c r="E65" s="1" t="s">
        <v>65</v>
      </c>
      <c r="F65" s="1" t="s">
        <v>66</v>
      </c>
      <c r="G65" s="1" t="s">
        <v>113</v>
      </c>
      <c r="H65" s="1" t="s">
        <v>69</v>
      </c>
      <c r="I65" s="1" t="s">
        <v>70</v>
      </c>
      <c r="J65" s="1"/>
      <c r="K65" s="1" t="b">
        <v>1</v>
      </c>
      <c r="L65" s="1" t="b">
        <v>0</v>
      </c>
      <c r="M65" s="19">
        <v>1000.0</v>
      </c>
      <c r="N65" s="20">
        <v>2.1</v>
      </c>
      <c r="O65" s="20">
        <v>476.19</v>
      </c>
      <c r="P65" s="21"/>
      <c r="Q65" s="1" t="s">
        <v>117</v>
      </c>
      <c r="R65" s="1" t="s">
        <v>145</v>
      </c>
      <c r="S65" s="1" t="s">
        <v>81</v>
      </c>
      <c r="T65" s="1" t="s">
        <v>81</v>
      </c>
      <c r="U65" s="1" t="s">
        <v>0</v>
      </c>
      <c r="V65" s="1" t="s">
        <v>0</v>
      </c>
      <c r="W65" s="22" t="s">
        <v>82</v>
      </c>
      <c r="X65" s="20">
        <v>155.60000000000002</v>
      </c>
      <c r="Y65" s="1" t="s">
        <v>0</v>
      </c>
      <c r="Z65" s="1" t="s">
        <v>0</v>
      </c>
      <c r="AA65" s="23" t="s">
        <v>85</v>
      </c>
      <c r="AB65" s="1">
        <v>1000.0</v>
      </c>
      <c r="AC65" s="1">
        <v>300.0</v>
      </c>
      <c r="AD65" s="1" t="s">
        <v>440</v>
      </c>
      <c r="AE65" s="1">
        <v>5.0</v>
      </c>
      <c r="AF65" s="5" t="s">
        <v>86</v>
      </c>
      <c r="AG65" s="5" t="s">
        <v>87</v>
      </c>
      <c r="AH65" s="5" t="s">
        <v>88</v>
      </c>
      <c r="AI65" s="5" t="s">
        <v>126</v>
      </c>
      <c r="AJ65" s="5" t="s">
        <v>147</v>
      </c>
      <c r="AK65" s="5" t="s">
        <v>130</v>
      </c>
      <c r="AL65" s="5" t="s">
        <v>131</v>
      </c>
    </row>
    <row r="66" ht="16.5" customHeight="1">
      <c r="A66" s="5" t="s">
        <v>60</v>
      </c>
      <c r="B66" s="1" t="b">
        <v>1</v>
      </c>
      <c r="C66" s="1" t="s">
        <v>446</v>
      </c>
      <c r="D66" s="1" t="s">
        <v>447</v>
      </c>
      <c r="E66" s="1" t="s">
        <v>65</v>
      </c>
      <c r="F66" s="1" t="s">
        <v>66</v>
      </c>
      <c r="G66" s="1" t="s">
        <v>113</v>
      </c>
      <c r="H66" s="1" t="s">
        <v>69</v>
      </c>
      <c r="I66" s="1" t="s">
        <v>107</v>
      </c>
      <c r="J66" s="1"/>
      <c r="K66" s="1" t="b">
        <v>1</v>
      </c>
      <c r="L66" s="1" t="b">
        <v>0</v>
      </c>
      <c r="M66" s="19">
        <v>1000.0</v>
      </c>
      <c r="N66" s="20">
        <v>2.1</v>
      </c>
      <c r="O66" s="20">
        <v>476.19</v>
      </c>
      <c r="P66" s="21"/>
      <c r="Q66" s="1" t="s">
        <v>117</v>
      </c>
      <c r="R66" s="1" t="s">
        <v>145</v>
      </c>
      <c r="S66" s="1" t="s">
        <v>81</v>
      </c>
      <c r="T66" s="1" t="s">
        <v>81</v>
      </c>
      <c r="U66" s="1" t="s">
        <v>0</v>
      </c>
      <c r="V66" s="1" t="s">
        <v>0</v>
      </c>
      <c r="W66" s="22" t="s">
        <v>82</v>
      </c>
      <c r="X66" s="20">
        <v>149.96</v>
      </c>
      <c r="Y66" s="1" t="s">
        <v>0</v>
      </c>
      <c r="Z66" s="1" t="s">
        <v>0</v>
      </c>
      <c r="AA66" s="23" t="s">
        <v>85</v>
      </c>
      <c r="AB66" s="1">
        <v>1000.0</v>
      </c>
      <c r="AC66" s="1">
        <v>300.0</v>
      </c>
      <c r="AD66" s="1" t="s">
        <v>446</v>
      </c>
      <c r="AE66" s="1">
        <v>5.0</v>
      </c>
      <c r="AF66" s="5" t="s">
        <v>86</v>
      </c>
      <c r="AG66" s="5" t="s">
        <v>87</v>
      </c>
      <c r="AH66" s="5" t="s">
        <v>88</v>
      </c>
      <c r="AI66" s="5" t="s">
        <v>126</v>
      </c>
      <c r="AJ66" s="5" t="s">
        <v>147</v>
      </c>
      <c r="AK66" s="5" t="s">
        <v>130</v>
      </c>
      <c r="AL66" s="5" t="s">
        <v>131</v>
      </c>
    </row>
    <row r="67" ht="16.5" customHeight="1">
      <c r="A67" s="5" t="s">
        <v>60</v>
      </c>
      <c r="B67" s="1" t="b">
        <v>1</v>
      </c>
      <c r="C67" s="1" t="s">
        <v>452</v>
      </c>
      <c r="D67" s="1" t="s">
        <v>453</v>
      </c>
      <c r="E67" s="1" t="s">
        <v>65</v>
      </c>
      <c r="F67" s="1" t="s">
        <v>66</v>
      </c>
      <c r="G67" s="1" t="s">
        <v>270</v>
      </c>
      <c r="H67" s="1" t="s">
        <v>69</v>
      </c>
      <c r="I67" s="1" t="s">
        <v>70</v>
      </c>
      <c r="J67" s="1"/>
      <c r="K67" s="1" t="b">
        <v>1</v>
      </c>
      <c r="L67" s="1" t="b">
        <v>0</v>
      </c>
      <c r="M67" s="19">
        <v>800.0</v>
      </c>
      <c r="N67" s="20">
        <v>2.1</v>
      </c>
      <c r="O67" s="20">
        <v>380.95</v>
      </c>
      <c r="P67" s="21"/>
      <c r="Q67" s="1" t="s">
        <v>78</v>
      </c>
      <c r="R67" s="1" t="s">
        <v>145</v>
      </c>
      <c r="S67" s="1" t="s">
        <v>81</v>
      </c>
      <c r="T67" s="1" t="s">
        <v>81</v>
      </c>
      <c r="U67" s="1" t="s">
        <v>0</v>
      </c>
      <c r="V67" s="1" t="s">
        <v>0</v>
      </c>
      <c r="W67" s="22" t="s">
        <v>82</v>
      </c>
      <c r="X67" s="20">
        <v>138.42000000000002</v>
      </c>
      <c r="Y67" s="1" t="s">
        <v>0</v>
      </c>
      <c r="Z67" s="1" t="s">
        <v>0</v>
      </c>
      <c r="AA67" s="23" t="s">
        <v>173</v>
      </c>
      <c r="AB67" s="1">
        <v>1000.0</v>
      </c>
      <c r="AC67" s="1">
        <v>300.0</v>
      </c>
      <c r="AD67" s="1" t="s">
        <v>452</v>
      </c>
      <c r="AE67" s="1">
        <v>4.0</v>
      </c>
      <c r="AF67" s="5" t="s">
        <v>125</v>
      </c>
      <c r="AG67" s="5" t="s">
        <v>127</v>
      </c>
      <c r="AH67" s="32" t="s">
        <v>264</v>
      </c>
      <c r="AI67" s="5" t="s">
        <v>276</v>
      </c>
      <c r="AJ67" s="5" t="s">
        <v>457</v>
      </c>
      <c r="AK67" s="5" t="s">
        <v>277</v>
      </c>
      <c r="AL67" s="5" t="s">
        <v>131</v>
      </c>
    </row>
    <row r="68" ht="16.5" customHeight="1">
      <c r="A68" s="5" t="s">
        <v>60</v>
      </c>
      <c r="B68" s="1" t="b">
        <v>1</v>
      </c>
      <c r="C68" s="1" t="s">
        <v>458</v>
      </c>
      <c r="D68" s="1" t="s">
        <v>459</v>
      </c>
      <c r="E68" s="1" t="s">
        <v>65</v>
      </c>
      <c r="F68" s="1" t="s">
        <v>66</v>
      </c>
      <c r="G68" s="1" t="s">
        <v>270</v>
      </c>
      <c r="H68" s="1" t="s">
        <v>69</v>
      </c>
      <c r="I68" s="1" t="s">
        <v>107</v>
      </c>
      <c r="J68" s="1"/>
      <c r="K68" s="1" t="b">
        <v>1</v>
      </c>
      <c r="L68" s="1" t="b">
        <v>0</v>
      </c>
      <c r="M68" s="19">
        <v>800.0</v>
      </c>
      <c r="N68" s="20">
        <v>2.1</v>
      </c>
      <c r="O68" s="20">
        <v>380.95</v>
      </c>
      <c r="P68" s="21"/>
      <c r="Q68" s="1" t="s">
        <v>78</v>
      </c>
      <c r="R68" s="1" t="s">
        <v>145</v>
      </c>
      <c r="S68" s="1" t="s">
        <v>81</v>
      </c>
      <c r="T68" s="1" t="s">
        <v>81</v>
      </c>
      <c r="U68" s="1" t="s">
        <v>0</v>
      </c>
      <c r="V68" s="1" t="s">
        <v>0</v>
      </c>
      <c r="W68" s="22" t="s">
        <v>82</v>
      </c>
      <c r="X68" s="20">
        <v>126.25999999999999</v>
      </c>
      <c r="Y68" s="1" t="s">
        <v>0</v>
      </c>
      <c r="Z68" s="1" t="s">
        <v>0</v>
      </c>
      <c r="AA68" s="23" t="s">
        <v>173</v>
      </c>
      <c r="AB68" s="1">
        <v>1000.0</v>
      </c>
      <c r="AC68" s="1">
        <v>300.0</v>
      </c>
      <c r="AD68" s="1" t="s">
        <v>458</v>
      </c>
      <c r="AE68" s="1">
        <v>4.0</v>
      </c>
      <c r="AF68" s="5" t="s">
        <v>125</v>
      </c>
      <c r="AG68" s="5" t="s">
        <v>127</v>
      </c>
      <c r="AH68" s="32" t="s">
        <v>264</v>
      </c>
      <c r="AI68" s="5" t="s">
        <v>276</v>
      </c>
      <c r="AJ68" s="5" t="s">
        <v>457</v>
      </c>
      <c r="AK68" s="5" t="s">
        <v>277</v>
      </c>
      <c r="AL68" s="5" t="s">
        <v>131</v>
      </c>
    </row>
    <row r="69" ht="16.5" customHeight="1">
      <c r="A69" s="5" t="s">
        <v>60</v>
      </c>
      <c r="B69" s="1" t="b">
        <v>1</v>
      </c>
      <c r="C69" s="1" t="s">
        <v>462</v>
      </c>
      <c r="D69" s="1" t="s">
        <v>463</v>
      </c>
      <c r="E69" s="1" t="s">
        <v>65</v>
      </c>
      <c r="F69" s="1" t="s">
        <v>66</v>
      </c>
      <c r="G69" s="1" t="s">
        <v>270</v>
      </c>
      <c r="H69" s="1" t="s">
        <v>69</v>
      </c>
      <c r="I69" s="1" t="s">
        <v>70</v>
      </c>
      <c r="J69" s="1"/>
      <c r="K69" s="1" t="b">
        <v>1</v>
      </c>
      <c r="L69" s="1" t="b">
        <v>0</v>
      </c>
      <c r="M69" s="19">
        <v>1000.0</v>
      </c>
      <c r="N69" s="20">
        <v>2.1</v>
      </c>
      <c r="O69" s="20">
        <v>476.19</v>
      </c>
      <c r="P69" s="21"/>
      <c r="Q69" s="1" t="s">
        <v>78</v>
      </c>
      <c r="R69" s="1" t="s">
        <v>145</v>
      </c>
      <c r="S69" s="1" t="s">
        <v>81</v>
      </c>
      <c r="T69" s="1" t="s">
        <v>81</v>
      </c>
      <c r="U69" s="1" t="s">
        <v>0</v>
      </c>
      <c r="V69" s="1" t="s">
        <v>0</v>
      </c>
      <c r="W69" s="22" t="s">
        <v>82</v>
      </c>
      <c r="X69" s="20">
        <v>166.76</v>
      </c>
      <c r="Y69" s="1" t="s">
        <v>0</v>
      </c>
      <c r="Z69" s="1" t="s">
        <v>0</v>
      </c>
      <c r="AA69" s="23" t="s">
        <v>173</v>
      </c>
      <c r="AB69" s="1">
        <v>1000.0</v>
      </c>
      <c r="AC69" s="1">
        <v>300.0</v>
      </c>
      <c r="AD69" s="1" t="s">
        <v>462</v>
      </c>
      <c r="AE69" s="1">
        <v>6.0</v>
      </c>
      <c r="AF69" s="5" t="s">
        <v>125</v>
      </c>
      <c r="AG69" s="5" t="s">
        <v>127</v>
      </c>
      <c r="AH69" s="32" t="s">
        <v>264</v>
      </c>
      <c r="AI69" s="5" t="s">
        <v>276</v>
      </c>
      <c r="AJ69" s="5" t="s">
        <v>161</v>
      </c>
      <c r="AK69" s="5" t="s">
        <v>277</v>
      </c>
      <c r="AL69" s="5" t="s">
        <v>131</v>
      </c>
    </row>
    <row r="70" ht="16.5" customHeight="1">
      <c r="A70" s="5" t="s">
        <v>60</v>
      </c>
      <c r="B70" s="1" t="b">
        <v>1</v>
      </c>
      <c r="C70" s="1" t="s">
        <v>465</v>
      </c>
      <c r="D70" s="1" t="s">
        <v>466</v>
      </c>
      <c r="E70" s="1" t="s">
        <v>65</v>
      </c>
      <c r="F70" s="1" t="s">
        <v>66</v>
      </c>
      <c r="G70" s="1" t="s">
        <v>270</v>
      </c>
      <c r="H70" s="1" t="s">
        <v>69</v>
      </c>
      <c r="I70" s="1" t="s">
        <v>107</v>
      </c>
      <c r="J70" s="1"/>
      <c r="K70" s="1" t="b">
        <v>1</v>
      </c>
      <c r="L70" s="1" t="b">
        <v>0</v>
      </c>
      <c r="M70" s="19">
        <v>1000.0</v>
      </c>
      <c r="N70" s="20">
        <v>2.1</v>
      </c>
      <c r="O70" s="20">
        <v>476.19</v>
      </c>
      <c r="P70" s="21"/>
      <c r="Q70" s="1" t="s">
        <v>78</v>
      </c>
      <c r="R70" s="1" t="s">
        <v>145</v>
      </c>
      <c r="S70" s="1" t="s">
        <v>81</v>
      </c>
      <c r="T70" s="1" t="s">
        <v>81</v>
      </c>
      <c r="U70" s="1" t="s">
        <v>0</v>
      </c>
      <c r="V70" s="1" t="s">
        <v>0</v>
      </c>
      <c r="W70" s="22" t="s">
        <v>82</v>
      </c>
      <c r="X70" s="20">
        <v>151.79</v>
      </c>
      <c r="Y70" s="1" t="s">
        <v>0</v>
      </c>
      <c r="Z70" s="1" t="s">
        <v>0</v>
      </c>
      <c r="AA70" s="23" t="s">
        <v>173</v>
      </c>
      <c r="AB70" s="1">
        <v>1000.0</v>
      </c>
      <c r="AC70" s="1">
        <v>300.0</v>
      </c>
      <c r="AD70" s="1" t="s">
        <v>465</v>
      </c>
      <c r="AE70" s="1">
        <v>5.0</v>
      </c>
      <c r="AF70" s="5" t="s">
        <v>125</v>
      </c>
      <c r="AG70" s="5" t="s">
        <v>127</v>
      </c>
      <c r="AH70" s="32" t="s">
        <v>264</v>
      </c>
      <c r="AI70" s="5" t="s">
        <v>276</v>
      </c>
      <c r="AJ70" s="5" t="s">
        <v>161</v>
      </c>
      <c r="AK70" s="5" t="s">
        <v>277</v>
      </c>
      <c r="AL70" s="5" t="s">
        <v>131</v>
      </c>
    </row>
    <row r="71" ht="16.5" customHeight="1">
      <c r="A71" s="5" t="s">
        <v>60</v>
      </c>
      <c r="B71" s="1" t="b">
        <v>1</v>
      </c>
      <c r="C71" s="1" t="s">
        <v>469</v>
      </c>
      <c r="D71" s="1" t="s">
        <v>470</v>
      </c>
      <c r="E71" s="1" t="s">
        <v>65</v>
      </c>
      <c r="F71" s="1" t="s">
        <v>66</v>
      </c>
      <c r="G71" s="1" t="s">
        <v>270</v>
      </c>
      <c r="H71" s="1" t="s">
        <v>69</v>
      </c>
      <c r="I71" s="1" t="s">
        <v>70</v>
      </c>
      <c r="J71" s="1"/>
      <c r="K71" s="1" t="b">
        <v>1</v>
      </c>
      <c r="L71" s="1" t="b">
        <v>0</v>
      </c>
      <c r="M71" s="19">
        <v>900.0</v>
      </c>
      <c r="N71" s="20">
        <v>2.1</v>
      </c>
      <c r="O71" s="20">
        <v>428.57</v>
      </c>
      <c r="P71" s="21"/>
      <c r="Q71" s="1" t="s">
        <v>78</v>
      </c>
      <c r="R71" s="1" t="s">
        <v>145</v>
      </c>
      <c r="S71" s="1" t="s">
        <v>81</v>
      </c>
      <c r="T71" s="1" t="s">
        <v>81</v>
      </c>
      <c r="U71" s="1" t="s">
        <v>0</v>
      </c>
      <c r="V71" s="1" t="s">
        <v>0</v>
      </c>
      <c r="W71" s="22" t="s">
        <v>82</v>
      </c>
      <c r="X71" s="20">
        <v>161.13000000000002</v>
      </c>
      <c r="Y71" s="1" t="s">
        <v>0</v>
      </c>
      <c r="Z71" s="1" t="s">
        <v>0</v>
      </c>
      <c r="AA71" s="23" t="s">
        <v>173</v>
      </c>
      <c r="AB71" s="1">
        <v>1000.0</v>
      </c>
      <c r="AC71" s="1">
        <v>300.0</v>
      </c>
      <c r="AD71" s="1" t="s">
        <v>469</v>
      </c>
      <c r="AE71" s="1">
        <v>4.0</v>
      </c>
      <c r="AF71" s="5" t="s">
        <v>125</v>
      </c>
      <c r="AG71" s="5" t="s">
        <v>127</v>
      </c>
      <c r="AH71" s="32" t="s">
        <v>264</v>
      </c>
      <c r="AI71" s="5" t="s">
        <v>276</v>
      </c>
      <c r="AJ71" s="5" t="s">
        <v>89</v>
      </c>
      <c r="AK71" s="5" t="s">
        <v>277</v>
      </c>
      <c r="AL71" s="5" t="s">
        <v>131</v>
      </c>
    </row>
    <row r="72" ht="16.5" customHeight="1">
      <c r="A72" s="5" t="s">
        <v>60</v>
      </c>
      <c r="B72" s="1" t="b">
        <v>1</v>
      </c>
      <c r="C72" s="1" t="s">
        <v>472</v>
      </c>
      <c r="D72" s="1" t="s">
        <v>473</v>
      </c>
      <c r="E72" s="1" t="s">
        <v>65</v>
      </c>
      <c r="F72" s="1" t="s">
        <v>66</v>
      </c>
      <c r="G72" s="1" t="s">
        <v>270</v>
      </c>
      <c r="H72" s="1" t="s">
        <v>69</v>
      </c>
      <c r="I72" s="1" t="s">
        <v>107</v>
      </c>
      <c r="J72" s="1"/>
      <c r="K72" s="1" t="b">
        <v>1</v>
      </c>
      <c r="L72" s="1" t="b">
        <v>0</v>
      </c>
      <c r="M72" s="19">
        <v>900.0</v>
      </c>
      <c r="N72" s="20">
        <v>2.1</v>
      </c>
      <c r="O72" s="20">
        <v>428.57</v>
      </c>
      <c r="P72" s="21"/>
      <c r="Q72" s="1" t="s">
        <v>78</v>
      </c>
      <c r="R72" s="1" t="s">
        <v>145</v>
      </c>
      <c r="S72" s="1" t="s">
        <v>81</v>
      </c>
      <c r="T72" s="1" t="s">
        <v>81</v>
      </c>
      <c r="U72" s="1" t="s">
        <v>0</v>
      </c>
      <c r="V72" s="1" t="s">
        <v>0</v>
      </c>
      <c r="W72" s="22" t="s">
        <v>82</v>
      </c>
      <c r="X72" s="20">
        <v>146.05</v>
      </c>
      <c r="Y72" s="1" t="s">
        <v>0</v>
      </c>
      <c r="Z72" s="1" t="s">
        <v>0</v>
      </c>
      <c r="AA72" s="23" t="s">
        <v>173</v>
      </c>
      <c r="AB72" s="1">
        <v>1000.0</v>
      </c>
      <c r="AC72" s="1">
        <v>300.0</v>
      </c>
      <c r="AD72" s="1" t="s">
        <v>472</v>
      </c>
      <c r="AE72" s="1">
        <v>4.0</v>
      </c>
      <c r="AF72" s="5" t="s">
        <v>125</v>
      </c>
      <c r="AG72" s="5" t="s">
        <v>127</v>
      </c>
      <c r="AH72" s="32" t="s">
        <v>264</v>
      </c>
      <c r="AI72" s="5" t="s">
        <v>276</v>
      </c>
      <c r="AJ72" s="5" t="s">
        <v>89</v>
      </c>
      <c r="AK72" s="5" t="s">
        <v>277</v>
      </c>
      <c r="AL72" s="5" t="s">
        <v>131</v>
      </c>
    </row>
    <row r="73" ht="16.5" customHeight="1">
      <c r="A73" s="5" t="s">
        <v>60</v>
      </c>
      <c r="B73" s="1" t="b">
        <v>1</v>
      </c>
      <c r="C73" s="1" t="s">
        <v>476</v>
      </c>
      <c r="D73" s="1" t="s">
        <v>477</v>
      </c>
      <c r="E73" s="1" t="s">
        <v>65</v>
      </c>
      <c r="F73" s="1" t="s">
        <v>66</v>
      </c>
      <c r="G73" s="1" t="s">
        <v>68</v>
      </c>
      <c r="H73" s="1" t="s">
        <v>69</v>
      </c>
      <c r="I73" s="1" t="s">
        <v>70</v>
      </c>
      <c r="J73" s="1"/>
      <c r="K73" s="1" t="b">
        <v>1</v>
      </c>
      <c r="L73" s="1" t="b">
        <v>0</v>
      </c>
      <c r="M73" s="19">
        <v>1300.0</v>
      </c>
      <c r="N73" s="20">
        <v>2.1</v>
      </c>
      <c r="O73" s="20">
        <v>619.05</v>
      </c>
      <c r="P73" s="21"/>
      <c r="Q73" s="1" t="s">
        <v>78</v>
      </c>
      <c r="R73" s="1" t="s">
        <v>145</v>
      </c>
      <c r="S73" s="1" t="s">
        <v>166</v>
      </c>
      <c r="T73" s="1" t="s">
        <v>81</v>
      </c>
      <c r="U73" s="1" t="s">
        <v>0</v>
      </c>
      <c r="V73" s="1" t="s">
        <v>0</v>
      </c>
      <c r="W73" s="22" t="s">
        <v>82</v>
      </c>
      <c r="X73" s="20">
        <v>215.69</v>
      </c>
      <c r="Y73" s="1" t="s">
        <v>0</v>
      </c>
      <c r="Z73" s="1" t="s">
        <v>0</v>
      </c>
      <c r="AA73" s="23" t="s">
        <v>173</v>
      </c>
      <c r="AB73" s="1">
        <v>1000.0</v>
      </c>
      <c r="AC73" s="1">
        <v>300.0</v>
      </c>
      <c r="AD73" s="1" t="s">
        <v>476</v>
      </c>
      <c r="AE73" s="1">
        <v>1.0</v>
      </c>
      <c r="AF73" s="5" t="s">
        <v>125</v>
      </c>
      <c r="AG73" s="5" t="s">
        <v>127</v>
      </c>
      <c r="AH73" s="5" t="s">
        <v>237</v>
      </c>
      <c r="AI73" s="5" t="s">
        <v>68</v>
      </c>
      <c r="AJ73" s="5" t="s">
        <v>128</v>
      </c>
      <c r="AK73" s="5" t="s">
        <v>90</v>
      </c>
      <c r="AL73" s="5" t="s">
        <v>91</v>
      </c>
    </row>
    <row r="74" ht="16.5" customHeight="1">
      <c r="A74" s="5" t="s">
        <v>60</v>
      </c>
      <c r="B74" s="1" t="b">
        <v>1</v>
      </c>
      <c r="C74" s="1" t="s">
        <v>480</v>
      </c>
      <c r="D74" s="1" t="s">
        <v>482</v>
      </c>
      <c r="E74" s="1" t="s">
        <v>65</v>
      </c>
      <c r="F74" s="1" t="s">
        <v>66</v>
      </c>
      <c r="G74" s="1" t="s">
        <v>68</v>
      </c>
      <c r="H74" s="1" t="s">
        <v>69</v>
      </c>
      <c r="I74" s="1" t="s">
        <v>107</v>
      </c>
      <c r="J74" s="1"/>
      <c r="K74" s="1" t="b">
        <v>1</v>
      </c>
      <c r="L74" s="1" t="b">
        <v>0</v>
      </c>
      <c r="M74" s="19">
        <v>1300.0</v>
      </c>
      <c r="N74" s="20">
        <v>2.1</v>
      </c>
      <c r="O74" s="20">
        <v>619.05</v>
      </c>
      <c r="P74" s="21"/>
      <c r="Q74" s="1" t="s">
        <v>78</v>
      </c>
      <c r="R74" s="1" t="s">
        <v>145</v>
      </c>
      <c r="S74" s="1" t="s">
        <v>166</v>
      </c>
      <c r="T74" s="1" t="s">
        <v>81</v>
      </c>
      <c r="U74" s="1" t="s">
        <v>0</v>
      </c>
      <c r="V74" s="1" t="s">
        <v>0</v>
      </c>
      <c r="W74" s="22" t="s">
        <v>82</v>
      </c>
      <c r="X74" s="20">
        <v>209.46</v>
      </c>
      <c r="Y74" s="1" t="s">
        <v>0</v>
      </c>
      <c r="Z74" s="1" t="s">
        <v>0</v>
      </c>
      <c r="AA74" s="23" t="s">
        <v>173</v>
      </c>
      <c r="AB74" s="1">
        <v>1000.0</v>
      </c>
      <c r="AC74" s="1">
        <v>300.0</v>
      </c>
      <c r="AD74" s="1" t="s">
        <v>480</v>
      </c>
      <c r="AE74" s="1">
        <v>1.0</v>
      </c>
      <c r="AF74" s="5" t="s">
        <v>125</v>
      </c>
      <c r="AG74" s="5" t="s">
        <v>127</v>
      </c>
      <c r="AH74" s="5" t="s">
        <v>237</v>
      </c>
      <c r="AI74" s="5" t="s">
        <v>68</v>
      </c>
      <c r="AJ74" s="5" t="s">
        <v>128</v>
      </c>
      <c r="AK74" s="5" t="s">
        <v>90</v>
      </c>
      <c r="AL74" s="5" t="s">
        <v>91</v>
      </c>
    </row>
    <row r="75" ht="16.5" customHeight="1">
      <c r="A75" s="5" t="s">
        <v>60</v>
      </c>
      <c r="B75" s="1" t="b">
        <v>1</v>
      </c>
      <c r="C75" s="1" t="s">
        <v>483</v>
      </c>
      <c r="D75" s="1" t="s">
        <v>484</v>
      </c>
      <c r="E75" s="1" t="s">
        <v>65</v>
      </c>
      <c r="F75" s="1" t="s">
        <v>66</v>
      </c>
      <c r="G75" s="1" t="s">
        <v>68</v>
      </c>
      <c r="H75" s="1" t="s">
        <v>69</v>
      </c>
      <c r="I75" s="1" t="s">
        <v>70</v>
      </c>
      <c r="J75" s="1"/>
      <c r="K75" s="1" t="b">
        <v>1</v>
      </c>
      <c r="L75" s="1" t="b">
        <v>0</v>
      </c>
      <c r="M75" s="19">
        <v>1800.0</v>
      </c>
      <c r="N75" s="20">
        <v>2.1</v>
      </c>
      <c r="O75" s="20">
        <v>857.14</v>
      </c>
      <c r="P75" s="21"/>
      <c r="Q75" s="1" t="s">
        <v>78</v>
      </c>
      <c r="R75" s="1" t="s">
        <v>145</v>
      </c>
      <c r="S75" s="1" t="s">
        <v>166</v>
      </c>
      <c r="T75" s="1" t="s">
        <v>81</v>
      </c>
      <c r="U75" s="1" t="s">
        <v>0</v>
      </c>
      <c r="V75" s="1" t="s">
        <v>0</v>
      </c>
      <c r="W75" s="22" t="s">
        <v>82</v>
      </c>
      <c r="X75" s="20">
        <v>268.05</v>
      </c>
      <c r="Y75" s="1" t="s">
        <v>0</v>
      </c>
      <c r="Z75" s="1" t="s">
        <v>0</v>
      </c>
      <c r="AA75" s="23" t="s">
        <v>85</v>
      </c>
      <c r="AB75" s="1">
        <v>1000.0</v>
      </c>
      <c r="AC75" s="1">
        <v>300.0</v>
      </c>
      <c r="AD75" s="1" t="s">
        <v>483</v>
      </c>
      <c r="AE75" s="1">
        <v>3.0</v>
      </c>
      <c r="AF75" s="5" t="s">
        <v>125</v>
      </c>
      <c r="AG75" s="5" t="s">
        <v>127</v>
      </c>
      <c r="AH75" s="5" t="s">
        <v>237</v>
      </c>
      <c r="AI75" s="5" t="s">
        <v>68</v>
      </c>
      <c r="AJ75" s="5" t="s">
        <v>89</v>
      </c>
      <c r="AK75" s="5" t="s">
        <v>90</v>
      </c>
      <c r="AL75" s="5" t="s">
        <v>91</v>
      </c>
    </row>
    <row r="76" ht="16.5" customHeight="1">
      <c r="A76" s="5" t="s">
        <v>60</v>
      </c>
      <c r="B76" s="1" t="b">
        <v>1</v>
      </c>
      <c r="C76" s="1" t="s">
        <v>486</v>
      </c>
      <c r="D76" s="1" t="s">
        <v>487</v>
      </c>
      <c r="E76" s="1" t="s">
        <v>65</v>
      </c>
      <c r="F76" s="1" t="s">
        <v>66</v>
      </c>
      <c r="G76" s="1" t="s">
        <v>68</v>
      </c>
      <c r="H76" s="1" t="s">
        <v>69</v>
      </c>
      <c r="I76" s="1" t="s">
        <v>107</v>
      </c>
      <c r="J76" s="1"/>
      <c r="K76" s="1" t="b">
        <v>1</v>
      </c>
      <c r="L76" s="1" t="b">
        <v>0</v>
      </c>
      <c r="M76" s="19">
        <v>1800.0</v>
      </c>
      <c r="N76" s="20">
        <v>2.1</v>
      </c>
      <c r="O76" s="20">
        <v>857.14</v>
      </c>
      <c r="P76" s="21"/>
      <c r="Q76" s="1" t="s">
        <v>78</v>
      </c>
      <c r="R76" s="1" t="s">
        <v>145</v>
      </c>
      <c r="S76" s="1" t="s">
        <v>166</v>
      </c>
      <c r="T76" s="1" t="s">
        <v>81</v>
      </c>
      <c r="U76" s="1" t="s">
        <v>0</v>
      </c>
      <c r="V76" s="1" t="s">
        <v>0</v>
      </c>
      <c r="W76" s="22" t="s">
        <v>82</v>
      </c>
      <c r="X76" s="20">
        <v>259.51</v>
      </c>
      <c r="Y76" s="1" t="s">
        <v>0</v>
      </c>
      <c r="Z76" s="1" t="s">
        <v>0</v>
      </c>
      <c r="AA76" s="23" t="s">
        <v>85</v>
      </c>
      <c r="AB76" s="1">
        <v>1000.0</v>
      </c>
      <c r="AC76" s="1">
        <v>300.0</v>
      </c>
      <c r="AD76" s="1" t="s">
        <v>486</v>
      </c>
      <c r="AE76" s="1">
        <v>3.0</v>
      </c>
      <c r="AF76" s="5" t="s">
        <v>125</v>
      </c>
      <c r="AG76" s="5" t="s">
        <v>127</v>
      </c>
      <c r="AH76" s="5" t="s">
        <v>237</v>
      </c>
      <c r="AI76" s="5" t="s">
        <v>68</v>
      </c>
      <c r="AJ76" s="5" t="s">
        <v>89</v>
      </c>
      <c r="AK76" s="5" t="s">
        <v>90</v>
      </c>
      <c r="AL76" s="5" t="s">
        <v>91</v>
      </c>
    </row>
    <row r="77" ht="16.5" customHeight="1">
      <c r="A77" s="5" t="s">
        <v>60</v>
      </c>
      <c r="B77" s="1" t="b">
        <v>1</v>
      </c>
      <c r="C77" s="1" t="s">
        <v>490</v>
      </c>
      <c r="D77" s="1" t="s">
        <v>491</v>
      </c>
      <c r="E77" s="1" t="s">
        <v>65</v>
      </c>
      <c r="F77" s="1" t="s">
        <v>66</v>
      </c>
      <c r="G77" s="1" t="s">
        <v>126</v>
      </c>
      <c r="H77" s="1" t="s">
        <v>69</v>
      </c>
      <c r="I77" s="1" t="s">
        <v>70</v>
      </c>
      <c r="J77" s="1"/>
      <c r="K77" s="1" t="b">
        <v>0</v>
      </c>
      <c r="L77" s="1" t="b">
        <v>0</v>
      </c>
      <c r="M77" s="19">
        <v>1800.0</v>
      </c>
      <c r="N77" s="20">
        <v>2.1</v>
      </c>
      <c r="O77" s="20">
        <v>857.14</v>
      </c>
      <c r="P77" s="21"/>
      <c r="Q77" s="1" t="s">
        <v>78</v>
      </c>
      <c r="R77" s="1" t="s">
        <v>145</v>
      </c>
      <c r="S77" s="1" t="s">
        <v>81</v>
      </c>
      <c r="T77" s="1" t="s">
        <v>81</v>
      </c>
      <c r="U77" s="1" t="s">
        <v>0</v>
      </c>
      <c r="V77" s="1" t="s">
        <v>0</v>
      </c>
      <c r="W77" s="22" t="s">
        <v>202</v>
      </c>
      <c r="X77" s="20">
        <v>239.41</v>
      </c>
      <c r="Y77" s="1" t="s">
        <v>0</v>
      </c>
      <c r="Z77" s="1" t="s">
        <v>0</v>
      </c>
      <c r="AA77" s="23" t="s">
        <v>85</v>
      </c>
      <c r="AB77" s="1">
        <v>1000.0</v>
      </c>
      <c r="AC77" s="1">
        <v>300.0</v>
      </c>
      <c r="AD77" s="1" t="s">
        <v>490</v>
      </c>
      <c r="AE77" s="1">
        <v>4.0</v>
      </c>
      <c r="AF77" s="5" t="s">
        <v>86</v>
      </c>
      <c r="AG77" s="5" t="s">
        <v>87</v>
      </c>
      <c r="AH77" s="5" t="s">
        <v>88</v>
      </c>
      <c r="AI77" s="5" t="s">
        <v>126</v>
      </c>
      <c r="AJ77" s="5" t="s">
        <v>161</v>
      </c>
      <c r="AK77" s="5" t="s">
        <v>130</v>
      </c>
      <c r="AL77" s="5" t="s">
        <v>131</v>
      </c>
    </row>
    <row r="78" ht="16.5" customHeight="1">
      <c r="A78" s="5" t="s">
        <v>60</v>
      </c>
      <c r="B78" s="1" t="b">
        <v>1</v>
      </c>
      <c r="C78" s="1" t="s">
        <v>492</v>
      </c>
      <c r="D78" s="1" t="s">
        <v>493</v>
      </c>
      <c r="E78" s="1" t="s">
        <v>65</v>
      </c>
      <c r="F78" s="1" t="s">
        <v>66</v>
      </c>
      <c r="G78" s="1" t="s">
        <v>126</v>
      </c>
      <c r="H78" s="1" t="s">
        <v>69</v>
      </c>
      <c r="I78" s="1" t="s">
        <v>107</v>
      </c>
      <c r="J78" s="1"/>
      <c r="K78" s="1" t="b">
        <v>0</v>
      </c>
      <c r="L78" s="1" t="b">
        <v>0</v>
      </c>
      <c r="M78" s="19">
        <v>1800.0</v>
      </c>
      <c r="N78" s="20">
        <v>2.1</v>
      </c>
      <c r="O78" s="20">
        <v>857.14</v>
      </c>
      <c r="P78" s="21"/>
      <c r="Q78" s="1" t="s">
        <v>78</v>
      </c>
      <c r="R78" s="1" t="s">
        <v>145</v>
      </c>
      <c r="S78" s="1" t="s">
        <v>81</v>
      </c>
      <c r="T78" s="1" t="s">
        <v>81</v>
      </c>
      <c r="U78" s="1" t="s">
        <v>0</v>
      </c>
      <c r="V78" s="1" t="s">
        <v>0</v>
      </c>
      <c r="W78" s="22" t="s">
        <v>202</v>
      </c>
      <c r="X78" s="20">
        <v>224.9</v>
      </c>
      <c r="Y78" s="1" t="s">
        <v>0</v>
      </c>
      <c r="Z78" s="1" t="s">
        <v>0</v>
      </c>
      <c r="AA78" s="23" t="s">
        <v>85</v>
      </c>
      <c r="AB78" s="1">
        <v>1000.0</v>
      </c>
      <c r="AC78" s="1">
        <v>300.0</v>
      </c>
      <c r="AD78" s="1" t="s">
        <v>492</v>
      </c>
      <c r="AE78" s="1">
        <v>4.0</v>
      </c>
      <c r="AF78" s="5" t="s">
        <v>86</v>
      </c>
      <c r="AG78" s="5" t="s">
        <v>87</v>
      </c>
      <c r="AH78" s="5" t="s">
        <v>88</v>
      </c>
      <c r="AI78" s="5" t="s">
        <v>126</v>
      </c>
      <c r="AJ78" s="5" t="s">
        <v>161</v>
      </c>
      <c r="AK78" s="5" t="s">
        <v>130</v>
      </c>
      <c r="AL78" s="5" t="s">
        <v>131</v>
      </c>
    </row>
    <row r="79" ht="16.5" customHeight="1">
      <c r="A79" s="5" t="s">
        <v>60</v>
      </c>
      <c r="B79" s="1" t="b">
        <v>1</v>
      </c>
      <c r="C79" s="1" t="s">
        <v>498</v>
      </c>
      <c r="D79" s="1" t="s">
        <v>499</v>
      </c>
      <c r="E79" s="1" t="s">
        <v>65</v>
      </c>
      <c r="F79" s="1" t="s">
        <v>66</v>
      </c>
      <c r="G79" s="1" t="s">
        <v>126</v>
      </c>
      <c r="H79" s="1" t="s">
        <v>69</v>
      </c>
      <c r="I79" s="1" t="s">
        <v>70</v>
      </c>
      <c r="J79" s="1"/>
      <c r="K79" s="1" t="b">
        <v>0</v>
      </c>
      <c r="L79" s="1" t="b">
        <v>0</v>
      </c>
      <c r="M79" s="19">
        <v>1400.0</v>
      </c>
      <c r="N79" s="20">
        <v>2.1</v>
      </c>
      <c r="O79" s="20">
        <v>666.67</v>
      </c>
      <c r="P79" s="21"/>
      <c r="Q79" s="1" t="s">
        <v>78</v>
      </c>
      <c r="R79" s="1" t="s">
        <v>145</v>
      </c>
      <c r="S79" s="1" t="s">
        <v>81</v>
      </c>
      <c r="T79" s="1" t="s">
        <v>81</v>
      </c>
      <c r="U79" s="1" t="s">
        <v>0</v>
      </c>
      <c r="V79" s="1" t="s">
        <v>0</v>
      </c>
      <c r="W79" s="22" t="s">
        <v>202</v>
      </c>
      <c r="X79" s="20">
        <v>200.22000000000003</v>
      </c>
      <c r="Y79" s="1" t="s">
        <v>0</v>
      </c>
      <c r="Z79" s="1" t="s">
        <v>0</v>
      </c>
      <c r="AA79" s="23" t="s">
        <v>85</v>
      </c>
      <c r="AB79" s="1">
        <v>1000.0</v>
      </c>
      <c r="AC79" s="1">
        <v>300.0</v>
      </c>
      <c r="AD79" s="1" t="s">
        <v>498</v>
      </c>
      <c r="AE79" s="1">
        <v>2.0</v>
      </c>
      <c r="AF79" s="5" t="s">
        <v>86</v>
      </c>
      <c r="AG79" s="5" t="s">
        <v>87</v>
      </c>
      <c r="AH79" s="32" t="s">
        <v>379</v>
      </c>
      <c r="AI79" s="5" t="s">
        <v>126</v>
      </c>
      <c r="AJ79" s="5" t="s">
        <v>128</v>
      </c>
      <c r="AK79" s="5" t="s">
        <v>130</v>
      </c>
      <c r="AL79" s="5" t="s">
        <v>131</v>
      </c>
    </row>
    <row r="80" ht="16.5" customHeight="1">
      <c r="A80" s="5" t="s">
        <v>60</v>
      </c>
      <c r="B80" s="1" t="b">
        <v>1</v>
      </c>
      <c r="C80" s="1" t="s">
        <v>505</v>
      </c>
      <c r="D80" s="1" t="s">
        <v>506</v>
      </c>
      <c r="E80" s="1" t="s">
        <v>65</v>
      </c>
      <c r="F80" s="1" t="s">
        <v>66</v>
      </c>
      <c r="G80" s="1" t="s">
        <v>126</v>
      </c>
      <c r="H80" s="1" t="s">
        <v>69</v>
      </c>
      <c r="I80" s="1" t="s">
        <v>107</v>
      </c>
      <c r="J80" s="1"/>
      <c r="K80" s="1" t="b">
        <v>0</v>
      </c>
      <c r="L80" s="1" t="b">
        <v>0</v>
      </c>
      <c r="M80" s="19">
        <v>1400.0</v>
      </c>
      <c r="N80" s="20">
        <v>2.1</v>
      </c>
      <c r="O80" s="20">
        <v>666.67</v>
      </c>
      <c r="P80" s="21"/>
      <c r="Q80" s="1" t="s">
        <v>78</v>
      </c>
      <c r="R80" s="1" t="s">
        <v>145</v>
      </c>
      <c r="S80" s="1" t="s">
        <v>81</v>
      </c>
      <c r="T80" s="1" t="s">
        <v>81</v>
      </c>
      <c r="U80" s="1" t="s">
        <v>0</v>
      </c>
      <c r="V80" s="1" t="s">
        <v>0</v>
      </c>
      <c r="W80" s="22" t="s">
        <v>202</v>
      </c>
      <c r="X80" s="20">
        <v>196.55</v>
      </c>
      <c r="Y80" s="1" t="s">
        <v>0</v>
      </c>
      <c r="Z80" s="1" t="s">
        <v>0</v>
      </c>
      <c r="AA80" s="23" t="s">
        <v>85</v>
      </c>
      <c r="AB80" s="1">
        <v>1000.0</v>
      </c>
      <c r="AC80" s="1">
        <v>300.0</v>
      </c>
      <c r="AD80" s="1" t="s">
        <v>505</v>
      </c>
      <c r="AE80" s="1">
        <v>2.0</v>
      </c>
      <c r="AF80" s="5" t="s">
        <v>86</v>
      </c>
      <c r="AG80" s="5" t="s">
        <v>87</v>
      </c>
      <c r="AH80" s="32" t="s">
        <v>379</v>
      </c>
      <c r="AI80" s="5" t="s">
        <v>126</v>
      </c>
      <c r="AJ80" s="5" t="s">
        <v>128</v>
      </c>
      <c r="AK80" s="5" t="s">
        <v>130</v>
      </c>
      <c r="AL80" s="5" t="s">
        <v>131</v>
      </c>
    </row>
    <row r="81" ht="16.5" customHeight="1">
      <c r="A81" s="5" t="s">
        <v>60</v>
      </c>
      <c r="B81" s="1" t="b">
        <v>1</v>
      </c>
      <c r="C81" s="1" t="s">
        <v>508</v>
      </c>
      <c r="D81" s="1" t="s">
        <v>509</v>
      </c>
      <c r="E81" s="1" t="s">
        <v>65</v>
      </c>
      <c r="F81" s="1" t="s">
        <v>109</v>
      </c>
      <c r="G81" s="1" t="s">
        <v>68</v>
      </c>
      <c r="H81" s="1" t="s">
        <v>69</v>
      </c>
      <c r="I81" s="1" t="s">
        <v>70</v>
      </c>
      <c r="J81" s="1"/>
      <c r="K81" s="1" t="b">
        <v>1</v>
      </c>
      <c r="L81" s="1" t="b">
        <v>0</v>
      </c>
      <c r="M81" s="19">
        <v>3000.0</v>
      </c>
      <c r="N81" s="20">
        <v>2.1</v>
      </c>
      <c r="O81" s="20">
        <v>1428.57</v>
      </c>
      <c r="P81" s="21"/>
      <c r="Q81" s="1" t="s">
        <v>117</v>
      </c>
      <c r="R81" s="1" t="s">
        <v>79</v>
      </c>
      <c r="S81" s="1" t="s">
        <v>511</v>
      </c>
      <c r="T81" s="1" t="s">
        <v>81</v>
      </c>
      <c r="U81" s="1" t="s">
        <v>0</v>
      </c>
      <c r="V81" s="1" t="s">
        <v>0</v>
      </c>
      <c r="W81" s="22" t="s">
        <v>82</v>
      </c>
      <c r="X81" s="20">
        <v>601.24</v>
      </c>
      <c r="Y81" s="1" t="s">
        <v>0</v>
      </c>
      <c r="Z81" s="1" t="s">
        <v>0</v>
      </c>
      <c r="AA81" s="23" t="s">
        <v>173</v>
      </c>
      <c r="AB81" s="1">
        <v>1000.0</v>
      </c>
      <c r="AC81" s="1">
        <v>300.0</v>
      </c>
      <c r="AD81" s="1" t="s">
        <v>508</v>
      </c>
      <c r="AE81" s="1">
        <v>4.0</v>
      </c>
      <c r="AF81" s="5" t="s">
        <v>86</v>
      </c>
      <c r="AG81" s="5" t="s">
        <v>512</v>
      </c>
      <c r="AH81" s="32" t="s">
        <v>379</v>
      </c>
      <c r="AI81" s="5" t="s">
        <v>68</v>
      </c>
      <c r="AJ81" s="5" t="s">
        <v>89</v>
      </c>
      <c r="AK81" s="5" t="s">
        <v>178</v>
      </c>
      <c r="AL81" s="5" t="s">
        <v>91</v>
      </c>
    </row>
    <row r="82" ht="16.5" customHeight="1">
      <c r="A82" s="5" t="s">
        <v>60</v>
      </c>
      <c r="B82" s="1" t="b">
        <v>1</v>
      </c>
      <c r="C82" s="1" t="s">
        <v>515</v>
      </c>
      <c r="D82" s="1" t="s">
        <v>516</v>
      </c>
      <c r="E82" s="1" t="s">
        <v>65</v>
      </c>
      <c r="F82" s="1" t="s">
        <v>109</v>
      </c>
      <c r="G82" s="1" t="s">
        <v>68</v>
      </c>
      <c r="H82" s="1" t="s">
        <v>69</v>
      </c>
      <c r="I82" s="1" t="s">
        <v>107</v>
      </c>
      <c r="J82" s="1"/>
      <c r="K82" s="1" t="b">
        <v>1</v>
      </c>
      <c r="L82" s="1" t="b">
        <v>0</v>
      </c>
      <c r="M82" s="19">
        <v>3000.0</v>
      </c>
      <c r="N82" s="20">
        <v>2.1</v>
      </c>
      <c r="O82" s="20">
        <v>1428.57</v>
      </c>
      <c r="P82" s="21"/>
      <c r="Q82" s="1" t="s">
        <v>117</v>
      </c>
      <c r="R82" s="1" t="s">
        <v>79</v>
      </c>
      <c r="S82" s="1" t="s">
        <v>511</v>
      </c>
      <c r="T82" s="1" t="s">
        <v>81</v>
      </c>
      <c r="U82" s="1" t="s">
        <v>0</v>
      </c>
      <c r="V82" s="1" t="s">
        <v>0</v>
      </c>
      <c r="W82" s="22" t="s">
        <v>82</v>
      </c>
      <c r="X82" s="20">
        <v>563.99</v>
      </c>
      <c r="Y82" s="1" t="s">
        <v>0</v>
      </c>
      <c r="Z82" s="1" t="s">
        <v>0</v>
      </c>
      <c r="AA82" s="23" t="s">
        <v>173</v>
      </c>
      <c r="AB82" s="1">
        <v>1000.0</v>
      </c>
      <c r="AC82" s="1">
        <v>300.0</v>
      </c>
      <c r="AD82" s="1" t="s">
        <v>515</v>
      </c>
      <c r="AE82" s="1">
        <v>4.0</v>
      </c>
      <c r="AF82" s="5" t="s">
        <v>86</v>
      </c>
      <c r="AG82" s="5" t="s">
        <v>512</v>
      </c>
      <c r="AH82" s="32" t="s">
        <v>379</v>
      </c>
      <c r="AI82" s="5" t="s">
        <v>68</v>
      </c>
      <c r="AJ82" s="5" t="s">
        <v>89</v>
      </c>
      <c r="AK82" s="5" t="s">
        <v>178</v>
      </c>
      <c r="AL82" s="5" t="s">
        <v>91</v>
      </c>
    </row>
    <row r="83" ht="16.5" customHeight="1">
      <c r="A83" s="5" t="s">
        <v>60</v>
      </c>
      <c r="B83" s="1" t="b">
        <v>1</v>
      </c>
      <c r="C83" s="1" t="s">
        <v>519</v>
      </c>
      <c r="D83" s="1" t="s">
        <v>520</v>
      </c>
      <c r="E83" s="1" t="s">
        <v>65</v>
      </c>
      <c r="F83" s="1" t="s">
        <v>109</v>
      </c>
      <c r="G83" s="1" t="s">
        <v>68</v>
      </c>
      <c r="H83" s="1" t="s">
        <v>69</v>
      </c>
      <c r="I83" s="1" t="s">
        <v>70</v>
      </c>
      <c r="J83" s="1"/>
      <c r="K83" s="1" t="b">
        <v>1</v>
      </c>
      <c r="L83" s="1" t="b">
        <v>0</v>
      </c>
      <c r="M83" s="19">
        <v>1700.0</v>
      </c>
      <c r="N83" s="20">
        <v>2.1</v>
      </c>
      <c r="O83" s="20">
        <v>809.52</v>
      </c>
      <c r="P83" s="21"/>
      <c r="Q83" s="1" t="s">
        <v>117</v>
      </c>
      <c r="R83" s="1" t="s">
        <v>79</v>
      </c>
      <c r="S83" s="1" t="s">
        <v>511</v>
      </c>
      <c r="T83" s="1" t="s">
        <v>81</v>
      </c>
      <c r="U83" s="1" t="s">
        <v>0</v>
      </c>
      <c r="V83" s="1" t="s">
        <v>0</v>
      </c>
      <c r="W83" s="22" t="s">
        <v>82</v>
      </c>
      <c r="X83" s="20">
        <v>330.37000000000006</v>
      </c>
      <c r="Y83" s="1" t="s">
        <v>0</v>
      </c>
      <c r="Z83" s="1" t="s">
        <v>0</v>
      </c>
      <c r="AA83" s="23" t="s">
        <v>173</v>
      </c>
      <c r="AB83" s="1">
        <v>1000.0</v>
      </c>
      <c r="AC83" s="1">
        <v>300.0</v>
      </c>
      <c r="AD83" s="1" t="s">
        <v>519</v>
      </c>
      <c r="AE83" s="1">
        <v>1.0</v>
      </c>
      <c r="AF83" s="5" t="s">
        <v>86</v>
      </c>
      <c r="AG83" s="5" t="s">
        <v>512</v>
      </c>
      <c r="AH83" s="32" t="s">
        <v>379</v>
      </c>
      <c r="AI83" s="5" t="s">
        <v>68</v>
      </c>
      <c r="AJ83" s="5" t="s">
        <v>128</v>
      </c>
      <c r="AK83" s="5" t="s">
        <v>178</v>
      </c>
      <c r="AL83" s="5" t="s">
        <v>91</v>
      </c>
    </row>
    <row r="84" ht="16.5" customHeight="1">
      <c r="A84" s="5" t="s">
        <v>60</v>
      </c>
      <c r="B84" s="1" t="b">
        <v>1</v>
      </c>
      <c r="C84" s="1" t="s">
        <v>521</v>
      </c>
      <c r="D84" s="1" t="s">
        <v>522</v>
      </c>
      <c r="E84" s="1" t="s">
        <v>65</v>
      </c>
      <c r="F84" s="1" t="s">
        <v>109</v>
      </c>
      <c r="G84" s="1" t="s">
        <v>68</v>
      </c>
      <c r="H84" s="1" t="s">
        <v>69</v>
      </c>
      <c r="I84" s="1" t="s">
        <v>107</v>
      </c>
      <c r="J84" s="1"/>
      <c r="K84" s="1" t="b">
        <v>1</v>
      </c>
      <c r="L84" s="1" t="b">
        <v>0</v>
      </c>
      <c r="M84" s="19">
        <v>1700.0</v>
      </c>
      <c r="N84" s="20">
        <v>2.1</v>
      </c>
      <c r="O84" s="20">
        <v>809.52</v>
      </c>
      <c r="P84" s="21"/>
      <c r="Q84" s="1" t="s">
        <v>117</v>
      </c>
      <c r="R84" s="1" t="s">
        <v>79</v>
      </c>
      <c r="S84" s="1" t="s">
        <v>511</v>
      </c>
      <c r="T84" s="1" t="s">
        <v>81</v>
      </c>
      <c r="U84" s="1" t="s">
        <v>0</v>
      </c>
      <c r="V84" s="1" t="s">
        <v>0</v>
      </c>
      <c r="W84" s="22" t="s">
        <v>82</v>
      </c>
      <c r="X84" s="20">
        <v>311.19</v>
      </c>
      <c r="Y84" s="1" t="s">
        <v>0</v>
      </c>
      <c r="Z84" s="1" t="s">
        <v>0</v>
      </c>
      <c r="AA84" s="23" t="s">
        <v>173</v>
      </c>
      <c r="AB84" s="1">
        <v>1000.0</v>
      </c>
      <c r="AC84" s="1">
        <v>300.0</v>
      </c>
      <c r="AD84" s="1" t="s">
        <v>521</v>
      </c>
      <c r="AE84" s="1">
        <v>1.0</v>
      </c>
      <c r="AF84" s="5" t="s">
        <v>86</v>
      </c>
      <c r="AG84" s="5" t="s">
        <v>512</v>
      </c>
      <c r="AH84" s="32" t="s">
        <v>379</v>
      </c>
      <c r="AI84" s="5" t="s">
        <v>68</v>
      </c>
      <c r="AJ84" s="5" t="s">
        <v>128</v>
      </c>
      <c r="AK84" s="5" t="s">
        <v>178</v>
      </c>
      <c r="AL84" s="5" t="s">
        <v>91</v>
      </c>
    </row>
    <row r="85" ht="16.5" customHeight="1">
      <c r="A85" s="5" t="s">
        <v>60</v>
      </c>
      <c r="B85" s="1" t="b">
        <v>1</v>
      </c>
      <c r="C85" s="1" t="s">
        <v>524</v>
      </c>
      <c r="D85" s="1" t="s">
        <v>525</v>
      </c>
      <c r="E85" s="1" t="s">
        <v>65</v>
      </c>
      <c r="F85" s="1" t="s">
        <v>109</v>
      </c>
      <c r="G85" s="1" t="s">
        <v>68</v>
      </c>
      <c r="H85" s="1" t="s">
        <v>69</v>
      </c>
      <c r="I85" s="1" t="s">
        <v>70</v>
      </c>
      <c r="J85" s="1"/>
      <c r="K85" s="1" t="b">
        <v>1</v>
      </c>
      <c r="L85" s="1" t="b">
        <v>0</v>
      </c>
      <c r="M85" s="19">
        <v>5000.0</v>
      </c>
      <c r="N85" s="20">
        <v>2.1</v>
      </c>
      <c r="O85" s="20">
        <v>2380.95</v>
      </c>
      <c r="P85" s="21"/>
      <c r="Q85" s="1" t="s">
        <v>242</v>
      </c>
      <c r="R85" s="1" t="s">
        <v>79</v>
      </c>
      <c r="S85" s="1" t="s">
        <v>80</v>
      </c>
      <c r="T85" s="1" t="s">
        <v>81</v>
      </c>
      <c r="U85" s="1" t="s">
        <v>0</v>
      </c>
      <c r="V85" s="1" t="s">
        <v>0</v>
      </c>
      <c r="W85" s="22" t="s">
        <v>82</v>
      </c>
      <c r="X85" s="20">
        <v>1246.79</v>
      </c>
      <c r="Y85" s="1" t="s">
        <v>0</v>
      </c>
      <c r="Z85" s="1" t="s">
        <v>0</v>
      </c>
      <c r="AA85" s="23" t="s">
        <v>173</v>
      </c>
      <c r="AB85" s="1">
        <v>1000.0</v>
      </c>
      <c r="AC85" s="1">
        <v>300.0</v>
      </c>
      <c r="AD85" s="1" t="s">
        <v>524</v>
      </c>
      <c r="AE85" s="1">
        <v>4.0</v>
      </c>
      <c r="AF85" s="5" t="s">
        <v>86</v>
      </c>
      <c r="AG85" s="5" t="s">
        <v>512</v>
      </c>
      <c r="AH85" s="32" t="s">
        <v>379</v>
      </c>
      <c r="AI85" s="5" t="s">
        <v>68</v>
      </c>
      <c r="AJ85" s="5" t="s">
        <v>89</v>
      </c>
      <c r="AK85" s="5" t="s">
        <v>132</v>
      </c>
      <c r="AL85" s="5" t="s">
        <v>91</v>
      </c>
    </row>
    <row r="86" ht="16.5" customHeight="1">
      <c r="A86" s="5" t="s">
        <v>60</v>
      </c>
      <c r="B86" s="1" t="b">
        <v>1</v>
      </c>
      <c r="C86" s="1" t="s">
        <v>531</v>
      </c>
      <c r="D86" s="1" t="s">
        <v>532</v>
      </c>
      <c r="E86" s="1" t="s">
        <v>65</v>
      </c>
      <c r="F86" s="1" t="s">
        <v>109</v>
      </c>
      <c r="G86" s="1" t="s">
        <v>68</v>
      </c>
      <c r="H86" s="1" t="s">
        <v>69</v>
      </c>
      <c r="I86" s="1" t="s">
        <v>107</v>
      </c>
      <c r="J86" s="1"/>
      <c r="K86" s="1" t="b">
        <v>1</v>
      </c>
      <c r="L86" s="1" t="b">
        <v>0</v>
      </c>
      <c r="M86" s="19">
        <v>5000.0</v>
      </c>
      <c r="N86" s="20">
        <v>2.1</v>
      </c>
      <c r="O86" s="20">
        <v>2380.95</v>
      </c>
      <c r="P86" s="21"/>
      <c r="Q86" s="1" t="s">
        <v>242</v>
      </c>
      <c r="R86" s="1" t="s">
        <v>79</v>
      </c>
      <c r="S86" s="1" t="s">
        <v>80</v>
      </c>
      <c r="T86" s="1" t="s">
        <v>81</v>
      </c>
      <c r="U86" s="1" t="s">
        <v>0</v>
      </c>
      <c r="V86" s="1" t="s">
        <v>0</v>
      </c>
      <c r="W86" s="22" t="s">
        <v>82</v>
      </c>
      <c r="X86" s="20">
        <v>1139.58</v>
      </c>
      <c r="Y86" s="1" t="s">
        <v>0</v>
      </c>
      <c r="Z86" s="1" t="s">
        <v>0</v>
      </c>
      <c r="AA86" s="23" t="s">
        <v>173</v>
      </c>
      <c r="AB86" s="1">
        <v>1000.0</v>
      </c>
      <c r="AC86" s="1">
        <v>300.0</v>
      </c>
      <c r="AD86" s="1" t="s">
        <v>531</v>
      </c>
      <c r="AE86" s="1">
        <v>4.0</v>
      </c>
      <c r="AF86" s="5" t="s">
        <v>86</v>
      </c>
      <c r="AG86" s="5" t="s">
        <v>512</v>
      </c>
      <c r="AH86" s="32" t="s">
        <v>379</v>
      </c>
      <c r="AI86" s="5" t="s">
        <v>68</v>
      </c>
      <c r="AJ86" s="5" t="s">
        <v>89</v>
      </c>
      <c r="AK86" s="5" t="s">
        <v>132</v>
      </c>
      <c r="AL86" s="5" t="s">
        <v>91</v>
      </c>
    </row>
    <row r="87" ht="16.5" customHeight="1">
      <c r="A87" s="5" t="s">
        <v>60</v>
      </c>
      <c r="B87" s="1" t="b">
        <v>1</v>
      </c>
      <c r="C87" s="1" t="s">
        <v>534</v>
      </c>
      <c r="D87" s="1" t="s">
        <v>535</v>
      </c>
      <c r="E87" s="1" t="s">
        <v>65</v>
      </c>
      <c r="F87" s="1" t="s">
        <v>109</v>
      </c>
      <c r="G87" s="1" t="s">
        <v>334</v>
      </c>
      <c r="H87" s="1" t="s">
        <v>69</v>
      </c>
      <c r="I87" s="1" t="s">
        <v>107</v>
      </c>
      <c r="J87" s="1"/>
      <c r="K87" s="1" t="b">
        <v>1</v>
      </c>
      <c r="L87" s="1" t="b">
        <v>0</v>
      </c>
      <c r="M87" s="19">
        <v>700.0</v>
      </c>
      <c r="N87" s="20">
        <v>2.1</v>
      </c>
      <c r="O87" s="20">
        <v>333.33</v>
      </c>
      <c r="P87" s="21"/>
      <c r="Q87" s="1" t="s">
        <v>117</v>
      </c>
      <c r="R87" s="1" t="s">
        <v>145</v>
      </c>
      <c r="S87" s="1" t="s">
        <v>273</v>
      </c>
      <c r="T87" s="1" t="s">
        <v>81</v>
      </c>
      <c r="U87" s="1" t="s">
        <v>0</v>
      </c>
      <c r="V87" s="1" t="s">
        <v>0</v>
      </c>
      <c r="W87" s="22" t="s">
        <v>82</v>
      </c>
      <c r="X87" s="20">
        <v>117.41</v>
      </c>
      <c r="Y87" s="1" t="s">
        <v>0</v>
      </c>
      <c r="Z87" s="1" t="s">
        <v>0</v>
      </c>
      <c r="AA87" s="23" t="s">
        <v>173</v>
      </c>
      <c r="AB87" s="1">
        <v>800.0</v>
      </c>
      <c r="AC87" s="1">
        <v>500.0</v>
      </c>
      <c r="AD87" s="1" t="s">
        <v>534</v>
      </c>
      <c r="AE87" s="1">
        <v>4.0</v>
      </c>
      <c r="AF87" s="5" t="s">
        <v>86</v>
      </c>
      <c r="AG87" s="5" t="s">
        <v>512</v>
      </c>
      <c r="AH87" s="5" t="s">
        <v>88</v>
      </c>
      <c r="AI87" s="5" t="s">
        <v>334</v>
      </c>
      <c r="AJ87" s="5" t="s">
        <v>348</v>
      </c>
      <c r="AK87" s="5" t="s">
        <v>539</v>
      </c>
      <c r="AL87" s="5" t="s">
        <v>131</v>
      </c>
    </row>
    <row r="88" ht="16.5" customHeight="1">
      <c r="A88" s="5" t="s">
        <v>60</v>
      </c>
      <c r="B88" s="1" t="b">
        <v>1</v>
      </c>
      <c r="C88" s="1" t="s">
        <v>540</v>
      </c>
      <c r="D88" s="1" t="s">
        <v>541</v>
      </c>
      <c r="E88" s="1" t="s">
        <v>65</v>
      </c>
      <c r="F88" s="1" t="s">
        <v>109</v>
      </c>
      <c r="G88" s="1" t="s">
        <v>334</v>
      </c>
      <c r="H88" s="1" t="s">
        <v>69</v>
      </c>
      <c r="I88" s="1" t="s">
        <v>70</v>
      </c>
      <c r="J88" s="1"/>
      <c r="K88" s="1" t="b">
        <v>1</v>
      </c>
      <c r="L88" s="1" t="b">
        <v>0</v>
      </c>
      <c r="M88" s="19">
        <v>700.0</v>
      </c>
      <c r="N88" s="20">
        <v>2.1</v>
      </c>
      <c r="O88" s="20">
        <v>333.33</v>
      </c>
      <c r="P88" s="21"/>
      <c r="Q88" s="1" t="s">
        <v>117</v>
      </c>
      <c r="R88" s="1" t="s">
        <v>145</v>
      </c>
      <c r="S88" s="1" t="s">
        <v>273</v>
      </c>
      <c r="T88" s="1" t="s">
        <v>81</v>
      </c>
      <c r="U88" s="1" t="s">
        <v>0</v>
      </c>
      <c r="V88" s="1" t="s">
        <v>0</v>
      </c>
      <c r="W88" s="22" t="s">
        <v>82</v>
      </c>
      <c r="X88" s="20">
        <v>141.23000000000002</v>
      </c>
      <c r="Y88" s="1" t="s">
        <v>0</v>
      </c>
      <c r="Z88" s="1" t="s">
        <v>0</v>
      </c>
      <c r="AA88" s="23" t="s">
        <v>173</v>
      </c>
      <c r="AB88" s="1">
        <v>800.0</v>
      </c>
      <c r="AC88" s="1">
        <v>500.0</v>
      </c>
      <c r="AD88" s="1" t="s">
        <v>540</v>
      </c>
      <c r="AE88" s="1">
        <v>4.0</v>
      </c>
      <c r="AF88" s="5" t="s">
        <v>86</v>
      </c>
      <c r="AG88" s="5" t="s">
        <v>512</v>
      </c>
      <c r="AH88" s="5" t="s">
        <v>88</v>
      </c>
      <c r="AI88" s="5" t="s">
        <v>334</v>
      </c>
      <c r="AJ88" s="5" t="s">
        <v>348</v>
      </c>
      <c r="AK88" s="5" t="s">
        <v>539</v>
      </c>
      <c r="AL88" s="5" t="s">
        <v>131</v>
      </c>
    </row>
    <row r="89" ht="16.5" customHeight="1">
      <c r="A89" s="5" t="s">
        <v>60</v>
      </c>
      <c r="B89" s="1" t="b">
        <v>1</v>
      </c>
      <c r="C89" s="1" t="s">
        <v>544</v>
      </c>
      <c r="D89" s="1" t="s">
        <v>545</v>
      </c>
      <c r="E89" s="1" t="s">
        <v>65</v>
      </c>
      <c r="F89" s="1" t="s">
        <v>109</v>
      </c>
      <c r="G89" s="1" t="s">
        <v>113</v>
      </c>
      <c r="H89" s="1" t="s">
        <v>69</v>
      </c>
      <c r="I89" s="1" t="s">
        <v>70</v>
      </c>
      <c r="J89" s="1"/>
      <c r="K89" s="1" t="b">
        <v>1</v>
      </c>
      <c r="L89" s="1" t="b">
        <v>0</v>
      </c>
      <c r="M89" s="19">
        <v>1200.0</v>
      </c>
      <c r="N89" s="20">
        <v>2.1</v>
      </c>
      <c r="O89" s="20">
        <v>571.43</v>
      </c>
      <c r="P89" s="21"/>
      <c r="Q89" s="1" t="s">
        <v>78</v>
      </c>
      <c r="R89" s="1" t="s">
        <v>145</v>
      </c>
      <c r="S89" s="1" t="s">
        <v>546</v>
      </c>
      <c r="T89" s="1" t="s">
        <v>81</v>
      </c>
      <c r="U89" s="1" t="s">
        <v>0</v>
      </c>
      <c r="V89" s="1" t="s">
        <v>0</v>
      </c>
      <c r="W89" s="22" t="s">
        <v>82</v>
      </c>
      <c r="X89" s="20">
        <v>200.72</v>
      </c>
      <c r="Y89" s="1" t="s">
        <v>0</v>
      </c>
      <c r="Z89" s="1" t="s">
        <v>0</v>
      </c>
      <c r="AA89" s="23" t="s">
        <v>173</v>
      </c>
      <c r="AB89" s="1">
        <v>1000.0</v>
      </c>
      <c r="AC89" s="1">
        <v>300.0</v>
      </c>
      <c r="AD89" s="1" t="s">
        <v>544</v>
      </c>
      <c r="AE89" s="1">
        <v>4.0</v>
      </c>
      <c r="AF89" s="5" t="s">
        <v>86</v>
      </c>
      <c r="AG89" s="5" t="s">
        <v>512</v>
      </c>
      <c r="AI89" s="5" t="s">
        <v>126</v>
      </c>
      <c r="AJ89" s="5" t="s">
        <v>128</v>
      </c>
      <c r="AK89" s="5" t="s">
        <v>130</v>
      </c>
      <c r="AL89" s="5" t="s">
        <v>131</v>
      </c>
    </row>
    <row r="90" ht="16.5" customHeight="1">
      <c r="A90" s="5" t="s">
        <v>60</v>
      </c>
      <c r="B90" s="1" t="b">
        <v>1</v>
      </c>
      <c r="C90" s="1" t="s">
        <v>547</v>
      </c>
      <c r="D90" s="1" t="s">
        <v>548</v>
      </c>
      <c r="E90" s="1" t="s">
        <v>65</v>
      </c>
      <c r="F90" s="1" t="s">
        <v>109</v>
      </c>
      <c r="G90" s="1" t="s">
        <v>113</v>
      </c>
      <c r="H90" s="1" t="s">
        <v>69</v>
      </c>
      <c r="I90" s="1" t="s">
        <v>107</v>
      </c>
      <c r="J90" s="1"/>
      <c r="K90" s="1" t="b">
        <v>1</v>
      </c>
      <c r="L90" s="1" t="b">
        <v>0</v>
      </c>
      <c r="M90" s="19">
        <v>1200.0</v>
      </c>
      <c r="N90" s="20">
        <v>2.1</v>
      </c>
      <c r="O90" s="20">
        <v>571.43</v>
      </c>
      <c r="P90" s="21"/>
      <c r="Q90" s="1" t="s">
        <v>78</v>
      </c>
      <c r="R90" s="1" t="s">
        <v>145</v>
      </c>
      <c r="S90" s="1" t="s">
        <v>546</v>
      </c>
      <c r="T90" s="1" t="s">
        <v>81</v>
      </c>
      <c r="U90" s="1" t="s">
        <v>0</v>
      </c>
      <c r="V90" s="1" t="s">
        <v>0</v>
      </c>
      <c r="W90" s="22" t="s">
        <v>82</v>
      </c>
      <c r="X90" s="20">
        <v>205.22000000000003</v>
      </c>
      <c r="Y90" s="1" t="s">
        <v>0</v>
      </c>
      <c r="Z90" s="1" t="s">
        <v>0</v>
      </c>
      <c r="AA90" s="23" t="s">
        <v>173</v>
      </c>
      <c r="AB90" s="1">
        <v>1000.0</v>
      </c>
      <c r="AC90" s="1">
        <v>300.0</v>
      </c>
      <c r="AD90" s="1" t="s">
        <v>547</v>
      </c>
      <c r="AE90" s="1">
        <v>4.0</v>
      </c>
      <c r="AF90" s="5" t="s">
        <v>86</v>
      </c>
      <c r="AG90" s="5" t="s">
        <v>512</v>
      </c>
      <c r="AI90" s="5" t="s">
        <v>126</v>
      </c>
      <c r="AJ90" s="5" t="s">
        <v>128</v>
      </c>
      <c r="AK90" s="5" t="s">
        <v>130</v>
      </c>
      <c r="AL90" s="5" t="s">
        <v>131</v>
      </c>
    </row>
    <row r="91" ht="16.5" customHeight="1">
      <c r="A91" s="5" t="s">
        <v>60</v>
      </c>
      <c r="B91" s="1" t="b">
        <v>1</v>
      </c>
      <c r="C91" s="1" t="s">
        <v>549</v>
      </c>
      <c r="D91" s="1" t="s">
        <v>550</v>
      </c>
      <c r="E91" s="1" t="s">
        <v>65</v>
      </c>
      <c r="F91" s="1" t="s">
        <v>109</v>
      </c>
      <c r="G91" s="1" t="s">
        <v>113</v>
      </c>
      <c r="H91" s="1" t="s">
        <v>69</v>
      </c>
      <c r="I91" s="1" t="s">
        <v>70</v>
      </c>
      <c r="J91" s="1"/>
      <c r="K91" s="1" t="b">
        <v>1</v>
      </c>
      <c r="L91" s="1" t="b">
        <v>0</v>
      </c>
      <c r="M91" s="19">
        <v>1000.0</v>
      </c>
      <c r="N91" s="20">
        <v>2.1</v>
      </c>
      <c r="O91" s="20">
        <v>476.19</v>
      </c>
      <c r="P91" s="21"/>
      <c r="Q91" s="1" t="s">
        <v>78</v>
      </c>
      <c r="R91" s="1" t="s">
        <v>145</v>
      </c>
      <c r="S91" s="1" t="s">
        <v>546</v>
      </c>
      <c r="T91" s="1" t="s">
        <v>81</v>
      </c>
      <c r="U91" s="1" t="s">
        <v>0</v>
      </c>
      <c r="V91" s="1" t="s">
        <v>0</v>
      </c>
      <c r="W91" s="22" t="s">
        <v>82</v>
      </c>
      <c r="X91" s="20">
        <v>163.04</v>
      </c>
      <c r="Y91" s="1" t="s">
        <v>0</v>
      </c>
      <c r="Z91" s="1" t="s">
        <v>0</v>
      </c>
      <c r="AA91" s="23" t="s">
        <v>173</v>
      </c>
      <c r="AB91" s="1">
        <v>1000.0</v>
      </c>
      <c r="AC91" s="1">
        <v>300.0</v>
      </c>
      <c r="AD91" s="1" t="s">
        <v>549</v>
      </c>
      <c r="AE91" s="1">
        <v>4.0</v>
      </c>
      <c r="AF91" s="5" t="s">
        <v>86</v>
      </c>
      <c r="AG91" s="5" t="s">
        <v>512</v>
      </c>
      <c r="AI91" s="5" t="s">
        <v>126</v>
      </c>
      <c r="AJ91" s="5" t="s">
        <v>147</v>
      </c>
      <c r="AK91" s="5" t="s">
        <v>130</v>
      </c>
      <c r="AL91" s="5" t="s">
        <v>131</v>
      </c>
    </row>
    <row r="92" ht="16.5" customHeight="1">
      <c r="A92" s="5" t="s">
        <v>60</v>
      </c>
      <c r="B92" s="1" t="b">
        <v>1</v>
      </c>
      <c r="C92" s="1" t="s">
        <v>554</v>
      </c>
      <c r="D92" s="1" t="s">
        <v>555</v>
      </c>
      <c r="E92" s="1" t="s">
        <v>65</v>
      </c>
      <c r="F92" s="1" t="s">
        <v>109</v>
      </c>
      <c r="G92" s="1" t="s">
        <v>113</v>
      </c>
      <c r="H92" s="1" t="s">
        <v>69</v>
      </c>
      <c r="I92" s="1" t="s">
        <v>107</v>
      </c>
      <c r="J92" s="1"/>
      <c r="K92" s="1" t="b">
        <v>1</v>
      </c>
      <c r="L92" s="1" t="b">
        <v>0</v>
      </c>
      <c r="M92" s="19">
        <v>1000.0</v>
      </c>
      <c r="N92" s="20">
        <v>2.1</v>
      </c>
      <c r="O92" s="20">
        <v>476.19</v>
      </c>
      <c r="P92" s="21"/>
      <c r="Q92" s="1" t="s">
        <v>78</v>
      </c>
      <c r="R92" s="1" t="s">
        <v>145</v>
      </c>
      <c r="S92" s="1" t="s">
        <v>546</v>
      </c>
      <c r="T92" s="1" t="s">
        <v>81</v>
      </c>
      <c r="U92" s="1" t="s">
        <v>0</v>
      </c>
      <c r="V92" s="1" t="s">
        <v>0</v>
      </c>
      <c r="W92" s="22" t="s">
        <v>82</v>
      </c>
      <c r="X92" s="20">
        <v>160.15000000000003</v>
      </c>
      <c r="Y92" s="1" t="s">
        <v>0</v>
      </c>
      <c r="Z92" s="1" t="s">
        <v>0</v>
      </c>
      <c r="AA92" s="23" t="s">
        <v>173</v>
      </c>
      <c r="AB92" s="1">
        <v>1000.0</v>
      </c>
      <c r="AC92" s="1">
        <v>300.0</v>
      </c>
      <c r="AD92" s="1" t="s">
        <v>554</v>
      </c>
      <c r="AE92" s="1">
        <v>5.0</v>
      </c>
      <c r="AF92" s="5" t="s">
        <v>86</v>
      </c>
      <c r="AG92" s="5" t="s">
        <v>512</v>
      </c>
      <c r="AI92" s="5" t="s">
        <v>126</v>
      </c>
      <c r="AJ92" s="5" t="s">
        <v>147</v>
      </c>
      <c r="AK92" s="5" t="s">
        <v>130</v>
      </c>
      <c r="AL92" s="5" t="s">
        <v>131</v>
      </c>
    </row>
    <row r="93" ht="16.5" customHeight="1">
      <c r="A93" s="5" t="s">
        <v>60</v>
      </c>
      <c r="B93" s="1" t="b">
        <v>1</v>
      </c>
      <c r="C93" s="1" t="s">
        <v>559</v>
      </c>
      <c r="D93" s="1" t="s">
        <v>560</v>
      </c>
      <c r="E93" s="1" t="s">
        <v>65</v>
      </c>
      <c r="F93" s="1" t="s">
        <v>109</v>
      </c>
      <c r="G93" s="1" t="s">
        <v>270</v>
      </c>
      <c r="H93" s="1" t="s">
        <v>69</v>
      </c>
      <c r="I93" s="1" t="s">
        <v>70</v>
      </c>
      <c r="J93" s="1"/>
      <c r="K93" s="1" t="b">
        <v>1</v>
      </c>
      <c r="L93" s="1" t="b">
        <v>0</v>
      </c>
      <c r="M93" s="19">
        <v>1200.0</v>
      </c>
      <c r="N93" s="20">
        <v>2.1</v>
      </c>
      <c r="O93" s="20">
        <v>571.43</v>
      </c>
      <c r="P93" s="21"/>
      <c r="Q93" s="1" t="s">
        <v>117</v>
      </c>
      <c r="R93" s="1" t="s">
        <v>145</v>
      </c>
      <c r="S93" s="1" t="s">
        <v>81</v>
      </c>
      <c r="T93" s="1" t="s">
        <v>81</v>
      </c>
      <c r="U93" s="1" t="s">
        <v>0</v>
      </c>
      <c r="V93" s="1" t="s">
        <v>0</v>
      </c>
      <c r="W93" s="22" t="s">
        <v>82</v>
      </c>
      <c r="X93" s="20">
        <v>251.48000000000002</v>
      </c>
      <c r="Y93" s="1" t="s">
        <v>0</v>
      </c>
      <c r="Z93" s="1" t="s">
        <v>0</v>
      </c>
      <c r="AA93" s="23" t="s">
        <v>173</v>
      </c>
      <c r="AB93" s="1">
        <v>800.0</v>
      </c>
      <c r="AC93" s="1">
        <v>500.0</v>
      </c>
      <c r="AD93" s="1" t="s">
        <v>559</v>
      </c>
      <c r="AE93" s="1">
        <v>4.0</v>
      </c>
      <c r="AF93" s="5" t="s">
        <v>86</v>
      </c>
      <c r="AG93" s="5" t="s">
        <v>512</v>
      </c>
      <c r="AH93" s="5" t="s">
        <v>88</v>
      </c>
      <c r="AI93" s="5" t="s">
        <v>276</v>
      </c>
      <c r="AJ93" s="5" t="s">
        <v>161</v>
      </c>
      <c r="AK93" s="5" t="s">
        <v>277</v>
      </c>
      <c r="AL93" s="5" t="s">
        <v>131</v>
      </c>
    </row>
    <row r="94" ht="16.5" customHeight="1">
      <c r="A94" s="5" t="s">
        <v>60</v>
      </c>
      <c r="B94" s="1" t="b">
        <v>1</v>
      </c>
      <c r="C94" s="1" t="s">
        <v>563</v>
      </c>
      <c r="D94" s="1" t="s">
        <v>564</v>
      </c>
      <c r="E94" s="1" t="s">
        <v>65</v>
      </c>
      <c r="F94" s="1" t="s">
        <v>109</v>
      </c>
      <c r="G94" s="1" t="s">
        <v>270</v>
      </c>
      <c r="H94" s="1" t="s">
        <v>69</v>
      </c>
      <c r="I94" s="1" t="s">
        <v>107</v>
      </c>
      <c r="J94" s="1"/>
      <c r="K94" s="1" t="b">
        <v>1</v>
      </c>
      <c r="L94" s="1" t="b">
        <v>0</v>
      </c>
      <c r="M94" s="19">
        <v>1200.0</v>
      </c>
      <c r="N94" s="20">
        <v>2.1</v>
      </c>
      <c r="O94" s="20">
        <v>571.43</v>
      </c>
      <c r="P94" s="21"/>
      <c r="Q94" s="1" t="s">
        <v>117</v>
      </c>
      <c r="R94" s="1" t="s">
        <v>145</v>
      </c>
      <c r="S94" s="1" t="s">
        <v>81</v>
      </c>
      <c r="T94" s="1" t="s">
        <v>81</v>
      </c>
      <c r="U94" s="1" t="s">
        <v>0</v>
      </c>
      <c r="V94" s="1" t="s">
        <v>0</v>
      </c>
      <c r="W94" s="22" t="s">
        <v>82</v>
      </c>
      <c r="X94" s="20">
        <v>235.68</v>
      </c>
      <c r="Y94" s="1" t="s">
        <v>0</v>
      </c>
      <c r="Z94" s="1" t="s">
        <v>0</v>
      </c>
      <c r="AA94" s="23" t="s">
        <v>173</v>
      </c>
      <c r="AB94" s="1">
        <v>800.0</v>
      </c>
      <c r="AC94" s="1">
        <v>500.0</v>
      </c>
      <c r="AD94" s="1" t="s">
        <v>563</v>
      </c>
      <c r="AE94" s="1">
        <v>4.0</v>
      </c>
      <c r="AF94" s="5" t="s">
        <v>86</v>
      </c>
      <c r="AG94" s="5" t="s">
        <v>512</v>
      </c>
      <c r="AH94" s="5" t="s">
        <v>88</v>
      </c>
      <c r="AI94" s="5" t="s">
        <v>276</v>
      </c>
      <c r="AJ94" s="5" t="s">
        <v>161</v>
      </c>
      <c r="AK94" s="5" t="s">
        <v>277</v>
      </c>
      <c r="AL94" s="5" t="s">
        <v>131</v>
      </c>
    </row>
    <row r="95" ht="16.5" customHeight="1">
      <c r="A95" s="5" t="s">
        <v>60</v>
      </c>
      <c r="B95" s="1" t="b">
        <v>1</v>
      </c>
      <c r="C95" s="1" t="s">
        <v>566</v>
      </c>
      <c r="D95" s="1" t="s">
        <v>567</v>
      </c>
      <c r="E95" s="1" t="s">
        <v>65</v>
      </c>
      <c r="F95" s="1" t="s">
        <v>109</v>
      </c>
      <c r="G95" s="1" t="s">
        <v>270</v>
      </c>
      <c r="H95" s="1" t="s">
        <v>69</v>
      </c>
      <c r="I95" s="1" t="s">
        <v>70</v>
      </c>
      <c r="J95" s="1"/>
      <c r="K95" s="1" t="b">
        <v>1</v>
      </c>
      <c r="L95" s="1" t="b">
        <v>0</v>
      </c>
      <c r="M95" s="19">
        <v>1100.0</v>
      </c>
      <c r="N95" s="20">
        <v>2.1</v>
      </c>
      <c r="O95" s="20">
        <v>523.81</v>
      </c>
      <c r="P95" s="21"/>
      <c r="Q95" s="1" t="s">
        <v>117</v>
      </c>
      <c r="R95" s="1" t="s">
        <v>145</v>
      </c>
      <c r="S95" s="1" t="s">
        <v>81</v>
      </c>
      <c r="T95" s="1" t="s">
        <v>81</v>
      </c>
      <c r="U95" s="1" t="s">
        <v>0</v>
      </c>
      <c r="V95" s="1" t="s">
        <v>0</v>
      </c>
      <c r="W95" s="22" t="s">
        <v>82</v>
      </c>
      <c r="X95" s="20">
        <v>226.08</v>
      </c>
      <c r="Y95" s="1" t="s">
        <v>0</v>
      </c>
      <c r="Z95" s="1" t="s">
        <v>0</v>
      </c>
      <c r="AA95" s="23" t="s">
        <v>173</v>
      </c>
      <c r="AB95" s="1">
        <v>800.0</v>
      </c>
      <c r="AC95" s="1">
        <v>500.0</v>
      </c>
      <c r="AD95" s="1" t="s">
        <v>566</v>
      </c>
      <c r="AE95" s="1">
        <v>3.0</v>
      </c>
      <c r="AF95" s="5" t="s">
        <v>86</v>
      </c>
      <c r="AG95" s="5" t="s">
        <v>512</v>
      </c>
      <c r="AH95" s="5" t="s">
        <v>88</v>
      </c>
      <c r="AI95" s="5" t="s">
        <v>276</v>
      </c>
      <c r="AJ95" s="5" t="s">
        <v>89</v>
      </c>
      <c r="AK95" s="5" t="s">
        <v>277</v>
      </c>
      <c r="AL95" s="5" t="s">
        <v>131</v>
      </c>
    </row>
    <row r="96" ht="16.5" customHeight="1">
      <c r="A96" s="5" t="s">
        <v>60</v>
      </c>
      <c r="B96" s="1" t="b">
        <v>1</v>
      </c>
      <c r="C96" s="1" t="s">
        <v>570</v>
      </c>
      <c r="D96" s="1" t="s">
        <v>571</v>
      </c>
      <c r="E96" s="1" t="s">
        <v>65</v>
      </c>
      <c r="F96" s="1" t="s">
        <v>109</v>
      </c>
      <c r="G96" s="1" t="s">
        <v>270</v>
      </c>
      <c r="H96" s="1" t="s">
        <v>69</v>
      </c>
      <c r="I96" s="1" t="s">
        <v>107</v>
      </c>
      <c r="J96" s="1"/>
      <c r="K96" s="1" t="b">
        <v>1</v>
      </c>
      <c r="L96" s="1" t="b">
        <v>0</v>
      </c>
      <c r="M96" s="19">
        <v>1100.0</v>
      </c>
      <c r="N96" s="20">
        <v>2.1</v>
      </c>
      <c r="O96" s="20">
        <v>523.81</v>
      </c>
      <c r="P96" s="21"/>
      <c r="Q96" s="1" t="s">
        <v>117</v>
      </c>
      <c r="R96" s="1" t="s">
        <v>145</v>
      </c>
      <c r="S96" s="1" t="s">
        <v>81</v>
      </c>
      <c r="T96" s="1" t="s">
        <v>81</v>
      </c>
      <c r="U96" s="1" t="s">
        <v>0</v>
      </c>
      <c r="V96" s="1" t="s">
        <v>0</v>
      </c>
      <c r="W96" s="22" t="s">
        <v>82</v>
      </c>
      <c r="X96" s="20">
        <v>214.35000000000002</v>
      </c>
      <c r="Y96" s="1" t="s">
        <v>0</v>
      </c>
      <c r="Z96" s="1" t="s">
        <v>0</v>
      </c>
      <c r="AA96" s="23" t="s">
        <v>173</v>
      </c>
      <c r="AB96" s="1">
        <v>800.0</v>
      </c>
      <c r="AC96" s="1">
        <v>500.0</v>
      </c>
      <c r="AD96" s="1" t="s">
        <v>570</v>
      </c>
      <c r="AE96" s="1">
        <v>3.0</v>
      </c>
      <c r="AF96" s="5" t="s">
        <v>86</v>
      </c>
      <c r="AG96" s="5" t="s">
        <v>512</v>
      </c>
      <c r="AH96" s="5" t="s">
        <v>88</v>
      </c>
      <c r="AI96" s="5" t="s">
        <v>276</v>
      </c>
      <c r="AJ96" s="5" t="s">
        <v>89</v>
      </c>
      <c r="AK96" s="5" t="s">
        <v>277</v>
      </c>
      <c r="AL96" s="5" t="s">
        <v>131</v>
      </c>
    </row>
    <row r="97" ht="16.5" customHeight="1">
      <c r="A97" s="5" t="s">
        <v>60</v>
      </c>
      <c r="B97" s="1" t="b">
        <v>1</v>
      </c>
      <c r="C97" s="1" t="s">
        <v>573</v>
      </c>
      <c r="D97" s="1" t="s">
        <v>574</v>
      </c>
      <c r="E97" s="1" t="s">
        <v>65</v>
      </c>
      <c r="F97" s="1" t="s">
        <v>109</v>
      </c>
      <c r="G97" s="1" t="s">
        <v>355</v>
      </c>
      <c r="H97" s="1" t="s">
        <v>69</v>
      </c>
      <c r="I97" s="1" t="s">
        <v>70</v>
      </c>
      <c r="J97" s="1"/>
      <c r="K97" s="1" t="b">
        <v>1</v>
      </c>
      <c r="L97" s="1" t="b">
        <v>0</v>
      </c>
      <c r="M97" s="19">
        <v>2500.0</v>
      </c>
      <c r="N97" s="20">
        <v>2.1</v>
      </c>
      <c r="O97" s="20">
        <v>1190.48</v>
      </c>
      <c r="P97" s="21"/>
      <c r="Q97" s="1" t="s">
        <v>117</v>
      </c>
      <c r="R97" s="1" t="s">
        <v>145</v>
      </c>
      <c r="S97" s="1" t="s">
        <v>198</v>
      </c>
      <c r="T97" s="1" t="s">
        <v>81</v>
      </c>
      <c r="U97" s="1" t="s">
        <v>0</v>
      </c>
      <c r="V97" s="1" t="s">
        <v>0</v>
      </c>
      <c r="W97" s="22" t="s">
        <v>82</v>
      </c>
      <c r="X97" s="20">
        <v>494.01000000000005</v>
      </c>
      <c r="Y97" s="1" t="s">
        <v>0</v>
      </c>
      <c r="Z97" s="1" t="s">
        <v>0</v>
      </c>
      <c r="AA97" s="23" t="s">
        <v>85</v>
      </c>
      <c r="AB97" s="1">
        <v>800.0</v>
      </c>
      <c r="AC97" s="1">
        <v>100.0</v>
      </c>
      <c r="AD97" s="1" t="s">
        <v>573</v>
      </c>
      <c r="AE97" s="1">
        <v>4.0</v>
      </c>
      <c r="AF97" s="5" t="s">
        <v>86</v>
      </c>
      <c r="AG97" s="5" t="s">
        <v>512</v>
      </c>
      <c r="AH97" s="32" t="s">
        <v>122</v>
      </c>
      <c r="AI97" s="5" t="s">
        <v>355</v>
      </c>
      <c r="AJ97" s="5" t="s">
        <v>161</v>
      </c>
      <c r="AK97" s="5" t="s">
        <v>539</v>
      </c>
      <c r="AL97" s="5" t="s">
        <v>131</v>
      </c>
    </row>
    <row r="98" ht="16.5" customHeight="1">
      <c r="A98" s="5" t="s">
        <v>60</v>
      </c>
      <c r="B98" s="1" t="b">
        <v>1</v>
      </c>
      <c r="C98" s="1" t="s">
        <v>576</v>
      </c>
      <c r="D98" s="1" t="s">
        <v>577</v>
      </c>
      <c r="E98" s="1" t="s">
        <v>65</v>
      </c>
      <c r="F98" s="1" t="s">
        <v>109</v>
      </c>
      <c r="G98" s="1" t="s">
        <v>355</v>
      </c>
      <c r="H98" s="1" t="s">
        <v>69</v>
      </c>
      <c r="I98" s="1" t="s">
        <v>107</v>
      </c>
      <c r="J98" s="1"/>
      <c r="K98" s="1" t="b">
        <v>1</v>
      </c>
      <c r="L98" s="1" t="b">
        <v>0</v>
      </c>
      <c r="M98" s="19">
        <v>2500.0</v>
      </c>
      <c r="N98" s="20">
        <v>2.1</v>
      </c>
      <c r="O98" s="20">
        <v>1190.48</v>
      </c>
      <c r="P98" s="21"/>
      <c r="Q98" s="1" t="s">
        <v>117</v>
      </c>
      <c r="R98" s="1" t="s">
        <v>145</v>
      </c>
      <c r="S98" s="1" t="s">
        <v>198</v>
      </c>
      <c r="T98" s="1" t="s">
        <v>81</v>
      </c>
      <c r="U98" s="1" t="s">
        <v>0</v>
      </c>
      <c r="V98" s="1" t="s">
        <v>0</v>
      </c>
      <c r="W98" s="22" t="s">
        <v>82</v>
      </c>
      <c r="X98" s="20">
        <v>460.15999999999997</v>
      </c>
      <c r="Y98" s="1" t="s">
        <v>0</v>
      </c>
      <c r="Z98" s="1" t="s">
        <v>0</v>
      </c>
      <c r="AA98" s="23" t="s">
        <v>85</v>
      </c>
      <c r="AB98" s="1">
        <v>800.0</v>
      </c>
      <c r="AC98" s="1">
        <v>100.0</v>
      </c>
      <c r="AD98" s="1" t="s">
        <v>576</v>
      </c>
      <c r="AE98" s="1">
        <v>3.0</v>
      </c>
      <c r="AF98" s="5" t="s">
        <v>86</v>
      </c>
      <c r="AG98" s="5" t="s">
        <v>512</v>
      </c>
      <c r="AH98" s="32" t="s">
        <v>122</v>
      </c>
      <c r="AI98" s="5" t="s">
        <v>355</v>
      </c>
      <c r="AJ98" s="5" t="s">
        <v>161</v>
      </c>
      <c r="AK98" s="5" t="s">
        <v>539</v>
      </c>
      <c r="AL98" s="5" t="s">
        <v>131</v>
      </c>
    </row>
    <row r="99" ht="16.5" customHeight="1">
      <c r="A99" s="5" t="s">
        <v>60</v>
      </c>
      <c r="B99" s="1" t="b">
        <v>1</v>
      </c>
      <c r="C99" s="1" t="s">
        <v>581</v>
      </c>
      <c r="D99" s="1" t="s">
        <v>582</v>
      </c>
      <c r="E99" s="1" t="s">
        <v>65</v>
      </c>
      <c r="F99" s="1" t="s">
        <v>109</v>
      </c>
      <c r="G99" s="1" t="s">
        <v>355</v>
      </c>
      <c r="H99" s="1" t="s">
        <v>69</v>
      </c>
      <c r="I99" s="1" t="s">
        <v>70</v>
      </c>
      <c r="J99" s="1"/>
      <c r="K99" s="1" t="b">
        <v>1</v>
      </c>
      <c r="L99" s="1" t="b">
        <v>0</v>
      </c>
      <c r="M99" s="19">
        <v>1800.0</v>
      </c>
      <c r="N99" s="20">
        <v>2.1</v>
      </c>
      <c r="O99" s="20">
        <v>857.14</v>
      </c>
      <c r="P99" s="21"/>
      <c r="Q99" s="1" t="s">
        <v>117</v>
      </c>
      <c r="R99" s="1" t="s">
        <v>145</v>
      </c>
      <c r="S99" s="1" t="s">
        <v>198</v>
      </c>
      <c r="T99" s="1" t="s">
        <v>81</v>
      </c>
      <c r="U99" s="1" t="s">
        <v>0</v>
      </c>
      <c r="V99" s="1" t="s">
        <v>0</v>
      </c>
      <c r="W99" s="22" t="s">
        <v>82</v>
      </c>
      <c r="X99" s="20">
        <v>333.75</v>
      </c>
      <c r="Y99" s="1" t="s">
        <v>0</v>
      </c>
      <c r="Z99" s="1" t="s">
        <v>0</v>
      </c>
      <c r="AA99" s="23" t="s">
        <v>85</v>
      </c>
      <c r="AB99" s="1">
        <v>800.0</v>
      </c>
      <c r="AC99" s="1">
        <v>100.0</v>
      </c>
      <c r="AD99" s="1" t="s">
        <v>581</v>
      </c>
      <c r="AE99" s="1">
        <v>2.0</v>
      </c>
      <c r="AF99" s="5" t="s">
        <v>86</v>
      </c>
      <c r="AG99" s="5" t="s">
        <v>512</v>
      </c>
      <c r="AH99" s="32" t="s">
        <v>584</v>
      </c>
      <c r="AI99" s="5" t="s">
        <v>355</v>
      </c>
      <c r="AJ99" s="5" t="s">
        <v>373</v>
      </c>
      <c r="AK99" s="5" t="s">
        <v>539</v>
      </c>
      <c r="AL99" s="5" t="s">
        <v>131</v>
      </c>
    </row>
    <row r="100" ht="16.5" customHeight="1">
      <c r="A100" s="5" t="s">
        <v>60</v>
      </c>
      <c r="B100" s="1" t="b">
        <v>1</v>
      </c>
      <c r="C100" s="1" t="s">
        <v>585</v>
      </c>
      <c r="D100" s="1" t="s">
        <v>586</v>
      </c>
      <c r="E100" s="1" t="s">
        <v>65</v>
      </c>
      <c r="F100" s="1" t="s">
        <v>109</v>
      </c>
      <c r="G100" s="1" t="s">
        <v>355</v>
      </c>
      <c r="H100" s="1" t="s">
        <v>69</v>
      </c>
      <c r="I100" s="1" t="s">
        <v>107</v>
      </c>
      <c r="J100" s="1"/>
      <c r="K100" s="1" t="b">
        <v>1</v>
      </c>
      <c r="L100" s="1" t="b">
        <v>0</v>
      </c>
      <c r="M100" s="19">
        <v>1800.0</v>
      </c>
      <c r="N100" s="20">
        <v>2.1</v>
      </c>
      <c r="O100" s="20">
        <v>857.14</v>
      </c>
      <c r="P100" s="21"/>
      <c r="Q100" s="1" t="s">
        <v>117</v>
      </c>
      <c r="R100" s="1" t="s">
        <v>145</v>
      </c>
      <c r="S100" s="1" t="s">
        <v>198</v>
      </c>
      <c r="T100" s="1" t="s">
        <v>81</v>
      </c>
      <c r="U100" s="1" t="s">
        <v>0</v>
      </c>
      <c r="V100" s="1" t="s">
        <v>0</v>
      </c>
      <c r="W100" s="22" t="s">
        <v>82</v>
      </c>
      <c r="X100" s="20">
        <v>310.06</v>
      </c>
      <c r="Y100" s="1" t="s">
        <v>0</v>
      </c>
      <c r="Z100" s="1" t="s">
        <v>0</v>
      </c>
      <c r="AA100" s="23" t="s">
        <v>85</v>
      </c>
      <c r="AB100" s="1">
        <v>800.0</v>
      </c>
      <c r="AC100" s="1">
        <v>100.0</v>
      </c>
      <c r="AD100" s="1" t="s">
        <v>585</v>
      </c>
      <c r="AE100" s="1">
        <v>2.0</v>
      </c>
      <c r="AF100" s="5" t="s">
        <v>86</v>
      </c>
      <c r="AG100" s="5" t="s">
        <v>512</v>
      </c>
      <c r="AH100" s="32" t="s">
        <v>584</v>
      </c>
      <c r="AI100" s="5" t="s">
        <v>355</v>
      </c>
      <c r="AJ100" s="5" t="s">
        <v>373</v>
      </c>
      <c r="AK100" s="5" t="s">
        <v>539</v>
      </c>
      <c r="AL100" s="5" t="s">
        <v>131</v>
      </c>
    </row>
    <row r="101" ht="16.5" customHeight="1">
      <c r="A101" s="5" t="s">
        <v>60</v>
      </c>
      <c r="B101" s="1" t="b">
        <v>1</v>
      </c>
      <c r="C101" s="1" t="s">
        <v>588</v>
      </c>
      <c r="D101" s="1" t="s">
        <v>589</v>
      </c>
      <c r="E101" s="1" t="s">
        <v>65</v>
      </c>
      <c r="F101" s="1" t="s">
        <v>109</v>
      </c>
      <c r="G101" s="1" t="s">
        <v>248</v>
      </c>
      <c r="H101" s="1" t="s">
        <v>69</v>
      </c>
      <c r="I101" s="1" t="s">
        <v>249</v>
      </c>
      <c r="J101" s="1"/>
      <c r="K101" s="1" t="b">
        <v>1</v>
      </c>
      <c r="L101" s="1" t="b">
        <v>0</v>
      </c>
      <c r="M101" s="19">
        <v>500.0</v>
      </c>
      <c r="N101" s="20">
        <v>2.1</v>
      </c>
      <c r="O101" s="20">
        <v>238.1</v>
      </c>
      <c r="P101" s="21"/>
      <c r="Q101" s="1" t="s">
        <v>117</v>
      </c>
      <c r="R101" s="1" t="s">
        <v>145</v>
      </c>
      <c r="S101" s="1" t="s">
        <v>81</v>
      </c>
      <c r="T101" s="1" t="s">
        <v>81</v>
      </c>
      <c r="U101" s="1" t="s">
        <v>0</v>
      </c>
      <c r="V101" s="1" t="s">
        <v>0</v>
      </c>
      <c r="W101" s="22" t="s">
        <v>82</v>
      </c>
      <c r="X101" s="20">
        <v>76.45</v>
      </c>
      <c r="Y101" s="1" t="s">
        <v>0</v>
      </c>
      <c r="Z101" s="1" t="s">
        <v>0</v>
      </c>
      <c r="AA101" s="23" t="s">
        <v>173</v>
      </c>
      <c r="AB101" s="1">
        <v>600.0</v>
      </c>
      <c r="AC101" s="1">
        <v>600.0</v>
      </c>
      <c r="AD101" s="1" t="s">
        <v>588</v>
      </c>
      <c r="AE101" s="1">
        <v>5.0</v>
      </c>
      <c r="AF101" s="5" t="s">
        <v>86</v>
      </c>
      <c r="AG101" s="5" t="s">
        <v>512</v>
      </c>
      <c r="AI101" s="5" t="s">
        <v>248</v>
      </c>
      <c r="AJ101" s="5" t="s">
        <v>253</v>
      </c>
      <c r="AK101" s="5" t="s">
        <v>254</v>
      </c>
      <c r="AL101" s="5" t="s">
        <v>131</v>
      </c>
    </row>
    <row r="102" ht="16.5" customHeight="1">
      <c r="A102" s="5" t="s">
        <v>60</v>
      </c>
      <c r="B102" s="1" t="b">
        <v>1</v>
      </c>
      <c r="C102" s="1" t="s">
        <v>592</v>
      </c>
      <c r="D102" s="1" t="s">
        <v>593</v>
      </c>
      <c r="E102" s="1" t="s">
        <v>65</v>
      </c>
      <c r="F102" s="1" t="s">
        <v>109</v>
      </c>
      <c r="G102" s="1" t="s">
        <v>113</v>
      </c>
      <c r="H102" s="1" t="s">
        <v>69</v>
      </c>
      <c r="I102" s="1" t="s">
        <v>70</v>
      </c>
      <c r="J102" s="1"/>
      <c r="K102" s="1" t="b">
        <v>1</v>
      </c>
      <c r="L102" s="1" t="b">
        <v>0</v>
      </c>
      <c r="M102" s="19">
        <v>900.0</v>
      </c>
      <c r="N102" s="20">
        <v>2.1</v>
      </c>
      <c r="O102" s="20">
        <v>428.57</v>
      </c>
      <c r="P102" s="21"/>
      <c r="Q102" s="1" t="s">
        <v>117</v>
      </c>
      <c r="R102" s="1" t="s">
        <v>145</v>
      </c>
      <c r="S102" s="1" t="s">
        <v>81</v>
      </c>
      <c r="T102" s="1" t="s">
        <v>81</v>
      </c>
      <c r="U102" s="1" t="s">
        <v>0</v>
      </c>
      <c r="V102" s="1" t="s">
        <v>0</v>
      </c>
      <c r="W102" s="22" t="s">
        <v>82</v>
      </c>
      <c r="X102" s="20">
        <v>163.04</v>
      </c>
      <c r="Y102" s="1" t="s">
        <v>0</v>
      </c>
      <c r="Z102" s="1" t="s">
        <v>0</v>
      </c>
      <c r="AA102" s="23" t="s">
        <v>173</v>
      </c>
      <c r="AB102" s="1">
        <v>1000.0</v>
      </c>
      <c r="AC102" s="1">
        <v>300.0</v>
      </c>
      <c r="AD102" s="1" t="s">
        <v>592</v>
      </c>
      <c r="AE102" s="1">
        <v>4.0</v>
      </c>
      <c r="AF102" s="5" t="s">
        <v>86</v>
      </c>
      <c r="AG102" s="5" t="s">
        <v>512</v>
      </c>
      <c r="AH102" s="32" t="s">
        <v>379</v>
      </c>
      <c r="AI102" s="5" t="s">
        <v>126</v>
      </c>
      <c r="AJ102" s="5" t="s">
        <v>147</v>
      </c>
      <c r="AK102" s="5" t="s">
        <v>539</v>
      </c>
      <c r="AL102" s="5" t="s">
        <v>131</v>
      </c>
    </row>
    <row r="103" ht="16.5" customHeight="1">
      <c r="A103" s="5" t="s">
        <v>60</v>
      </c>
      <c r="B103" s="1" t="b">
        <v>1</v>
      </c>
      <c r="C103" s="1" t="s">
        <v>595</v>
      </c>
      <c r="D103" s="1" t="s">
        <v>596</v>
      </c>
      <c r="E103" s="1" t="s">
        <v>65</v>
      </c>
      <c r="F103" s="1" t="s">
        <v>109</v>
      </c>
      <c r="G103" s="1" t="s">
        <v>113</v>
      </c>
      <c r="H103" s="1" t="s">
        <v>69</v>
      </c>
      <c r="I103" s="1" t="s">
        <v>107</v>
      </c>
      <c r="J103" s="1"/>
      <c r="K103" s="1" t="b">
        <v>1</v>
      </c>
      <c r="L103" s="1" t="b">
        <v>0</v>
      </c>
      <c r="M103" s="19">
        <v>900.0</v>
      </c>
      <c r="N103" s="20">
        <v>2.1</v>
      </c>
      <c r="O103" s="20">
        <v>428.57</v>
      </c>
      <c r="P103" s="21"/>
      <c r="Q103" s="1" t="s">
        <v>117</v>
      </c>
      <c r="R103" s="1" t="s">
        <v>145</v>
      </c>
      <c r="S103" s="1" t="s">
        <v>81</v>
      </c>
      <c r="T103" s="1" t="s">
        <v>81</v>
      </c>
      <c r="U103" s="1" t="s">
        <v>0</v>
      </c>
      <c r="V103" s="1" t="s">
        <v>0</v>
      </c>
      <c r="W103" s="22" t="s">
        <v>82</v>
      </c>
      <c r="X103" s="20">
        <v>134.25</v>
      </c>
      <c r="Y103" s="1" t="s">
        <v>0</v>
      </c>
      <c r="Z103" s="1" t="s">
        <v>0</v>
      </c>
      <c r="AA103" s="23" t="s">
        <v>173</v>
      </c>
      <c r="AB103" s="1">
        <v>1000.0</v>
      </c>
      <c r="AC103" s="1">
        <v>300.0</v>
      </c>
      <c r="AD103" s="1" t="s">
        <v>595</v>
      </c>
      <c r="AE103" s="1">
        <v>4.0</v>
      </c>
      <c r="AF103" s="5" t="s">
        <v>86</v>
      </c>
      <c r="AG103" s="5" t="s">
        <v>512</v>
      </c>
      <c r="AH103" s="32" t="s">
        <v>379</v>
      </c>
      <c r="AI103" s="5" t="s">
        <v>126</v>
      </c>
      <c r="AJ103" s="5" t="s">
        <v>147</v>
      </c>
      <c r="AK103" s="5" t="s">
        <v>539</v>
      </c>
      <c r="AL103" s="5" t="s">
        <v>131</v>
      </c>
    </row>
    <row r="104" ht="16.5" customHeight="1">
      <c r="A104" s="5" t="s">
        <v>60</v>
      </c>
      <c r="B104" s="1" t="b">
        <v>1</v>
      </c>
      <c r="C104" s="1" t="s">
        <v>597</v>
      </c>
      <c r="D104" s="1" t="s">
        <v>598</v>
      </c>
      <c r="E104" s="1" t="s">
        <v>65</v>
      </c>
      <c r="F104" s="1" t="s">
        <v>109</v>
      </c>
      <c r="G104" s="1" t="s">
        <v>334</v>
      </c>
      <c r="H104" s="1" t="s">
        <v>69</v>
      </c>
      <c r="I104" s="1" t="s">
        <v>107</v>
      </c>
      <c r="J104" s="1"/>
      <c r="K104" s="1" t="b">
        <v>1</v>
      </c>
      <c r="L104" s="1" t="b">
        <v>0</v>
      </c>
      <c r="M104" s="19">
        <v>450.0</v>
      </c>
      <c r="N104" s="20">
        <v>2.1</v>
      </c>
      <c r="O104" s="20">
        <v>214.29</v>
      </c>
      <c r="P104" s="21"/>
      <c r="Q104" s="1" t="s">
        <v>117</v>
      </c>
      <c r="R104" s="1" t="s">
        <v>145</v>
      </c>
      <c r="S104" s="1" t="s">
        <v>81</v>
      </c>
      <c r="T104" s="1" t="s">
        <v>81</v>
      </c>
      <c r="U104" s="1" t="s">
        <v>0</v>
      </c>
      <c r="V104" s="1" t="s">
        <v>0</v>
      </c>
      <c r="W104" s="22" t="s">
        <v>82</v>
      </c>
      <c r="X104" s="20">
        <v>112.55</v>
      </c>
      <c r="Y104" s="1" t="s">
        <v>0</v>
      </c>
      <c r="Z104" s="1" t="s">
        <v>0</v>
      </c>
      <c r="AA104" s="23" t="s">
        <v>173</v>
      </c>
      <c r="AB104" s="1">
        <v>800.0</v>
      </c>
      <c r="AC104" s="1">
        <v>500.0</v>
      </c>
      <c r="AD104" s="1" t="s">
        <v>597</v>
      </c>
      <c r="AE104" s="1">
        <v>4.0</v>
      </c>
      <c r="AF104" s="5" t="s">
        <v>86</v>
      </c>
      <c r="AG104" s="5" t="s">
        <v>512</v>
      </c>
      <c r="AH104" s="32" t="s">
        <v>379</v>
      </c>
      <c r="AI104" s="5" t="s">
        <v>334</v>
      </c>
      <c r="AJ104" s="5" t="s">
        <v>600</v>
      </c>
      <c r="AK104" s="5" t="s">
        <v>539</v>
      </c>
      <c r="AL104" s="5" t="s">
        <v>131</v>
      </c>
    </row>
    <row r="105" ht="16.5" customHeight="1">
      <c r="A105" s="5" t="s">
        <v>60</v>
      </c>
      <c r="B105" s="1" t="b">
        <v>1</v>
      </c>
      <c r="C105" s="1" t="s">
        <v>601</v>
      </c>
      <c r="D105" s="1" t="s">
        <v>602</v>
      </c>
      <c r="E105" s="1" t="s">
        <v>65</v>
      </c>
      <c r="F105" s="1" t="s">
        <v>109</v>
      </c>
      <c r="G105" s="1" t="s">
        <v>334</v>
      </c>
      <c r="H105" s="1" t="s">
        <v>69</v>
      </c>
      <c r="I105" s="1" t="s">
        <v>70</v>
      </c>
      <c r="J105" s="1"/>
      <c r="K105" s="1" t="b">
        <v>1</v>
      </c>
      <c r="L105" s="1" t="b">
        <v>0</v>
      </c>
      <c r="M105" s="19">
        <v>500.0</v>
      </c>
      <c r="N105" s="20">
        <v>2.1</v>
      </c>
      <c r="O105" s="20">
        <v>238.1</v>
      </c>
      <c r="P105" s="21"/>
      <c r="Q105" s="1" t="s">
        <v>117</v>
      </c>
      <c r="R105" s="1" t="s">
        <v>145</v>
      </c>
      <c r="S105" s="1" t="s">
        <v>81</v>
      </c>
      <c r="T105" s="1" t="s">
        <v>81</v>
      </c>
      <c r="U105" s="1" t="s">
        <v>0</v>
      </c>
      <c r="V105" s="1" t="s">
        <v>0</v>
      </c>
      <c r="W105" s="22" t="s">
        <v>82</v>
      </c>
      <c r="X105" s="20">
        <v>112.55</v>
      </c>
      <c r="Y105" s="1" t="s">
        <v>0</v>
      </c>
      <c r="Z105" s="1" t="s">
        <v>0</v>
      </c>
      <c r="AA105" s="23" t="s">
        <v>173</v>
      </c>
      <c r="AB105" s="1">
        <v>800.0</v>
      </c>
      <c r="AC105" s="1">
        <v>500.0</v>
      </c>
      <c r="AD105" s="1" t="s">
        <v>601</v>
      </c>
      <c r="AE105" s="1">
        <v>5.0</v>
      </c>
      <c r="AF105" s="5" t="s">
        <v>86</v>
      </c>
      <c r="AG105" s="5" t="s">
        <v>512</v>
      </c>
      <c r="AI105" s="5" t="s">
        <v>334</v>
      </c>
      <c r="AJ105" s="5" t="s">
        <v>348</v>
      </c>
      <c r="AK105" s="5" t="s">
        <v>539</v>
      </c>
      <c r="AL105" s="5" t="s">
        <v>131</v>
      </c>
    </row>
    <row r="106" ht="16.5" customHeight="1">
      <c r="A106" s="5" t="s">
        <v>60</v>
      </c>
      <c r="B106" s="1" t="b">
        <v>1</v>
      </c>
      <c r="C106" s="1" t="s">
        <v>606</v>
      </c>
      <c r="D106" s="1" t="s">
        <v>607</v>
      </c>
      <c r="E106" s="1" t="s">
        <v>65</v>
      </c>
      <c r="F106" s="1" t="s">
        <v>109</v>
      </c>
      <c r="G106" s="1" t="s">
        <v>334</v>
      </c>
      <c r="H106" s="1" t="s">
        <v>69</v>
      </c>
      <c r="I106" s="1" t="s">
        <v>107</v>
      </c>
      <c r="J106" s="1"/>
      <c r="K106" s="1" t="b">
        <v>1</v>
      </c>
      <c r="L106" s="1" t="b">
        <v>0</v>
      </c>
      <c r="M106" s="19">
        <v>500.0</v>
      </c>
      <c r="N106" s="20">
        <v>2.1</v>
      </c>
      <c r="O106" s="20">
        <v>238.1</v>
      </c>
      <c r="P106" s="21"/>
      <c r="Q106" s="1" t="s">
        <v>117</v>
      </c>
      <c r="R106" s="1" t="s">
        <v>145</v>
      </c>
      <c r="S106" s="1" t="s">
        <v>81</v>
      </c>
      <c r="T106" s="1" t="s">
        <v>81</v>
      </c>
      <c r="U106" s="1" t="s">
        <v>0</v>
      </c>
      <c r="V106" s="1" t="s">
        <v>0</v>
      </c>
      <c r="W106" s="22" t="s">
        <v>82</v>
      </c>
      <c r="X106" s="20">
        <v>105.77999999999999</v>
      </c>
      <c r="Y106" s="1" t="s">
        <v>0</v>
      </c>
      <c r="Z106" s="1" t="s">
        <v>0</v>
      </c>
      <c r="AA106" s="23" t="s">
        <v>173</v>
      </c>
      <c r="AB106" s="1">
        <v>800.0</v>
      </c>
      <c r="AC106" s="1">
        <v>500.0</v>
      </c>
      <c r="AD106" s="1" t="s">
        <v>606</v>
      </c>
      <c r="AE106" s="1">
        <v>4.0</v>
      </c>
      <c r="AF106" s="5" t="s">
        <v>86</v>
      </c>
      <c r="AG106" s="5" t="s">
        <v>512</v>
      </c>
      <c r="AI106" s="5" t="s">
        <v>334</v>
      </c>
      <c r="AJ106" s="5" t="s">
        <v>348</v>
      </c>
      <c r="AK106" s="5" t="s">
        <v>539</v>
      </c>
      <c r="AL106" s="5" t="s">
        <v>131</v>
      </c>
    </row>
    <row r="107" ht="16.5" customHeight="1">
      <c r="A107" s="5" t="s">
        <v>60</v>
      </c>
      <c r="B107" s="1" t="b">
        <v>1</v>
      </c>
      <c r="C107" s="1" t="s">
        <v>609</v>
      </c>
      <c r="D107" s="1" t="s">
        <v>610</v>
      </c>
      <c r="E107" s="1" t="s">
        <v>65</v>
      </c>
      <c r="F107" s="1" t="s">
        <v>109</v>
      </c>
      <c r="G107" s="1" t="s">
        <v>334</v>
      </c>
      <c r="H107" s="1" t="s">
        <v>69</v>
      </c>
      <c r="I107" s="1" t="s">
        <v>70</v>
      </c>
      <c r="J107" s="1"/>
      <c r="K107" s="1" t="b">
        <v>1</v>
      </c>
      <c r="L107" s="1" t="b">
        <v>0</v>
      </c>
      <c r="M107" s="19">
        <v>1500.0</v>
      </c>
      <c r="N107" s="20">
        <v>2.1</v>
      </c>
      <c r="O107" s="20">
        <v>714.29</v>
      </c>
      <c r="P107" s="21"/>
      <c r="Q107" s="1" t="s">
        <v>117</v>
      </c>
      <c r="R107" s="1" t="s">
        <v>613</v>
      </c>
      <c r="S107" s="1" t="s">
        <v>81</v>
      </c>
      <c r="T107" s="1" t="s">
        <v>81</v>
      </c>
      <c r="U107" s="1" t="s">
        <v>0</v>
      </c>
      <c r="V107" s="1" t="s">
        <v>0</v>
      </c>
      <c r="W107" s="22" t="s">
        <v>82</v>
      </c>
      <c r="X107" s="20">
        <v>269.42</v>
      </c>
      <c r="Y107" s="1" t="s">
        <v>0</v>
      </c>
      <c r="Z107" s="1" t="s">
        <v>0</v>
      </c>
      <c r="AA107" s="23" t="s">
        <v>173</v>
      </c>
      <c r="AB107" s="1">
        <v>800.0</v>
      </c>
      <c r="AC107" s="1">
        <v>100.0</v>
      </c>
      <c r="AD107" s="1" t="s">
        <v>609</v>
      </c>
      <c r="AE107" s="1">
        <v>3.0</v>
      </c>
      <c r="AF107" s="5" t="s">
        <v>86</v>
      </c>
      <c r="AG107" s="5" t="s">
        <v>512</v>
      </c>
      <c r="AH107" s="32" t="s">
        <v>379</v>
      </c>
      <c r="AI107" s="5" t="s">
        <v>334</v>
      </c>
      <c r="AJ107" s="5" t="s">
        <v>161</v>
      </c>
      <c r="AK107" s="5" t="s">
        <v>616</v>
      </c>
      <c r="AL107" s="5" t="s">
        <v>131</v>
      </c>
    </row>
    <row r="108" ht="16.5" customHeight="1">
      <c r="A108" s="5" t="s">
        <v>60</v>
      </c>
      <c r="B108" s="1" t="b">
        <v>1</v>
      </c>
      <c r="C108" s="1" t="s">
        <v>617</v>
      </c>
      <c r="D108" s="1" t="s">
        <v>618</v>
      </c>
      <c r="E108" s="1" t="s">
        <v>65</v>
      </c>
      <c r="F108" s="1" t="s">
        <v>109</v>
      </c>
      <c r="G108" s="1" t="s">
        <v>334</v>
      </c>
      <c r="H108" s="1" t="s">
        <v>69</v>
      </c>
      <c r="I108" s="1" t="s">
        <v>107</v>
      </c>
      <c r="J108" s="1"/>
      <c r="K108" s="1" t="b">
        <v>1</v>
      </c>
      <c r="L108" s="1" t="b">
        <v>0</v>
      </c>
      <c r="M108" s="19">
        <v>1500.0</v>
      </c>
      <c r="N108" s="20">
        <v>2.1</v>
      </c>
      <c r="O108" s="20">
        <v>714.29</v>
      </c>
      <c r="P108" s="21"/>
      <c r="Q108" s="1" t="s">
        <v>117</v>
      </c>
      <c r="R108" s="1" t="s">
        <v>613</v>
      </c>
      <c r="S108" s="1" t="s">
        <v>81</v>
      </c>
      <c r="T108" s="1" t="s">
        <v>81</v>
      </c>
      <c r="U108" s="1" t="s">
        <v>0</v>
      </c>
      <c r="V108" s="1" t="s">
        <v>0</v>
      </c>
      <c r="W108" s="22" t="s">
        <v>82</v>
      </c>
      <c r="X108" s="20">
        <v>246.29999999999998</v>
      </c>
      <c r="Y108" s="1" t="s">
        <v>0</v>
      </c>
      <c r="Z108" s="1" t="s">
        <v>0</v>
      </c>
      <c r="AA108" s="23" t="s">
        <v>173</v>
      </c>
      <c r="AB108" s="1">
        <v>800.0</v>
      </c>
      <c r="AC108" s="1">
        <v>100.0</v>
      </c>
      <c r="AD108" s="1" t="s">
        <v>617</v>
      </c>
      <c r="AE108" s="1">
        <v>3.0</v>
      </c>
      <c r="AF108" s="5" t="s">
        <v>86</v>
      </c>
      <c r="AG108" s="5" t="s">
        <v>512</v>
      </c>
      <c r="AH108" s="32" t="s">
        <v>379</v>
      </c>
      <c r="AI108" s="5" t="s">
        <v>334</v>
      </c>
      <c r="AJ108" s="5" t="s">
        <v>161</v>
      </c>
      <c r="AK108" s="5" t="s">
        <v>616</v>
      </c>
      <c r="AL108" s="5" t="s">
        <v>131</v>
      </c>
    </row>
    <row r="109" ht="16.5" customHeight="1">
      <c r="A109" s="5" t="s">
        <v>60</v>
      </c>
      <c r="B109" s="1" t="b">
        <v>1</v>
      </c>
      <c r="C109" s="1" t="s">
        <v>621</v>
      </c>
      <c r="D109" s="1" t="s">
        <v>622</v>
      </c>
      <c r="E109" s="1" t="s">
        <v>65</v>
      </c>
      <c r="F109" s="1" t="s">
        <v>247</v>
      </c>
      <c r="G109" s="1" t="s">
        <v>113</v>
      </c>
      <c r="H109" s="1" t="s">
        <v>69</v>
      </c>
      <c r="I109" s="1" t="s">
        <v>70</v>
      </c>
      <c r="J109" s="1"/>
      <c r="K109" s="1" t="b">
        <v>1</v>
      </c>
      <c r="L109" s="1" t="b">
        <v>0</v>
      </c>
      <c r="M109" s="19">
        <v>1500.0</v>
      </c>
      <c r="N109" s="20">
        <v>2.1</v>
      </c>
      <c r="O109" s="20">
        <v>714.29</v>
      </c>
      <c r="P109" s="21"/>
      <c r="Q109" s="1" t="s">
        <v>242</v>
      </c>
      <c r="R109" s="1" t="s">
        <v>358</v>
      </c>
      <c r="S109" s="1" t="s">
        <v>81</v>
      </c>
      <c r="T109" s="1" t="s">
        <v>81</v>
      </c>
      <c r="U109" s="1" t="s">
        <v>0</v>
      </c>
      <c r="V109" s="1" t="s">
        <v>0</v>
      </c>
      <c r="W109" s="22" t="s">
        <v>82</v>
      </c>
      <c r="X109" s="20">
        <v>295.82</v>
      </c>
      <c r="Y109" s="1" t="s">
        <v>0</v>
      </c>
      <c r="Z109" s="1" t="s">
        <v>0</v>
      </c>
      <c r="AA109" s="23" t="s">
        <v>173</v>
      </c>
      <c r="AB109" s="1">
        <v>1000.0</v>
      </c>
      <c r="AC109" s="1">
        <v>300.0</v>
      </c>
      <c r="AD109" s="1" t="s">
        <v>621</v>
      </c>
      <c r="AE109" s="1">
        <v>3.0</v>
      </c>
      <c r="AF109" s="5" t="s">
        <v>125</v>
      </c>
      <c r="AG109" s="5" t="s">
        <v>127</v>
      </c>
      <c r="AH109" s="5" t="s">
        <v>237</v>
      </c>
      <c r="AI109" s="5" t="s">
        <v>126</v>
      </c>
      <c r="AJ109" s="5" t="s">
        <v>128</v>
      </c>
      <c r="AK109" s="5" t="s">
        <v>130</v>
      </c>
      <c r="AL109" s="5" t="s">
        <v>131</v>
      </c>
    </row>
    <row r="110" ht="16.5" customHeight="1">
      <c r="A110" s="5" t="s">
        <v>60</v>
      </c>
      <c r="B110" s="1" t="b">
        <v>1</v>
      </c>
      <c r="C110" s="1" t="s">
        <v>624</v>
      </c>
      <c r="D110" s="1" t="s">
        <v>625</v>
      </c>
      <c r="E110" s="1" t="s">
        <v>65</v>
      </c>
      <c r="F110" s="1" t="s">
        <v>247</v>
      </c>
      <c r="G110" s="1" t="s">
        <v>113</v>
      </c>
      <c r="H110" s="1" t="s">
        <v>69</v>
      </c>
      <c r="I110" s="1" t="s">
        <v>107</v>
      </c>
      <c r="J110" s="1"/>
      <c r="K110" s="1" t="b">
        <v>1</v>
      </c>
      <c r="L110" s="1" t="b">
        <v>0</v>
      </c>
      <c r="M110" s="19">
        <v>1500.0</v>
      </c>
      <c r="N110" s="20">
        <v>2.1</v>
      </c>
      <c r="O110" s="20">
        <v>714.29</v>
      </c>
      <c r="P110" s="21"/>
      <c r="Q110" s="1" t="s">
        <v>242</v>
      </c>
      <c r="R110" s="1" t="s">
        <v>358</v>
      </c>
      <c r="S110" s="1" t="s">
        <v>81</v>
      </c>
      <c r="T110" s="1" t="s">
        <v>81</v>
      </c>
      <c r="U110" s="1" t="s">
        <v>0</v>
      </c>
      <c r="V110" s="1" t="s">
        <v>0</v>
      </c>
      <c r="W110" s="22" t="s">
        <v>82</v>
      </c>
      <c r="X110" s="20">
        <v>276.27000000000004</v>
      </c>
      <c r="Y110" s="1" t="s">
        <v>0</v>
      </c>
      <c r="Z110" s="1" t="s">
        <v>0</v>
      </c>
      <c r="AA110" s="23" t="s">
        <v>173</v>
      </c>
      <c r="AB110" s="1">
        <v>1000.0</v>
      </c>
      <c r="AC110" s="1">
        <v>300.0</v>
      </c>
      <c r="AD110" s="1" t="s">
        <v>624</v>
      </c>
      <c r="AE110" s="1">
        <v>2.0</v>
      </c>
      <c r="AF110" s="5" t="s">
        <v>125</v>
      </c>
      <c r="AG110" s="5" t="s">
        <v>127</v>
      </c>
      <c r="AH110" s="5" t="s">
        <v>237</v>
      </c>
      <c r="AI110" s="5" t="s">
        <v>126</v>
      </c>
      <c r="AJ110" s="5" t="s">
        <v>128</v>
      </c>
      <c r="AK110" s="5" t="s">
        <v>130</v>
      </c>
      <c r="AL110" s="5" t="s">
        <v>131</v>
      </c>
    </row>
    <row r="111" ht="16.5" customHeight="1">
      <c r="A111" s="5" t="s">
        <v>60</v>
      </c>
      <c r="B111" s="1" t="b">
        <v>1</v>
      </c>
      <c r="C111" s="1" t="s">
        <v>630</v>
      </c>
      <c r="D111" s="1" t="s">
        <v>631</v>
      </c>
      <c r="E111" s="1" t="s">
        <v>65</v>
      </c>
      <c r="F111" s="1" t="s">
        <v>247</v>
      </c>
      <c r="G111" s="1" t="s">
        <v>113</v>
      </c>
      <c r="H111" s="1" t="s">
        <v>69</v>
      </c>
      <c r="I111" s="1" t="s">
        <v>70</v>
      </c>
      <c r="J111" s="1"/>
      <c r="K111" s="1" t="b">
        <v>0</v>
      </c>
      <c r="L111" s="1" t="b">
        <v>0</v>
      </c>
      <c r="M111" s="19">
        <v>1200.0</v>
      </c>
      <c r="N111" s="20">
        <v>2.1</v>
      </c>
      <c r="O111" s="20">
        <v>571.43</v>
      </c>
      <c r="P111" s="21"/>
      <c r="Q111" s="1" t="s">
        <v>242</v>
      </c>
      <c r="R111" s="1" t="s">
        <v>358</v>
      </c>
      <c r="S111" s="1" t="s">
        <v>81</v>
      </c>
      <c r="T111" s="1" t="s">
        <v>81</v>
      </c>
      <c r="U111" s="1" t="s">
        <v>0</v>
      </c>
      <c r="V111" s="1" t="s">
        <v>0</v>
      </c>
      <c r="W111" s="22" t="s">
        <v>202</v>
      </c>
      <c r="X111" s="20">
        <v>241.32</v>
      </c>
      <c r="Y111" s="1" t="s">
        <v>0</v>
      </c>
      <c r="Z111" s="1" t="s">
        <v>0</v>
      </c>
      <c r="AA111" s="23" t="s">
        <v>173</v>
      </c>
      <c r="AB111" s="1">
        <v>1000.0</v>
      </c>
      <c r="AC111" s="1">
        <v>300.0</v>
      </c>
      <c r="AD111" s="1" t="s">
        <v>630</v>
      </c>
      <c r="AE111" s="1">
        <v>3.0</v>
      </c>
      <c r="AF111" s="5" t="s">
        <v>125</v>
      </c>
      <c r="AG111" s="5" t="s">
        <v>174</v>
      </c>
      <c r="AH111" s="5" t="s">
        <v>237</v>
      </c>
      <c r="AI111" s="5" t="s">
        <v>126</v>
      </c>
      <c r="AJ111" s="5" t="s">
        <v>147</v>
      </c>
      <c r="AK111" s="5" t="s">
        <v>130</v>
      </c>
      <c r="AL111" s="5" t="s">
        <v>131</v>
      </c>
    </row>
    <row r="112" ht="16.5" customHeight="1">
      <c r="A112" s="5" t="s">
        <v>60</v>
      </c>
      <c r="B112" s="1" t="b">
        <v>1</v>
      </c>
      <c r="C112" s="1" t="s">
        <v>633</v>
      </c>
      <c r="D112" s="1" t="s">
        <v>634</v>
      </c>
      <c r="E112" s="1" t="s">
        <v>65</v>
      </c>
      <c r="F112" s="1" t="s">
        <v>247</v>
      </c>
      <c r="G112" s="1" t="s">
        <v>113</v>
      </c>
      <c r="H112" s="1" t="s">
        <v>69</v>
      </c>
      <c r="I112" s="1" t="s">
        <v>107</v>
      </c>
      <c r="J112" s="1"/>
      <c r="K112" s="1" t="b">
        <v>0</v>
      </c>
      <c r="L112" s="1" t="b">
        <v>0</v>
      </c>
      <c r="M112" s="19">
        <v>1200.0</v>
      </c>
      <c r="N112" s="20">
        <v>2.1</v>
      </c>
      <c r="O112" s="20">
        <v>571.43</v>
      </c>
      <c r="P112" s="21"/>
      <c r="Q112" s="1" t="s">
        <v>242</v>
      </c>
      <c r="R112" s="1" t="s">
        <v>358</v>
      </c>
      <c r="S112" s="1" t="s">
        <v>81</v>
      </c>
      <c r="T112" s="1" t="s">
        <v>81</v>
      </c>
      <c r="U112" s="1" t="s">
        <v>0</v>
      </c>
      <c r="V112" s="1" t="s">
        <v>0</v>
      </c>
      <c r="W112" s="22" t="s">
        <v>202</v>
      </c>
      <c r="X112" s="20">
        <v>193.79</v>
      </c>
      <c r="Y112" s="1" t="s">
        <v>0</v>
      </c>
      <c r="Z112" s="1" t="s">
        <v>0</v>
      </c>
      <c r="AA112" s="23" t="s">
        <v>173</v>
      </c>
      <c r="AB112" s="1">
        <v>1000.0</v>
      </c>
      <c r="AC112" s="1">
        <v>300.0</v>
      </c>
      <c r="AD112" s="1" t="s">
        <v>633</v>
      </c>
      <c r="AE112" s="1">
        <v>3.0</v>
      </c>
      <c r="AF112" s="5" t="s">
        <v>125</v>
      </c>
      <c r="AG112" s="5" t="s">
        <v>174</v>
      </c>
      <c r="AH112" s="5" t="s">
        <v>237</v>
      </c>
      <c r="AI112" s="5" t="s">
        <v>126</v>
      </c>
      <c r="AJ112" s="5" t="s">
        <v>147</v>
      </c>
      <c r="AK112" s="5" t="s">
        <v>130</v>
      </c>
      <c r="AL112" s="5" t="s">
        <v>131</v>
      </c>
    </row>
    <row r="113" ht="16.5" customHeight="1">
      <c r="A113" s="5" t="s">
        <v>60</v>
      </c>
      <c r="B113" s="1" t="b">
        <v>1</v>
      </c>
      <c r="C113" s="1" t="s">
        <v>635</v>
      </c>
      <c r="D113" s="1" t="s">
        <v>636</v>
      </c>
      <c r="E113" s="1" t="s">
        <v>65</v>
      </c>
      <c r="F113" s="1" t="s">
        <v>247</v>
      </c>
      <c r="G113" s="1" t="s">
        <v>334</v>
      </c>
      <c r="H113" s="1" t="s">
        <v>69</v>
      </c>
      <c r="I113" s="1" t="s">
        <v>107</v>
      </c>
      <c r="J113" s="1"/>
      <c r="K113" s="1" t="b">
        <v>0</v>
      </c>
      <c r="L113" s="1" t="b">
        <v>0</v>
      </c>
      <c r="M113" s="19">
        <v>550.0</v>
      </c>
      <c r="N113" s="20">
        <v>2.1</v>
      </c>
      <c r="O113" s="20">
        <v>261.9</v>
      </c>
      <c r="P113" s="21"/>
      <c r="Q113" s="1" t="s">
        <v>117</v>
      </c>
      <c r="R113" s="1" t="s">
        <v>358</v>
      </c>
      <c r="S113" s="1" t="s">
        <v>81</v>
      </c>
      <c r="T113" s="1" t="s">
        <v>81</v>
      </c>
      <c r="U113" s="1" t="s">
        <v>0</v>
      </c>
      <c r="V113" s="1" t="s">
        <v>0</v>
      </c>
      <c r="W113" s="22" t="s">
        <v>202</v>
      </c>
      <c r="X113" s="20">
        <v>92.2</v>
      </c>
      <c r="Y113" s="1" t="s">
        <v>0</v>
      </c>
      <c r="Z113" s="1" t="s">
        <v>0</v>
      </c>
      <c r="AA113" s="23" t="s">
        <v>173</v>
      </c>
      <c r="AB113" s="1">
        <v>1000.0</v>
      </c>
      <c r="AC113" s="1">
        <v>300.0</v>
      </c>
      <c r="AD113" s="1" t="s">
        <v>635</v>
      </c>
      <c r="AE113" s="1">
        <v>3.0</v>
      </c>
      <c r="AF113" s="5" t="s">
        <v>125</v>
      </c>
      <c r="AG113" s="5" t="s">
        <v>174</v>
      </c>
      <c r="AI113" s="5" t="s">
        <v>334</v>
      </c>
      <c r="AJ113" s="5" t="s">
        <v>348</v>
      </c>
      <c r="AK113" s="5" t="s">
        <v>338</v>
      </c>
      <c r="AL113" s="5" t="s">
        <v>131</v>
      </c>
    </row>
    <row r="114" ht="16.5" customHeight="1">
      <c r="A114" s="5" t="s">
        <v>60</v>
      </c>
      <c r="B114" s="1" t="b">
        <v>1</v>
      </c>
      <c r="C114" s="1" t="s">
        <v>639</v>
      </c>
      <c r="D114" s="1" t="s">
        <v>640</v>
      </c>
      <c r="E114" s="1" t="s">
        <v>65</v>
      </c>
      <c r="F114" s="1" t="s">
        <v>66</v>
      </c>
      <c r="G114" s="1" t="s">
        <v>113</v>
      </c>
      <c r="H114" s="1" t="s">
        <v>69</v>
      </c>
      <c r="I114" s="1" t="s">
        <v>70</v>
      </c>
      <c r="J114" s="1"/>
      <c r="K114" s="1" t="b">
        <v>1</v>
      </c>
      <c r="L114" s="1" t="b">
        <v>0</v>
      </c>
      <c r="M114" s="19">
        <v>1500.0</v>
      </c>
      <c r="N114" s="20">
        <v>2.1</v>
      </c>
      <c r="O114" s="20">
        <v>714.29</v>
      </c>
      <c r="P114" s="21"/>
      <c r="Q114" s="1" t="s">
        <v>117</v>
      </c>
      <c r="R114" s="1" t="s">
        <v>145</v>
      </c>
      <c r="S114" s="1" t="s">
        <v>81</v>
      </c>
      <c r="T114" s="1" t="s">
        <v>81</v>
      </c>
      <c r="U114" s="1" t="s">
        <v>0</v>
      </c>
      <c r="V114" s="1" t="s">
        <v>156</v>
      </c>
      <c r="W114" s="22" t="s">
        <v>82</v>
      </c>
      <c r="X114" s="20">
        <v>221.82</v>
      </c>
      <c r="Y114" s="1" t="s">
        <v>0</v>
      </c>
      <c r="Z114" s="1" t="s">
        <v>0</v>
      </c>
      <c r="AA114" s="23" t="s">
        <v>173</v>
      </c>
      <c r="AB114" s="1">
        <v>1000.0</v>
      </c>
      <c r="AC114" s="1">
        <v>300.0</v>
      </c>
      <c r="AD114" s="1" t="s">
        <v>639</v>
      </c>
      <c r="AE114" s="1">
        <v>3.0</v>
      </c>
      <c r="AF114" s="5" t="s">
        <v>125</v>
      </c>
      <c r="AG114" s="5" t="s">
        <v>127</v>
      </c>
      <c r="AI114" s="5" t="s">
        <v>126</v>
      </c>
      <c r="AJ114" s="5" t="s">
        <v>128</v>
      </c>
      <c r="AK114" s="5" t="s">
        <v>130</v>
      </c>
      <c r="AL114" s="5" t="s">
        <v>131</v>
      </c>
    </row>
    <row r="115" ht="16.5" customHeight="1">
      <c r="A115" s="5" t="s">
        <v>60</v>
      </c>
      <c r="B115" s="1" t="b">
        <v>1</v>
      </c>
      <c r="C115" s="1" t="s">
        <v>642</v>
      </c>
      <c r="D115" s="1" t="s">
        <v>643</v>
      </c>
      <c r="E115" s="1" t="s">
        <v>65</v>
      </c>
      <c r="F115" s="1" t="s">
        <v>66</v>
      </c>
      <c r="G115" s="1" t="s">
        <v>113</v>
      </c>
      <c r="H115" s="1" t="s">
        <v>69</v>
      </c>
      <c r="I115" s="1" t="s">
        <v>107</v>
      </c>
      <c r="J115" s="1"/>
      <c r="K115" s="1" t="b">
        <v>1</v>
      </c>
      <c r="L115" s="1" t="b">
        <v>0</v>
      </c>
      <c r="M115" s="19">
        <v>1500.0</v>
      </c>
      <c r="N115" s="20">
        <v>2.1</v>
      </c>
      <c r="O115" s="20">
        <v>714.29</v>
      </c>
      <c r="P115" s="21"/>
      <c r="Q115" s="1" t="s">
        <v>117</v>
      </c>
      <c r="R115" s="1" t="s">
        <v>145</v>
      </c>
      <c r="S115" s="1" t="s">
        <v>81</v>
      </c>
      <c r="T115" s="1" t="s">
        <v>81</v>
      </c>
      <c r="U115" s="1" t="s">
        <v>0</v>
      </c>
      <c r="V115" s="1" t="s">
        <v>156</v>
      </c>
      <c r="W115" s="22" t="s">
        <v>82</v>
      </c>
      <c r="X115" s="20">
        <v>234.18</v>
      </c>
      <c r="Y115" s="1" t="s">
        <v>0</v>
      </c>
      <c r="Z115" s="1" t="s">
        <v>0</v>
      </c>
      <c r="AA115" s="23" t="s">
        <v>173</v>
      </c>
      <c r="AB115" s="1">
        <v>1000.0</v>
      </c>
      <c r="AC115" s="1">
        <v>300.0</v>
      </c>
      <c r="AD115" s="1" t="s">
        <v>642</v>
      </c>
      <c r="AE115" s="1">
        <v>3.0</v>
      </c>
      <c r="AF115" s="5" t="s">
        <v>125</v>
      </c>
      <c r="AG115" s="5" t="s">
        <v>127</v>
      </c>
      <c r="AI115" s="5" t="s">
        <v>126</v>
      </c>
      <c r="AJ115" s="5" t="s">
        <v>128</v>
      </c>
      <c r="AK115" s="5" t="s">
        <v>130</v>
      </c>
      <c r="AL115" s="5" t="s">
        <v>131</v>
      </c>
    </row>
    <row r="116" ht="16.5" customHeight="1">
      <c r="A116" s="5" t="s">
        <v>60</v>
      </c>
      <c r="B116" s="1" t="b">
        <v>1</v>
      </c>
      <c r="C116" s="1" t="s">
        <v>645</v>
      </c>
      <c r="D116" s="1" t="s">
        <v>646</v>
      </c>
      <c r="E116" s="1" t="s">
        <v>65</v>
      </c>
      <c r="F116" s="1" t="s">
        <v>500</v>
      </c>
      <c r="G116" s="1" t="s">
        <v>126</v>
      </c>
      <c r="H116" s="1" t="s">
        <v>69</v>
      </c>
      <c r="I116" s="1" t="s">
        <v>70</v>
      </c>
      <c r="J116" s="1"/>
      <c r="K116" s="1" t="b">
        <v>0</v>
      </c>
      <c r="L116" s="1" t="b">
        <v>0</v>
      </c>
      <c r="M116" s="19">
        <v>1300.0</v>
      </c>
      <c r="N116" s="20">
        <v>2.1</v>
      </c>
      <c r="O116" s="20">
        <v>619.05</v>
      </c>
      <c r="P116" s="21"/>
      <c r="Q116" s="1" t="s">
        <v>117</v>
      </c>
      <c r="R116" s="1" t="s">
        <v>145</v>
      </c>
      <c r="S116" s="1" t="s">
        <v>647</v>
      </c>
      <c r="T116" s="1" t="s">
        <v>81</v>
      </c>
      <c r="U116" s="1" t="s">
        <v>0</v>
      </c>
      <c r="V116" s="1" t="s">
        <v>156</v>
      </c>
      <c r="W116" s="22" t="s">
        <v>202</v>
      </c>
      <c r="X116" s="20">
        <v>156.51</v>
      </c>
      <c r="Y116" s="1" t="s">
        <v>648</v>
      </c>
      <c r="Z116" s="1" t="s">
        <v>649</v>
      </c>
      <c r="AA116" s="23" t="s">
        <v>173</v>
      </c>
      <c r="AB116" s="1">
        <v>1000.0</v>
      </c>
      <c r="AC116" s="1">
        <v>300.0</v>
      </c>
      <c r="AD116" s="1" t="s">
        <v>645</v>
      </c>
      <c r="AE116" s="1">
        <v>3.0</v>
      </c>
      <c r="AF116" s="5" t="s">
        <v>125</v>
      </c>
      <c r="AG116" s="5" t="s">
        <v>127</v>
      </c>
      <c r="AH116" s="32" t="s">
        <v>454</v>
      </c>
      <c r="AI116" s="5" t="s">
        <v>126</v>
      </c>
      <c r="AJ116" s="5" t="s">
        <v>147</v>
      </c>
      <c r="AK116" s="5" t="s">
        <v>130</v>
      </c>
      <c r="AL116" s="5" t="s">
        <v>131</v>
      </c>
    </row>
    <row r="117" ht="16.5" customHeight="1">
      <c r="A117" s="5" t="s">
        <v>60</v>
      </c>
      <c r="B117" s="1" t="b">
        <v>1</v>
      </c>
      <c r="C117" s="1" t="s">
        <v>652</v>
      </c>
      <c r="D117" s="1" t="s">
        <v>653</v>
      </c>
      <c r="E117" s="1" t="s">
        <v>65</v>
      </c>
      <c r="F117" s="1" t="s">
        <v>500</v>
      </c>
      <c r="G117" s="1" t="s">
        <v>126</v>
      </c>
      <c r="H117" s="1" t="s">
        <v>69</v>
      </c>
      <c r="I117" s="1" t="s">
        <v>107</v>
      </c>
      <c r="J117" s="1"/>
      <c r="K117" s="1" t="b">
        <v>0</v>
      </c>
      <c r="L117" s="1" t="b">
        <v>0</v>
      </c>
      <c r="M117" s="19">
        <v>1300.0</v>
      </c>
      <c r="N117" s="20">
        <v>2.1</v>
      </c>
      <c r="O117" s="20">
        <v>619.05</v>
      </c>
      <c r="P117" s="21"/>
      <c r="Q117" s="1" t="s">
        <v>117</v>
      </c>
      <c r="R117" s="1" t="s">
        <v>145</v>
      </c>
      <c r="S117" s="1" t="s">
        <v>647</v>
      </c>
      <c r="T117" s="1" t="s">
        <v>81</v>
      </c>
      <c r="U117" s="1" t="s">
        <v>0</v>
      </c>
      <c r="V117" s="1" t="s">
        <v>156</v>
      </c>
      <c r="W117" s="22" t="s">
        <v>202</v>
      </c>
      <c r="X117" s="20">
        <v>154.0</v>
      </c>
      <c r="Y117" s="1" t="s">
        <v>654</v>
      </c>
      <c r="Z117" s="1" t="s">
        <v>655</v>
      </c>
      <c r="AA117" s="23" t="s">
        <v>173</v>
      </c>
      <c r="AB117" s="1">
        <v>1000.0</v>
      </c>
      <c r="AC117" s="1">
        <v>300.0</v>
      </c>
      <c r="AD117" s="1" t="s">
        <v>652</v>
      </c>
      <c r="AE117" s="1">
        <v>3.0</v>
      </c>
      <c r="AF117" s="5" t="s">
        <v>125</v>
      </c>
      <c r="AG117" s="5" t="s">
        <v>127</v>
      </c>
      <c r="AH117" s="32" t="s">
        <v>454</v>
      </c>
      <c r="AI117" s="5" t="s">
        <v>126</v>
      </c>
      <c r="AJ117" s="5" t="s">
        <v>147</v>
      </c>
      <c r="AK117" s="5" t="s">
        <v>130</v>
      </c>
      <c r="AL117" s="5" t="s">
        <v>131</v>
      </c>
    </row>
    <row r="118" ht="16.5" customHeight="1">
      <c r="A118" s="5" t="s">
        <v>60</v>
      </c>
      <c r="B118" s="1" t="b">
        <v>1</v>
      </c>
      <c r="C118" s="1" t="s">
        <v>656</v>
      </c>
      <c r="D118" s="1" t="s">
        <v>657</v>
      </c>
      <c r="E118" s="1" t="s">
        <v>65</v>
      </c>
      <c r="F118" s="1" t="s">
        <v>247</v>
      </c>
      <c r="G118" s="1" t="s">
        <v>68</v>
      </c>
      <c r="H118" s="1" t="s">
        <v>69</v>
      </c>
      <c r="I118" s="1" t="s">
        <v>70</v>
      </c>
      <c r="J118" s="1"/>
      <c r="K118" s="1" t="b">
        <v>0</v>
      </c>
      <c r="L118" s="1" t="b">
        <v>0</v>
      </c>
      <c r="M118" s="19">
        <v>3000.0</v>
      </c>
      <c r="N118" s="20">
        <v>2.1</v>
      </c>
      <c r="O118" s="20">
        <v>1428.57</v>
      </c>
      <c r="P118" s="21"/>
      <c r="Q118" s="1" t="s">
        <v>117</v>
      </c>
      <c r="R118" s="1" t="s">
        <v>358</v>
      </c>
      <c r="S118" s="1" t="s">
        <v>166</v>
      </c>
      <c r="T118" s="1" t="s">
        <v>81</v>
      </c>
      <c r="U118" s="1" t="s">
        <v>658</v>
      </c>
      <c r="V118" s="1" t="s">
        <v>0</v>
      </c>
      <c r="W118" s="22" t="s">
        <v>202</v>
      </c>
      <c r="X118" s="20">
        <v>585.3899999999999</v>
      </c>
      <c r="Y118" s="1" t="s">
        <v>0</v>
      </c>
      <c r="Z118" s="1" t="s">
        <v>0</v>
      </c>
      <c r="AA118" s="23" t="s">
        <v>173</v>
      </c>
      <c r="AB118" s="1">
        <v>1000.0</v>
      </c>
      <c r="AC118" s="1">
        <v>300.0</v>
      </c>
      <c r="AD118" s="1" t="s">
        <v>656</v>
      </c>
      <c r="AE118" s="1">
        <v>2.0</v>
      </c>
      <c r="AF118" s="5" t="s">
        <v>125</v>
      </c>
      <c r="AG118" s="5" t="s">
        <v>174</v>
      </c>
      <c r="AH118" s="5" t="s">
        <v>237</v>
      </c>
      <c r="AI118" s="5" t="s">
        <v>68</v>
      </c>
      <c r="AJ118" s="5" t="s">
        <v>175</v>
      </c>
      <c r="AK118" s="5" t="s">
        <v>90</v>
      </c>
      <c r="AL118" s="5" t="s">
        <v>91</v>
      </c>
    </row>
    <row r="119" ht="16.5" customHeight="1">
      <c r="A119" s="5" t="s">
        <v>60</v>
      </c>
      <c r="B119" s="1" t="b">
        <v>1</v>
      </c>
      <c r="C119" s="1" t="s">
        <v>661</v>
      </c>
      <c r="D119" s="1" t="s">
        <v>662</v>
      </c>
      <c r="E119" s="1" t="s">
        <v>65</v>
      </c>
      <c r="F119" s="1" t="s">
        <v>247</v>
      </c>
      <c r="G119" s="1" t="s">
        <v>68</v>
      </c>
      <c r="H119" s="1" t="s">
        <v>69</v>
      </c>
      <c r="I119" s="1" t="s">
        <v>107</v>
      </c>
      <c r="J119" s="1"/>
      <c r="K119" s="1" t="b">
        <v>0</v>
      </c>
      <c r="L119" s="1" t="b">
        <v>0</v>
      </c>
      <c r="M119" s="19">
        <v>3000.0</v>
      </c>
      <c r="N119" s="20">
        <v>2.1</v>
      </c>
      <c r="O119" s="20">
        <v>1428.57</v>
      </c>
      <c r="P119" s="21"/>
      <c r="Q119" s="1" t="s">
        <v>117</v>
      </c>
      <c r="R119" s="1" t="s">
        <v>358</v>
      </c>
      <c r="S119" s="1" t="s">
        <v>166</v>
      </c>
      <c r="T119" s="1" t="s">
        <v>81</v>
      </c>
      <c r="U119" s="1" t="s">
        <v>665</v>
      </c>
      <c r="V119" s="1" t="s">
        <v>0</v>
      </c>
      <c r="W119" s="22" t="s">
        <v>202</v>
      </c>
      <c r="X119" s="20">
        <v>575.29</v>
      </c>
      <c r="Y119" s="1" t="s">
        <v>0</v>
      </c>
      <c r="Z119" s="1" t="s">
        <v>0</v>
      </c>
      <c r="AA119" s="23" t="s">
        <v>173</v>
      </c>
      <c r="AB119" s="1">
        <v>1000.0</v>
      </c>
      <c r="AC119" s="1">
        <v>300.0</v>
      </c>
      <c r="AD119" s="1" t="s">
        <v>661</v>
      </c>
      <c r="AE119" s="1">
        <v>2.0</v>
      </c>
      <c r="AF119" s="5" t="s">
        <v>125</v>
      </c>
      <c r="AG119" s="5" t="s">
        <v>174</v>
      </c>
      <c r="AH119" s="5" t="s">
        <v>237</v>
      </c>
      <c r="AI119" s="5" t="s">
        <v>68</v>
      </c>
      <c r="AJ119" s="5" t="s">
        <v>175</v>
      </c>
      <c r="AK119" s="5" t="s">
        <v>90</v>
      </c>
      <c r="AL119" s="5" t="s">
        <v>91</v>
      </c>
    </row>
    <row r="120" ht="16.5" customHeight="1">
      <c r="A120" s="5" t="s">
        <v>60</v>
      </c>
      <c r="B120" s="1" t="b">
        <v>1</v>
      </c>
      <c r="C120" s="1" t="s">
        <v>667</v>
      </c>
      <c r="D120" s="1" t="s">
        <v>668</v>
      </c>
      <c r="E120" s="1" t="s">
        <v>65</v>
      </c>
      <c r="F120" s="1" t="s">
        <v>66</v>
      </c>
      <c r="G120" s="1" t="s">
        <v>270</v>
      </c>
      <c r="H120" s="1" t="s">
        <v>69</v>
      </c>
      <c r="I120" s="1" t="s">
        <v>70</v>
      </c>
      <c r="J120" s="1"/>
      <c r="K120" s="1" t="b">
        <v>1</v>
      </c>
      <c r="L120" s="1" t="b">
        <v>0</v>
      </c>
      <c r="M120" s="19">
        <v>1800.0</v>
      </c>
      <c r="N120" s="20">
        <v>2.1</v>
      </c>
      <c r="O120" s="20">
        <v>857.14</v>
      </c>
      <c r="P120" s="21"/>
      <c r="Q120" s="1" t="s">
        <v>242</v>
      </c>
      <c r="R120" s="1" t="s">
        <v>79</v>
      </c>
      <c r="S120" s="1" t="s">
        <v>273</v>
      </c>
      <c r="T120" s="1" t="s">
        <v>81</v>
      </c>
      <c r="U120" s="1" t="s">
        <v>0</v>
      </c>
      <c r="V120" s="1" t="s">
        <v>0</v>
      </c>
      <c r="W120" s="22" t="s">
        <v>82</v>
      </c>
      <c r="X120" s="20">
        <v>330.94000000000005</v>
      </c>
      <c r="Y120" s="1" t="s">
        <v>0</v>
      </c>
      <c r="Z120" s="1" t="s">
        <v>0</v>
      </c>
      <c r="AA120" s="23" t="s">
        <v>85</v>
      </c>
      <c r="AB120" s="1">
        <v>800.0</v>
      </c>
      <c r="AC120" s="1">
        <v>500.0</v>
      </c>
      <c r="AD120" s="1" t="s">
        <v>667</v>
      </c>
      <c r="AE120" s="1">
        <v>3.0</v>
      </c>
      <c r="AF120" s="5" t="s">
        <v>125</v>
      </c>
      <c r="AG120" s="5" t="s">
        <v>127</v>
      </c>
      <c r="AI120" s="5" t="s">
        <v>276</v>
      </c>
      <c r="AJ120" s="5" t="s">
        <v>161</v>
      </c>
      <c r="AK120" s="5" t="s">
        <v>539</v>
      </c>
      <c r="AL120" s="5" t="s">
        <v>131</v>
      </c>
    </row>
    <row r="121" ht="16.5" customHeight="1">
      <c r="A121" s="5" t="s">
        <v>60</v>
      </c>
      <c r="B121" s="1" t="b">
        <v>1</v>
      </c>
      <c r="C121" s="1" t="s">
        <v>669</v>
      </c>
      <c r="D121" s="1" t="s">
        <v>670</v>
      </c>
      <c r="E121" s="1" t="s">
        <v>65</v>
      </c>
      <c r="F121" s="1" t="s">
        <v>66</v>
      </c>
      <c r="G121" s="1" t="s">
        <v>270</v>
      </c>
      <c r="H121" s="1" t="s">
        <v>69</v>
      </c>
      <c r="I121" s="1" t="s">
        <v>107</v>
      </c>
      <c r="J121" s="1"/>
      <c r="K121" s="1" t="b">
        <v>1</v>
      </c>
      <c r="L121" s="1" t="b">
        <v>0</v>
      </c>
      <c r="M121" s="19">
        <v>1800.0</v>
      </c>
      <c r="N121" s="20">
        <v>2.1</v>
      </c>
      <c r="O121" s="20">
        <v>857.14</v>
      </c>
      <c r="P121" s="21"/>
      <c r="Q121" s="1" t="s">
        <v>117</v>
      </c>
      <c r="R121" s="1" t="s">
        <v>79</v>
      </c>
      <c r="S121" s="1" t="s">
        <v>273</v>
      </c>
      <c r="T121" s="1" t="s">
        <v>81</v>
      </c>
      <c r="U121" s="1" t="s">
        <v>0</v>
      </c>
      <c r="V121" s="1" t="s">
        <v>0</v>
      </c>
      <c r="W121" s="22" t="s">
        <v>82</v>
      </c>
      <c r="X121" s="20">
        <v>302.15999999999997</v>
      </c>
      <c r="Y121" s="1" t="s">
        <v>0</v>
      </c>
      <c r="Z121" s="1" t="s">
        <v>0</v>
      </c>
      <c r="AA121" s="23" t="s">
        <v>85</v>
      </c>
      <c r="AB121" s="1">
        <v>800.0</v>
      </c>
      <c r="AC121" s="1">
        <v>500.0</v>
      </c>
      <c r="AD121" s="1" t="s">
        <v>669</v>
      </c>
      <c r="AE121" s="1">
        <v>3.0</v>
      </c>
      <c r="AF121" s="5" t="s">
        <v>125</v>
      </c>
      <c r="AG121" s="5" t="s">
        <v>127</v>
      </c>
      <c r="AI121" s="5" t="s">
        <v>276</v>
      </c>
      <c r="AJ121" s="5" t="s">
        <v>161</v>
      </c>
      <c r="AK121" s="5" t="s">
        <v>539</v>
      </c>
      <c r="AL121" s="5" t="s">
        <v>131</v>
      </c>
    </row>
    <row r="122" ht="16.5" customHeight="1">
      <c r="A122" s="5" t="s">
        <v>60</v>
      </c>
      <c r="B122" s="1" t="b">
        <v>1</v>
      </c>
      <c r="C122" s="1" t="s">
        <v>674</v>
      </c>
      <c r="D122" s="1" t="s">
        <v>675</v>
      </c>
      <c r="E122" s="1" t="s">
        <v>65</v>
      </c>
      <c r="F122" s="1" t="s">
        <v>66</v>
      </c>
      <c r="G122" s="1" t="s">
        <v>113</v>
      </c>
      <c r="H122" s="1" t="s">
        <v>69</v>
      </c>
      <c r="I122" s="1" t="s">
        <v>70</v>
      </c>
      <c r="J122" s="1"/>
      <c r="K122" s="1" t="b">
        <v>1</v>
      </c>
      <c r="L122" s="1" t="b">
        <v>0</v>
      </c>
      <c r="M122" s="19">
        <v>2000.0</v>
      </c>
      <c r="N122" s="20">
        <v>2.1</v>
      </c>
      <c r="O122" s="20">
        <v>952.38</v>
      </c>
      <c r="P122" s="21"/>
      <c r="Q122" s="1" t="s">
        <v>242</v>
      </c>
      <c r="R122" s="1" t="s">
        <v>79</v>
      </c>
      <c r="S122" s="1" t="s">
        <v>81</v>
      </c>
      <c r="T122" s="1" t="s">
        <v>81</v>
      </c>
      <c r="U122" s="1" t="s">
        <v>0</v>
      </c>
      <c r="V122" s="1" t="s">
        <v>0</v>
      </c>
      <c r="W122" s="22" t="s">
        <v>82</v>
      </c>
      <c r="X122" s="20">
        <v>410.33</v>
      </c>
      <c r="Y122" s="1" t="s">
        <v>0</v>
      </c>
      <c r="Z122" s="1" t="s">
        <v>0</v>
      </c>
      <c r="AA122" s="23" t="s">
        <v>85</v>
      </c>
      <c r="AB122" s="1">
        <v>1000.0</v>
      </c>
      <c r="AC122" s="1">
        <v>300.0</v>
      </c>
      <c r="AD122" s="1" t="s">
        <v>674</v>
      </c>
      <c r="AE122" s="1">
        <v>3.0</v>
      </c>
      <c r="AF122" s="5" t="s">
        <v>86</v>
      </c>
      <c r="AG122" s="5" t="s">
        <v>121</v>
      </c>
      <c r="AH122" s="32" t="s">
        <v>678</v>
      </c>
      <c r="AI122" s="5" t="s">
        <v>126</v>
      </c>
      <c r="AJ122" s="5" t="s">
        <v>128</v>
      </c>
      <c r="AK122" s="5" t="s">
        <v>130</v>
      </c>
      <c r="AL122" s="5" t="s">
        <v>131</v>
      </c>
    </row>
    <row r="123" ht="16.5" customHeight="1">
      <c r="A123" s="5" t="s">
        <v>60</v>
      </c>
      <c r="B123" s="1" t="b">
        <v>1</v>
      </c>
      <c r="C123" s="1" t="s">
        <v>679</v>
      </c>
      <c r="D123" s="1" t="s">
        <v>680</v>
      </c>
      <c r="E123" s="1" t="s">
        <v>65</v>
      </c>
      <c r="F123" s="1" t="s">
        <v>66</v>
      </c>
      <c r="G123" s="1" t="s">
        <v>113</v>
      </c>
      <c r="H123" s="1" t="s">
        <v>69</v>
      </c>
      <c r="I123" s="1" t="s">
        <v>107</v>
      </c>
      <c r="J123" s="1"/>
      <c r="K123" s="1" t="b">
        <v>1</v>
      </c>
      <c r="L123" s="1" t="b">
        <v>0</v>
      </c>
      <c r="M123" s="19">
        <v>2000.0</v>
      </c>
      <c r="N123" s="20">
        <v>2.1</v>
      </c>
      <c r="O123" s="20">
        <v>952.38</v>
      </c>
      <c r="P123" s="21"/>
      <c r="Q123" s="1" t="s">
        <v>242</v>
      </c>
      <c r="R123" s="1" t="s">
        <v>79</v>
      </c>
      <c r="S123" s="1" t="s">
        <v>81</v>
      </c>
      <c r="T123" s="1" t="s">
        <v>81</v>
      </c>
      <c r="U123" s="1" t="s">
        <v>0</v>
      </c>
      <c r="V123" s="1" t="s">
        <v>0</v>
      </c>
      <c r="W123" s="22" t="s">
        <v>82</v>
      </c>
      <c r="X123" s="20">
        <v>402.12000000000006</v>
      </c>
      <c r="Y123" s="1" t="s">
        <v>0</v>
      </c>
      <c r="Z123" s="1" t="s">
        <v>0</v>
      </c>
      <c r="AA123" s="23" t="s">
        <v>85</v>
      </c>
      <c r="AB123" s="1">
        <v>1000.0</v>
      </c>
      <c r="AC123" s="1">
        <v>300.0</v>
      </c>
      <c r="AD123" s="1" t="s">
        <v>679</v>
      </c>
      <c r="AE123" s="1">
        <v>2.0</v>
      </c>
      <c r="AF123" s="5" t="s">
        <v>86</v>
      </c>
      <c r="AG123" s="5" t="s">
        <v>121</v>
      </c>
      <c r="AH123" s="32" t="s">
        <v>678</v>
      </c>
      <c r="AI123" s="5" t="s">
        <v>126</v>
      </c>
      <c r="AJ123" s="5" t="s">
        <v>128</v>
      </c>
      <c r="AK123" s="5" t="s">
        <v>130</v>
      </c>
      <c r="AL123" s="5" t="s">
        <v>131</v>
      </c>
    </row>
    <row r="124" ht="16.5" customHeight="1">
      <c r="A124" s="5" t="s">
        <v>60</v>
      </c>
      <c r="B124" s="1" t="b">
        <v>1</v>
      </c>
      <c r="C124" s="1" t="s">
        <v>681</v>
      </c>
      <c r="D124" s="1" t="s">
        <v>682</v>
      </c>
      <c r="E124" s="1" t="s">
        <v>65</v>
      </c>
      <c r="F124" s="1" t="s">
        <v>66</v>
      </c>
      <c r="G124" s="1" t="s">
        <v>113</v>
      </c>
      <c r="H124" s="1" t="s">
        <v>96</v>
      </c>
      <c r="I124" s="1" t="s">
        <v>70</v>
      </c>
      <c r="J124" s="1"/>
      <c r="K124" s="1" t="b">
        <v>1</v>
      </c>
      <c r="L124" s="1" t="b">
        <v>0</v>
      </c>
      <c r="M124" s="19">
        <v>1300.0</v>
      </c>
      <c r="N124" s="20">
        <v>2.1</v>
      </c>
      <c r="O124" s="20">
        <v>619.05</v>
      </c>
      <c r="P124" s="21"/>
      <c r="Q124" s="1" t="s">
        <v>117</v>
      </c>
      <c r="R124" s="1" t="s">
        <v>97</v>
      </c>
      <c r="S124" s="1" t="s">
        <v>81</v>
      </c>
      <c r="T124" s="1" t="s">
        <v>81</v>
      </c>
      <c r="U124" s="1" t="s">
        <v>0</v>
      </c>
      <c r="V124" s="1" t="s">
        <v>97</v>
      </c>
      <c r="W124" s="22" t="s">
        <v>82</v>
      </c>
      <c r="X124" s="20">
        <v>310.87</v>
      </c>
      <c r="Y124" s="1" t="s">
        <v>0</v>
      </c>
      <c r="Z124" s="1" t="s">
        <v>0</v>
      </c>
      <c r="AA124" s="23" t="s">
        <v>101</v>
      </c>
      <c r="AB124" s="1">
        <v>1000.0</v>
      </c>
      <c r="AC124" s="1">
        <v>300.0</v>
      </c>
      <c r="AD124" s="1" t="s">
        <v>681</v>
      </c>
      <c r="AE124" s="1">
        <v>3.0</v>
      </c>
      <c r="AF124" s="5" t="s">
        <v>86</v>
      </c>
      <c r="AG124" s="5" t="s">
        <v>87</v>
      </c>
      <c r="AH124" s="32" t="s">
        <v>122</v>
      </c>
      <c r="AI124" s="5" t="s">
        <v>126</v>
      </c>
      <c r="AJ124" s="5" t="s">
        <v>128</v>
      </c>
      <c r="AK124" s="5" t="s">
        <v>130</v>
      </c>
      <c r="AL124" s="5" t="s">
        <v>131</v>
      </c>
    </row>
    <row r="125" ht="16.5" customHeight="1">
      <c r="A125" s="5" t="s">
        <v>60</v>
      </c>
      <c r="B125" s="1" t="b">
        <v>1</v>
      </c>
      <c r="C125" s="1" t="s">
        <v>684</v>
      </c>
      <c r="D125" s="1" t="s">
        <v>685</v>
      </c>
      <c r="E125" s="1" t="s">
        <v>65</v>
      </c>
      <c r="F125" s="1" t="s">
        <v>66</v>
      </c>
      <c r="G125" s="1" t="s">
        <v>113</v>
      </c>
      <c r="H125" s="1" t="s">
        <v>96</v>
      </c>
      <c r="I125" s="1" t="s">
        <v>107</v>
      </c>
      <c r="J125" s="1"/>
      <c r="K125" s="1" t="b">
        <v>1</v>
      </c>
      <c r="L125" s="1" t="b">
        <v>0</v>
      </c>
      <c r="M125" s="19">
        <v>1300.0</v>
      </c>
      <c r="N125" s="20">
        <v>2.1</v>
      </c>
      <c r="O125" s="20">
        <v>619.05</v>
      </c>
      <c r="P125" s="21"/>
      <c r="Q125" s="1" t="s">
        <v>117</v>
      </c>
      <c r="R125" s="1" t="s">
        <v>97</v>
      </c>
      <c r="S125" s="1" t="s">
        <v>546</v>
      </c>
      <c r="T125" s="1" t="s">
        <v>81</v>
      </c>
      <c r="U125" s="1" t="s">
        <v>0</v>
      </c>
      <c r="V125" s="1" t="s">
        <v>97</v>
      </c>
      <c r="W125" s="22" t="s">
        <v>82</v>
      </c>
      <c r="X125" s="20">
        <v>303.47</v>
      </c>
      <c r="Y125" s="1" t="s">
        <v>687</v>
      </c>
      <c r="Z125" s="1" t="s">
        <v>690</v>
      </c>
      <c r="AA125" s="23" t="s">
        <v>101</v>
      </c>
      <c r="AB125" s="1">
        <v>1000.0</v>
      </c>
      <c r="AC125" s="1">
        <v>300.0</v>
      </c>
      <c r="AD125" s="1" t="s">
        <v>684</v>
      </c>
      <c r="AE125" s="1">
        <v>3.0</v>
      </c>
      <c r="AF125" s="5" t="s">
        <v>86</v>
      </c>
      <c r="AG125" s="5" t="s">
        <v>87</v>
      </c>
      <c r="AH125" s="32" t="s">
        <v>122</v>
      </c>
      <c r="AI125" s="5" t="s">
        <v>126</v>
      </c>
      <c r="AJ125" s="5" t="s">
        <v>128</v>
      </c>
      <c r="AK125" s="5" t="s">
        <v>130</v>
      </c>
      <c r="AL125" s="5" t="s">
        <v>131</v>
      </c>
    </row>
    <row r="126" ht="16.5" customHeight="1">
      <c r="A126" s="5" t="s">
        <v>60</v>
      </c>
      <c r="B126" s="1" t="b">
        <v>1</v>
      </c>
      <c r="C126" s="1" t="s">
        <v>691</v>
      </c>
      <c r="D126" s="1" t="s">
        <v>692</v>
      </c>
      <c r="E126" s="1" t="s">
        <v>65</v>
      </c>
      <c r="F126" s="1" t="s">
        <v>109</v>
      </c>
      <c r="G126" s="1" t="s">
        <v>334</v>
      </c>
      <c r="H126" s="1" t="s">
        <v>96</v>
      </c>
      <c r="I126" s="1" t="s">
        <v>107</v>
      </c>
      <c r="J126" s="1"/>
      <c r="K126" s="1" t="b">
        <v>0</v>
      </c>
      <c r="L126" s="1" t="b">
        <v>0</v>
      </c>
      <c r="M126" s="19">
        <v>450.0</v>
      </c>
      <c r="N126" s="20">
        <v>2.1</v>
      </c>
      <c r="O126" s="20">
        <v>214.29</v>
      </c>
      <c r="P126" s="21"/>
      <c r="Q126" s="1" t="s">
        <v>117</v>
      </c>
      <c r="R126" s="1" t="s">
        <v>386</v>
      </c>
      <c r="S126" s="1" t="s">
        <v>81</v>
      </c>
      <c r="T126" s="1" t="s">
        <v>81</v>
      </c>
      <c r="U126" s="1" t="s">
        <v>693</v>
      </c>
      <c r="V126" s="1" t="s">
        <v>386</v>
      </c>
      <c r="W126" s="22" t="s">
        <v>202</v>
      </c>
      <c r="X126" s="20">
        <v>146.64000000000001</v>
      </c>
      <c r="Y126" s="1" t="s">
        <v>0</v>
      </c>
      <c r="Z126" s="1" t="s">
        <v>0</v>
      </c>
      <c r="AA126" s="23" t="s">
        <v>101</v>
      </c>
      <c r="AB126" s="1">
        <v>800.0</v>
      </c>
      <c r="AC126" s="1">
        <v>500.0</v>
      </c>
      <c r="AD126" s="1" t="s">
        <v>691</v>
      </c>
      <c r="AE126" s="1">
        <v>1.0</v>
      </c>
      <c r="AF126" s="5" t="s">
        <v>86</v>
      </c>
      <c r="AG126" s="5" t="s">
        <v>512</v>
      </c>
      <c r="AI126" s="5" t="s">
        <v>334</v>
      </c>
      <c r="AK126" s="5" t="s">
        <v>539</v>
      </c>
      <c r="AL126" s="5" t="s">
        <v>131</v>
      </c>
    </row>
    <row r="127" ht="16.5" customHeight="1">
      <c r="A127" s="5" t="s">
        <v>60</v>
      </c>
      <c r="B127" s="1" t="b">
        <v>1</v>
      </c>
      <c r="C127" s="1" t="s">
        <v>694</v>
      </c>
      <c r="D127" s="1" t="s">
        <v>695</v>
      </c>
      <c r="E127" s="1" t="s">
        <v>65</v>
      </c>
      <c r="F127" s="1" t="s">
        <v>109</v>
      </c>
      <c r="G127" s="1" t="s">
        <v>334</v>
      </c>
      <c r="H127" s="1" t="s">
        <v>96</v>
      </c>
      <c r="I127" s="1" t="s">
        <v>70</v>
      </c>
      <c r="J127" s="1"/>
      <c r="K127" s="1" t="b">
        <v>0</v>
      </c>
      <c r="L127" s="1" t="b">
        <v>0</v>
      </c>
      <c r="M127" s="19">
        <v>500.0</v>
      </c>
      <c r="N127" s="20">
        <v>2.1</v>
      </c>
      <c r="O127" s="20">
        <v>238.1</v>
      </c>
      <c r="P127" s="21"/>
      <c r="Q127" s="1" t="s">
        <v>117</v>
      </c>
      <c r="R127" s="1" t="s">
        <v>386</v>
      </c>
      <c r="S127" s="1" t="s">
        <v>81</v>
      </c>
      <c r="T127" s="1" t="s">
        <v>81</v>
      </c>
      <c r="U127" s="1" t="s">
        <v>693</v>
      </c>
      <c r="V127" s="1" t="s">
        <v>386</v>
      </c>
      <c r="W127" s="22" t="s">
        <v>202</v>
      </c>
      <c r="X127" s="20">
        <v>170.11</v>
      </c>
      <c r="Y127" s="1" t="s">
        <v>0</v>
      </c>
      <c r="Z127" s="1" t="s">
        <v>0</v>
      </c>
      <c r="AA127" s="23" t="s">
        <v>101</v>
      </c>
      <c r="AB127" s="1">
        <v>800.0</v>
      </c>
      <c r="AC127" s="1">
        <v>500.0</v>
      </c>
      <c r="AD127" s="1" t="s">
        <v>694</v>
      </c>
      <c r="AE127" s="1">
        <v>1.0</v>
      </c>
      <c r="AF127" s="5" t="s">
        <v>86</v>
      </c>
      <c r="AG127" s="5" t="s">
        <v>512</v>
      </c>
      <c r="AI127" s="5" t="s">
        <v>334</v>
      </c>
      <c r="AJ127" s="5" t="s">
        <v>348</v>
      </c>
      <c r="AK127" s="5" t="s">
        <v>539</v>
      </c>
      <c r="AL127" s="5" t="s">
        <v>131</v>
      </c>
    </row>
    <row r="128" ht="16.5" customHeight="1">
      <c r="A128" s="5" t="s">
        <v>60</v>
      </c>
      <c r="B128" s="1" t="b">
        <v>1</v>
      </c>
      <c r="C128" s="1" t="s">
        <v>700</v>
      </c>
      <c r="D128" s="1" t="s">
        <v>701</v>
      </c>
      <c r="E128" s="1" t="s">
        <v>65</v>
      </c>
      <c r="F128" s="1" t="s">
        <v>109</v>
      </c>
      <c r="G128" s="1" t="s">
        <v>334</v>
      </c>
      <c r="H128" s="1" t="s">
        <v>96</v>
      </c>
      <c r="I128" s="1" t="s">
        <v>107</v>
      </c>
      <c r="J128" s="1"/>
      <c r="K128" s="1" t="b">
        <v>0</v>
      </c>
      <c r="L128" s="1" t="b">
        <v>0</v>
      </c>
      <c r="M128" s="19">
        <v>500.0</v>
      </c>
      <c r="N128" s="20">
        <v>2.1</v>
      </c>
      <c r="O128" s="20">
        <v>238.1</v>
      </c>
      <c r="P128" s="21"/>
      <c r="Q128" s="1" t="s">
        <v>117</v>
      </c>
      <c r="R128" s="1" t="s">
        <v>386</v>
      </c>
      <c r="S128" s="1" t="s">
        <v>81</v>
      </c>
      <c r="T128" s="1" t="s">
        <v>81</v>
      </c>
      <c r="U128" s="1" t="s">
        <v>693</v>
      </c>
      <c r="V128" s="1" t="s">
        <v>386</v>
      </c>
      <c r="W128" s="22" t="s">
        <v>202</v>
      </c>
      <c r="X128" s="20">
        <v>150.37</v>
      </c>
      <c r="Y128" s="1" t="s">
        <v>0</v>
      </c>
      <c r="Z128" s="1" t="s">
        <v>0</v>
      </c>
      <c r="AA128" s="23" t="s">
        <v>101</v>
      </c>
      <c r="AB128" s="1">
        <v>800.0</v>
      </c>
      <c r="AC128" s="1">
        <v>500.0</v>
      </c>
      <c r="AD128" s="1" t="s">
        <v>700</v>
      </c>
      <c r="AE128" s="1">
        <v>1.0</v>
      </c>
      <c r="AF128" s="5" t="s">
        <v>86</v>
      </c>
      <c r="AG128" s="5" t="s">
        <v>512</v>
      </c>
      <c r="AI128" s="5" t="s">
        <v>334</v>
      </c>
      <c r="AJ128" s="5" t="s">
        <v>348</v>
      </c>
      <c r="AK128" s="5" t="s">
        <v>539</v>
      </c>
      <c r="AL128" s="5" t="s">
        <v>131</v>
      </c>
    </row>
    <row r="129" ht="16.5" customHeight="1">
      <c r="A129" s="5" t="s">
        <v>60</v>
      </c>
      <c r="B129" s="1" t="b">
        <v>1</v>
      </c>
      <c r="C129" s="1" t="s">
        <v>702</v>
      </c>
      <c r="D129" s="1" t="s">
        <v>703</v>
      </c>
      <c r="E129" s="1" t="s">
        <v>65</v>
      </c>
      <c r="F129" s="1" t="s">
        <v>109</v>
      </c>
      <c r="G129" s="1" t="s">
        <v>334</v>
      </c>
      <c r="H129" s="1" t="s">
        <v>96</v>
      </c>
      <c r="I129" s="1" t="s">
        <v>70</v>
      </c>
      <c r="J129" s="1"/>
      <c r="K129" s="1" t="b">
        <v>1</v>
      </c>
      <c r="L129" s="1" t="b">
        <v>0</v>
      </c>
      <c r="M129" s="19">
        <v>1500.0</v>
      </c>
      <c r="N129" s="20">
        <v>2.1</v>
      </c>
      <c r="O129" s="20">
        <v>714.29</v>
      </c>
      <c r="P129" s="21"/>
      <c r="Q129" s="1" t="s">
        <v>117</v>
      </c>
      <c r="R129" s="1" t="s">
        <v>386</v>
      </c>
      <c r="S129" s="1" t="s">
        <v>81</v>
      </c>
      <c r="T129" s="1" t="s">
        <v>81</v>
      </c>
      <c r="U129" s="1" t="s">
        <v>693</v>
      </c>
      <c r="V129" s="1" t="s">
        <v>386</v>
      </c>
      <c r="W129" s="22" t="s">
        <v>82</v>
      </c>
      <c r="X129" s="20">
        <v>336.12</v>
      </c>
      <c r="Y129" s="1" t="s">
        <v>0</v>
      </c>
      <c r="Z129" s="1" t="s">
        <v>0</v>
      </c>
      <c r="AA129" s="23" t="s">
        <v>101</v>
      </c>
      <c r="AB129" s="1">
        <v>800.0</v>
      </c>
      <c r="AC129" s="1">
        <v>100.0</v>
      </c>
      <c r="AD129" s="1" t="s">
        <v>702</v>
      </c>
      <c r="AE129" s="1">
        <v>1.0</v>
      </c>
      <c r="AF129" s="5" t="s">
        <v>86</v>
      </c>
      <c r="AG129" s="5" t="s">
        <v>512</v>
      </c>
      <c r="AI129" s="5" t="s">
        <v>334</v>
      </c>
      <c r="AJ129" s="5" t="s">
        <v>161</v>
      </c>
      <c r="AK129" s="5" t="s">
        <v>616</v>
      </c>
      <c r="AL129" s="5" t="s">
        <v>131</v>
      </c>
    </row>
    <row r="130" ht="16.5" customHeight="1">
      <c r="A130" s="5" t="s">
        <v>60</v>
      </c>
      <c r="B130" s="1" t="b">
        <v>1</v>
      </c>
      <c r="C130" s="1" t="s">
        <v>708</v>
      </c>
      <c r="D130" s="1" t="s">
        <v>710</v>
      </c>
      <c r="E130" s="1" t="s">
        <v>65</v>
      </c>
      <c r="F130" s="1" t="s">
        <v>109</v>
      </c>
      <c r="G130" s="1" t="s">
        <v>334</v>
      </c>
      <c r="H130" s="1" t="s">
        <v>96</v>
      </c>
      <c r="I130" s="1" t="s">
        <v>107</v>
      </c>
      <c r="J130" s="1"/>
      <c r="K130" s="1" t="b">
        <v>1</v>
      </c>
      <c r="L130" s="1" t="b">
        <v>0</v>
      </c>
      <c r="M130" s="19">
        <v>1500.0</v>
      </c>
      <c r="N130" s="20">
        <v>2.1</v>
      </c>
      <c r="O130" s="20">
        <v>714.29</v>
      </c>
      <c r="P130" s="21"/>
      <c r="Q130" s="1" t="s">
        <v>117</v>
      </c>
      <c r="R130" s="1" t="s">
        <v>386</v>
      </c>
      <c r="S130" s="1" t="s">
        <v>81</v>
      </c>
      <c r="T130" s="1" t="s">
        <v>81</v>
      </c>
      <c r="U130" s="1" t="s">
        <v>693</v>
      </c>
      <c r="V130" s="1" t="s">
        <v>386</v>
      </c>
      <c r="W130" s="22" t="s">
        <v>82</v>
      </c>
      <c r="X130" s="20">
        <v>298.21000000000004</v>
      </c>
      <c r="Y130" s="1" t="s">
        <v>0</v>
      </c>
      <c r="Z130" s="1" t="s">
        <v>0</v>
      </c>
      <c r="AA130" s="23" t="s">
        <v>101</v>
      </c>
      <c r="AB130" s="1">
        <v>800.0</v>
      </c>
      <c r="AC130" s="1">
        <v>100.0</v>
      </c>
      <c r="AD130" s="1" t="s">
        <v>708</v>
      </c>
      <c r="AE130" s="1">
        <v>1.0</v>
      </c>
      <c r="AF130" s="5" t="s">
        <v>86</v>
      </c>
      <c r="AG130" s="5" t="s">
        <v>512</v>
      </c>
      <c r="AI130" s="5" t="s">
        <v>334</v>
      </c>
      <c r="AJ130" s="5" t="s">
        <v>161</v>
      </c>
      <c r="AK130" s="5" t="s">
        <v>616</v>
      </c>
      <c r="AL130" s="5" t="s">
        <v>131</v>
      </c>
    </row>
    <row r="131" ht="16.5" customHeight="1">
      <c r="A131" s="5" t="s">
        <v>60</v>
      </c>
      <c r="B131" s="1" t="b">
        <v>1</v>
      </c>
      <c r="C131" s="1" t="s">
        <v>715</v>
      </c>
      <c r="D131" s="1" t="s">
        <v>716</v>
      </c>
      <c r="E131" s="1" t="s">
        <v>65</v>
      </c>
      <c r="F131" s="1" t="s">
        <v>66</v>
      </c>
      <c r="G131" s="1" t="s">
        <v>355</v>
      </c>
      <c r="H131" s="1" t="s">
        <v>69</v>
      </c>
      <c r="I131" s="1" t="s">
        <v>70</v>
      </c>
      <c r="J131" s="1"/>
      <c r="K131" s="1" t="b">
        <v>1</v>
      </c>
      <c r="L131" s="1" t="b">
        <v>0</v>
      </c>
      <c r="M131" s="19">
        <v>2500.0</v>
      </c>
      <c r="N131" s="20">
        <v>2.1</v>
      </c>
      <c r="O131" s="20">
        <v>1190.48</v>
      </c>
      <c r="P131" s="21"/>
      <c r="Q131" s="1" t="s">
        <v>117</v>
      </c>
      <c r="R131" s="1" t="s">
        <v>145</v>
      </c>
      <c r="S131" s="1" t="s">
        <v>198</v>
      </c>
      <c r="T131" s="1" t="s">
        <v>81</v>
      </c>
      <c r="U131" s="1" t="s">
        <v>0</v>
      </c>
      <c r="V131" s="1" t="s">
        <v>0</v>
      </c>
      <c r="W131" s="22" t="s">
        <v>82</v>
      </c>
      <c r="X131" s="20">
        <v>454.82000000000005</v>
      </c>
      <c r="Y131" s="1" t="s">
        <v>0</v>
      </c>
      <c r="Z131" s="1" t="s">
        <v>0</v>
      </c>
      <c r="AA131" s="23" t="s">
        <v>173</v>
      </c>
      <c r="AB131" s="1">
        <v>1000.0</v>
      </c>
      <c r="AC131" s="1">
        <v>300.0</v>
      </c>
      <c r="AD131" s="1" t="s">
        <v>715</v>
      </c>
      <c r="AE131" s="1">
        <v>4.0</v>
      </c>
      <c r="AF131" s="5" t="s">
        <v>125</v>
      </c>
      <c r="AG131" s="5" t="s">
        <v>127</v>
      </c>
      <c r="AH131" s="5" t="s">
        <v>237</v>
      </c>
      <c r="AI131" s="5" t="s">
        <v>355</v>
      </c>
      <c r="AJ131" s="5" t="s">
        <v>161</v>
      </c>
      <c r="AK131" s="5" t="s">
        <v>367</v>
      </c>
      <c r="AL131" s="5" t="s">
        <v>131</v>
      </c>
    </row>
    <row r="132" ht="16.5" customHeight="1">
      <c r="A132" s="5" t="s">
        <v>60</v>
      </c>
      <c r="B132" s="1" t="b">
        <v>1</v>
      </c>
      <c r="C132" s="1" t="s">
        <v>724</v>
      </c>
      <c r="D132" s="1" t="s">
        <v>725</v>
      </c>
      <c r="E132" s="1" t="s">
        <v>65</v>
      </c>
      <c r="F132" s="1" t="s">
        <v>66</v>
      </c>
      <c r="G132" s="1" t="s">
        <v>355</v>
      </c>
      <c r="H132" s="1" t="s">
        <v>69</v>
      </c>
      <c r="I132" s="1" t="s">
        <v>107</v>
      </c>
      <c r="J132" s="1"/>
      <c r="K132" s="1" t="b">
        <v>1</v>
      </c>
      <c r="L132" s="1" t="b">
        <v>0</v>
      </c>
      <c r="M132" s="19">
        <v>2500.0</v>
      </c>
      <c r="N132" s="20">
        <v>2.1</v>
      </c>
      <c r="O132" s="20">
        <v>1190.48</v>
      </c>
      <c r="P132" s="21"/>
      <c r="Q132" s="1" t="s">
        <v>117</v>
      </c>
      <c r="R132" s="1" t="s">
        <v>145</v>
      </c>
      <c r="S132" s="1" t="s">
        <v>198</v>
      </c>
      <c r="T132" s="1" t="s">
        <v>81</v>
      </c>
      <c r="U132" s="1" t="s">
        <v>0</v>
      </c>
      <c r="V132" s="1" t="s">
        <v>0</v>
      </c>
      <c r="W132" s="22" t="s">
        <v>82</v>
      </c>
      <c r="X132" s="20">
        <v>420.77000000000004</v>
      </c>
      <c r="Y132" s="1" t="s">
        <v>0</v>
      </c>
      <c r="Z132" s="1" t="s">
        <v>0</v>
      </c>
      <c r="AA132" s="23" t="s">
        <v>173</v>
      </c>
      <c r="AB132" s="1">
        <v>1000.0</v>
      </c>
      <c r="AC132" s="1">
        <v>300.0</v>
      </c>
      <c r="AD132" s="1" t="s">
        <v>724</v>
      </c>
      <c r="AE132" s="1">
        <v>4.0</v>
      </c>
      <c r="AF132" s="5" t="s">
        <v>125</v>
      </c>
      <c r="AG132" s="5" t="s">
        <v>127</v>
      </c>
      <c r="AH132" s="5" t="s">
        <v>237</v>
      </c>
      <c r="AI132" s="5" t="s">
        <v>355</v>
      </c>
      <c r="AJ132" s="5" t="s">
        <v>161</v>
      </c>
      <c r="AK132" s="5" t="s">
        <v>367</v>
      </c>
      <c r="AL132" s="5" t="s">
        <v>131</v>
      </c>
    </row>
    <row r="133" ht="16.5" customHeight="1">
      <c r="A133" s="5" t="s">
        <v>60</v>
      </c>
      <c r="B133" s="1" t="b">
        <v>1</v>
      </c>
      <c r="C133" s="1" t="s">
        <v>726</v>
      </c>
      <c r="D133" s="1" t="s">
        <v>727</v>
      </c>
      <c r="E133" s="1" t="s">
        <v>65</v>
      </c>
      <c r="F133" s="1" t="s">
        <v>220</v>
      </c>
      <c r="G133" s="1" t="s">
        <v>270</v>
      </c>
      <c r="H133" s="1" t="s">
        <v>69</v>
      </c>
      <c r="I133" s="1" t="s">
        <v>70</v>
      </c>
      <c r="J133" s="1"/>
      <c r="K133" s="1" t="b">
        <v>1</v>
      </c>
      <c r="L133" s="1" t="b">
        <v>0</v>
      </c>
      <c r="M133" s="19">
        <v>2200.0</v>
      </c>
      <c r="N133" s="20">
        <v>2.1</v>
      </c>
      <c r="O133" s="20">
        <v>1047.62</v>
      </c>
      <c r="P133" s="21"/>
      <c r="Q133" s="1" t="s">
        <v>117</v>
      </c>
      <c r="R133" s="1" t="s">
        <v>613</v>
      </c>
      <c r="S133" s="1" t="s">
        <v>81</v>
      </c>
      <c r="T133" s="1" t="s">
        <v>81</v>
      </c>
      <c r="U133" s="1" t="s">
        <v>728</v>
      </c>
      <c r="V133" s="1" t="s">
        <v>0</v>
      </c>
      <c r="W133" s="22" t="s">
        <v>82</v>
      </c>
      <c r="X133" s="20">
        <v>447.40999999999997</v>
      </c>
      <c r="Y133" s="1" t="s">
        <v>0</v>
      </c>
      <c r="Z133" s="1" t="s">
        <v>0</v>
      </c>
      <c r="AA133" s="23" t="s">
        <v>173</v>
      </c>
      <c r="AB133" s="1">
        <v>1000.0</v>
      </c>
      <c r="AC133" s="1">
        <v>300.0</v>
      </c>
      <c r="AD133" s="1" t="s">
        <v>726</v>
      </c>
      <c r="AE133" s="1">
        <v>2.0</v>
      </c>
      <c r="AF133" s="5" t="s">
        <v>226</v>
      </c>
      <c r="AG133" s="5" t="s">
        <v>729</v>
      </c>
      <c r="AH133" s="5" t="s">
        <v>730</v>
      </c>
      <c r="AI133" s="5" t="s">
        <v>276</v>
      </c>
      <c r="AJ133" s="5" t="s">
        <v>89</v>
      </c>
      <c r="AK133" s="5" t="s">
        <v>501</v>
      </c>
      <c r="AL133" s="5" t="s">
        <v>131</v>
      </c>
    </row>
    <row r="134" ht="16.5" customHeight="1">
      <c r="A134" s="5" t="s">
        <v>60</v>
      </c>
      <c r="B134" s="1" t="b">
        <v>1</v>
      </c>
      <c r="C134" s="1" t="s">
        <v>732</v>
      </c>
      <c r="D134" s="1" t="s">
        <v>733</v>
      </c>
      <c r="E134" s="1" t="s">
        <v>65</v>
      </c>
      <c r="F134" s="1" t="s">
        <v>220</v>
      </c>
      <c r="G134" s="1" t="s">
        <v>270</v>
      </c>
      <c r="H134" s="1" t="s">
        <v>69</v>
      </c>
      <c r="I134" s="1" t="s">
        <v>107</v>
      </c>
      <c r="J134" s="1"/>
      <c r="K134" s="1" t="b">
        <v>1</v>
      </c>
      <c r="L134" s="1" t="b">
        <v>0</v>
      </c>
      <c r="M134" s="19">
        <v>2200.0</v>
      </c>
      <c r="N134" s="20">
        <v>2.1</v>
      </c>
      <c r="O134" s="20">
        <v>1047.62</v>
      </c>
      <c r="P134" s="21"/>
      <c r="Q134" s="1" t="s">
        <v>117</v>
      </c>
      <c r="R134" s="1" t="s">
        <v>613</v>
      </c>
      <c r="S134" s="1" t="s">
        <v>81</v>
      </c>
      <c r="T134" s="1" t="s">
        <v>81</v>
      </c>
      <c r="U134" s="1" t="s">
        <v>728</v>
      </c>
      <c r="V134" s="1" t="s">
        <v>0</v>
      </c>
      <c r="W134" s="22" t="s">
        <v>82</v>
      </c>
      <c r="X134" s="20">
        <v>397.96</v>
      </c>
      <c r="Y134" s="1" t="s">
        <v>0</v>
      </c>
      <c r="Z134" s="1" t="s">
        <v>0</v>
      </c>
      <c r="AA134" s="23" t="s">
        <v>173</v>
      </c>
      <c r="AB134" s="1">
        <v>1000.0</v>
      </c>
      <c r="AC134" s="1">
        <v>300.0</v>
      </c>
      <c r="AD134" s="1" t="s">
        <v>732</v>
      </c>
      <c r="AE134" s="1">
        <v>2.0</v>
      </c>
      <c r="AF134" s="5" t="s">
        <v>226</v>
      </c>
      <c r="AG134" s="5" t="s">
        <v>729</v>
      </c>
      <c r="AH134" s="5" t="s">
        <v>730</v>
      </c>
      <c r="AI134" s="5" t="s">
        <v>276</v>
      </c>
      <c r="AJ134" s="5" t="s">
        <v>89</v>
      </c>
      <c r="AK134" s="5" t="s">
        <v>501</v>
      </c>
      <c r="AL134" s="5" t="s">
        <v>131</v>
      </c>
    </row>
    <row r="135" ht="16.5" customHeight="1">
      <c r="A135" s="5" t="s">
        <v>60</v>
      </c>
      <c r="B135" s="1" t="b">
        <v>1</v>
      </c>
      <c r="C135" s="1" t="s">
        <v>736</v>
      </c>
      <c r="D135" s="1" t="s">
        <v>737</v>
      </c>
      <c r="E135" s="1" t="s">
        <v>65</v>
      </c>
      <c r="F135" s="1" t="s">
        <v>66</v>
      </c>
      <c r="G135" s="1" t="s">
        <v>68</v>
      </c>
      <c r="H135" s="1" t="s">
        <v>69</v>
      </c>
      <c r="I135" s="1" t="s">
        <v>70</v>
      </c>
      <c r="J135" s="1"/>
      <c r="K135" s="1" t="b">
        <v>0</v>
      </c>
      <c r="L135" s="1" t="b">
        <v>0</v>
      </c>
      <c r="M135" s="19">
        <v>1300.0</v>
      </c>
      <c r="N135" s="20">
        <v>2.1</v>
      </c>
      <c r="O135" s="20">
        <v>619.05</v>
      </c>
      <c r="P135" s="21"/>
      <c r="Q135" s="1" t="s">
        <v>117</v>
      </c>
      <c r="R135" s="1" t="s">
        <v>145</v>
      </c>
      <c r="S135" s="1" t="s">
        <v>81</v>
      </c>
      <c r="T135" s="1" t="s">
        <v>81</v>
      </c>
      <c r="U135" s="1" t="s">
        <v>0</v>
      </c>
      <c r="V135" s="1" t="s">
        <v>0</v>
      </c>
      <c r="W135" s="22" t="s">
        <v>202</v>
      </c>
      <c r="X135" s="20">
        <v>222.73000000000002</v>
      </c>
      <c r="Y135" s="1" t="s">
        <v>0</v>
      </c>
      <c r="Z135" s="1" t="s">
        <v>0</v>
      </c>
      <c r="AA135" s="23" t="s">
        <v>85</v>
      </c>
      <c r="AB135" s="1">
        <v>1000.0</v>
      </c>
      <c r="AC135" s="1">
        <v>300.0</v>
      </c>
      <c r="AD135" s="1" t="s">
        <v>736</v>
      </c>
      <c r="AE135" s="1">
        <v>4.0</v>
      </c>
      <c r="AF135" s="5" t="s">
        <v>86</v>
      </c>
      <c r="AG135" s="5" t="s">
        <v>87</v>
      </c>
      <c r="AH135" s="32" t="s">
        <v>379</v>
      </c>
      <c r="AI135" s="5" t="s">
        <v>126</v>
      </c>
      <c r="AJ135" s="5" t="s">
        <v>161</v>
      </c>
      <c r="AK135" s="5" t="s">
        <v>616</v>
      </c>
      <c r="AL135" s="5" t="s">
        <v>131</v>
      </c>
    </row>
    <row r="136" ht="16.5" customHeight="1">
      <c r="A136" s="5" t="s">
        <v>60</v>
      </c>
      <c r="B136" s="1" t="b">
        <v>1</v>
      </c>
      <c r="C136" s="1" t="s">
        <v>739</v>
      </c>
      <c r="D136" s="1" t="s">
        <v>740</v>
      </c>
      <c r="E136" s="1" t="s">
        <v>65</v>
      </c>
      <c r="F136" s="1" t="s">
        <v>66</v>
      </c>
      <c r="G136" s="1" t="s">
        <v>68</v>
      </c>
      <c r="H136" s="1" t="s">
        <v>69</v>
      </c>
      <c r="I136" s="1" t="s">
        <v>107</v>
      </c>
      <c r="J136" s="1"/>
      <c r="K136" s="1" t="b">
        <v>0</v>
      </c>
      <c r="L136" s="1" t="b">
        <v>0</v>
      </c>
      <c r="M136" s="19">
        <v>1300.0</v>
      </c>
      <c r="N136" s="20">
        <v>2.1</v>
      </c>
      <c r="O136" s="20">
        <v>619.05</v>
      </c>
      <c r="P136" s="21"/>
      <c r="Q136" s="1" t="s">
        <v>117</v>
      </c>
      <c r="R136" s="1" t="s">
        <v>145</v>
      </c>
      <c r="S136" s="1" t="s">
        <v>81</v>
      </c>
      <c r="T136" s="1" t="s">
        <v>81</v>
      </c>
      <c r="U136" s="1" t="s">
        <v>0</v>
      </c>
      <c r="V136" s="1" t="s">
        <v>0</v>
      </c>
      <c r="W136" s="22" t="s">
        <v>202</v>
      </c>
      <c r="X136" s="20">
        <v>212.36</v>
      </c>
      <c r="Y136" s="1" t="s">
        <v>0</v>
      </c>
      <c r="Z136" s="1" t="s">
        <v>0</v>
      </c>
      <c r="AA136" s="23" t="s">
        <v>85</v>
      </c>
      <c r="AB136" s="1">
        <v>1000.0</v>
      </c>
      <c r="AC136" s="1">
        <v>300.0</v>
      </c>
      <c r="AD136" s="1" t="s">
        <v>739</v>
      </c>
      <c r="AE136" s="1">
        <v>4.0</v>
      </c>
      <c r="AF136" s="5" t="s">
        <v>86</v>
      </c>
      <c r="AG136" s="5" t="s">
        <v>87</v>
      </c>
      <c r="AH136" s="32" t="s">
        <v>379</v>
      </c>
      <c r="AI136" s="5" t="s">
        <v>126</v>
      </c>
      <c r="AJ136" s="5" t="s">
        <v>161</v>
      </c>
      <c r="AK136" s="5" t="s">
        <v>616</v>
      </c>
      <c r="AL136" s="5" t="s">
        <v>131</v>
      </c>
    </row>
    <row r="137" ht="16.5" customHeight="1">
      <c r="A137" s="5" t="s">
        <v>60</v>
      </c>
      <c r="B137" s="1" t="b">
        <v>1</v>
      </c>
      <c r="C137" s="1" t="s">
        <v>745</v>
      </c>
      <c r="D137" s="1" t="s">
        <v>747</v>
      </c>
      <c r="E137" s="1" t="s">
        <v>65</v>
      </c>
      <c r="F137" s="1" t="s">
        <v>66</v>
      </c>
      <c r="G137" s="1" t="s">
        <v>334</v>
      </c>
      <c r="H137" s="1" t="s">
        <v>69</v>
      </c>
      <c r="I137" s="1" t="s">
        <v>70</v>
      </c>
      <c r="J137" s="1"/>
      <c r="K137" s="1" t="b">
        <v>1</v>
      </c>
      <c r="L137" s="1" t="b">
        <v>0</v>
      </c>
      <c r="M137" s="19">
        <v>450.0</v>
      </c>
      <c r="N137" s="20">
        <v>2.1</v>
      </c>
      <c r="O137" s="20">
        <v>214.29</v>
      </c>
      <c r="P137" s="21"/>
      <c r="Q137" s="1" t="s">
        <v>117</v>
      </c>
      <c r="R137" s="1" t="s">
        <v>79</v>
      </c>
      <c r="S137" s="1" t="s">
        <v>81</v>
      </c>
      <c r="T137" s="1" t="s">
        <v>81</v>
      </c>
      <c r="U137" s="1" t="s">
        <v>0</v>
      </c>
      <c r="V137" s="1" t="s">
        <v>0</v>
      </c>
      <c r="W137" s="22" t="s">
        <v>82</v>
      </c>
      <c r="X137" s="20">
        <v>82.01</v>
      </c>
      <c r="Y137" s="1" t="s">
        <v>0</v>
      </c>
      <c r="Z137" s="1" t="s">
        <v>0</v>
      </c>
      <c r="AA137" s="23" t="s">
        <v>173</v>
      </c>
      <c r="AB137" s="1">
        <v>800.0</v>
      </c>
      <c r="AC137" s="1">
        <v>500.0</v>
      </c>
      <c r="AD137" s="1" t="s">
        <v>745</v>
      </c>
      <c r="AE137" s="1">
        <v>7.0</v>
      </c>
      <c r="AF137" s="5" t="s">
        <v>125</v>
      </c>
      <c r="AG137" s="5" t="s">
        <v>174</v>
      </c>
      <c r="AH137" s="5" t="s">
        <v>237</v>
      </c>
      <c r="AI137" s="5" t="s">
        <v>334</v>
      </c>
      <c r="AJ137" s="5" t="s">
        <v>348</v>
      </c>
      <c r="AK137" s="5" t="s">
        <v>338</v>
      </c>
      <c r="AL137" s="5" t="s">
        <v>131</v>
      </c>
    </row>
    <row r="138" ht="16.5" customHeight="1">
      <c r="A138" s="5" t="s">
        <v>60</v>
      </c>
      <c r="B138" s="1" t="b">
        <v>1</v>
      </c>
      <c r="C138" s="1" t="s">
        <v>748</v>
      </c>
      <c r="D138" s="1" t="s">
        <v>749</v>
      </c>
      <c r="E138" s="1" t="s">
        <v>65</v>
      </c>
      <c r="F138" s="1" t="s">
        <v>66</v>
      </c>
      <c r="G138" s="1" t="s">
        <v>334</v>
      </c>
      <c r="H138" s="1" t="s">
        <v>69</v>
      </c>
      <c r="I138" s="1" t="s">
        <v>107</v>
      </c>
      <c r="J138" s="1"/>
      <c r="K138" s="1" t="b">
        <v>1</v>
      </c>
      <c r="L138" s="1" t="b">
        <v>0</v>
      </c>
      <c r="M138" s="19">
        <v>450.0</v>
      </c>
      <c r="N138" s="20">
        <v>2.1</v>
      </c>
      <c r="O138" s="20">
        <v>214.29</v>
      </c>
      <c r="P138" s="21"/>
      <c r="Q138" s="1" t="s">
        <v>117</v>
      </c>
      <c r="R138" s="1" t="s">
        <v>79</v>
      </c>
      <c r="S138" s="1" t="s">
        <v>81</v>
      </c>
      <c r="T138" s="1" t="s">
        <v>81</v>
      </c>
      <c r="U138" s="1" t="s">
        <v>0</v>
      </c>
      <c r="V138" s="1" t="s">
        <v>0</v>
      </c>
      <c r="W138" s="22" t="s">
        <v>82</v>
      </c>
      <c r="X138" s="20">
        <v>77.66</v>
      </c>
      <c r="Y138" s="1" t="s">
        <v>0</v>
      </c>
      <c r="Z138" s="1" t="s">
        <v>0</v>
      </c>
      <c r="AA138" s="23" t="s">
        <v>173</v>
      </c>
      <c r="AB138" s="1">
        <v>800.0</v>
      </c>
      <c r="AC138" s="1">
        <v>500.0</v>
      </c>
      <c r="AD138" s="1" t="s">
        <v>748</v>
      </c>
      <c r="AE138" s="1">
        <v>6.0</v>
      </c>
      <c r="AF138" s="5" t="s">
        <v>125</v>
      </c>
      <c r="AG138" s="5" t="s">
        <v>174</v>
      </c>
      <c r="AH138" s="5" t="s">
        <v>237</v>
      </c>
      <c r="AI138" s="5" t="s">
        <v>334</v>
      </c>
      <c r="AJ138" s="5" t="s">
        <v>348</v>
      </c>
      <c r="AK138" s="5" t="s">
        <v>338</v>
      </c>
      <c r="AL138" s="5" t="s">
        <v>131</v>
      </c>
    </row>
    <row r="139" ht="16.5" customHeight="1">
      <c r="A139" s="5" t="s">
        <v>60</v>
      </c>
      <c r="B139" s="1" t="b">
        <v>1</v>
      </c>
      <c r="C139" s="1" t="s">
        <v>753</v>
      </c>
      <c r="D139" s="1" t="s">
        <v>754</v>
      </c>
      <c r="E139" s="1" t="s">
        <v>65</v>
      </c>
      <c r="F139" s="1" t="s">
        <v>66</v>
      </c>
      <c r="G139" s="1" t="s">
        <v>334</v>
      </c>
      <c r="H139" s="1" t="s">
        <v>69</v>
      </c>
      <c r="I139" s="1" t="s">
        <v>70</v>
      </c>
      <c r="J139" s="1"/>
      <c r="K139" s="1" t="b">
        <v>1</v>
      </c>
      <c r="L139" s="1" t="b">
        <v>0</v>
      </c>
      <c r="M139" s="19">
        <v>400.0</v>
      </c>
      <c r="N139" s="20">
        <v>2.1</v>
      </c>
      <c r="O139" s="20">
        <v>190.48</v>
      </c>
      <c r="P139" s="21"/>
      <c r="Q139" s="1" t="s">
        <v>78</v>
      </c>
      <c r="R139" s="1" t="s">
        <v>79</v>
      </c>
      <c r="S139" s="1" t="s">
        <v>81</v>
      </c>
      <c r="T139" s="1" t="s">
        <v>81</v>
      </c>
      <c r="U139" s="1" t="s">
        <v>0</v>
      </c>
      <c r="V139" s="1" t="s">
        <v>0</v>
      </c>
      <c r="W139" s="22" t="s">
        <v>82</v>
      </c>
      <c r="X139" s="20">
        <v>70.39</v>
      </c>
      <c r="Y139" s="1" t="s">
        <v>0</v>
      </c>
      <c r="Z139" s="1" t="s">
        <v>0</v>
      </c>
      <c r="AA139" s="23" t="s">
        <v>85</v>
      </c>
      <c r="AB139" s="1">
        <v>800.0</v>
      </c>
      <c r="AC139" s="1">
        <v>500.0</v>
      </c>
      <c r="AD139" s="1" t="s">
        <v>753</v>
      </c>
      <c r="AE139" s="1">
        <v>6.0</v>
      </c>
      <c r="AF139" s="5" t="s">
        <v>125</v>
      </c>
      <c r="AG139" s="5" t="s">
        <v>174</v>
      </c>
      <c r="AH139" s="5" t="s">
        <v>237</v>
      </c>
      <c r="AI139" s="5" t="s">
        <v>334</v>
      </c>
      <c r="AJ139" s="5" t="s">
        <v>348</v>
      </c>
      <c r="AK139" s="5" t="s">
        <v>338</v>
      </c>
      <c r="AL139" s="5" t="s">
        <v>131</v>
      </c>
    </row>
    <row r="140" ht="16.5" customHeight="1">
      <c r="A140" s="5" t="s">
        <v>60</v>
      </c>
      <c r="B140" s="1" t="b">
        <v>1</v>
      </c>
      <c r="C140" s="1" t="s">
        <v>757</v>
      </c>
      <c r="D140" s="1" t="s">
        <v>758</v>
      </c>
      <c r="E140" s="1" t="s">
        <v>65</v>
      </c>
      <c r="F140" s="1" t="s">
        <v>66</v>
      </c>
      <c r="G140" s="1" t="s">
        <v>334</v>
      </c>
      <c r="H140" s="1" t="s">
        <v>69</v>
      </c>
      <c r="I140" s="1" t="s">
        <v>107</v>
      </c>
      <c r="J140" s="1"/>
      <c r="K140" s="1" t="b">
        <v>1</v>
      </c>
      <c r="L140" s="1" t="b">
        <v>0</v>
      </c>
      <c r="M140" s="19">
        <v>400.0</v>
      </c>
      <c r="N140" s="20">
        <v>2.1</v>
      </c>
      <c r="O140" s="20">
        <v>190.48</v>
      </c>
      <c r="P140" s="21"/>
      <c r="Q140" s="1" t="s">
        <v>78</v>
      </c>
      <c r="R140" s="1" t="s">
        <v>79</v>
      </c>
      <c r="S140" s="1" t="s">
        <v>81</v>
      </c>
      <c r="T140" s="1" t="s">
        <v>81</v>
      </c>
      <c r="U140" s="1" t="s">
        <v>0</v>
      </c>
      <c r="V140" s="1" t="s">
        <v>0</v>
      </c>
      <c r="W140" s="22" t="s">
        <v>82</v>
      </c>
      <c r="X140" s="20">
        <v>67.36</v>
      </c>
      <c r="Y140" s="1" t="s">
        <v>0</v>
      </c>
      <c r="Z140" s="1" t="s">
        <v>0</v>
      </c>
      <c r="AA140" s="23" t="s">
        <v>85</v>
      </c>
      <c r="AB140" s="1">
        <v>800.0</v>
      </c>
      <c r="AC140" s="1">
        <v>500.0</v>
      </c>
      <c r="AD140" s="1" t="s">
        <v>757</v>
      </c>
      <c r="AE140" s="1">
        <v>6.0</v>
      </c>
      <c r="AF140" s="5" t="s">
        <v>125</v>
      </c>
      <c r="AG140" s="5" t="s">
        <v>174</v>
      </c>
      <c r="AH140" s="5" t="s">
        <v>237</v>
      </c>
      <c r="AI140" s="5" t="s">
        <v>334</v>
      </c>
      <c r="AJ140" s="5" t="s">
        <v>348</v>
      </c>
      <c r="AK140" s="5" t="s">
        <v>338</v>
      </c>
      <c r="AL140" s="5" t="s">
        <v>131</v>
      </c>
    </row>
    <row r="141" ht="16.5" customHeight="1">
      <c r="A141" s="5" t="s">
        <v>60</v>
      </c>
      <c r="B141" s="1" t="b">
        <v>1</v>
      </c>
      <c r="C141" s="1" t="s">
        <v>759</v>
      </c>
      <c r="D141" s="1" t="s">
        <v>760</v>
      </c>
      <c r="E141" s="1" t="s">
        <v>65</v>
      </c>
      <c r="F141" s="1" t="s">
        <v>66</v>
      </c>
      <c r="G141" s="1" t="s">
        <v>68</v>
      </c>
      <c r="H141" s="1" t="s">
        <v>69</v>
      </c>
      <c r="I141" s="1" t="s">
        <v>70</v>
      </c>
      <c r="J141" s="1"/>
      <c r="K141" s="1" t="b">
        <v>1</v>
      </c>
      <c r="L141" s="1" t="b">
        <v>0</v>
      </c>
      <c r="M141" s="19">
        <v>3000.0</v>
      </c>
      <c r="N141" s="20">
        <v>2.1</v>
      </c>
      <c r="O141" s="20">
        <v>1428.57</v>
      </c>
      <c r="P141" s="21"/>
      <c r="Q141" s="1" t="s">
        <v>117</v>
      </c>
      <c r="R141" s="1" t="s">
        <v>145</v>
      </c>
      <c r="S141" s="1" t="s">
        <v>166</v>
      </c>
      <c r="T141" s="1" t="s">
        <v>81</v>
      </c>
      <c r="U141" s="1" t="s">
        <v>0</v>
      </c>
      <c r="V141" s="1" t="s">
        <v>0</v>
      </c>
      <c r="W141" s="22" t="s">
        <v>82</v>
      </c>
      <c r="X141" s="20">
        <v>520.76</v>
      </c>
      <c r="Y141" s="1" t="s">
        <v>0</v>
      </c>
      <c r="Z141" s="1" t="s">
        <v>0</v>
      </c>
      <c r="AA141" s="23" t="s">
        <v>85</v>
      </c>
      <c r="AB141" s="1">
        <v>1000.0</v>
      </c>
      <c r="AC141" s="1">
        <v>300.0</v>
      </c>
      <c r="AD141" s="1" t="s">
        <v>759</v>
      </c>
      <c r="AE141" s="1">
        <v>4.0</v>
      </c>
      <c r="AF141" s="5" t="s">
        <v>86</v>
      </c>
      <c r="AG141" s="5" t="s">
        <v>121</v>
      </c>
      <c r="AH141" s="32" t="s">
        <v>761</v>
      </c>
      <c r="AI141" s="5" t="s">
        <v>68</v>
      </c>
      <c r="AJ141" s="5" t="s">
        <v>89</v>
      </c>
      <c r="AK141" s="5" t="s">
        <v>90</v>
      </c>
      <c r="AL141" s="5" t="s">
        <v>91</v>
      </c>
    </row>
    <row r="142" ht="16.5" customHeight="1">
      <c r="A142" s="5" t="s">
        <v>60</v>
      </c>
      <c r="B142" s="1" t="b">
        <v>1</v>
      </c>
      <c r="C142" s="1" t="s">
        <v>762</v>
      </c>
      <c r="D142" s="1" t="s">
        <v>763</v>
      </c>
      <c r="E142" s="1" t="s">
        <v>65</v>
      </c>
      <c r="F142" s="1" t="s">
        <v>66</v>
      </c>
      <c r="G142" s="1" t="s">
        <v>68</v>
      </c>
      <c r="H142" s="1" t="s">
        <v>96</v>
      </c>
      <c r="I142" s="1" t="s">
        <v>70</v>
      </c>
      <c r="J142" s="1"/>
      <c r="K142" s="1" t="b">
        <v>1</v>
      </c>
      <c r="L142" s="1" t="b">
        <v>0</v>
      </c>
      <c r="M142" s="19">
        <v>3000.0</v>
      </c>
      <c r="N142" s="20">
        <v>2.1</v>
      </c>
      <c r="O142" s="20">
        <v>1428.57</v>
      </c>
      <c r="P142" s="21"/>
      <c r="Q142" s="1" t="s">
        <v>117</v>
      </c>
      <c r="R142" s="1" t="s">
        <v>386</v>
      </c>
      <c r="S142" s="1" t="s">
        <v>166</v>
      </c>
      <c r="T142" s="1" t="s">
        <v>81</v>
      </c>
      <c r="U142" s="1" t="s">
        <v>764</v>
      </c>
      <c r="V142" s="1" t="s">
        <v>97</v>
      </c>
      <c r="W142" s="22" t="s">
        <v>82</v>
      </c>
      <c r="X142" s="20">
        <v>522.78</v>
      </c>
      <c r="Y142" s="1" t="s">
        <v>0</v>
      </c>
      <c r="Z142" s="1" t="s">
        <v>0</v>
      </c>
      <c r="AA142" s="23" t="s">
        <v>101</v>
      </c>
      <c r="AB142" s="1">
        <v>1000.0</v>
      </c>
      <c r="AC142" s="1">
        <v>300.0</v>
      </c>
      <c r="AD142" s="1" t="s">
        <v>762</v>
      </c>
      <c r="AE142" s="1">
        <v>4.0</v>
      </c>
      <c r="AF142" s="5" t="s">
        <v>86</v>
      </c>
      <c r="AG142" s="5" t="s">
        <v>121</v>
      </c>
      <c r="AH142" s="32" t="s">
        <v>761</v>
      </c>
      <c r="AI142" s="5" t="s">
        <v>68</v>
      </c>
      <c r="AJ142" s="5" t="s">
        <v>89</v>
      </c>
      <c r="AK142" s="5" t="s">
        <v>90</v>
      </c>
      <c r="AL142" s="5" t="s">
        <v>91</v>
      </c>
    </row>
    <row r="143" ht="16.5" customHeight="1">
      <c r="A143" s="5" t="s">
        <v>60</v>
      </c>
      <c r="B143" s="1" t="b">
        <v>1</v>
      </c>
      <c r="C143" s="1" t="s">
        <v>765</v>
      </c>
      <c r="D143" s="1" t="s">
        <v>766</v>
      </c>
      <c r="E143" s="1" t="s">
        <v>65</v>
      </c>
      <c r="F143" s="1" t="s">
        <v>66</v>
      </c>
      <c r="G143" s="1" t="s">
        <v>68</v>
      </c>
      <c r="H143" s="1" t="s">
        <v>69</v>
      </c>
      <c r="I143" s="1" t="s">
        <v>107</v>
      </c>
      <c r="J143" s="1"/>
      <c r="K143" s="1" t="b">
        <v>1</v>
      </c>
      <c r="L143" s="1" t="b">
        <v>0</v>
      </c>
      <c r="M143" s="19">
        <v>3000.0</v>
      </c>
      <c r="N143" s="20">
        <v>2.1</v>
      </c>
      <c r="O143" s="20">
        <v>1428.57</v>
      </c>
      <c r="P143" s="21"/>
      <c r="Q143" s="1" t="s">
        <v>117</v>
      </c>
      <c r="R143" s="1" t="s">
        <v>145</v>
      </c>
      <c r="S143" s="1" t="s">
        <v>166</v>
      </c>
      <c r="T143" s="1" t="s">
        <v>81</v>
      </c>
      <c r="U143" s="1" t="s">
        <v>0</v>
      </c>
      <c r="V143" s="1" t="s">
        <v>0</v>
      </c>
      <c r="W143" s="22" t="s">
        <v>82</v>
      </c>
      <c r="X143" s="20">
        <v>497.53000000000003</v>
      </c>
      <c r="Y143" s="1" t="s">
        <v>0</v>
      </c>
      <c r="Z143" s="1" t="s">
        <v>0</v>
      </c>
      <c r="AA143" s="23" t="s">
        <v>85</v>
      </c>
      <c r="AB143" s="1">
        <v>1000.0</v>
      </c>
      <c r="AC143" s="1">
        <v>300.0</v>
      </c>
      <c r="AD143" s="1" t="s">
        <v>765</v>
      </c>
      <c r="AE143" s="1">
        <v>4.0</v>
      </c>
      <c r="AF143" s="5" t="s">
        <v>86</v>
      </c>
      <c r="AG143" s="5" t="s">
        <v>121</v>
      </c>
      <c r="AH143" s="32" t="s">
        <v>761</v>
      </c>
      <c r="AI143" s="5" t="s">
        <v>68</v>
      </c>
      <c r="AJ143" s="5" t="s">
        <v>89</v>
      </c>
      <c r="AK143" s="5" t="s">
        <v>90</v>
      </c>
      <c r="AL143" s="5" t="s">
        <v>91</v>
      </c>
    </row>
    <row r="144" ht="16.5" customHeight="1">
      <c r="A144" s="5" t="s">
        <v>60</v>
      </c>
      <c r="B144" s="1" t="b">
        <v>1</v>
      </c>
      <c r="C144" s="1" t="s">
        <v>771</v>
      </c>
      <c r="D144" s="1" t="s">
        <v>772</v>
      </c>
      <c r="E144" s="1" t="s">
        <v>65</v>
      </c>
      <c r="F144" s="1" t="s">
        <v>66</v>
      </c>
      <c r="G144" s="1" t="s">
        <v>68</v>
      </c>
      <c r="H144" s="1" t="s">
        <v>69</v>
      </c>
      <c r="I144" s="1" t="s">
        <v>70</v>
      </c>
      <c r="J144" s="1"/>
      <c r="K144" s="1" t="b">
        <v>1</v>
      </c>
      <c r="L144" s="1" t="b">
        <v>0</v>
      </c>
      <c r="M144" s="19">
        <v>2200.0</v>
      </c>
      <c r="N144" s="20">
        <v>2.1</v>
      </c>
      <c r="O144" s="20">
        <v>1047.62</v>
      </c>
      <c r="P144" s="21"/>
      <c r="Q144" s="1" t="s">
        <v>117</v>
      </c>
      <c r="R144" s="1" t="s">
        <v>145</v>
      </c>
      <c r="S144" s="1" t="s">
        <v>166</v>
      </c>
      <c r="T144" s="1" t="s">
        <v>81</v>
      </c>
      <c r="U144" s="1" t="s">
        <v>0</v>
      </c>
      <c r="V144" s="1" t="s">
        <v>0</v>
      </c>
      <c r="W144" s="22" t="s">
        <v>82</v>
      </c>
      <c r="X144" s="20">
        <v>384.44000000000005</v>
      </c>
      <c r="Y144" s="1" t="s">
        <v>0</v>
      </c>
      <c r="Z144" s="1" t="s">
        <v>0</v>
      </c>
      <c r="AA144" s="23" t="s">
        <v>85</v>
      </c>
      <c r="AB144" s="1">
        <v>1000.0</v>
      </c>
      <c r="AC144" s="1">
        <v>300.0</v>
      </c>
      <c r="AD144" s="1" t="s">
        <v>771</v>
      </c>
      <c r="AE144" s="1">
        <v>1.0</v>
      </c>
      <c r="AF144" s="5" t="s">
        <v>86</v>
      </c>
      <c r="AG144" s="5" t="s">
        <v>121</v>
      </c>
      <c r="AH144" s="32" t="s">
        <v>379</v>
      </c>
      <c r="AI144" s="5" t="s">
        <v>68</v>
      </c>
      <c r="AJ144" s="5" t="s">
        <v>128</v>
      </c>
      <c r="AK144" s="5" t="s">
        <v>90</v>
      </c>
      <c r="AL144" s="5" t="s">
        <v>91</v>
      </c>
    </row>
    <row r="145" ht="16.5" customHeight="1">
      <c r="A145" s="5" t="s">
        <v>60</v>
      </c>
      <c r="B145" s="1" t="b">
        <v>1</v>
      </c>
      <c r="C145" s="1" t="s">
        <v>774</v>
      </c>
      <c r="D145" s="1" t="s">
        <v>775</v>
      </c>
      <c r="E145" s="1" t="s">
        <v>65</v>
      </c>
      <c r="F145" s="1" t="s">
        <v>66</v>
      </c>
      <c r="G145" s="1" t="s">
        <v>68</v>
      </c>
      <c r="H145" s="1" t="s">
        <v>69</v>
      </c>
      <c r="I145" s="1" t="s">
        <v>107</v>
      </c>
      <c r="J145" s="1"/>
      <c r="K145" s="1" t="b">
        <v>1</v>
      </c>
      <c r="L145" s="1" t="b">
        <v>0</v>
      </c>
      <c r="M145" s="19">
        <v>2200.0</v>
      </c>
      <c r="N145" s="20">
        <v>2.1</v>
      </c>
      <c r="O145" s="20">
        <v>1047.62</v>
      </c>
      <c r="P145" s="21"/>
      <c r="Q145" s="1" t="s">
        <v>117</v>
      </c>
      <c r="R145" s="1" t="s">
        <v>145</v>
      </c>
      <c r="S145" s="1" t="s">
        <v>166</v>
      </c>
      <c r="T145" s="1" t="s">
        <v>81</v>
      </c>
      <c r="U145" s="1" t="s">
        <v>0</v>
      </c>
      <c r="V145" s="1" t="s">
        <v>0</v>
      </c>
      <c r="W145" s="22" t="s">
        <v>82</v>
      </c>
      <c r="X145" s="20">
        <v>372.32000000000005</v>
      </c>
      <c r="Y145" s="1" t="s">
        <v>0</v>
      </c>
      <c r="Z145" s="1" t="s">
        <v>0</v>
      </c>
      <c r="AA145" s="23" t="s">
        <v>85</v>
      </c>
      <c r="AB145" s="1">
        <v>1000.0</v>
      </c>
      <c r="AC145" s="1">
        <v>300.0</v>
      </c>
      <c r="AD145" s="1" t="s">
        <v>774</v>
      </c>
      <c r="AE145" s="1">
        <v>1.0</v>
      </c>
      <c r="AF145" s="5" t="s">
        <v>86</v>
      </c>
      <c r="AG145" s="5" t="s">
        <v>121</v>
      </c>
      <c r="AH145" s="32" t="s">
        <v>379</v>
      </c>
      <c r="AI145" s="5" t="s">
        <v>68</v>
      </c>
      <c r="AJ145" s="5" t="s">
        <v>128</v>
      </c>
      <c r="AK145" s="5" t="s">
        <v>90</v>
      </c>
      <c r="AL145" s="5" t="s">
        <v>91</v>
      </c>
    </row>
    <row r="146" ht="16.5" customHeight="1">
      <c r="A146" s="5" t="s">
        <v>60</v>
      </c>
      <c r="B146" s="1" t="b">
        <v>1</v>
      </c>
      <c r="C146" s="1" t="s">
        <v>488</v>
      </c>
      <c r="D146" s="1" t="s">
        <v>489</v>
      </c>
      <c r="E146" s="1" t="s">
        <v>65</v>
      </c>
      <c r="F146" s="1" t="s">
        <v>66</v>
      </c>
      <c r="G146" s="1" t="s">
        <v>270</v>
      </c>
      <c r="H146" s="1" t="s">
        <v>69</v>
      </c>
      <c r="I146" s="1" t="s">
        <v>70</v>
      </c>
      <c r="J146" s="1"/>
      <c r="K146" s="1" t="b">
        <v>1</v>
      </c>
      <c r="L146" s="1" t="b">
        <v>0</v>
      </c>
      <c r="M146" s="19">
        <v>800.0</v>
      </c>
      <c r="N146" s="20">
        <v>2.1</v>
      </c>
      <c r="O146" s="20">
        <v>380.95</v>
      </c>
      <c r="P146" s="21"/>
      <c r="Q146" s="1" t="s">
        <v>78</v>
      </c>
      <c r="R146" s="1" t="s">
        <v>154</v>
      </c>
      <c r="S146" s="1" t="s">
        <v>273</v>
      </c>
      <c r="T146" s="1" t="s">
        <v>81</v>
      </c>
      <c r="U146" s="1" t="s">
        <v>0</v>
      </c>
      <c r="V146" s="1"/>
      <c r="W146" s="22" t="s">
        <v>82</v>
      </c>
      <c r="X146" s="20">
        <v>156.49</v>
      </c>
      <c r="Y146" s="1" t="s">
        <v>781</v>
      </c>
      <c r="Z146" s="1" t="s">
        <v>782</v>
      </c>
      <c r="AA146" s="23" t="s">
        <v>173</v>
      </c>
      <c r="AB146" s="1">
        <v>1000.0</v>
      </c>
      <c r="AC146" s="1">
        <v>300.0</v>
      </c>
      <c r="AD146" s="1" t="s">
        <v>488</v>
      </c>
      <c r="AE146" s="1">
        <v>4.0</v>
      </c>
      <c r="AF146" s="5" t="s">
        <v>125</v>
      </c>
      <c r="AG146" s="5" t="s">
        <v>127</v>
      </c>
      <c r="AI146" s="5" t="s">
        <v>276</v>
      </c>
      <c r="AJ146" s="5" t="s">
        <v>457</v>
      </c>
      <c r="AK146" s="5" t="s">
        <v>501</v>
      </c>
      <c r="AL146" s="5" t="s">
        <v>131</v>
      </c>
    </row>
    <row r="147" ht="16.5" customHeight="1">
      <c r="A147" s="5" t="s">
        <v>60</v>
      </c>
      <c r="B147" s="1" t="b">
        <v>1</v>
      </c>
      <c r="C147" s="1" t="s">
        <v>503</v>
      </c>
      <c r="D147" s="1" t="s">
        <v>504</v>
      </c>
      <c r="E147" s="1" t="s">
        <v>65</v>
      </c>
      <c r="F147" s="1" t="s">
        <v>66</v>
      </c>
      <c r="G147" s="1" t="s">
        <v>270</v>
      </c>
      <c r="H147" s="1" t="s">
        <v>69</v>
      </c>
      <c r="I147" s="1" t="s">
        <v>107</v>
      </c>
      <c r="J147" s="1"/>
      <c r="K147" s="1" t="b">
        <v>1</v>
      </c>
      <c r="L147" s="1" t="b">
        <v>0</v>
      </c>
      <c r="M147" s="19">
        <v>800.0</v>
      </c>
      <c r="N147" s="20">
        <v>2.1</v>
      </c>
      <c r="O147" s="20">
        <v>380.95</v>
      </c>
      <c r="P147" s="21"/>
      <c r="Q147" s="1" t="s">
        <v>78</v>
      </c>
      <c r="R147" s="1" t="s">
        <v>154</v>
      </c>
      <c r="S147" s="1" t="s">
        <v>273</v>
      </c>
      <c r="T147" s="1" t="s">
        <v>81</v>
      </c>
      <c r="U147" s="1" t="s">
        <v>0</v>
      </c>
      <c r="V147" s="1"/>
      <c r="W147" s="22" t="s">
        <v>82</v>
      </c>
      <c r="X147" s="20">
        <v>143.34</v>
      </c>
      <c r="Y147" s="1" t="s">
        <v>785</v>
      </c>
      <c r="Z147" s="1" t="s">
        <v>786</v>
      </c>
      <c r="AA147" s="23" t="s">
        <v>173</v>
      </c>
      <c r="AB147" s="1">
        <v>1000.0</v>
      </c>
      <c r="AC147" s="1">
        <v>300.0</v>
      </c>
      <c r="AD147" s="1" t="s">
        <v>503</v>
      </c>
      <c r="AE147" s="1">
        <v>5.0</v>
      </c>
      <c r="AF147" s="5" t="s">
        <v>125</v>
      </c>
      <c r="AG147" s="5" t="s">
        <v>127</v>
      </c>
      <c r="AI147" s="5" t="s">
        <v>276</v>
      </c>
      <c r="AJ147" s="5" t="s">
        <v>457</v>
      </c>
      <c r="AK147" s="5" t="s">
        <v>501</v>
      </c>
      <c r="AL147" s="5" t="s">
        <v>131</v>
      </c>
    </row>
    <row r="148" ht="16.5" customHeight="1">
      <c r="A148" s="5" t="s">
        <v>60</v>
      </c>
      <c r="B148" s="1" t="b">
        <v>1</v>
      </c>
      <c r="C148" s="1" t="s">
        <v>789</v>
      </c>
      <c r="D148" s="1" t="s">
        <v>790</v>
      </c>
      <c r="E148" s="1" t="s">
        <v>65</v>
      </c>
      <c r="F148" s="1" t="s">
        <v>66</v>
      </c>
      <c r="G148" s="1" t="s">
        <v>270</v>
      </c>
      <c r="H148" s="1" t="s">
        <v>69</v>
      </c>
      <c r="I148" s="1" t="s">
        <v>70</v>
      </c>
      <c r="J148" s="1"/>
      <c r="K148" s="1" t="b">
        <v>1</v>
      </c>
      <c r="L148" s="1" t="b">
        <v>0</v>
      </c>
      <c r="M148" s="19">
        <v>950.0</v>
      </c>
      <c r="N148" s="20">
        <v>2.1</v>
      </c>
      <c r="O148" s="20">
        <v>452.38</v>
      </c>
      <c r="P148" s="21"/>
      <c r="Q148" s="1" t="s">
        <v>78</v>
      </c>
      <c r="R148" s="1" t="s">
        <v>154</v>
      </c>
      <c r="S148" s="1" t="s">
        <v>273</v>
      </c>
      <c r="T148" s="1" t="s">
        <v>81</v>
      </c>
      <c r="U148" s="1" t="s">
        <v>792</v>
      </c>
      <c r="V148" s="1"/>
      <c r="W148" s="22" t="s">
        <v>82</v>
      </c>
      <c r="X148" s="20">
        <v>183.91000000000003</v>
      </c>
      <c r="Y148" s="1" t="s">
        <v>0</v>
      </c>
      <c r="Z148" s="1" t="s">
        <v>0</v>
      </c>
      <c r="AA148" s="23" t="s">
        <v>173</v>
      </c>
      <c r="AB148" s="1">
        <v>1000.0</v>
      </c>
      <c r="AC148" s="1">
        <v>300.0</v>
      </c>
      <c r="AD148" s="1" t="s">
        <v>789</v>
      </c>
      <c r="AE148" s="1">
        <v>2.0</v>
      </c>
      <c r="AF148" s="5" t="s">
        <v>125</v>
      </c>
      <c r="AG148" s="5" t="s">
        <v>127</v>
      </c>
      <c r="AI148" s="5" t="s">
        <v>276</v>
      </c>
      <c r="AJ148" s="5" t="s">
        <v>89</v>
      </c>
      <c r="AK148" s="5" t="s">
        <v>501</v>
      </c>
      <c r="AL148" s="5" t="s">
        <v>131</v>
      </c>
    </row>
    <row r="149" ht="16.5" customHeight="1">
      <c r="A149" s="5" t="s">
        <v>60</v>
      </c>
      <c r="B149" s="1" t="b">
        <v>1</v>
      </c>
      <c r="C149" s="1" t="s">
        <v>794</v>
      </c>
      <c r="D149" s="1" t="s">
        <v>795</v>
      </c>
      <c r="E149" s="1" t="s">
        <v>65</v>
      </c>
      <c r="F149" s="1" t="s">
        <v>66</v>
      </c>
      <c r="G149" s="1" t="s">
        <v>270</v>
      </c>
      <c r="H149" s="1" t="s">
        <v>69</v>
      </c>
      <c r="I149" s="1" t="s">
        <v>107</v>
      </c>
      <c r="J149" s="1"/>
      <c r="K149" s="1" t="b">
        <v>1</v>
      </c>
      <c r="L149" s="1" t="b">
        <v>0</v>
      </c>
      <c r="M149" s="19">
        <v>950.0</v>
      </c>
      <c r="N149" s="20">
        <v>2.1</v>
      </c>
      <c r="O149" s="20">
        <v>452.38</v>
      </c>
      <c r="P149" s="21"/>
      <c r="Q149" s="1" t="s">
        <v>78</v>
      </c>
      <c r="R149" s="1" t="s">
        <v>154</v>
      </c>
      <c r="S149" s="1" t="s">
        <v>273</v>
      </c>
      <c r="T149" s="1" t="s">
        <v>81</v>
      </c>
      <c r="U149" s="1" t="s">
        <v>796</v>
      </c>
      <c r="V149" s="1"/>
      <c r="W149" s="22" t="s">
        <v>82</v>
      </c>
      <c r="X149" s="20">
        <v>170.98000000000002</v>
      </c>
      <c r="Y149" s="1" t="s">
        <v>0</v>
      </c>
      <c r="Z149" s="1" t="s">
        <v>0</v>
      </c>
      <c r="AA149" s="23" t="s">
        <v>173</v>
      </c>
      <c r="AB149" s="1">
        <v>1000.0</v>
      </c>
      <c r="AC149" s="1">
        <v>300.0</v>
      </c>
      <c r="AD149" s="1" t="s">
        <v>794</v>
      </c>
      <c r="AE149" s="1">
        <v>2.0</v>
      </c>
      <c r="AF149" s="5" t="s">
        <v>125</v>
      </c>
      <c r="AG149" s="5" t="s">
        <v>127</v>
      </c>
      <c r="AI149" s="5" t="s">
        <v>276</v>
      </c>
      <c r="AJ149" s="5" t="s">
        <v>89</v>
      </c>
      <c r="AK149" s="5" t="s">
        <v>501</v>
      </c>
      <c r="AL149" s="5" t="s">
        <v>131</v>
      </c>
    </row>
    <row r="150" ht="16.5" customHeight="1">
      <c r="A150" s="5" t="s">
        <v>60</v>
      </c>
      <c r="B150" s="1" t="b">
        <v>1</v>
      </c>
      <c r="C150" s="1" t="s">
        <v>797</v>
      </c>
      <c r="D150" s="1" t="s">
        <v>799</v>
      </c>
      <c r="E150" s="1" t="s">
        <v>65</v>
      </c>
      <c r="F150" s="1" t="s">
        <v>66</v>
      </c>
      <c r="G150" s="1" t="s">
        <v>334</v>
      </c>
      <c r="H150" s="1" t="s">
        <v>69</v>
      </c>
      <c r="I150" s="1" t="s">
        <v>107</v>
      </c>
      <c r="J150" s="1"/>
      <c r="K150" s="1" t="b">
        <v>1</v>
      </c>
      <c r="L150" s="1" t="b">
        <v>0</v>
      </c>
      <c r="M150" s="19">
        <v>600.0</v>
      </c>
      <c r="N150" s="20">
        <v>2.1</v>
      </c>
      <c r="O150" s="20">
        <v>285.71</v>
      </c>
      <c r="P150" s="21"/>
      <c r="Q150" s="1" t="s">
        <v>117</v>
      </c>
      <c r="R150" s="1" t="s">
        <v>145</v>
      </c>
      <c r="S150" s="1" t="s">
        <v>81</v>
      </c>
      <c r="T150" s="1" t="s">
        <v>81</v>
      </c>
      <c r="U150" s="1" t="s">
        <v>0</v>
      </c>
      <c r="V150" s="1" t="s">
        <v>0</v>
      </c>
      <c r="W150" s="22" t="s">
        <v>82</v>
      </c>
      <c r="X150" s="20">
        <v>96.74</v>
      </c>
      <c r="Y150" s="1" t="s">
        <v>0</v>
      </c>
      <c r="Z150" s="1" t="s">
        <v>0</v>
      </c>
      <c r="AA150" s="23" t="s">
        <v>173</v>
      </c>
      <c r="AB150" s="1">
        <v>800.0</v>
      </c>
      <c r="AC150" s="1">
        <v>500.0</v>
      </c>
      <c r="AD150" s="1" t="s">
        <v>797</v>
      </c>
      <c r="AE150" s="1">
        <v>5.0</v>
      </c>
      <c r="AF150" s="5" t="s">
        <v>125</v>
      </c>
      <c r="AG150" s="5" t="s">
        <v>127</v>
      </c>
      <c r="AI150" s="5" t="s">
        <v>334</v>
      </c>
      <c r="AJ150" s="5" t="s">
        <v>348</v>
      </c>
      <c r="AK150" s="5" t="s">
        <v>539</v>
      </c>
      <c r="AL150" s="5" t="s">
        <v>131</v>
      </c>
    </row>
    <row r="151" ht="16.5" customHeight="1">
      <c r="A151" s="5" t="s">
        <v>60</v>
      </c>
      <c r="B151" s="1" t="b">
        <v>1</v>
      </c>
      <c r="C151" s="1" t="s">
        <v>801</v>
      </c>
      <c r="D151" s="1" t="s">
        <v>802</v>
      </c>
      <c r="E151" s="1" t="s">
        <v>65</v>
      </c>
      <c r="F151" s="1" t="s">
        <v>66</v>
      </c>
      <c r="G151" s="1" t="s">
        <v>334</v>
      </c>
      <c r="H151" s="1" t="s">
        <v>69</v>
      </c>
      <c r="I151" s="1" t="s">
        <v>70</v>
      </c>
      <c r="J151" s="1"/>
      <c r="K151" s="1" t="b">
        <v>1</v>
      </c>
      <c r="L151" s="1" t="b">
        <v>0</v>
      </c>
      <c r="M151" s="19">
        <v>650.0</v>
      </c>
      <c r="N151" s="20">
        <v>2.1</v>
      </c>
      <c r="O151" s="20">
        <v>309.52</v>
      </c>
      <c r="P151" s="21"/>
      <c r="Q151" s="1" t="s">
        <v>117</v>
      </c>
      <c r="R151" s="1" t="s">
        <v>145</v>
      </c>
      <c r="S151" s="1" t="s">
        <v>81</v>
      </c>
      <c r="T151" s="1" t="s">
        <v>81</v>
      </c>
      <c r="U151" s="1" t="s">
        <v>0</v>
      </c>
      <c r="V151" s="1" t="s">
        <v>0</v>
      </c>
      <c r="W151" s="22" t="s">
        <v>82</v>
      </c>
      <c r="X151" s="20">
        <v>108.03</v>
      </c>
      <c r="Y151" s="1" t="s">
        <v>0</v>
      </c>
      <c r="Z151" s="1" t="s">
        <v>0</v>
      </c>
      <c r="AA151" s="23" t="s">
        <v>173</v>
      </c>
      <c r="AB151" s="1">
        <v>800.0</v>
      </c>
      <c r="AC151" s="1">
        <v>500.0</v>
      </c>
      <c r="AD151" s="1" t="s">
        <v>801</v>
      </c>
      <c r="AE151" s="1">
        <v>6.0</v>
      </c>
      <c r="AF151" s="5" t="s">
        <v>125</v>
      </c>
      <c r="AG151" s="5" t="s">
        <v>127</v>
      </c>
      <c r="AH151" s="32" t="s">
        <v>264</v>
      </c>
      <c r="AI151" s="5" t="s">
        <v>334</v>
      </c>
      <c r="AJ151" s="5" t="s">
        <v>348</v>
      </c>
      <c r="AK151" s="5" t="s">
        <v>539</v>
      </c>
      <c r="AL151" s="5" t="s">
        <v>131</v>
      </c>
    </row>
    <row r="152" ht="16.5" customHeight="1">
      <c r="A152" s="5" t="s">
        <v>60</v>
      </c>
      <c r="B152" s="1" t="b">
        <v>1</v>
      </c>
      <c r="C152" s="1" t="s">
        <v>806</v>
      </c>
      <c r="D152" s="1" t="s">
        <v>807</v>
      </c>
      <c r="E152" s="1" t="s">
        <v>65</v>
      </c>
      <c r="F152" s="1" t="s">
        <v>500</v>
      </c>
      <c r="G152" s="1" t="s">
        <v>355</v>
      </c>
      <c r="H152" s="1" t="s">
        <v>69</v>
      </c>
      <c r="I152" s="1" t="s">
        <v>70</v>
      </c>
      <c r="J152" s="1"/>
      <c r="K152" s="1" t="b">
        <v>1</v>
      </c>
      <c r="L152" s="1" t="b">
        <v>0</v>
      </c>
      <c r="M152" s="19">
        <v>3000.0</v>
      </c>
      <c r="N152" s="20">
        <v>2.1</v>
      </c>
      <c r="O152" s="20">
        <v>1428.57</v>
      </c>
      <c r="P152" s="21"/>
      <c r="Q152" s="1" t="s">
        <v>117</v>
      </c>
      <c r="R152" s="1" t="s">
        <v>145</v>
      </c>
      <c r="S152" s="1" t="s">
        <v>359</v>
      </c>
      <c r="T152" s="1" t="s">
        <v>81</v>
      </c>
      <c r="U152" s="1" t="s">
        <v>810</v>
      </c>
      <c r="V152" s="1" t="s">
        <v>0</v>
      </c>
      <c r="W152" s="22" t="s">
        <v>82</v>
      </c>
      <c r="X152" s="20">
        <v>587.02</v>
      </c>
      <c r="Y152" s="1" t="s">
        <v>0</v>
      </c>
      <c r="Z152" s="1" t="s">
        <v>0</v>
      </c>
      <c r="AA152" s="23" t="s">
        <v>173</v>
      </c>
      <c r="AB152" s="1">
        <v>800.0</v>
      </c>
      <c r="AC152" s="1">
        <v>100.0</v>
      </c>
      <c r="AD152" s="1" t="s">
        <v>806</v>
      </c>
      <c r="AE152" s="1">
        <v>3.0</v>
      </c>
      <c r="AF152" s="5" t="s">
        <v>125</v>
      </c>
      <c r="AG152" s="5" t="s">
        <v>127</v>
      </c>
      <c r="AH152" s="5" t="s">
        <v>410</v>
      </c>
      <c r="AI152" s="5" t="s">
        <v>355</v>
      </c>
      <c r="AJ152" s="5" t="s">
        <v>161</v>
      </c>
      <c r="AK152" s="5" t="s">
        <v>448</v>
      </c>
      <c r="AL152" s="5" t="s">
        <v>131</v>
      </c>
    </row>
    <row r="153" ht="16.5" customHeight="1">
      <c r="A153" s="5" t="s">
        <v>60</v>
      </c>
      <c r="B153" s="1" t="b">
        <v>1</v>
      </c>
      <c r="C153" s="1" t="s">
        <v>811</v>
      </c>
      <c r="D153" s="1" t="s">
        <v>812</v>
      </c>
      <c r="E153" s="1" t="s">
        <v>65</v>
      </c>
      <c r="F153" s="1" t="s">
        <v>500</v>
      </c>
      <c r="G153" s="1" t="s">
        <v>355</v>
      </c>
      <c r="H153" s="1" t="s">
        <v>69</v>
      </c>
      <c r="I153" s="1" t="s">
        <v>107</v>
      </c>
      <c r="J153" s="1"/>
      <c r="K153" s="1" t="b">
        <v>1</v>
      </c>
      <c r="L153" s="1" t="b">
        <v>0</v>
      </c>
      <c r="M153" s="19">
        <v>3000.0</v>
      </c>
      <c r="N153" s="20">
        <v>2.1</v>
      </c>
      <c r="O153" s="20">
        <v>1428.57</v>
      </c>
      <c r="P153" s="21"/>
      <c r="Q153" s="1" t="s">
        <v>117</v>
      </c>
      <c r="R153" s="1" t="s">
        <v>145</v>
      </c>
      <c r="S153" s="1" t="s">
        <v>359</v>
      </c>
      <c r="T153" s="1" t="s">
        <v>81</v>
      </c>
      <c r="U153" s="1" t="s">
        <v>813</v>
      </c>
      <c r="V153" s="1" t="s">
        <v>0</v>
      </c>
      <c r="W153" s="22" t="s">
        <v>82</v>
      </c>
      <c r="X153" s="20">
        <v>551.5699999999999</v>
      </c>
      <c r="Y153" s="1" t="s">
        <v>0</v>
      </c>
      <c r="Z153" s="1" t="s">
        <v>0</v>
      </c>
      <c r="AA153" s="23" t="s">
        <v>173</v>
      </c>
      <c r="AB153" s="1">
        <v>800.0</v>
      </c>
      <c r="AC153" s="1">
        <v>100.0</v>
      </c>
      <c r="AD153" s="1" t="s">
        <v>811</v>
      </c>
      <c r="AE153" s="1">
        <v>3.0</v>
      </c>
      <c r="AF153" s="5" t="s">
        <v>125</v>
      </c>
      <c r="AG153" s="5" t="s">
        <v>127</v>
      </c>
      <c r="AH153" s="5" t="s">
        <v>410</v>
      </c>
      <c r="AI153" s="5" t="s">
        <v>355</v>
      </c>
      <c r="AJ153" s="5" t="s">
        <v>161</v>
      </c>
      <c r="AK153" s="5" t="s">
        <v>448</v>
      </c>
      <c r="AL153" s="5" t="s">
        <v>131</v>
      </c>
    </row>
    <row r="154" ht="16.5" customHeight="1">
      <c r="A154" s="5" t="s">
        <v>60</v>
      </c>
      <c r="B154" s="1" t="b">
        <v>1</v>
      </c>
      <c r="C154" s="1" t="s">
        <v>816</v>
      </c>
      <c r="D154" s="1" t="s">
        <v>817</v>
      </c>
      <c r="E154" s="1" t="s">
        <v>65</v>
      </c>
      <c r="F154" s="1" t="s">
        <v>500</v>
      </c>
      <c r="G154" s="1" t="s">
        <v>113</v>
      </c>
      <c r="H154" s="1" t="s">
        <v>69</v>
      </c>
      <c r="I154" s="1" t="s">
        <v>70</v>
      </c>
      <c r="J154" s="1"/>
      <c r="K154" s="1" t="b">
        <v>1</v>
      </c>
      <c r="L154" s="1" t="b">
        <v>0</v>
      </c>
      <c r="M154" s="19">
        <v>1400.0</v>
      </c>
      <c r="N154" s="20">
        <v>2.1</v>
      </c>
      <c r="O154" s="20">
        <v>666.67</v>
      </c>
      <c r="P154" s="21"/>
      <c r="Q154" s="1" t="s">
        <v>117</v>
      </c>
      <c r="R154" s="1" t="s">
        <v>97</v>
      </c>
      <c r="S154" s="1" t="s">
        <v>81</v>
      </c>
      <c r="T154" s="1" t="s">
        <v>81</v>
      </c>
      <c r="U154" s="1" t="s">
        <v>0</v>
      </c>
      <c r="V154" s="1" t="s">
        <v>97</v>
      </c>
      <c r="W154" s="22" t="s">
        <v>82</v>
      </c>
      <c r="X154" s="20">
        <v>285.68</v>
      </c>
      <c r="Y154" s="1" t="s">
        <v>0</v>
      </c>
      <c r="Z154" s="1" t="s">
        <v>0</v>
      </c>
      <c r="AA154" s="23" t="s">
        <v>101</v>
      </c>
      <c r="AB154" s="1">
        <v>800.0</v>
      </c>
      <c r="AC154" s="1">
        <v>500.0</v>
      </c>
      <c r="AD154" s="1" t="s">
        <v>816</v>
      </c>
      <c r="AE154" s="1">
        <v>3.0</v>
      </c>
      <c r="AF154" s="5" t="s">
        <v>125</v>
      </c>
      <c r="AG154" s="5" t="s">
        <v>127</v>
      </c>
      <c r="AH154" s="32" t="s">
        <v>454</v>
      </c>
      <c r="AI154" s="5" t="s">
        <v>126</v>
      </c>
      <c r="AJ154" s="5" t="s">
        <v>128</v>
      </c>
      <c r="AK154" s="5" t="s">
        <v>130</v>
      </c>
      <c r="AL154" s="5" t="s">
        <v>131</v>
      </c>
    </row>
    <row r="155" ht="16.5" customHeight="1">
      <c r="A155" s="5" t="s">
        <v>60</v>
      </c>
      <c r="B155" s="1" t="b">
        <v>1</v>
      </c>
      <c r="C155" s="1" t="s">
        <v>820</v>
      </c>
      <c r="D155" s="1" t="s">
        <v>821</v>
      </c>
      <c r="E155" s="1" t="s">
        <v>65</v>
      </c>
      <c r="F155" s="1" t="s">
        <v>500</v>
      </c>
      <c r="G155" s="1" t="s">
        <v>113</v>
      </c>
      <c r="H155" s="1" t="s">
        <v>69</v>
      </c>
      <c r="I155" s="1" t="s">
        <v>107</v>
      </c>
      <c r="J155" s="1"/>
      <c r="K155" s="1" t="b">
        <v>1</v>
      </c>
      <c r="L155" s="1" t="b">
        <v>0</v>
      </c>
      <c r="M155" s="19">
        <v>1400.0</v>
      </c>
      <c r="N155" s="20">
        <v>2.1</v>
      </c>
      <c r="O155" s="20">
        <v>666.67</v>
      </c>
      <c r="P155" s="21"/>
      <c r="Q155" s="1" t="s">
        <v>117</v>
      </c>
      <c r="R155" s="1" t="s">
        <v>97</v>
      </c>
      <c r="S155" s="1" t="s">
        <v>81</v>
      </c>
      <c r="T155" s="1" t="s">
        <v>81</v>
      </c>
      <c r="U155" s="1" t="s">
        <v>0</v>
      </c>
      <c r="V155" s="1" t="s">
        <v>97</v>
      </c>
      <c r="W155" s="22" t="s">
        <v>82</v>
      </c>
      <c r="X155" s="20">
        <v>274.06</v>
      </c>
      <c r="Y155" s="1" t="s">
        <v>0</v>
      </c>
      <c r="Z155" s="1" t="s">
        <v>0</v>
      </c>
      <c r="AA155" s="23" t="s">
        <v>101</v>
      </c>
      <c r="AB155" s="1">
        <v>800.0</v>
      </c>
      <c r="AC155" s="1">
        <v>500.0</v>
      </c>
      <c r="AD155" s="1" t="s">
        <v>820</v>
      </c>
      <c r="AE155" s="1">
        <v>3.0</v>
      </c>
      <c r="AF155" s="5" t="s">
        <v>125</v>
      </c>
      <c r="AG155" s="5" t="s">
        <v>127</v>
      </c>
      <c r="AH155" s="32" t="s">
        <v>454</v>
      </c>
      <c r="AI155" s="5" t="s">
        <v>126</v>
      </c>
      <c r="AJ155" s="5" t="s">
        <v>128</v>
      </c>
      <c r="AK155" s="5" t="s">
        <v>130</v>
      </c>
      <c r="AL155" s="5" t="s">
        <v>131</v>
      </c>
    </row>
    <row r="156" ht="16.5" customHeight="1">
      <c r="A156" s="5" t="s">
        <v>60</v>
      </c>
      <c r="B156" s="1" t="b">
        <v>1</v>
      </c>
      <c r="C156" s="1" t="s">
        <v>822</v>
      </c>
      <c r="D156" s="1" t="s">
        <v>823</v>
      </c>
      <c r="E156" s="1" t="s">
        <v>65</v>
      </c>
      <c r="F156" s="1" t="s">
        <v>500</v>
      </c>
      <c r="G156" s="1" t="s">
        <v>68</v>
      </c>
      <c r="H156" s="1" t="s">
        <v>69</v>
      </c>
      <c r="I156" s="1" t="s">
        <v>70</v>
      </c>
      <c r="J156" s="1"/>
      <c r="K156" s="1" t="b">
        <v>1</v>
      </c>
      <c r="L156" s="1" t="b">
        <v>0</v>
      </c>
      <c r="M156" s="19">
        <v>5000.0</v>
      </c>
      <c r="N156" s="20">
        <v>2.1</v>
      </c>
      <c r="O156" s="20">
        <v>2380.95</v>
      </c>
      <c r="P156" s="21"/>
      <c r="Q156" s="1" t="s">
        <v>242</v>
      </c>
      <c r="R156" s="1" t="s">
        <v>613</v>
      </c>
      <c r="S156" s="1" t="s">
        <v>80</v>
      </c>
      <c r="T156" s="1" t="s">
        <v>81</v>
      </c>
      <c r="U156" s="1" t="s">
        <v>0</v>
      </c>
      <c r="V156" s="1" t="s">
        <v>0</v>
      </c>
      <c r="W156" s="22" t="s">
        <v>82</v>
      </c>
      <c r="X156" s="20">
        <v>1290.8100000000002</v>
      </c>
      <c r="Y156" s="1" t="s">
        <v>0</v>
      </c>
      <c r="Z156" s="1" t="s">
        <v>0</v>
      </c>
      <c r="AA156" s="23" t="s">
        <v>173</v>
      </c>
      <c r="AB156" s="1">
        <v>800.0</v>
      </c>
      <c r="AC156" s="1">
        <v>400.0</v>
      </c>
      <c r="AD156" s="1" t="s">
        <v>822</v>
      </c>
      <c r="AE156" s="1">
        <v>4.0</v>
      </c>
      <c r="AF156" s="5" t="s">
        <v>86</v>
      </c>
      <c r="AG156" s="5" t="s">
        <v>826</v>
      </c>
      <c r="AH156" s="5" t="s">
        <v>827</v>
      </c>
      <c r="AI156" s="5" t="s">
        <v>68</v>
      </c>
      <c r="AJ156" s="5" t="s">
        <v>89</v>
      </c>
      <c r="AK156" s="5" t="s">
        <v>132</v>
      </c>
      <c r="AL156" s="5" t="s">
        <v>91</v>
      </c>
    </row>
    <row r="157" ht="16.5" customHeight="1">
      <c r="A157" s="5" t="s">
        <v>60</v>
      </c>
      <c r="B157" s="1" t="b">
        <v>1</v>
      </c>
      <c r="C157" s="1" t="s">
        <v>828</v>
      </c>
      <c r="D157" s="1" t="s">
        <v>829</v>
      </c>
      <c r="E157" s="1" t="s">
        <v>65</v>
      </c>
      <c r="F157" s="1" t="s">
        <v>500</v>
      </c>
      <c r="G157" s="1" t="s">
        <v>68</v>
      </c>
      <c r="H157" s="1" t="s">
        <v>69</v>
      </c>
      <c r="I157" s="1" t="s">
        <v>107</v>
      </c>
      <c r="J157" s="1"/>
      <c r="K157" s="1" t="b">
        <v>1</v>
      </c>
      <c r="L157" s="1" t="b">
        <v>0</v>
      </c>
      <c r="M157" s="19">
        <v>5000.0</v>
      </c>
      <c r="N157" s="20">
        <v>2.1</v>
      </c>
      <c r="O157" s="20">
        <v>2380.95</v>
      </c>
      <c r="P157" s="21"/>
      <c r="Q157" s="1" t="s">
        <v>242</v>
      </c>
      <c r="R157" s="1" t="s">
        <v>613</v>
      </c>
      <c r="S157" s="1" t="s">
        <v>80</v>
      </c>
      <c r="T157" s="1" t="s">
        <v>81</v>
      </c>
      <c r="U157" s="1" t="s">
        <v>0</v>
      </c>
      <c r="V157" s="1" t="s">
        <v>0</v>
      </c>
      <c r="W157" s="22" t="s">
        <v>82</v>
      </c>
      <c r="X157" s="20">
        <v>1224.2299999999998</v>
      </c>
      <c r="Y157" s="1" t="s">
        <v>0</v>
      </c>
      <c r="Z157" s="1" t="s">
        <v>0</v>
      </c>
      <c r="AA157" s="23" t="s">
        <v>173</v>
      </c>
      <c r="AB157" s="1">
        <v>800.0</v>
      </c>
      <c r="AC157" s="1">
        <v>400.0</v>
      </c>
      <c r="AD157" s="1" t="s">
        <v>828</v>
      </c>
      <c r="AE157" s="1">
        <v>3.0</v>
      </c>
      <c r="AF157" s="5" t="s">
        <v>86</v>
      </c>
      <c r="AG157" s="5" t="s">
        <v>826</v>
      </c>
      <c r="AH157" s="5" t="s">
        <v>827</v>
      </c>
      <c r="AI157" s="5" t="s">
        <v>68</v>
      </c>
      <c r="AJ157" s="5" t="s">
        <v>89</v>
      </c>
      <c r="AK157" s="5" t="s">
        <v>132</v>
      </c>
      <c r="AL157" s="5" t="s">
        <v>91</v>
      </c>
    </row>
    <row r="158" ht="16.5" customHeight="1">
      <c r="A158" s="5" t="s">
        <v>60</v>
      </c>
      <c r="B158" s="1" t="b">
        <v>1</v>
      </c>
      <c r="C158" s="1" t="s">
        <v>832</v>
      </c>
      <c r="D158" s="1" t="s">
        <v>833</v>
      </c>
      <c r="E158" s="1" t="s">
        <v>65</v>
      </c>
      <c r="F158" s="1" t="s">
        <v>66</v>
      </c>
      <c r="G158" s="1" t="s">
        <v>270</v>
      </c>
      <c r="H158" s="1" t="s">
        <v>69</v>
      </c>
      <c r="I158" s="1" t="s">
        <v>70</v>
      </c>
      <c r="J158" s="1"/>
      <c r="K158" s="1" t="b">
        <v>0</v>
      </c>
      <c r="L158" s="1" t="b">
        <v>0</v>
      </c>
      <c r="M158" s="19">
        <v>1400.0</v>
      </c>
      <c r="N158" s="20">
        <v>2.1</v>
      </c>
      <c r="O158" s="20">
        <v>666.67</v>
      </c>
      <c r="P158" s="21"/>
      <c r="Q158" s="1" t="s">
        <v>117</v>
      </c>
      <c r="R158" s="1" t="s">
        <v>145</v>
      </c>
      <c r="S158" s="1" t="s">
        <v>81</v>
      </c>
      <c r="T158" s="1" t="s">
        <v>81</v>
      </c>
      <c r="U158" s="1" t="s">
        <v>0</v>
      </c>
      <c r="V158" s="1" t="s">
        <v>0</v>
      </c>
      <c r="W158" s="22" t="s">
        <v>202</v>
      </c>
      <c r="X158" s="20">
        <v>246.83000000000004</v>
      </c>
      <c r="Y158" s="1" t="s">
        <v>835</v>
      </c>
      <c r="Z158" s="1" t="s">
        <v>836</v>
      </c>
      <c r="AA158" s="23" t="s">
        <v>85</v>
      </c>
      <c r="AB158" s="1">
        <v>1000.0</v>
      </c>
      <c r="AC158" s="1">
        <v>300.0</v>
      </c>
      <c r="AD158" s="1" t="s">
        <v>832</v>
      </c>
      <c r="AE158" s="1">
        <v>5.0</v>
      </c>
      <c r="AF158" s="5" t="s">
        <v>125</v>
      </c>
      <c r="AG158" s="5" t="s">
        <v>127</v>
      </c>
      <c r="AH158" s="5" t="s">
        <v>237</v>
      </c>
      <c r="AI158" s="5" t="s">
        <v>276</v>
      </c>
      <c r="AJ158" s="5" t="s">
        <v>161</v>
      </c>
      <c r="AK158" s="5" t="s">
        <v>277</v>
      </c>
      <c r="AL158" s="5" t="s">
        <v>131</v>
      </c>
    </row>
    <row r="159" ht="16.5" customHeight="1">
      <c r="A159" s="5" t="s">
        <v>60</v>
      </c>
      <c r="B159" s="1" t="b">
        <v>1</v>
      </c>
      <c r="C159" s="1" t="s">
        <v>837</v>
      </c>
      <c r="D159" s="1" t="s">
        <v>839</v>
      </c>
      <c r="E159" s="1" t="s">
        <v>65</v>
      </c>
      <c r="F159" s="1" t="s">
        <v>66</v>
      </c>
      <c r="G159" s="1" t="s">
        <v>270</v>
      </c>
      <c r="H159" s="1" t="s">
        <v>69</v>
      </c>
      <c r="I159" s="1" t="s">
        <v>107</v>
      </c>
      <c r="J159" s="1"/>
      <c r="K159" s="1" t="b">
        <v>0</v>
      </c>
      <c r="L159" s="1" t="b">
        <v>0</v>
      </c>
      <c r="M159" s="19">
        <v>1400.0</v>
      </c>
      <c r="N159" s="20">
        <v>2.1</v>
      </c>
      <c r="O159" s="20">
        <v>666.67</v>
      </c>
      <c r="P159" s="21"/>
      <c r="Q159" s="1" t="s">
        <v>117</v>
      </c>
      <c r="R159" s="1" t="s">
        <v>145</v>
      </c>
      <c r="S159" s="1" t="s">
        <v>81</v>
      </c>
      <c r="T159" s="1" t="s">
        <v>81</v>
      </c>
      <c r="U159" s="1" t="s">
        <v>0</v>
      </c>
      <c r="V159" s="1" t="s">
        <v>0</v>
      </c>
      <c r="W159" s="22" t="s">
        <v>202</v>
      </c>
      <c r="X159" s="20">
        <v>226.38</v>
      </c>
      <c r="Y159" s="1" t="s">
        <v>843</v>
      </c>
      <c r="Z159" s="1" t="s">
        <v>844</v>
      </c>
      <c r="AA159" s="23" t="s">
        <v>85</v>
      </c>
      <c r="AB159" s="1">
        <v>1000.0</v>
      </c>
      <c r="AC159" s="1">
        <v>300.0</v>
      </c>
      <c r="AD159" s="1" t="s">
        <v>837</v>
      </c>
      <c r="AE159" s="1">
        <v>6.0</v>
      </c>
      <c r="AF159" s="5" t="s">
        <v>125</v>
      </c>
      <c r="AG159" s="5" t="s">
        <v>127</v>
      </c>
      <c r="AH159" s="5" t="s">
        <v>237</v>
      </c>
      <c r="AI159" s="5" t="s">
        <v>276</v>
      </c>
      <c r="AJ159" s="5" t="s">
        <v>161</v>
      </c>
      <c r="AK159" s="5" t="s">
        <v>277</v>
      </c>
      <c r="AL159" s="5" t="s">
        <v>131</v>
      </c>
    </row>
    <row r="160" ht="16.5" customHeight="1">
      <c r="A160" s="5" t="s">
        <v>60</v>
      </c>
      <c r="B160" s="1" t="b">
        <v>1</v>
      </c>
      <c r="C160" s="1" t="s">
        <v>845</v>
      </c>
      <c r="D160" s="1" t="s">
        <v>846</v>
      </c>
      <c r="E160" s="1" t="s">
        <v>65</v>
      </c>
      <c r="F160" s="1" t="s">
        <v>66</v>
      </c>
      <c r="G160" s="1" t="s">
        <v>270</v>
      </c>
      <c r="H160" s="1" t="s">
        <v>69</v>
      </c>
      <c r="I160" s="1" t="s">
        <v>70</v>
      </c>
      <c r="J160" s="1"/>
      <c r="K160" s="1" t="b">
        <v>0</v>
      </c>
      <c r="L160" s="1" t="b">
        <v>0</v>
      </c>
      <c r="M160" s="19">
        <v>1200.0</v>
      </c>
      <c r="N160" s="20">
        <v>2.1</v>
      </c>
      <c r="O160" s="20">
        <v>571.43</v>
      </c>
      <c r="P160" s="21"/>
      <c r="Q160" s="1" t="s">
        <v>117</v>
      </c>
      <c r="R160" s="1" t="s">
        <v>145</v>
      </c>
      <c r="S160" s="1" t="s">
        <v>81</v>
      </c>
      <c r="T160" s="1" t="s">
        <v>81</v>
      </c>
      <c r="U160" s="1" t="s">
        <v>0</v>
      </c>
      <c r="V160" s="1" t="s">
        <v>0</v>
      </c>
      <c r="W160" s="22" t="s">
        <v>202</v>
      </c>
      <c r="X160" s="20">
        <v>232.90000000000003</v>
      </c>
      <c r="Y160" s="1" t="s">
        <v>847</v>
      </c>
      <c r="Z160" s="1" t="s">
        <v>848</v>
      </c>
      <c r="AA160" s="23" t="s">
        <v>85</v>
      </c>
      <c r="AB160" s="1">
        <v>1000.0</v>
      </c>
      <c r="AC160" s="1">
        <v>300.0</v>
      </c>
      <c r="AD160" s="1" t="s">
        <v>845</v>
      </c>
      <c r="AE160" s="1">
        <v>5.0</v>
      </c>
      <c r="AF160" s="5" t="s">
        <v>125</v>
      </c>
      <c r="AG160" s="5" t="s">
        <v>127</v>
      </c>
      <c r="AH160" s="5" t="s">
        <v>237</v>
      </c>
      <c r="AI160" s="5" t="s">
        <v>276</v>
      </c>
      <c r="AJ160" s="5" t="s">
        <v>89</v>
      </c>
      <c r="AK160" s="5" t="s">
        <v>277</v>
      </c>
      <c r="AL160" s="5" t="s">
        <v>131</v>
      </c>
    </row>
    <row r="161" ht="16.5" customHeight="1">
      <c r="A161" s="5" t="s">
        <v>60</v>
      </c>
      <c r="B161" s="1" t="b">
        <v>1</v>
      </c>
      <c r="C161" s="1" t="s">
        <v>850</v>
      </c>
      <c r="D161" s="1" t="s">
        <v>851</v>
      </c>
      <c r="E161" s="1" t="s">
        <v>65</v>
      </c>
      <c r="F161" s="1" t="s">
        <v>66</v>
      </c>
      <c r="G161" s="1" t="s">
        <v>270</v>
      </c>
      <c r="H161" s="1" t="s">
        <v>69</v>
      </c>
      <c r="I161" s="1" t="s">
        <v>107</v>
      </c>
      <c r="J161" s="1"/>
      <c r="K161" s="1" t="b">
        <v>0</v>
      </c>
      <c r="L161" s="1" t="b">
        <v>0</v>
      </c>
      <c r="M161" s="19">
        <v>1200.0</v>
      </c>
      <c r="N161" s="20">
        <v>2.1</v>
      </c>
      <c r="O161" s="20">
        <v>571.43</v>
      </c>
      <c r="P161" s="21"/>
      <c r="Q161" s="1" t="s">
        <v>117</v>
      </c>
      <c r="R161" s="1" t="s">
        <v>145</v>
      </c>
      <c r="S161" s="1" t="s">
        <v>81</v>
      </c>
      <c r="T161" s="1" t="s">
        <v>81</v>
      </c>
      <c r="U161" s="1" t="s">
        <v>0</v>
      </c>
      <c r="V161" s="1" t="s">
        <v>0</v>
      </c>
      <c r="W161" s="22" t="s">
        <v>202</v>
      </c>
      <c r="X161" s="20">
        <v>218.74</v>
      </c>
      <c r="Y161" s="1" t="s">
        <v>852</v>
      </c>
      <c r="Z161" s="1" t="s">
        <v>853</v>
      </c>
      <c r="AA161" s="23" t="s">
        <v>85</v>
      </c>
      <c r="AB161" s="1">
        <v>1000.0</v>
      </c>
      <c r="AC161" s="1">
        <v>300.0</v>
      </c>
      <c r="AD161" s="1" t="s">
        <v>850</v>
      </c>
      <c r="AE161" s="1">
        <v>5.0</v>
      </c>
      <c r="AF161" s="5" t="s">
        <v>125</v>
      </c>
      <c r="AG161" s="5" t="s">
        <v>127</v>
      </c>
      <c r="AH161" s="5" t="s">
        <v>237</v>
      </c>
      <c r="AI161" s="5" t="s">
        <v>276</v>
      </c>
      <c r="AJ161" s="5" t="s">
        <v>89</v>
      </c>
      <c r="AK161" s="5" t="s">
        <v>277</v>
      </c>
      <c r="AL161" s="5" t="s">
        <v>131</v>
      </c>
    </row>
    <row r="162" ht="16.5" customHeight="1">
      <c r="A162" s="5" t="s">
        <v>60</v>
      </c>
      <c r="B162" s="1" t="b">
        <v>1</v>
      </c>
      <c r="C162" s="1" t="s">
        <v>854</v>
      </c>
      <c r="D162" s="1" t="s">
        <v>855</v>
      </c>
      <c r="E162" s="1" t="s">
        <v>65</v>
      </c>
      <c r="F162" s="1" t="s">
        <v>66</v>
      </c>
      <c r="G162" s="1" t="s">
        <v>126</v>
      </c>
      <c r="H162" s="1" t="s">
        <v>69</v>
      </c>
      <c r="I162" s="1" t="s">
        <v>70</v>
      </c>
      <c r="J162" s="1"/>
      <c r="K162" s="1" t="b">
        <v>1</v>
      </c>
      <c r="L162" s="1" t="b">
        <v>0</v>
      </c>
      <c r="M162" s="19">
        <v>2000.0</v>
      </c>
      <c r="N162" s="20">
        <v>2.1</v>
      </c>
      <c r="O162" s="20">
        <v>952.38</v>
      </c>
      <c r="P162" s="21"/>
      <c r="Q162" s="1" t="s">
        <v>117</v>
      </c>
      <c r="R162" s="1" t="s">
        <v>145</v>
      </c>
      <c r="S162" s="1" t="s">
        <v>81</v>
      </c>
      <c r="T162" s="1" t="s">
        <v>81</v>
      </c>
      <c r="U162" s="1" t="s">
        <v>0</v>
      </c>
      <c r="V162" s="1" t="s">
        <v>0</v>
      </c>
      <c r="W162" s="22" t="s">
        <v>82</v>
      </c>
      <c r="X162" s="20">
        <v>395.83</v>
      </c>
      <c r="Y162" s="1" t="s">
        <v>0</v>
      </c>
      <c r="Z162" s="1" t="s">
        <v>0</v>
      </c>
      <c r="AA162" s="23" t="s">
        <v>173</v>
      </c>
      <c r="AB162" s="1">
        <v>800.0</v>
      </c>
      <c r="AC162" s="1">
        <v>500.0</v>
      </c>
      <c r="AD162" s="1" t="s">
        <v>854</v>
      </c>
      <c r="AE162" s="1">
        <v>4.0</v>
      </c>
      <c r="AF162" s="5" t="s">
        <v>125</v>
      </c>
      <c r="AG162" s="5" t="s">
        <v>127</v>
      </c>
      <c r="AH162" s="32" t="s">
        <v>264</v>
      </c>
      <c r="AI162" s="5" t="s">
        <v>126</v>
      </c>
      <c r="AJ162" s="5" t="s">
        <v>161</v>
      </c>
      <c r="AK162" s="5" t="s">
        <v>130</v>
      </c>
      <c r="AL162" s="5" t="s">
        <v>131</v>
      </c>
    </row>
    <row r="163" ht="16.5" customHeight="1">
      <c r="A163" s="5" t="s">
        <v>60</v>
      </c>
      <c r="B163" s="1" t="b">
        <v>1</v>
      </c>
      <c r="C163" s="1" t="s">
        <v>858</v>
      </c>
      <c r="D163" s="1" t="s">
        <v>859</v>
      </c>
      <c r="E163" s="1" t="s">
        <v>65</v>
      </c>
      <c r="F163" s="1" t="s">
        <v>66</v>
      </c>
      <c r="G163" s="1" t="s">
        <v>126</v>
      </c>
      <c r="H163" s="1" t="s">
        <v>69</v>
      </c>
      <c r="I163" s="1" t="s">
        <v>107</v>
      </c>
      <c r="J163" s="1"/>
      <c r="K163" s="1" t="b">
        <v>1</v>
      </c>
      <c r="L163" s="1" t="b">
        <v>0</v>
      </c>
      <c r="M163" s="19">
        <v>2000.0</v>
      </c>
      <c r="N163" s="20">
        <v>2.1</v>
      </c>
      <c r="O163" s="20">
        <v>952.38</v>
      </c>
      <c r="P163" s="21"/>
      <c r="Q163" s="1" t="s">
        <v>117</v>
      </c>
      <c r="R163" s="1" t="s">
        <v>145</v>
      </c>
      <c r="S163" s="1" t="s">
        <v>81</v>
      </c>
      <c r="T163" s="1" t="s">
        <v>81</v>
      </c>
      <c r="U163" s="1" t="s">
        <v>0</v>
      </c>
      <c r="V163" s="1" t="s">
        <v>0</v>
      </c>
      <c r="W163" s="22" t="s">
        <v>82</v>
      </c>
      <c r="X163" s="20">
        <v>364.57</v>
      </c>
      <c r="Y163" s="1" t="s">
        <v>0</v>
      </c>
      <c r="Z163" s="1" t="s">
        <v>0</v>
      </c>
      <c r="AA163" s="23" t="s">
        <v>173</v>
      </c>
      <c r="AB163" s="1">
        <v>800.0</v>
      </c>
      <c r="AC163" s="1">
        <v>500.0</v>
      </c>
      <c r="AD163" s="1" t="s">
        <v>858</v>
      </c>
      <c r="AE163" s="1">
        <v>4.0</v>
      </c>
      <c r="AF163" s="5" t="s">
        <v>125</v>
      </c>
      <c r="AG163" s="5" t="s">
        <v>127</v>
      </c>
      <c r="AH163" s="32" t="s">
        <v>264</v>
      </c>
      <c r="AI163" s="5" t="s">
        <v>126</v>
      </c>
      <c r="AJ163" s="5" t="s">
        <v>161</v>
      </c>
      <c r="AK163" s="5" t="s">
        <v>130</v>
      </c>
      <c r="AL163" s="5" t="s">
        <v>131</v>
      </c>
    </row>
    <row r="164" ht="16.5" customHeight="1">
      <c r="A164" s="5" t="s">
        <v>60</v>
      </c>
      <c r="B164" s="1" t="b">
        <v>1</v>
      </c>
      <c r="C164" s="1" t="s">
        <v>861</v>
      </c>
      <c r="D164" s="1" t="s">
        <v>862</v>
      </c>
      <c r="E164" s="1" t="s">
        <v>65</v>
      </c>
      <c r="F164" s="1" t="s">
        <v>66</v>
      </c>
      <c r="G164" s="1" t="s">
        <v>113</v>
      </c>
      <c r="H164" s="1" t="s">
        <v>96</v>
      </c>
      <c r="I164" s="1" t="s">
        <v>70</v>
      </c>
      <c r="J164" s="1"/>
      <c r="K164" s="1" t="b">
        <v>1</v>
      </c>
      <c r="L164" s="1" t="b">
        <v>0</v>
      </c>
      <c r="M164" s="19">
        <v>2200.0</v>
      </c>
      <c r="N164" s="20">
        <v>2.1</v>
      </c>
      <c r="O164" s="20">
        <v>1047.62</v>
      </c>
      <c r="P164" s="21"/>
      <c r="Q164" s="1" t="s">
        <v>242</v>
      </c>
      <c r="R164" s="1" t="s">
        <v>97</v>
      </c>
      <c r="S164" s="1" t="s">
        <v>546</v>
      </c>
      <c r="T164" s="1" t="s">
        <v>81</v>
      </c>
      <c r="U164" s="1" t="s">
        <v>0</v>
      </c>
      <c r="V164" s="1" t="s">
        <v>97</v>
      </c>
      <c r="W164" s="22" t="s">
        <v>82</v>
      </c>
      <c r="X164" s="20">
        <v>327.96</v>
      </c>
      <c r="Y164" s="1" t="s">
        <v>0</v>
      </c>
      <c r="Z164" s="1" t="s">
        <v>0</v>
      </c>
      <c r="AA164" s="23" t="s">
        <v>101</v>
      </c>
      <c r="AB164" s="1">
        <v>1000.0</v>
      </c>
      <c r="AC164" s="1">
        <v>300.0</v>
      </c>
      <c r="AD164" s="1" t="s">
        <v>861</v>
      </c>
      <c r="AE164" s="1">
        <v>2.0</v>
      </c>
      <c r="AF164" s="5" t="s">
        <v>86</v>
      </c>
      <c r="AG164" s="5" t="s">
        <v>121</v>
      </c>
      <c r="AI164" s="5" t="s">
        <v>126</v>
      </c>
      <c r="AJ164" s="5" t="s">
        <v>128</v>
      </c>
      <c r="AK164" s="5" t="s">
        <v>130</v>
      </c>
      <c r="AL164" s="5" t="s">
        <v>131</v>
      </c>
    </row>
    <row r="165" ht="16.5" customHeight="1">
      <c r="A165" s="5" t="s">
        <v>60</v>
      </c>
      <c r="B165" s="1" t="b">
        <v>1</v>
      </c>
      <c r="C165" s="1" t="s">
        <v>863</v>
      </c>
      <c r="D165" s="1" t="s">
        <v>864</v>
      </c>
      <c r="E165" s="1" t="s">
        <v>65</v>
      </c>
      <c r="F165" s="1" t="s">
        <v>66</v>
      </c>
      <c r="G165" s="1" t="s">
        <v>113</v>
      </c>
      <c r="H165" s="1" t="s">
        <v>96</v>
      </c>
      <c r="I165" s="1" t="s">
        <v>107</v>
      </c>
      <c r="J165" s="1"/>
      <c r="K165" s="1" t="b">
        <v>1</v>
      </c>
      <c r="L165" s="1" t="b">
        <v>0</v>
      </c>
      <c r="M165" s="19">
        <v>2200.0</v>
      </c>
      <c r="N165" s="20">
        <v>2.1</v>
      </c>
      <c r="O165" s="20">
        <v>1047.62</v>
      </c>
      <c r="P165" s="21"/>
      <c r="Q165" s="1" t="s">
        <v>242</v>
      </c>
      <c r="R165" s="1" t="s">
        <v>97</v>
      </c>
      <c r="S165" s="1" t="s">
        <v>81</v>
      </c>
      <c r="T165" s="1" t="s">
        <v>81</v>
      </c>
      <c r="U165" s="1" t="s">
        <v>0</v>
      </c>
      <c r="V165" s="1" t="s">
        <v>97</v>
      </c>
      <c r="W165" s="22" t="s">
        <v>82</v>
      </c>
      <c r="X165" s="20">
        <v>414.94</v>
      </c>
      <c r="Y165" s="1" t="s">
        <v>0</v>
      </c>
      <c r="Z165" s="1" t="s">
        <v>0</v>
      </c>
      <c r="AA165" s="23" t="s">
        <v>101</v>
      </c>
      <c r="AB165" s="1">
        <v>1000.0</v>
      </c>
      <c r="AC165" s="1">
        <v>300.0</v>
      </c>
      <c r="AD165" s="1" t="s">
        <v>863</v>
      </c>
      <c r="AE165" s="1">
        <v>2.0</v>
      </c>
      <c r="AF165" s="5" t="s">
        <v>86</v>
      </c>
      <c r="AG165" s="5" t="s">
        <v>121</v>
      </c>
      <c r="AI165" s="5" t="s">
        <v>126</v>
      </c>
      <c r="AJ165" s="5" t="s">
        <v>128</v>
      </c>
      <c r="AK165" s="5" t="s">
        <v>130</v>
      </c>
      <c r="AL165" s="5" t="s">
        <v>131</v>
      </c>
    </row>
    <row r="166" ht="16.5" customHeight="1">
      <c r="A166" s="5" t="s">
        <v>60</v>
      </c>
      <c r="B166" s="1" t="b">
        <v>1</v>
      </c>
      <c r="C166" s="1" t="s">
        <v>865</v>
      </c>
      <c r="D166" s="1" t="s">
        <v>866</v>
      </c>
      <c r="E166" s="1" t="s">
        <v>65</v>
      </c>
      <c r="F166" s="1" t="s">
        <v>66</v>
      </c>
      <c r="G166" s="1" t="s">
        <v>334</v>
      </c>
      <c r="H166" s="1" t="s">
        <v>69</v>
      </c>
      <c r="I166" s="1" t="s">
        <v>107</v>
      </c>
      <c r="J166" s="1"/>
      <c r="K166" s="1" t="b">
        <v>1</v>
      </c>
      <c r="L166" s="1" t="b">
        <v>0</v>
      </c>
      <c r="M166" s="19">
        <v>1200.0</v>
      </c>
      <c r="N166" s="20">
        <v>2.1</v>
      </c>
      <c r="O166" s="20">
        <v>571.43</v>
      </c>
      <c r="P166" s="21"/>
      <c r="Q166" s="1" t="s">
        <v>78</v>
      </c>
      <c r="R166" s="1" t="s">
        <v>145</v>
      </c>
      <c r="S166" s="1" t="s">
        <v>81</v>
      </c>
      <c r="T166" s="1" t="s">
        <v>81</v>
      </c>
      <c r="U166" s="1" t="s">
        <v>0</v>
      </c>
      <c r="V166" s="1" t="s">
        <v>0</v>
      </c>
      <c r="W166" s="22" t="s">
        <v>82</v>
      </c>
      <c r="X166" s="20">
        <v>204.3</v>
      </c>
      <c r="Y166" s="1" t="s">
        <v>0</v>
      </c>
      <c r="Z166" s="1" t="s">
        <v>0</v>
      </c>
      <c r="AA166" s="23" t="s">
        <v>173</v>
      </c>
      <c r="AB166" s="1">
        <v>1000.0</v>
      </c>
      <c r="AC166" s="1">
        <v>300.0</v>
      </c>
      <c r="AD166" s="1" t="s">
        <v>865</v>
      </c>
      <c r="AE166" s="1">
        <v>3.0</v>
      </c>
      <c r="AF166" s="5" t="s">
        <v>125</v>
      </c>
      <c r="AG166" s="5" t="s">
        <v>174</v>
      </c>
      <c r="AH166" s="32" t="s">
        <v>264</v>
      </c>
      <c r="AI166" s="5" t="s">
        <v>334</v>
      </c>
      <c r="AJ166" s="5" t="s">
        <v>869</v>
      </c>
      <c r="AK166" s="5" t="s">
        <v>539</v>
      </c>
      <c r="AL166" s="5" t="s">
        <v>131</v>
      </c>
    </row>
    <row r="167" ht="16.5" customHeight="1">
      <c r="A167" s="5" t="s">
        <v>60</v>
      </c>
      <c r="B167" s="1" t="b">
        <v>1</v>
      </c>
      <c r="C167" s="1" t="s">
        <v>870</v>
      </c>
      <c r="D167" s="1" t="s">
        <v>871</v>
      </c>
      <c r="E167" s="1" t="s">
        <v>65</v>
      </c>
      <c r="F167" s="1" t="s">
        <v>66</v>
      </c>
      <c r="G167" s="1" t="s">
        <v>334</v>
      </c>
      <c r="H167" s="1" t="s">
        <v>69</v>
      </c>
      <c r="I167" s="1" t="s">
        <v>70</v>
      </c>
      <c r="J167" s="1"/>
      <c r="K167" s="1" t="b">
        <v>1</v>
      </c>
      <c r="L167" s="1" t="b">
        <v>0</v>
      </c>
      <c r="M167" s="19">
        <v>1000.0</v>
      </c>
      <c r="N167" s="20">
        <v>2.1</v>
      </c>
      <c r="O167" s="20">
        <v>476.19</v>
      </c>
      <c r="P167" s="21"/>
      <c r="Q167" s="1" t="s">
        <v>117</v>
      </c>
      <c r="R167" s="1" t="s">
        <v>145</v>
      </c>
      <c r="S167" s="1" t="s">
        <v>81</v>
      </c>
      <c r="T167" s="1" t="s">
        <v>81</v>
      </c>
      <c r="U167" s="1" t="s">
        <v>0</v>
      </c>
      <c r="V167" s="1" t="s">
        <v>0</v>
      </c>
      <c r="W167" s="22" t="s">
        <v>82</v>
      </c>
      <c r="X167" s="20">
        <v>181.25</v>
      </c>
      <c r="Y167" s="1" t="s">
        <v>0</v>
      </c>
      <c r="Z167" s="1" t="s">
        <v>0</v>
      </c>
      <c r="AA167" s="23" t="s">
        <v>173</v>
      </c>
      <c r="AB167" s="1">
        <v>1000.0</v>
      </c>
      <c r="AC167" s="1">
        <v>300.0</v>
      </c>
      <c r="AD167" s="1" t="s">
        <v>870</v>
      </c>
      <c r="AE167" s="1">
        <v>4.0</v>
      </c>
      <c r="AF167" s="5" t="s">
        <v>125</v>
      </c>
      <c r="AG167" s="5" t="s">
        <v>174</v>
      </c>
      <c r="AH167" s="32" t="s">
        <v>264</v>
      </c>
      <c r="AI167" s="5" t="s">
        <v>334</v>
      </c>
      <c r="AJ167" s="5" t="s">
        <v>872</v>
      </c>
      <c r="AK167" s="5" t="s">
        <v>539</v>
      </c>
      <c r="AL167" s="5" t="s">
        <v>131</v>
      </c>
    </row>
    <row r="168" ht="16.5" customHeight="1">
      <c r="A168" s="5" t="s">
        <v>60</v>
      </c>
      <c r="B168" s="1" t="b">
        <v>1</v>
      </c>
      <c r="C168" s="1" t="s">
        <v>874</v>
      </c>
      <c r="D168" s="1" t="s">
        <v>875</v>
      </c>
      <c r="E168" s="1" t="s">
        <v>65</v>
      </c>
      <c r="F168" s="1" t="s">
        <v>66</v>
      </c>
      <c r="G168" s="1" t="s">
        <v>334</v>
      </c>
      <c r="H168" s="1" t="s">
        <v>69</v>
      </c>
      <c r="I168" s="1" t="s">
        <v>107</v>
      </c>
      <c r="J168" s="1"/>
      <c r="K168" s="1" t="b">
        <v>1</v>
      </c>
      <c r="L168" s="1" t="b">
        <v>0</v>
      </c>
      <c r="M168" s="19">
        <v>1000.0</v>
      </c>
      <c r="N168" s="20">
        <v>2.1</v>
      </c>
      <c r="O168" s="20">
        <v>476.19</v>
      </c>
      <c r="P168" s="21"/>
      <c r="Q168" s="1" t="s">
        <v>117</v>
      </c>
      <c r="R168" s="1" t="s">
        <v>145</v>
      </c>
      <c r="S168" s="1" t="s">
        <v>81</v>
      </c>
      <c r="T168" s="1" t="s">
        <v>81</v>
      </c>
      <c r="U168" s="1" t="s">
        <v>0</v>
      </c>
      <c r="V168" s="1" t="s">
        <v>0</v>
      </c>
      <c r="W168" s="22" t="s">
        <v>82</v>
      </c>
      <c r="X168" s="20">
        <v>164.95000000000002</v>
      </c>
      <c r="Y168" s="1" t="s">
        <v>0</v>
      </c>
      <c r="Z168" s="1" t="s">
        <v>0</v>
      </c>
      <c r="AA168" s="23" t="s">
        <v>173</v>
      </c>
      <c r="AB168" s="1">
        <v>1000.0</v>
      </c>
      <c r="AC168" s="1">
        <v>300.0</v>
      </c>
      <c r="AD168" s="1" t="s">
        <v>874</v>
      </c>
      <c r="AE168" s="1">
        <v>3.0</v>
      </c>
      <c r="AF168" s="5" t="s">
        <v>125</v>
      </c>
      <c r="AG168" s="5" t="s">
        <v>174</v>
      </c>
      <c r="AH168" s="32" t="s">
        <v>264</v>
      </c>
      <c r="AI168" s="5" t="s">
        <v>334</v>
      </c>
      <c r="AJ168" s="5" t="s">
        <v>872</v>
      </c>
      <c r="AK168" s="5" t="s">
        <v>539</v>
      </c>
      <c r="AL168" s="5" t="s">
        <v>131</v>
      </c>
    </row>
    <row r="169" ht="16.5" customHeight="1">
      <c r="A169" s="5" t="s">
        <v>60</v>
      </c>
      <c r="B169" s="1" t="b">
        <v>1</v>
      </c>
      <c r="C169" s="1" t="s">
        <v>877</v>
      </c>
      <c r="D169" s="1" t="s">
        <v>878</v>
      </c>
      <c r="E169" s="1" t="s">
        <v>65</v>
      </c>
      <c r="F169" s="1" t="s">
        <v>66</v>
      </c>
      <c r="G169" s="1" t="s">
        <v>334</v>
      </c>
      <c r="H169" s="1" t="s">
        <v>69</v>
      </c>
      <c r="I169" s="1" t="s">
        <v>70</v>
      </c>
      <c r="J169" s="1"/>
      <c r="K169" s="1" t="b">
        <v>1</v>
      </c>
      <c r="L169" s="1" t="b">
        <v>0</v>
      </c>
      <c r="M169" s="19">
        <v>900.0</v>
      </c>
      <c r="N169" s="20">
        <v>2.1</v>
      </c>
      <c r="O169" s="20">
        <v>428.57</v>
      </c>
      <c r="P169" s="21"/>
      <c r="Q169" s="1" t="s">
        <v>117</v>
      </c>
      <c r="R169" s="1" t="s">
        <v>145</v>
      </c>
      <c r="S169" s="1" t="s">
        <v>81</v>
      </c>
      <c r="T169" s="1" t="s">
        <v>81</v>
      </c>
      <c r="U169" s="1" t="s">
        <v>0</v>
      </c>
      <c r="V169" s="1" t="s">
        <v>0</v>
      </c>
      <c r="W169" s="22" t="s">
        <v>82</v>
      </c>
      <c r="X169" s="20">
        <v>160.65</v>
      </c>
      <c r="Y169" s="1" t="s">
        <v>0</v>
      </c>
      <c r="Z169" s="1" t="s">
        <v>0</v>
      </c>
      <c r="AA169" s="23" t="s">
        <v>173</v>
      </c>
      <c r="AB169" s="1">
        <v>1000.0</v>
      </c>
      <c r="AC169" s="1">
        <v>300.0</v>
      </c>
      <c r="AD169" s="1" t="s">
        <v>877</v>
      </c>
      <c r="AE169" s="1">
        <v>4.0</v>
      </c>
      <c r="AF169" s="5" t="s">
        <v>125</v>
      </c>
      <c r="AG169" s="5" t="s">
        <v>174</v>
      </c>
      <c r="AH169" s="32" t="s">
        <v>264</v>
      </c>
      <c r="AI169" s="5" t="s">
        <v>334</v>
      </c>
      <c r="AJ169" s="5" t="s">
        <v>872</v>
      </c>
      <c r="AK169" s="5" t="s">
        <v>539</v>
      </c>
      <c r="AL169" s="5" t="s">
        <v>131</v>
      </c>
    </row>
    <row r="170" ht="16.5" customHeight="1">
      <c r="A170" s="5" t="s">
        <v>60</v>
      </c>
      <c r="B170" s="1" t="b">
        <v>1</v>
      </c>
      <c r="C170" s="1" t="s">
        <v>879</v>
      </c>
      <c r="D170" s="1" t="s">
        <v>880</v>
      </c>
      <c r="E170" s="1" t="s">
        <v>65</v>
      </c>
      <c r="F170" s="1" t="s">
        <v>66</v>
      </c>
      <c r="G170" s="1" t="s">
        <v>355</v>
      </c>
      <c r="H170" s="1" t="s">
        <v>69</v>
      </c>
      <c r="I170" s="1" t="s">
        <v>70</v>
      </c>
      <c r="J170" s="1"/>
      <c r="K170" s="1" t="b">
        <v>1</v>
      </c>
      <c r="L170" s="1" t="b">
        <v>0</v>
      </c>
      <c r="M170" s="19">
        <v>2200.0</v>
      </c>
      <c r="N170" s="20">
        <v>2.1</v>
      </c>
      <c r="O170" s="20">
        <v>1047.62</v>
      </c>
      <c r="P170" s="21"/>
      <c r="Q170" s="1" t="s">
        <v>78</v>
      </c>
      <c r="R170" s="1" t="s">
        <v>145</v>
      </c>
      <c r="S170" s="1" t="s">
        <v>198</v>
      </c>
      <c r="T170" s="1" t="s">
        <v>81</v>
      </c>
      <c r="U170" s="1" t="s">
        <v>0</v>
      </c>
      <c r="V170" s="1" t="s">
        <v>146</v>
      </c>
      <c r="W170" s="22" t="s">
        <v>82</v>
      </c>
      <c r="X170" s="20">
        <v>292.26000000000005</v>
      </c>
      <c r="Y170" s="1" t="s">
        <v>883</v>
      </c>
      <c r="Z170" s="1" t="s">
        <v>884</v>
      </c>
      <c r="AA170" s="23" t="s">
        <v>85</v>
      </c>
      <c r="AB170" s="1">
        <v>1000.0</v>
      </c>
      <c r="AC170" s="1">
        <v>300.0</v>
      </c>
      <c r="AD170" s="1" t="s">
        <v>879</v>
      </c>
      <c r="AE170" s="1">
        <v>3.0</v>
      </c>
      <c r="AF170" s="5" t="s">
        <v>125</v>
      </c>
      <c r="AG170" s="5" t="s">
        <v>127</v>
      </c>
      <c r="AH170" s="5" t="s">
        <v>410</v>
      </c>
      <c r="AI170" s="5" t="s">
        <v>355</v>
      </c>
      <c r="AJ170" s="5" t="s">
        <v>161</v>
      </c>
      <c r="AK170" s="5" t="s">
        <v>367</v>
      </c>
      <c r="AL170" s="5" t="s">
        <v>131</v>
      </c>
    </row>
    <row r="171" ht="16.5" customHeight="1">
      <c r="A171" s="5" t="s">
        <v>60</v>
      </c>
      <c r="B171" s="1" t="b">
        <v>1</v>
      </c>
      <c r="C171" s="1" t="s">
        <v>886</v>
      </c>
      <c r="D171" s="1" t="s">
        <v>887</v>
      </c>
      <c r="E171" s="1" t="s">
        <v>65</v>
      </c>
      <c r="F171" s="1" t="s">
        <v>66</v>
      </c>
      <c r="G171" s="1" t="s">
        <v>355</v>
      </c>
      <c r="H171" s="1" t="s">
        <v>69</v>
      </c>
      <c r="I171" s="1" t="s">
        <v>107</v>
      </c>
      <c r="J171" s="1"/>
      <c r="K171" s="1" t="b">
        <v>1</v>
      </c>
      <c r="L171" s="1" t="b">
        <v>0</v>
      </c>
      <c r="M171" s="19">
        <v>2200.0</v>
      </c>
      <c r="N171" s="20">
        <v>2.1</v>
      </c>
      <c r="O171" s="20">
        <v>1047.62</v>
      </c>
      <c r="P171" s="21"/>
      <c r="Q171" s="1" t="s">
        <v>78</v>
      </c>
      <c r="R171" s="1" t="s">
        <v>145</v>
      </c>
      <c r="S171" s="1" t="s">
        <v>198</v>
      </c>
      <c r="T171" s="1" t="s">
        <v>81</v>
      </c>
      <c r="U171" s="1" t="s">
        <v>0</v>
      </c>
      <c r="V171" s="1" t="s">
        <v>146</v>
      </c>
      <c r="W171" s="22" t="s">
        <v>82</v>
      </c>
      <c r="X171" s="20">
        <v>275.59</v>
      </c>
      <c r="Y171" s="1" t="s">
        <v>888</v>
      </c>
      <c r="Z171" s="1" t="s">
        <v>889</v>
      </c>
      <c r="AA171" s="23" t="s">
        <v>85</v>
      </c>
      <c r="AB171" s="1">
        <v>1000.0</v>
      </c>
      <c r="AC171" s="1">
        <v>300.0</v>
      </c>
      <c r="AD171" s="1" t="s">
        <v>886</v>
      </c>
      <c r="AE171" s="1">
        <v>3.0</v>
      </c>
      <c r="AF171" s="5" t="s">
        <v>125</v>
      </c>
      <c r="AG171" s="5" t="s">
        <v>127</v>
      </c>
      <c r="AH171" s="5" t="s">
        <v>410</v>
      </c>
      <c r="AI171" s="5" t="s">
        <v>355</v>
      </c>
      <c r="AJ171" s="5" t="s">
        <v>161</v>
      </c>
      <c r="AK171" s="5" t="s">
        <v>367</v>
      </c>
      <c r="AL171" s="5" t="s">
        <v>131</v>
      </c>
    </row>
    <row r="172" ht="16.5" customHeight="1">
      <c r="A172" s="5" t="s">
        <v>60</v>
      </c>
      <c r="B172" s="1" t="b">
        <v>1</v>
      </c>
      <c r="C172" s="1" t="s">
        <v>892</v>
      </c>
      <c r="D172" s="1" t="s">
        <v>893</v>
      </c>
      <c r="E172" s="1" t="s">
        <v>65</v>
      </c>
      <c r="F172" s="1" t="s">
        <v>66</v>
      </c>
      <c r="G172" s="1" t="s">
        <v>68</v>
      </c>
      <c r="H172" s="1" t="s">
        <v>141</v>
      </c>
      <c r="I172" s="1" t="s">
        <v>70</v>
      </c>
      <c r="J172" s="1"/>
      <c r="K172" s="1" t="b">
        <v>1</v>
      </c>
      <c r="L172" s="1" t="b">
        <v>0</v>
      </c>
      <c r="M172" s="19">
        <v>2000.0</v>
      </c>
      <c r="N172" s="20">
        <v>2.1</v>
      </c>
      <c r="O172" s="20">
        <v>952.38</v>
      </c>
      <c r="P172" s="21"/>
      <c r="Q172" s="1" t="s">
        <v>78</v>
      </c>
      <c r="R172" s="1" t="s">
        <v>154</v>
      </c>
      <c r="S172" s="1" t="s">
        <v>166</v>
      </c>
      <c r="T172" s="1" t="s">
        <v>81</v>
      </c>
      <c r="U172" s="1" t="s">
        <v>0</v>
      </c>
      <c r="V172" s="1" t="s">
        <v>156</v>
      </c>
      <c r="W172" s="22" t="s">
        <v>82</v>
      </c>
      <c r="X172" s="20">
        <v>318.8</v>
      </c>
      <c r="Y172" s="1" t="s">
        <v>0</v>
      </c>
      <c r="Z172" s="1" t="s">
        <v>0</v>
      </c>
      <c r="AA172" s="23" t="s">
        <v>101</v>
      </c>
      <c r="AB172" s="1">
        <v>1000.0</v>
      </c>
      <c r="AC172" s="1">
        <v>300.0</v>
      </c>
      <c r="AD172" s="1" t="s">
        <v>892</v>
      </c>
      <c r="AE172" s="1">
        <v>1.0</v>
      </c>
      <c r="AF172" s="5" t="s">
        <v>125</v>
      </c>
      <c r="AG172" s="5" t="s">
        <v>127</v>
      </c>
      <c r="AI172" s="5" t="s">
        <v>68</v>
      </c>
      <c r="AJ172" s="5" t="s">
        <v>128</v>
      </c>
      <c r="AK172" s="5" t="s">
        <v>90</v>
      </c>
      <c r="AL172" s="5" t="s">
        <v>91</v>
      </c>
    </row>
    <row r="173" ht="16.5" customHeight="1">
      <c r="A173" s="5" t="s">
        <v>60</v>
      </c>
      <c r="B173" s="1" t="b">
        <v>1</v>
      </c>
      <c r="C173" s="1" t="s">
        <v>894</v>
      </c>
      <c r="D173" s="1" t="s">
        <v>895</v>
      </c>
      <c r="E173" s="1" t="s">
        <v>65</v>
      </c>
      <c r="F173" s="1" t="s">
        <v>66</v>
      </c>
      <c r="G173" s="1" t="s">
        <v>68</v>
      </c>
      <c r="H173" s="1" t="s">
        <v>141</v>
      </c>
      <c r="I173" s="1" t="s">
        <v>107</v>
      </c>
      <c r="J173" s="1"/>
      <c r="K173" s="1" t="b">
        <v>1</v>
      </c>
      <c r="L173" s="1" t="b">
        <v>0</v>
      </c>
      <c r="M173" s="19">
        <v>2000.0</v>
      </c>
      <c r="N173" s="20">
        <v>2.1</v>
      </c>
      <c r="O173" s="20">
        <v>952.38</v>
      </c>
      <c r="P173" s="21"/>
      <c r="Q173" s="1" t="s">
        <v>78</v>
      </c>
      <c r="R173" s="1" t="s">
        <v>154</v>
      </c>
      <c r="S173" s="1" t="s">
        <v>166</v>
      </c>
      <c r="T173" s="1" t="s">
        <v>81</v>
      </c>
      <c r="U173" s="1" t="s">
        <v>0</v>
      </c>
      <c r="V173" s="1" t="s">
        <v>156</v>
      </c>
      <c r="W173" s="22" t="s">
        <v>82</v>
      </c>
      <c r="X173" s="20">
        <v>313.75</v>
      </c>
      <c r="Y173" s="1" t="s">
        <v>0</v>
      </c>
      <c r="Z173" s="1" t="s">
        <v>0</v>
      </c>
      <c r="AA173" s="23" t="s">
        <v>101</v>
      </c>
      <c r="AB173" s="1">
        <v>1000.0</v>
      </c>
      <c r="AC173" s="1">
        <v>300.0</v>
      </c>
      <c r="AD173" s="1" t="s">
        <v>894</v>
      </c>
      <c r="AE173" s="1">
        <v>1.0</v>
      </c>
      <c r="AF173" s="5" t="s">
        <v>125</v>
      </c>
      <c r="AG173" s="5" t="s">
        <v>127</v>
      </c>
      <c r="AI173" s="5" t="s">
        <v>68</v>
      </c>
      <c r="AJ173" s="5" t="s">
        <v>128</v>
      </c>
      <c r="AK173" s="5" t="s">
        <v>90</v>
      </c>
      <c r="AL173" s="5" t="s">
        <v>91</v>
      </c>
    </row>
    <row r="174" ht="16.5" customHeight="1">
      <c r="A174" s="5" t="s">
        <v>60</v>
      </c>
      <c r="B174" s="1" t="b">
        <v>1</v>
      </c>
      <c r="C174" s="1" t="s">
        <v>897</v>
      </c>
      <c r="D174" s="1" t="s">
        <v>898</v>
      </c>
      <c r="E174" s="1" t="s">
        <v>65</v>
      </c>
      <c r="F174" s="1" t="s">
        <v>66</v>
      </c>
      <c r="G174" s="1" t="s">
        <v>248</v>
      </c>
      <c r="H174" s="1" t="s">
        <v>69</v>
      </c>
      <c r="I174" s="1" t="s">
        <v>249</v>
      </c>
      <c r="J174" s="1"/>
      <c r="K174" s="1" t="b">
        <v>1</v>
      </c>
      <c r="L174" s="1" t="b">
        <v>0</v>
      </c>
      <c r="M174" s="19">
        <v>600.0</v>
      </c>
      <c r="N174" s="20">
        <v>2.1</v>
      </c>
      <c r="O174" s="20">
        <v>285.71</v>
      </c>
      <c r="P174" s="21"/>
      <c r="Q174" s="1" t="s">
        <v>78</v>
      </c>
      <c r="R174" s="1" t="s">
        <v>145</v>
      </c>
      <c r="S174" s="1" t="s">
        <v>81</v>
      </c>
      <c r="T174" s="1" t="s">
        <v>81</v>
      </c>
      <c r="U174" s="1" t="s">
        <v>0</v>
      </c>
      <c r="V174" s="1" t="s">
        <v>0</v>
      </c>
      <c r="W174" s="22" t="s">
        <v>82</v>
      </c>
      <c r="X174" s="20">
        <v>117.85000000000001</v>
      </c>
      <c r="Y174" s="1" t="s">
        <v>0</v>
      </c>
      <c r="Z174" s="1" t="s">
        <v>0</v>
      </c>
      <c r="AA174" s="23" t="s">
        <v>85</v>
      </c>
      <c r="AB174" s="1">
        <v>600.0</v>
      </c>
      <c r="AC174" s="1">
        <v>600.0</v>
      </c>
      <c r="AD174" s="1" t="s">
        <v>897</v>
      </c>
      <c r="AE174" s="1">
        <v>2.0</v>
      </c>
      <c r="AF174" s="5" t="s">
        <v>125</v>
      </c>
      <c r="AG174" s="5" t="s">
        <v>127</v>
      </c>
      <c r="AI174" s="5" t="s">
        <v>248</v>
      </c>
      <c r="AJ174" s="5" t="s">
        <v>253</v>
      </c>
      <c r="AK174" s="5" t="s">
        <v>254</v>
      </c>
      <c r="AL174" s="5" t="s">
        <v>131</v>
      </c>
    </row>
    <row r="175" ht="16.5" customHeight="1">
      <c r="A175" s="5" t="s">
        <v>60</v>
      </c>
      <c r="B175" s="1" t="b">
        <v>1</v>
      </c>
      <c r="C175" s="1" t="s">
        <v>899</v>
      </c>
      <c r="D175" s="1" t="s">
        <v>900</v>
      </c>
      <c r="E175" s="1" t="s">
        <v>65</v>
      </c>
      <c r="F175" s="1" t="s">
        <v>66</v>
      </c>
      <c r="G175" s="1" t="s">
        <v>334</v>
      </c>
      <c r="H175" s="1" t="s">
        <v>69</v>
      </c>
      <c r="I175" s="1" t="s">
        <v>70</v>
      </c>
      <c r="J175" s="1"/>
      <c r="K175" s="1" t="b">
        <v>1</v>
      </c>
      <c r="L175" s="1" t="b">
        <v>0</v>
      </c>
      <c r="M175" s="19">
        <v>2500.0</v>
      </c>
      <c r="N175" s="20">
        <v>2.1</v>
      </c>
      <c r="O175" s="20">
        <v>1190.48</v>
      </c>
      <c r="P175" s="21"/>
      <c r="Q175" s="1" t="s">
        <v>117</v>
      </c>
      <c r="R175" s="1" t="s">
        <v>145</v>
      </c>
      <c r="S175" s="1" t="s">
        <v>81</v>
      </c>
      <c r="T175" s="1" t="s">
        <v>81</v>
      </c>
      <c r="U175" s="1" t="s">
        <v>0</v>
      </c>
      <c r="V175" s="1" t="s">
        <v>0</v>
      </c>
      <c r="W175" s="22" t="s">
        <v>82</v>
      </c>
      <c r="X175" s="20">
        <v>434.71000000000004</v>
      </c>
      <c r="Y175" s="1" t="s">
        <v>0</v>
      </c>
      <c r="Z175" s="1" t="s">
        <v>0</v>
      </c>
      <c r="AA175" s="23" t="s">
        <v>173</v>
      </c>
      <c r="AB175" s="1">
        <v>1000.0</v>
      </c>
      <c r="AC175" s="1">
        <v>300.0</v>
      </c>
      <c r="AD175" s="1" t="s">
        <v>899</v>
      </c>
      <c r="AE175" s="1">
        <v>2.0</v>
      </c>
      <c r="AF175" s="5" t="s">
        <v>86</v>
      </c>
      <c r="AG175" s="5" t="s">
        <v>87</v>
      </c>
      <c r="AH175" s="5" t="s">
        <v>88</v>
      </c>
      <c r="AI175" s="5" t="s">
        <v>334</v>
      </c>
      <c r="AJ175" s="5" t="s">
        <v>89</v>
      </c>
      <c r="AK175" s="5" t="s">
        <v>539</v>
      </c>
      <c r="AL175" s="5" t="s">
        <v>131</v>
      </c>
    </row>
    <row r="176" ht="16.5" customHeight="1">
      <c r="A176" s="5" t="s">
        <v>60</v>
      </c>
      <c r="B176" s="1" t="b">
        <v>1</v>
      </c>
      <c r="C176" s="1" t="s">
        <v>903</v>
      </c>
      <c r="D176" s="1" t="s">
        <v>904</v>
      </c>
      <c r="E176" s="1" t="s">
        <v>65</v>
      </c>
      <c r="F176" s="1" t="s">
        <v>66</v>
      </c>
      <c r="G176" s="1" t="s">
        <v>334</v>
      </c>
      <c r="H176" s="1" t="s">
        <v>69</v>
      </c>
      <c r="I176" s="1" t="s">
        <v>107</v>
      </c>
      <c r="J176" s="1"/>
      <c r="K176" s="1" t="b">
        <v>1</v>
      </c>
      <c r="L176" s="1" t="b">
        <v>0</v>
      </c>
      <c r="M176" s="19">
        <v>2500.0</v>
      </c>
      <c r="N176" s="20">
        <v>2.1</v>
      </c>
      <c r="O176" s="20">
        <v>1190.48</v>
      </c>
      <c r="P176" s="21"/>
      <c r="Q176" s="1" t="s">
        <v>117</v>
      </c>
      <c r="R176" s="1" t="s">
        <v>145</v>
      </c>
      <c r="S176" s="1" t="s">
        <v>81</v>
      </c>
      <c r="T176" s="1" t="s">
        <v>81</v>
      </c>
      <c r="U176" s="1" t="s">
        <v>0</v>
      </c>
      <c r="V176" s="1" t="s">
        <v>0</v>
      </c>
      <c r="W176" s="22" t="s">
        <v>82</v>
      </c>
      <c r="X176" s="20">
        <v>404.83</v>
      </c>
      <c r="Y176" s="1" t="s">
        <v>0</v>
      </c>
      <c r="Z176" s="1" t="s">
        <v>0</v>
      </c>
      <c r="AA176" s="23" t="s">
        <v>173</v>
      </c>
      <c r="AB176" s="1">
        <v>1000.0</v>
      </c>
      <c r="AC176" s="1">
        <v>300.0</v>
      </c>
      <c r="AD176" s="1" t="s">
        <v>903</v>
      </c>
      <c r="AE176" s="1">
        <v>2.0</v>
      </c>
      <c r="AF176" s="5" t="s">
        <v>86</v>
      </c>
      <c r="AG176" s="5" t="s">
        <v>87</v>
      </c>
      <c r="AH176" s="5" t="s">
        <v>88</v>
      </c>
      <c r="AI176" s="5" t="s">
        <v>334</v>
      </c>
      <c r="AJ176" s="5" t="s">
        <v>89</v>
      </c>
      <c r="AK176" s="5" t="s">
        <v>539</v>
      </c>
      <c r="AL176" s="5" t="s">
        <v>131</v>
      </c>
    </row>
    <row r="177" ht="16.5" customHeight="1">
      <c r="A177" s="5" t="s">
        <v>60</v>
      </c>
      <c r="B177" s="1" t="b">
        <v>1</v>
      </c>
      <c r="C177" s="1" t="s">
        <v>905</v>
      </c>
      <c r="D177" s="1" t="s">
        <v>906</v>
      </c>
      <c r="E177" s="1" t="s">
        <v>65</v>
      </c>
      <c r="F177" s="1" t="s">
        <v>66</v>
      </c>
      <c r="G177" s="1" t="s">
        <v>113</v>
      </c>
      <c r="H177" s="1" t="s">
        <v>69</v>
      </c>
      <c r="I177" s="1" t="s">
        <v>70</v>
      </c>
      <c r="J177" s="1"/>
      <c r="K177" s="1" t="b">
        <v>1</v>
      </c>
      <c r="L177" s="1" t="b">
        <v>0</v>
      </c>
      <c r="M177" s="19">
        <v>2200.0</v>
      </c>
      <c r="N177" s="20">
        <v>2.1</v>
      </c>
      <c r="O177" s="20">
        <v>1047.62</v>
      </c>
      <c r="P177" s="21"/>
      <c r="Q177" s="1" t="s">
        <v>117</v>
      </c>
      <c r="R177" s="1" t="s">
        <v>145</v>
      </c>
      <c r="S177" s="1" t="s">
        <v>81</v>
      </c>
      <c r="T177" s="1" t="s">
        <v>81</v>
      </c>
      <c r="U177" s="1" t="s">
        <v>0</v>
      </c>
      <c r="V177" s="1" t="s">
        <v>0</v>
      </c>
      <c r="W177" s="22" t="s">
        <v>82</v>
      </c>
      <c r="X177" s="20">
        <v>434.14</v>
      </c>
      <c r="Y177" s="1" t="s">
        <v>0</v>
      </c>
      <c r="Z177" s="1" t="s">
        <v>0</v>
      </c>
      <c r="AA177" s="23" t="s">
        <v>173</v>
      </c>
      <c r="AB177" s="1">
        <v>1000.0</v>
      </c>
      <c r="AC177" s="1">
        <v>300.0</v>
      </c>
      <c r="AD177" s="1" t="s">
        <v>905</v>
      </c>
      <c r="AE177" s="1">
        <v>2.0</v>
      </c>
      <c r="AF177" s="5" t="s">
        <v>86</v>
      </c>
      <c r="AG177" s="5" t="s">
        <v>87</v>
      </c>
      <c r="AH177" s="32" t="s">
        <v>429</v>
      </c>
      <c r="AI177" s="5" t="s">
        <v>126</v>
      </c>
      <c r="AJ177" s="5" t="s">
        <v>128</v>
      </c>
      <c r="AK177" s="5" t="s">
        <v>539</v>
      </c>
      <c r="AL177" s="5" t="s">
        <v>131</v>
      </c>
    </row>
    <row r="178" ht="16.5" customHeight="1">
      <c r="A178" s="5" t="s">
        <v>60</v>
      </c>
      <c r="B178" s="1" t="b">
        <v>1</v>
      </c>
      <c r="C178" s="1" t="s">
        <v>908</v>
      </c>
      <c r="D178" s="1" t="s">
        <v>909</v>
      </c>
      <c r="E178" s="1" t="s">
        <v>65</v>
      </c>
      <c r="F178" s="1" t="s">
        <v>66</v>
      </c>
      <c r="G178" s="1" t="s">
        <v>113</v>
      </c>
      <c r="H178" s="1" t="s">
        <v>69</v>
      </c>
      <c r="I178" s="1" t="s">
        <v>107</v>
      </c>
      <c r="J178" s="1"/>
      <c r="K178" s="1" t="b">
        <v>1</v>
      </c>
      <c r="L178" s="1" t="b">
        <v>0</v>
      </c>
      <c r="M178" s="19">
        <v>2200.0</v>
      </c>
      <c r="N178" s="20">
        <v>2.1</v>
      </c>
      <c r="O178" s="20">
        <v>1047.62</v>
      </c>
      <c r="P178" s="21"/>
      <c r="Q178" s="1" t="s">
        <v>117</v>
      </c>
      <c r="R178" s="1" t="s">
        <v>145</v>
      </c>
      <c r="S178" s="1" t="s">
        <v>81</v>
      </c>
      <c r="T178" s="1" t="s">
        <v>81</v>
      </c>
      <c r="U178" s="1" t="s">
        <v>0</v>
      </c>
      <c r="V178" s="1" t="s">
        <v>0</v>
      </c>
      <c r="W178" s="22" t="s">
        <v>82</v>
      </c>
      <c r="X178" s="20">
        <v>431.89000000000004</v>
      </c>
      <c r="Y178" s="1" t="s">
        <v>0</v>
      </c>
      <c r="Z178" s="1" t="s">
        <v>0</v>
      </c>
      <c r="AA178" s="23" t="s">
        <v>173</v>
      </c>
      <c r="AB178" s="1">
        <v>1000.0</v>
      </c>
      <c r="AC178" s="1">
        <v>300.0</v>
      </c>
      <c r="AD178" s="1" t="s">
        <v>908</v>
      </c>
      <c r="AE178" s="1">
        <v>2.0</v>
      </c>
      <c r="AF178" s="5" t="s">
        <v>86</v>
      </c>
      <c r="AG178" s="5" t="s">
        <v>87</v>
      </c>
      <c r="AH178" s="32" t="s">
        <v>429</v>
      </c>
      <c r="AI178" s="5" t="s">
        <v>126</v>
      </c>
      <c r="AJ178" s="5" t="s">
        <v>128</v>
      </c>
      <c r="AK178" s="5" t="s">
        <v>539</v>
      </c>
      <c r="AL178" s="5" t="s">
        <v>131</v>
      </c>
    </row>
    <row r="179" ht="16.5" customHeight="1">
      <c r="A179" s="5" t="s">
        <v>60</v>
      </c>
      <c r="B179" s="1" t="b">
        <v>1</v>
      </c>
      <c r="C179" s="1" t="s">
        <v>911</v>
      </c>
      <c r="D179" s="1" t="s">
        <v>912</v>
      </c>
      <c r="E179" s="1" t="s">
        <v>65</v>
      </c>
      <c r="F179" s="1" t="s">
        <v>247</v>
      </c>
      <c r="G179" s="1" t="s">
        <v>113</v>
      </c>
      <c r="H179" s="1" t="s">
        <v>69</v>
      </c>
      <c r="I179" s="1" t="s">
        <v>70</v>
      </c>
      <c r="J179" s="1"/>
      <c r="K179" s="1" t="b">
        <v>0</v>
      </c>
      <c r="L179" s="1" t="b">
        <v>0</v>
      </c>
      <c r="M179" s="19">
        <v>1000.0</v>
      </c>
      <c r="N179" s="20">
        <v>2.1</v>
      </c>
      <c r="O179" s="20">
        <v>476.19</v>
      </c>
      <c r="P179" s="21"/>
      <c r="Q179" s="1" t="s">
        <v>117</v>
      </c>
      <c r="R179" s="1" t="s">
        <v>358</v>
      </c>
      <c r="S179" s="1" t="s">
        <v>81</v>
      </c>
      <c r="T179" s="1" t="s">
        <v>81</v>
      </c>
      <c r="U179" s="1" t="s">
        <v>0</v>
      </c>
      <c r="V179" s="1" t="s">
        <v>0</v>
      </c>
      <c r="W179" s="22" t="s">
        <v>202</v>
      </c>
      <c r="X179" s="20">
        <v>183.08</v>
      </c>
      <c r="Y179" s="1" t="s">
        <v>0</v>
      </c>
      <c r="Z179" s="1" t="s">
        <v>0</v>
      </c>
      <c r="AA179" s="23" t="s">
        <v>173</v>
      </c>
      <c r="AB179" s="1">
        <v>800.0</v>
      </c>
      <c r="AC179" s="1">
        <v>500.0</v>
      </c>
      <c r="AD179" s="1" t="s">
        <v>911</v>
      </c>
      <c r="AE179" s="1">
        <v>2.0</v>
      </c>
      <c r="AF179" s="5" t="s">
        <v>125</v>
      </c>
      <c r="AG179" s="5" t="s">
        <v>174</v>
      </c>
      <c r="AH179" s="5" t="s">
        <v>237</v>
      </c>
      <c r="AI179" s="5" t="s">
        <v>126</v>
      </c>
      <c r="AJ179" s="5" t="s">
        <v>147</v>
      </c>
      <c r="AK179" s="5" t="s">
        <v>539</v>
      </c>
      <c r="AL179" s="5" t="s">
        <v>131</v>
      </c>
    </row>
    <row r="180" ht="16.5" customHeight="1">
      <c r="A180" s="5" t="s">
        <v>60</v>
      </c>
      <c r="B180" s="1" t="b">
        <v>1</v>
      </c>
      <c r="C180" s="1" t="s">
        <v>916</v>
      </c>
      <c r="D180" s="1" t="s">
        <v>917</v>
      </c>
      <c r="E180" s="1" t="s">
        <v>65</v>
      </c>
      <c r="F180" s="1" t="s">
        <v>247</v>
      </c>
      <c r="G180" s="1" t="s">
        <v>113</v>
      </c>
      <c r="H180" s="1" t="s">
        <v>69</v>
      </c>
      <c r="I180" s="1" t="s">
        <v>107</v>
      </c>
      <c r="J180" s="1"/>
      <c r="K180" s="1" t="b">
        <v>0</v>
      </c>
      <c r="L180" s="1" t="b">
        <v>0</v>
      </c>
      <c r="M180" s="19">
        <v>1000.0</v>
      </c>
      <c r="N180" s="20">
        <v>2.1</v>
      </c>
      <c r="O180" s="20">
        <v>476.19</v>
      </c>
      <c r="P180" s="21"/>
      <c r="Q180" s="1" t="s">
        <v>117</v>
      </c>
      <c r="R180" s="1" t="s">
        <v>358</v>
      </c>
      <c r="S180" s="1" t="s">
        <v>81</v>
      </c>
      <c r="T180" s="1" t="s">
        <v>81</v>
      </c>
      <c r="U180" s="1" t="s">
        <v>0</v>
      </c>
      <c r="V180" s="1" t="s">
        <v>0</v>
      </c>
      <c r="W180" s="22" t="s">
        <v>202</v>
      </c>
      <c r="X180" s="20">
        <v>178.13000000000002</v>
      </c>
      <c r="Y180" s="1" t="s">
        <v>0</v>
      </c>
      <c r="Z180" s="1" t="s">
        <v>0</v>
      </c>
      <c r="AA180" s="23" t="s">
        <v>173</v>
      </c>
      <c r="AB180" s="1">
        <v>800.0</v>
      </c>
      <c r="AC180" s="1">
        <v>500.0</v>
      </c>
      <c r="AD180" s="1" t="s">
        <v>916</v>
      </c>
      <c r="AE180" s="1">
        <v>2.0</v>
      </c>
      <c r="AF180" s="5" t="s">
        <v>125</v>
      </c>
      <c r="AG180" s="5" t="s">
        <v>174</v>
      </c>
      <c r="AH180" s="5" t="s">
        <v>237</v>
      </c>
      <c r="AI180" s="5" t="s">
        <v>126</v>
      </c>
      <c r="AJ180" s="5" t="s">
        <v>147</v>
      </c>
      <c r="AK180" s="5" t="s">
        <v>539</v>
      </c>
      <c r="AL180" s="5" t="s">
        <v>131</v>
      </c>
    </row>
    <row r="181" ht="16.5" customHeight="1">
      <c r="A181" s="5" t="s">
        <v>60</v>
      </c>
      <c r="B181" s="1" t="b">
        <v>1</v>
      </c>
      <c r="C181" s="1" t="s">
        <v>919</v>
      </c>
      <c r="D181" s="1" t="s">
        <v>920</v>
      </c>
      <c r="E181" s="1" t="s">
        <v>65</v>
      </c>
      <c r="F181" s="1" t="s">
        <v>247</v>
      </c>
      <c r="G181" s="1" t="s">
        <v>334</v>
      </c>
      <c r="H181" s="1" t="s">
        <v>69</v>
      </c>
      <c r="I181" s="1" t="s">
        <v>70</v>
      </c>
      <c r="J181" s="1"/>
      <c r="K181" s="1" t="b">
        <v>0</v>
      </c>
      <c r="L181" s="1" t="b">
        <v>0</v>
      </c>
      <c r="M181" s="19">
        <v>1100.0</v>
      </c>
      <c r="N181" s="20">
        <v>2.1</v>
      </c>
      <c r="O181" s="20">
        <v>523.81</v>
      </c>
      <c r="P181" s="21"/>
      <c r="Q181" s="1" t="s">
        <v>117</v>
      </c>
      <c r="R181" s="1" t="s">
        <v>358</v>
      </c>
      <c r="S181" s="1" t="s">
        <v>81</v>
      </c>
      <c r="T181" s="1" t="s">
        <v>81</v>
      </c>
      <c r="U181" s="1" t="s">
        <v>0</v>
      </c>
      <c r="V181" s="1" t="s">
        <v>0</v>
      </c>
      <c r="W181" s="22" t="s">
        <v>202</v>
      </c>
      <c r="X181" s="20">
        <v>203.89000000000001</v>
      </c>
      <c r="Y181" s="1" t="s">
        <v>0</v>
      </c>
      <c r="Z181" s="1" t="s">
        <v>0</v>
      </c>
      <c r="AA181" s="23" t="s">
        <v>173</v>
      </c>
      <c r="AB181" s="1">
        <v>800.0</v>
      </c>
      <c r="AC181" s="1">
        <v>500.0</v>
      </c>
      <c r="AD181" s="1" t="s">
        <v>919</v>
      </c>
      <c r="AE181" s="1">
        <v>2.0</v>
      </c>
      <c r="AF181" s="5" t="s">
        <v>125</v>
      </c>
      <c r="AG181" s="5" t="s">
        <v>174</v>
      </c>
      <c r="AH181" s="5" t="s">
        <v>237</v>
      </c>
      <c r="AI181" s="5" t="s">
        <v>334</v>
      </c>
      <c r="AJ181" s="5" t="s">
        <v>872</v>
      </c>
      <c r="AK181" s="5" t="s">
        <v>539</v>
      </c>
      <c r="AL181" s="5" t="s">
        <v>131</v>
      </c>
    </row>
    <row r="182" ht="16.5" customHeight="1">
      <c r="A182" s="5" t="s">
        <v>60</v>
      </c>
      <c r="B182" s="1" t="b">
        <v>1</v>
      </c>
      <c r="C182" s="1" t="s">
        <v>922</v>
      </c>
      <c r="D182" s="1" t="s">
        <v>923</v>
      </c>
      <c r="E182" s="1" t="s">
        <v>65</v>
      </c>
      <c r="F182" s="1" t="s">
        <v>247</v>
      </c>
      <c r="G182" s="1" t="s">
        <v>334</v>
      </c>
      <c r="H182" s="1" t="s">
        <v>69</v>
      </c>
      <c r="I182" s="1" t="s">
        <v>107</v>
      </c>
      <c r="J182" s="1"/>
      <c r="K182" s="1" t="b">
        <v>0</v>
      </c>
      <c r="L182" s="1" t="b">
        <v>0</v>
      </c>
      <c r="M182" s="19">
        <v>1100.0</v>
      </c>
      <c r="N182" s="20">
        <v>2.1</v>
      </c>
      <c r="O182" s="20">
        <v>523.81</v>
      </c>
      <c r="P182" s="21"/>
      <c r="Q182" s="1" t="s">
        <v>117</v>
      </c>
      <c r="R182" s="1" t="s">
        <v>358</v>
      </c>
      <c r="S182" s="1" t="s">
        <v>81</v>
      </c>
      <c r="T182" s="1" t="s">
        <v>81</v>
      </c>
      <c r="U182" s="1" t="s">
        <v>0</v>
      </c>
      <c r="V182" s="1" t="s">
        <v>0</v>
      </c>
      <c r="W182" s="22" t="s">
        <v>202</v>
      </c>
      <c r="X182" s="20">
        <v>195.6</v>
      </c>
      <c r="Y182" s="1" t="s">
        <v>0</v>
      </c>
      <c r="Z182" s="1" t="s">
        <v>0</v>
      </c>
      <c r="AA182" s="23" t="s">
        <v>173</v>
      </c>
      <c r="AB182" s="1">
        <v>800.0</v>
      </c>
      <c r="AC182" s="1">
        <v>500.0</v>
      </c>
      <c r="AD182" s="1" t="s">
        <v>922</v>
      </c>
      <c r="AE182" s="1">
        <v>2.0</v>
      </c>
      <c r="AF182" s="5" t="s">
        <v>125</v>
      </c>
      <c r="AG182" s="5" t="s">
        <v>174</v>
      </c>
      <c r="AH182" s="5" t="s">
        <v>237</v>
      </c>
      <c r="AI182" s="5" t="s">
        <v>334</v>
      </c>
      <c r="AJ182" s="5" t="s">
        <v>872</v>
      </c>
      <c r="AK182" s="5" t="s">
        <v>539</v>
      </c>
      <c r="AL182" s="5" t="s">
        <v>131</v>
      </c>
    </row>
    <row r="183" ht="16.5" customHeight="1">
      <c r="A183" s="5" t="s">
        <v>60</v>
      </c>
      <c r="B183" s="1" t="b">
        <v>1</v>
      </c>
      <c r="C183" s="1" t="s">
        <v>925</v>
      </c>
      <c r="D183" s="1" t="s">
        <v>926</v>
      </c>
      <c r="E183" s="1" t="s">
        <v>65</v>
      </c>
      <c r="F183" s="1" t="s">
        <v>500</v>
      </c>
      <c r="G183" s="1" t="s">
        <v>68</v>
      </c>
      <c r="H183" s="1" t="s">
        <v>69</v>
      </c>
      <c r="I183" s="1" t="s">
        <v>70</v>
      </c>
      <c r="J183" s="1"/>
      <c r="K183" s="1" t="b">
        <v>1</v>
      </c>
      <c r="L183" s="1" t="b">
        <v>0</v>
      </c>
      <c r="M183" s="19">
        <v>7500.0</v>
      </c>
      <c r="N183" s="20">
        <v>2.1</v>
      </c>
      <c r="O183" s="20">
        <v>3571.43</v>
      </c>
      <c r="P183" s="21"/>
      <c r="Q183" s="1" t="s">
        <v>242</v>
      </c>
      <c r="R183" s="1" t="s">
        <v>358</v>
      </c>
      <c r="S183" s="1" t="s">
        <v>80</v>
      </c>
      <c r="T183" s="1" t="s">
        <v>81</v>
      </c>
      <c r="U183" s="1" t="s">
        <v>0</v>
      </c>
      <c r="V183" s="1" t="s">
        <v>0</v>
      </c>
      <c r="W183" s="22" t="s">
        <v>82</v>
      </c>
      <c r="X183" s="20">
        <v>1877.22</v>
      </c>
      <c r="Y183" s="1" t="s">
        <v>0</v>
      </c>
      <c r="Z183" s="1" t="s">
        <v>0</v>
      </c>
      <c r="AA183" s="23" t="s">
        <v>173</v>
      </c>
      <c r="AB183" s="1">
        <v>800.0</v>
      </c>
      <c r="AC183" s="1">
        <v>400.0</v>
      </c>
      <c r="AD183" s="1" t="s">
        <v>925</v>
      </c>
      <c r="AE183" s="1">
        <v>3.0</v>
      </c>
      <c r="AF183" s="5" t="s">
        <v>86</v>
      </c>
      <c r="AG183" s="5" t="s">
        <v>826</v>
      </c>
      <c r="AH183" s="5" t="s">
        <v>827</v>
      </c>
      <c r="AI183" s="5" t="s">
        <v>68</v>
      </c>
      <c r="AJ183" s="5" t="s">
        <v>89</v>
      </c>
      <c r="AK183" s="5" t="s">
        <v>132</v>
      </c>
      <c r="AL183" s="5" t="s">
        <v>91</v>
      </c>
    </row>
    <row r="184" ht="16.5" customHeight="1">
      <c r="A184" s="5" t="s">
        <v>60</v>
      </c>
      <c r="B184" s="1" t="b">
        <v>1</v>
      </c>
      <c r="C184" s="1" t="s">
        <v>929</v>
      </c>
      <c r="D184" s="1" t="s">
        <v>930</v>
      </c>
      <c r="E184" s="1" t="s">
        <v>65</v>
      </c>
      <c r="F184" s="1" t="s">
        <v>500</v>
      </c>
      <c r="G184" s="1" t="s">
        <v>68</v>
      </c>
      <c r="H184" s="1" t="s">
        <v>69</v>
      </c>
      <c r="I184" s="1" t="s">
        <v>107</v>
      </c>
      <c r="J184" s="1"/>
      <c r="K184" s="1" t="b">
        <v>1</v>
      </c>
      <c r="L184" s="1" t="b">
        <v>0</v>
      </c>
      <c r="M184" s="19">
        <v>7500.0</v>
      </c>
      <c r="N184" s="20">
        <v>2.1</v>
      </c>
      <c r="O184" s="20">
        <v>3571.43</v>
      </c>
      <c r="P184" s="21"/>
      <c r="Q184" s="1" t="s">
        <v>242</v>
      </c>
      <c r="R184" s="1" t="s">
        <v>358</v>
      </c>
      <c r="S184" s="1" t="s">
        <v>80</v>
      </c>
      <c r="T184" s="1" t="s">
        <v>81</v>
      </c>
      <c r="U184" s="1" t="s">
        <v>0</v>
      </c>
      <c r="V184" s="1" t="s">
        <v>0</v>
      </c>
      <c r="W184" s="22" t="s">
        <v>82</v>
      </c>
      <c r="X184" s="20">
        <v>1764.82</v>
      </c>
      <c r="Y184" s="1" t="s">
        <v>0</v>
      </c>
      <c r="Z184" s="1" t="s">
        <v>0</v>
      </c>
      <c r="AA184" s="23" t="s">
        <v>173</v>
      </c>
      <c r="AB184" s="1">
        <v>800.0</v>
      </c>
      <c r="AC184" s="1">
        <v>400.0</v>
      </c>
      <c r="AD184" s="1" t="s">
        <v>929</v>
      </c>
      <c r="AE184" s="1">
        <v>2.0</v>
      </c>
      <c r="AF184" s="5" t="s">
        <v>86</v>
      </c>
      <c r="AG184" s="5" t="s">
        <v>826</v>
      </c>
      <c r="AH184" s="5" t="s">
        <v>827</v>
      </c>
      <c r="AI184" s="5" t="s">
        <v>68</v>
      </c>
      <c r="AJ184" s="5" t="s">
        <v>89</v>
      </c>
      <c r="AK184" s="5" t="s">
        <v>132</v>
      </c>
      <c r="AL184" s="5" t="s">
        <v>91</v>
      </c>
    </row>
    <row r="185" ht="16.5" customHeight="1">
      <c r="A185" s="5" t="s">
        <v>60</v>
      </c>
      <c r="B185" s="1" t="b">
        <v>1</v>
      </c>
      <c r="C185" s="1" t="s">
        <v>931</v>
      </c>
      <c r="D185" s="1" t="s">
        <v>932</v>
      </c>
      <c r="E185" s="1" t="s">
        <v>65</v>
      </c>
      <c r="F185" s="1" t="s">
        <v>66</v>
      </c>
      <c r="G185" s="1" t="s">
        <v>68</v>
      </c>
      <c r="H185" s="1" t="s">
        <v>141</v>
      </c>
      <c r="I185" s="1" t="s">
        <v>70</v>
      </c>
      <c r="J185" s="1"/>
      <c r="K185" s="1" t="b">
        <v>1</v>
      </c>
      <c r="L185" s="1" t="b">
        <v>0</v>
      </c>
      <c r="M185" s="19">
        <v>3500.0</v>
      </c>
      <c r="N185" s="20">
        <v>2.1</v>
      </c>
      <c r="O185" s="20">
        <v>1666.67</v>
      </c>
      <c r="P185" s="21"/>
      <c r="Q185" s="1" t="s">
        <v>117</v>
      </c>
      <c r="R185" s="1" t="s">
        <v>154</v>
      </c>
      <c r="S185" s="1" t="s">
        <v>166</v>
      </c>
      <c r="T185" s="1" t="s">
        <v>81</v>
      </c>
      <c r="U185" s="1" t="s">
        <v>934</v>
      </c>
      <c r="V185" s="1" t="s">
        <v>156</v>
      </c>
      <c r="W185" s="22" t="s">
        <v>82</v>
      </c>
      <c r="X185" s="20">
        <v>674.2499999999999</v>
      </c>
      <c r="Y185" s="1" t="s">
        <v>0</v>
      </c>
      <c r="Z185" s="1" t="s">
        <v>0</v>
      </c>
      <c r="AA185" s="23" t="s">
        <v>101</v>
      </c>
      <c r="AB185" s="1">
        <v>1000.0</v>
      </c>
      <c r="AC185" s="1">
        <v>300.0</v>
      </c>
      <c r="AD185" s="1" t="s">
        <v>931</v>
      </c>
      <c r="AE185" s="1">
        <v>2.0</v>
      </c>
      <c r="AF185" s="5" t="s">
        <v>125</v>
      </c>
      <c r="AG185" s="5" t="s">
        <v>127</v>
      </c>
      <c r="AI185" s="5" t="s">
        <v>68</v>
      </c>
      <c r="AJ185" s="5" t="s">
        <v>89</v>
      </c>
      <c r="AK185" s="5" t="s">
        <v>132</v>
      </c>
      <c r="AL185" s="5" t="s">
        <v>91</v>
      </c>
    </row>
    <row r="186" ht="16.5" customHeight="1">
      <c r="A186" s="5" t="s">
        <v>60</v>
      </c>
      <c r="B186" s="1" t="b">
        <v>1</v>
      </c>
      <c r="C186" s="1" t="s">
        <v>936</v>
      </c>
      <c r="D186" s="1" t="s">
        <v>937</v>
      </c>
      <c r="E186" s="1" t="s">
        <v>65</v>
      </c>
      <c r="F186" s="1" t="s">
        <v>66</v>
      </c>
      <c r="G186" s="1" t="s">
        <v>68</v>
      </c>
      <c r="H186" s="1" t="s">
        <v>141</v>
      </c>
      <c r="I186" s="1" t="s">
        <v>107</v>
      </c>
      <c r="J186" s="1"/>
      <c r="K186" s="1" t="b">
        <v>1</v>
      </c>
      <c r="L186" s="1" t="b">
        <v>0</v>
      </c>
      <c r="M186" s="19">
        <v>3500.0</v>
      </c>
      <c r="N186" s="20">
        <v>2.1</v>
      </c>
      <c r="O186" s="20">
        <v>1666.67</v>
      </c>
      <c r="P186" s="21"/>
      <c r="Q186" s="1" t="s">
        <v>117</v>
      </c>
      <c r="R186" s="1" t="s">
        <v>154</v>
      </c>
      <c r="S186" s="1" t="s">
        <v>166</v>
      </c>
      <c r="T186" s="1" t="s">
        <v>81</v>
      </c>
      <c r="U186" s="1" t="s">
        <v>941</v>
      </c>
      <c r="V186" s="1" t="s">
        <v>156</v>
      </c>
      <c r="W186" s="22" t="s">
        <v>82</v>
      </c>
      <c r="X186" s="20">
        <v>640.93</v>
      </c>
      <c r="Y186" s="1" t="s">
        <v>0</v>
      </c>
      <c r="Z186" s="1" t="s">
        <v>0</v>
      </c>
      <c r="AA186" s="23" t="s">
        <v>101</v>
      </c>
      <c r="AB186" s="1">
        <v>1000.0</v>
      </c>
      <c r="AC186" s="1">
        <v>300.0</v>
      </c>
      <c r="AD186" s="1" t="s">
        <v>936</v>
      </c>
      <c r="AE186" s="1">
        <v>2.0</v>
      </c>
      <c r="AF186" s="5" t="s">
        <v>125</v>
      </c>
      <c r="AG186" s="5" t="s">
        <v>127</v>
      </c>
      <c r="AI186" s="5" t="s">
        <v>68</v>
      </c>
      <c r="AJ186" s="5" t="s">
        <v>89</v>
      </c>
      <c r="AK186" s="5" t="s">
        <v>132</v>
      </c>
      <c r="AL186" s="5" t="s">
        <v>91</v>
      </c>
    </row>
    <row r="187" ht="16.5" customHeight="1">
      <c r="A187" s="5" t="s">
        <v>60</v>
      </c>
      <c r="B187" s="1" t="b">
        <v>1</v>
      </c>
      <c r="C187" s="1" t="s">
        <v>944</v>
      </c>
      <c r="D187" s="1" t="s">
        <v>945</v>
      </c>
      <c r="E187" s="1" t="s">
        <v>65</v>
      </c>
      <c r="F187" s="1" t="s">
        <v>66</v>
      </c>
      <c r="G187" s="1" t="s">
        <v>248</v>
      </c>
      <c r="H187" s="1" t="s">
        <v>69</v>
      </c>
      <c r="I187" s="1" t="s">
        <v>249</v>
      </c>
      <c r="J187" s="1"/>
      <c r="K187" s="1" t="b">
        <v>1</v>
      </c>
      <c r="L187" s="1" t="b">
        <v>0</v>
      </c>
      <c r="M187" s="19">
        <v>400.0</v>
      </c>
      <c r="N187" s="20">
        <v>2.1</v>
      </c>
      <c r="O187" s="20">
        <v>190.48</v>
      </c>
      <c r="P187" s="21"/>
      <c r="Q187" s="1" t="s">
        <v>117</v>
      </c>
      <c r="R187" s="1" t="s">
        <v>145</v>
      </c>
      <c r="S187" s="1" t="s">
        <v>81</v>
      </c>
      <c r="T187" s="1" t="s">
        <v>81</v>
      </c>
      <c r="U187" s="1" t="s">
        <v>0</v>
      </c>
      <c r="V187" s="1" t="s">
        <v>0</v>
      </c>
      <c r="W187" s="22" t="s">
        <v>82</v>
      </c>
      <c r="X187" s="20">
        <v>73.64</v>
      </c>
      <c r="Y187" s="1" t="s">
        <v>0</v>
      </c>
      <c r="Z187" s="1" t="s">
        <v>0</v>
      </c>
      <c r="AA187" s="23" t="s">
        <v>173</v>
      </c>
      <c r="AB187" s="1">
        <v>1000.0</v>
      </c>
      <c r="AC187" s="1">
        <v>1000.0</v>
      </c>
      <c r="AD187" s="1" t="s">
        <v>944</v>
      </c>
      <c r="AE187" s="1">
        <v>2.0</v>
      </c>
      <c r="AF187" s="5" t="s">
        <v>125</v>
      </c>
      <c r="AG187" s="5" t="s">
        <v>127</v>
      </c>
      <c r="AI187" s="5" t="s">
        <v>248</v>
      </c>
      <c r="AJ187" s="5" t="s">
        <v>946</v>
      </c>
      <c r="AK187" s="5">
        <v>0.0</v>
      </c>
      <c r="AL187" s="5" t="s">
        <v>131</v>
      </c>
    </row>
    <row r="188" ht="16.5" customHeight="1">
      <c r="A188" s="5" t="s">
        <v>60</v>
      </c>
      <c r="B188" s="1" t="b">
        <v>1</v>
      </c>
      <c r="C188" s="1" t="s">
        <v>947</v>
      </c>
      <c r="D188" s="1" t="s">
        <v>948</v>
      </c>
      <c r="E188" s="1" t="s">
        <v>65</v>
      </c>
      <c r="F188" s="1" t="s">
        <v>66</v>
      </c>
      <c r="G188" s="1" t="s">
        <v>270</v>
      </c>
      <c r="H188" s="1" t="s">
        <v>69</v>
      </c>
      <c r="I188" s="1" t="s">
        <v>70</v>
      </c>
      <c r="J188" s="1"/>
      <c r="K188" s="1" t="b">
        <v>1</v>
      </c>
      <c r="L188" s="1" t="b">
        <v>0</v>
      </c>
      <c r="M188" s="19">
        <v>1700.0</v>
      </c>
      <c r="N188" s="20">
        <v>2.1</v>
      </c>
      <c r="O188" s="20">
        <v>809.52</v>
      </c>
      <c r="P188" s="21"/>
      <c r="Q188" s="1" t="s">
        <v>117</v>
      </c>
      <c r="R188" s="1" t="s">
        <v>79</v>
      </c>
      <c r="S188" s="1" t="s">
        <v>81</v>
      </c>
      <c r="T188" s="1" t="s">
        <v>81</v>
      </c>
      <c r="U188" s="1" t="s">
        <v>0</v>
      </c>
      <c r="V188" s="1" t="s">
        <v>0</v>
      </c>
      <c r="W188" s="22" t="s">
        <v>82</v>
      </c>
      <c r="X188" s="20">
        <v>300.65000000000003</v>
      </c>
      <c r="Y188" s="1" t="s">
        <v>0</v>
      </c>
      <c r="Z188" s="1" t="s">
        <v>0</v>
      </c>
      <c r="AA188" s="23" t="s">
        <v>85</v>
      </c>
      <c r="AB188" s="1">
        <v>1000.0</v>
      </c>
      <c r="AC188" s="1">
        <v>300.0</v>
      </c>
      <c r="AD188" s="1" t="s">
        <v>947</v>
      </c>
      <c r="AE188" s="1">
        <v>4.0</v>
      </c>
      <c r="AF188" s="5" t="s">
        <v>125</v>
      </c>
      <c r="AG188" s="5" t="s">
        <v>174</v>
      </c>
      <c r="AH188" s="5" t="s">
        <v>237</v>
      </c>
      <c r="AI188" s="5" t="s">
        <v>276</v>
      </c>
      <c r="AJ188" s="5" t="s">
        <v>161</v>
      </c>
      <c r="AK188" s="5" t="s">
        <v>277</v>
      </c>
      <c r="AL188" s="5" t="s">
        <v>131</v>
      </c>
    </row>
    <row r="189" ht="16.5" customHeight="1">
      <c r="A189" s="5" t="s">
        <v>60</v>
      </c>
      <c r="B189" s="1" t="b">
        <v>1</v>
      </c>
      <c r="C189" s="1" t="s">
        <v>952</v>
      </c>
      <c r="D189" s="1" t="s">
        <v>953</v>
      </c>
      <c r="E189" s="1" t="s">
        <v>65</v>
      </c>
      <c r="F189" s="1" t="s">
        <v>66</v>
      </c>
      <c r="G189" s="1" t="s">
        <v>270</v>
      </c>
      <c r="H189" s="1" t="s">
        <v>69</v>
      </c>
      <c r="I189" s="1" t="s">
        <v>107</v>
      </c>
      <c r="J189" s="1"/>
      <c r="K189" s="1" t="b">
        <v>1</v>
      </c>
      <c r="L189" s="1" t="b">
        <v>0</v>
      </c>
      <c r="M189" s="19">
        <v>1700.0</v>
      </c>
      <c r="N189" s="20">
        <v>2.1</v>
      </c>
      <c r="O189" s="20">
        <v>809.52</v>
      </c>
      <c r="P189" s="21"/>
      <c r="Q189" s="1" t="s">
        <v>117</v>
      </c>
      <c r="R189" s="1" t="s">
        <v>79</v>
      </c>
      <c r="S189" s="1" t="s">
        <v>81</v>
      </c>
      <c r="T189" s="1" t="s">
        <v>81</v>
      </c>
      <c r="U189" s="1" t="s">
        <v>0</v>
      </c>
      <c r="V189" s="1" t="s">
        <v>0</v>
      </c>
      <c r="W189" s="22" t="s">
        <v>82</v>
      </c>
      <c r="X189" s="20">
        <v>272.33</v>
      </c>
      <c r="Y189" s="1" t="s">
        <v>0</v>
      </c>
      <c r="Z189" s="1" t="s">
        <v>0</v>
      </c>
      <c r="AA189" s="23" t="s">
        <v>85</v>
      </c>
      <c r="AB189" s="1">
        <v>1000.0</v>
      </c>
      <c r="AC189" s="1">
        <v>300.0</v>
      </c>
      <c r="AD189" s="1" t="s">
        <v>952</v>
      </c>
      <c r="AE189" s="1">
        <v>4.0</v>
      </c>
      <c r="AF189" s="5" t="s">
        <v>125</v>
      </c>
      <c r="AG189" s="5" t="s">
        <v>174</v>
      </c>
      <c r="AH189" s="5" t="s">
        <v>237</v>
      </c>
      <c r="AI189" s="5" t="s">
        <v>276</v>
      </c>
      <c r="AJ189" s="5" t="s">
        <v>161</v>
      </c>
      <c r="AK189" s="5" t="s">
        <v>277</v>
      </c>
      <c r="AL189" s="5" t="s">
        <v>131</v>
      </c>
    </row>
    <row r="190" ht="16.5" customHeight="1">
      <c r="A190" s="5" t="s">
        <v>60</v>
      </c>
      <c r="B190" s="1" t="b">
        <v>1</v>
      </c>
      <c r="C190" s="1" t="s">
        <v>955</v>
      </c>
      <c r="D190" s="1" t="s">
        <v>956</v>
      </c>
      <c r="E190" s="1" t="s">
        <v>65</v>
      </c>
      <c r="F190" s="1" t="s">
        <v>66</v>
      </c>
      <c r="G190" s="1" t="s">
        <v>270</v>
      </c>
      <c r="H190" s="1" t="s">
        <v>69</v>
      </c>
      <c r="I190" s="1" t="s">
        <v>70</v>
      </c>
      <c r="J190" s="1"/>
      <c r="K190" s="1" t="b">
        <v>1</v>
      </c>
      <c r="L190" s="1" t="b">
        <v>0</v>
      </c>
      <c r="M190" s="19">
        <v>1500.0</v>
      </c>
      <c r="N190" s="20">
        <v>2.1</v>
      </c>
      <c r="O190" s="20">
        <v>714.29</v>
      </c>
      <c r="P190" s="21"/>
      <c r="Q190" s="1" t="s">
        <v>117</v>
      </c>
      <c r="R190" s="1" t="s">
        <v>79</v>
      </c>
      <c r="S190" s="1" t="s">
        <v>81</v>
      </c>
      <c r="T190" s="1" t="s">
        <v>81</v>
      </c>
      <c r="U190" s="1" t="s">
        <v>0</v>
      </c>
      <c r="V190" s="1" t="s">
        <v>0</v>
      </c>
      <c r="W190" s="22" t="s">
        <v>82</v>
      </c>
      <c r="X190" s="20">
        <v>271.21000000000004</v>
      </c>
      <c r="Y190" s="1" t="s">
        <v>0</v>
      </c>
      <c r="Z190" s="1" t="s">
        <v>0</v>
      </c>
      <c r="AA190" s="23" t="s">
        <v>173</v>
      </c>
      <c r="AB190" s="1">
        <v>1000.0</v>
      </c>
      <c r="AC190" s="1">
        <v>300.0</v>
      </c>
      <c r="AD190" s="1" t="s">
        <v>955</v>
      </c>
      <c r="AE190" s="1">
        <v>4.0</v>
      </c>
      <c r="AF190" s="5" t="s">
        <v>125</v>
      </c>
      <c r="AG190" s="5" t="s">
        <v>174</v>
      </c>
      <c r="AH190" s="5" t="s">
        <v>237</v>
      </c>
      <c r="AI190" s="5" t="s">
        <v>276</v>
      </c>
      <c r="AJ190" s="5" t="s">
        <v>89</v>
      </c>
      <c r="AK190" s="5" t="s">
        <v>277</v>
      </c>
      <c r="AL190" s="5" t="s">
        <v>131</v>
      </c>
    </row>
    <row r="191" ht="16.5" customHeight="1">
      <c r="A191" s="5" t="s">
        <v>60</v>
      </c>
      <c r="B191" s="1" t="b">
        <v>1</v>
      </c>
      <c r="C191" s="1" t="s">
        <v>957</v>
      </c>
      <c r="D191" s="1" t="s">
        <v>958</v>
      </c>
      <c r="E191" s="1" t="s">
        <v>65</v>
      </c>
      <c r="F191" s="1" t="s">
        <v>66</v>
      </c>
      <c r="G191" s="1" t="s">
        <v>270</v>
      </c>
      <c r="H191" s="1" t="s">
        <v>69</v>
      </c>
      <c r="I191" s="1" t="s">
        <v>107</v>
      </c>
      <c r="J191" s="1"/>
      <c r="K191" s="1" t="b">
        <v>1</v>
      </c>
      <c r="L191" s="1" t="b">
        <v>0</v>
      </c>
      <c r="M191" s="19">
        <v>1500.0</v>
      </c>
      <c r="N191" s="20">
        <v>2.1</v>
      </c>
      <c r="O191" s="20">
        <v>714.29</v>
      </c>
      <c r="P191" s="21"/>
      <c r="Q191" s="1" t="s">
        <v>117</v>
      </c>
      <c r="R191" s="1" t="s">
        <v>79</v>
      </c>
      <c r="S191" s="1" t="s">
        <v>81</v>
      </c>
      <c r="T191" s="1" t="s">
        <v>81</v>
      </c>
      <c r="U191" s="1" t="s">
        <v>0</v>
      </c>
      <c r="V191" s="1" t="s">
        <v>0</v>
      </c>
      <c r="W191" s="22" t="s">
        <v>82</v>
      </c>
      <c r="X191" s="20">
        <v>245.26999999999998</v>
      </c>
      <c r="Y191" s="1" t="s">
        <v>0</v>
      </c>
      <c r="Z191" s="1" t="s">
        <v>0</v>
      </c>
      <c r="AA191" s="23" t="s">
        <v>173</v>
      </c>
      <c r="AB191" s="1">
        <v>1000.0</v>
      </c>
      <c r="AC191" s="1">
        <v>300.0</v>
      </c>
      <c r="AD191" s="1" t="s">
        <v>957</v>
      </c>
      <c r="AE191" s="1">
        <v>4.0</v>
      </c>
      <c r="AF191" s="5" t="s">
        <v>125</v>
      </c>
      <c r="AG191" s="5" t="s">
        <v>174</v>
      </c>
      <c r="AH191" s="5" t="s">
        <v>237</v>
      </c>
      <c r="AI191" s="5" t="s">
        <v>276</v>
      </c>
      <c r="AJ191" s="5" t="s">
        <v>89</v>
      </c>
      <c r="AK191" s="5" t="s">
        <v>277</v>
      </c>
      <c r="AL191" s="5" t="s">
        <v>131</v>
      </c>
    </row>
    <row r="192" ht="16.5" customHeight="1">
      <c r="A192" s="5" t="s">
        <v>60</v>
      </c>
      <c r="B192" s="1" t="b">
        <v>1</v>
      </c>
      <c r="C192" s="1" t="s">
        <v>542</v>
      </c>
      <c r="D192" s="1" t="s">
        <v>543</v>
      </c>
      <c r="E192" s="1" t="s">
        <v>65</v>
      </c>
      <c r="F192" s="1" t="s">
        <v>66</v>
      </c>
      <c r="G192" s="1" t="s">
        <v>334</v>
      </c>
      <c r="H192" s="1" t="s">
        <v>141</v>
      </c>
      <c r="I192" s="1" t="s">
        <v>70</v>
      </c>
      <c r="J192" s="1"/>
      <c r="K192" s="1" t="b">
        <v>1</v>
      </c>
      <c r="L192" s="1" t="b">
        <v>0</v>
      </c>
      <c r="M192" s="19">
        <v>700.0</v>
      </c>
      <c r="N192" s="20">
        <v>2.1</v>
      </c>
      <c r="O192" s="20">
        <v>333.33</v>
      </c>
      <c r="P192" s="21"/>
      <c r="Q192" s="1" t="s">
        <v>78</v>
      </c>
      <c r="R192" s="1" t="s">
        <v>145</v>
      </c>
      <c r="S192" s="1" t="s">
        <v>81</v>
      </c>
      <c r="T192" s="1" t="s">
        <v>81</v>
      </c>
      <c r="U192" s="1" t="s">
        <v>963</v>
      </c>
      <c r="V192" s="1" t="s">
        <v>0</v>
      </c>
      <c r="W192" s="22" t="s">
        <v>82</v>
      </c>
      <c r="X192" s="20">
        <v>86.57</v>
      </c>
      <c r="Y192" s="1" t="s">
        <v>0</v>
      </c>
      <c r="Z192" s="1" t="s">
        <v>0</v>
      </c>
      <c r="AA192" s="23" t="s">
        <v>85</v>
      </c>
      <c r="AB192" s="1">
        <v>1000.0</v>
      </c>
      <c r="AC192" s="1">
        <v>300.0</v>
      </c>
      <c r="AD192" s="1" t="s">
        <v>542</v>
      </c>
      <c r="AE192" s="1">
        <v>4.0</v>
      </c>
      <c r="AF192" s="5" t="s">
        <v>125</v>
      </c>
      <c r="AG192" s="5" t="s">
        <v>127</v>
      </c>
      <c r="AH192" s="5" t="s">
        <v>237</v>
      </c>
      <c r="AI192" s="5" t="s">
        <v>334</v>
      </c>
      <c r="AJ192" s="5" t="s">
        <v>348</v>
      </c>
      <c r="AK192" s="5" t="s">
        <v>553</v>
      </c>
      <c r="AL192" s="5" t="s">
        <v>131</v>
      </c>
    </row>
    <row r="193" ht="16.5" customHeight="1">
      <c r="A193" s="5" t="s">
        <v>60</v>
      </c>
      <c r="B193" s="1" t="b">
        <v>1</v>
      </c>
      <c r="C193" s="1" t="s">
        <v>556</v>
      </c>
      <c r="D193" s="1" t="s">
        <v>557</v>
      </c>
      <c r="E193" s="1" t="s">
        <v>65</v>
      </c>
      <c r="F193" s="1" t="s">
        <v>66</v>
      </c>
      <c r="G193" s="1" t="s">
        <v>334</v>
      </c>
      <c r="H193" s="1" t="s">
        <v>141</v>
      </c>
      <c r="I193" s="1" t="s">
        <v>107</v>
      </c>
      <c r="J193" s="1"/>
      <c r="K193" s="1" t="b">
        <v>1</v>
      </c>
      <c r="L193" s="1" t="b">
        <v>0</v>
      </c>
      <c r="M193" s="19">
        <v>700.0</v>
      </c>
      <c r="N193" s="20">
        <v>2.1</v>
      </c>
      <c r="O193" s="20">
        <v>333.33</v>
      </c>
      <c r="P193" s="21"/>
      <c r="Q193" s="1" t="s">
        <v>78</v>
      </c>
      <c r="R193" s="1" t="s">
        <v>145</v>
      </c>
      <c r="S193" s="1" t="s">
        <v>81</v>
      </c>
      <c r="T193" s="1" t="s">
        <v>81</v>
      </c>
      <c r="U193" s="1" t="s">
        <v>963</v>
      </c>
      <c r="V193" s="1" t="s">
        <v>0</v>
      </c>
      <c r="W193" s="22" t="s">
        <v>82</v>
      </c>
      <c r="X193" s="20">
        <v>78.23</v>
      </c>
      <c r="Y193" s="1" t="s">
        <v>0</v>
      </c>
      <c r="Z193" s="1" t="s">
        <v>0</v>
      </c>
      <c r="AA193" s="23" t="s">
        <v>85</v>
      </c>
      <c r="AB193" s="1">
        <v>1000.0</v>
      </c>
      <c r="AC193" s="1">
        <v>300.0</v>
      </c>
      <c r="AD193" s="1" t="s">
        <v>556</v>
      </c>
      <c r="AE193" s="1">
        <v>4.0</v>
      </c>
      <c r="AF193" s="5" t="s">
        <v>125</v>
      </c>
      <c r="AG193" s="5" t="s">
        <v>127</v>
      </c>
      <c r="AH193" s="5" t="s">
        <v>237</v>
      </c>
      <c r="AI193" s="5" t="s">
        <v>334</v>
      </c>
      <c r="AJ193" s="5" t="s">
        <v>348</v>
      </c>
      <c r="AK193" s="5" t="s">
        <v>553</v>
      </c>
      <c r="AL193" s="5" t="s">
        <v>131</v>
      </c>
    </row>
    <row r="194" ht="16.5" customHeight="1">
      <c r="A194" s="5" t="s">
        <v>60</v>
      </c>
      <c r="B194" s="1" t="b">
        <v>1</v>
      </c>
      <c r="C194" s="1" t="s">
        <v>568</v>
      </c>
      <c r="D194" s="1" t="s">
        <v>569</v>
      </c>
      <c r="E194" s="1" t="s">
        <v>65</v>
      </c>
      <c r="F194" s="1" t="s">
        <v>66</v>
      </c>
      <c r="G194" s="1" t="s">
        <v>334</v>
      </c>
      <c r="H194" s="1" t="s">
        <v>141</v>
      </c>
      <c r="I194" s="1" t="s">
        <v>70</v>
      </c>
      <c r="J194" s="1"/>
      <c r="K194" s="1" t="b">
        <v>1</v>
      </c>
      <c r="L194" s="1" t="b">
        <v>0</v>
      </c>
      <c r="M194" s="19">
        <v>500.0</v>
      </c>
      <c r="N194" s="20">
        <v>2.1</v>
      </c>
      <c r="O194" s="20">
        <v>238.1</v>
      </c>
      <c r="P194" s="21"/>
      <c r="Q194" s="1" t="s">
        <v>78</v>
      </c>
      <c r="R194" s="1" t="s">
        <v>145</v>
      </c>
      <c r="S194" s="1" t="s">
        <v>81</v>
      </c>
      <c r="T194" s="1" t="s">
        <v>81</v>
      </c>
      <c r="U194" s="1" t="s">
        <v>963</v>
      </c>
      <c r="V194" s="1" t="s">
        <v>0</v>
      </c>
      <c r="W194" s="22" t="s">
        <v>82</v>
      </c>
      <c r="X194" s="20">
        <v>74.11</v>
      </c>
      <c r="Y194" s="1" t="s">
        <v>0</v>
      </c>
      <c r="Z194" s="1" t="s">
        <v>0</v>
      </c>
      <c r="AA194" s="23" t="s">
        <v>85</v>
      </c>
      <c r="AB194" s="1">
        <v>1000.0</v>
      </c>
      <c r="AC194" s="1">
        <v>300.0</v>
      </c>
      <c r="AD194" s="1" t="s">
        <v>568</v>
      </c>
      <c r="AE194" s="1">
        <v>4.0</v>
      </c>
      <c r="AF194" s="5" t="s">
        <v>125</v>
      </c>
      <c r="AG194" s="5" t="s">
        <v>127</v>
      </c>
      <c r="AH194" s="5" t="s">
        <v>237</v>
      </c>
      <c r="AI194" s="5" t="s">
        <v>334</v>
      </c>
      <c r="AJ194" s="5" t="s">
        <v>348</v>
      </c>
      <c r="AK194" s="5" t="s">
        <v>553</v>
      </c>
      <c r="AL194" s="5" t="s">
        <v>131</v>
      </c>
    </row>
    <row r="195" ht="16.5" customHeight="1">
      <c r="A195" s="5" t="s">
        <v>60</v>
      </c>
      <c r="B195" s="1" t="b">
        <v>1</v>
      </c>
      <c r="C195" s="1" t="s">
        <v>579</v>
      </c>
      <c r="D195" s="1" t="s">
        <v>580</v>
      </c>
      <c r="E195" s="1" t="s">
        <v>65</v>
      </c>
      <c r="F195" s="1" t="s">
        <v>66</v>
      </c>
      <c r="G195" s="1" t="s">
        <v>334</v>
      </c>
      <c r="H195" s="1" t="s">
        <v>141</v>
      </c>
      <c r="I195" s="1" t="s">
        <v>107</v>
      </c>
      <c r="J195" s="1"/>
      <c r="K195" s="1" t="b">
        <v>1</v>
      </c>
      <c r="L195" s="1" t="b">
        <v>0</v>
      </c>
      <c r="M195" s="19">
        <v>500.0</v>
      </c>
      <c r="N195" s="20">
        <v>2.1</v>
      </c>
      <c r="O195" s="20">
        <v>238.1</v>
      </c>
      <c r="P195" s="21"/>
      <c r="Q195" s="1" t="s">
        <v>78</v>
      </c>
      <c r="R195" s="1" t="s">
        <v>145</v>
      </c>
      <c r="S195" s="1" t="s">
        <v>81</v>
      </c>
      <c r="T195" s="1" t="s">
        <v>81</v>
      </c>
      <c r="U195" s="1" t="s">
        <v>963</v>
      </c>
      <c r="V195" s="1" t="s">
        <v>0</v>
      </c>
      <c r="W195" s="22" t="s">
        <v>82</v>
      </c>
      <c r="X195" s="20">
        <v>69.99</v>
      </c>
      <c r="Y195" s="1" t="s">
        <v>0</v>
      </c>
      <c r="Z195" s="1" t="s">
        <v>0</v>
      </c>
      <c r="AA195" s="23" t="s">
        <v>85</v>
      </c>
      <c r="AB195" s="1">
        <v>1000.0</v>
      </c>
      <c r="AC195" s="1">
        <v>300.0</v>
      </c>
      <c r="AD195" s="1" t="s">
        <v>579</v>
      </c>
      <c r="AE195" s="1">
        <v>4.0</v>
      </c>
      <c r="AF195" s="5" t="s">
        <v>125</v>
      </c>
      <c r="AG195" s="5" t="s">
        <v>127</v>
      </c>
      <c r="AH195" s="5" t="s">
        <v>237</v>
      </c>
      <c r="AI195" s="5" t="s">
        <v>334</v>
      </c>
      <c r="AJ195" s="5" t="s">
        <v>348</v>
      </c>
      <c r="AK195" s="5" t="s">
        <v>553</v>
      </c>
      <c r="AL195" s="5" t="s">
        <v>131</v>
      </c>
    </row>
    <row r="196" ht="16.5" customHeight="1">
      <c r="A196" s="5" t="s">
        <v>60</v>
      </c>
      <c r="B196" s="1" t="b">
        <v>1</v>
      </c>
      <c r="C196" s="1" t="s">
        <v>965</v>
      </c>
      <c r="D196" s="1" t="s">
        <v>518</v>
      </c>
      <c r="E196" s="1" t="s">
        <v>65</v>
      </c>
      <c r="F196" s="1" t="s">
        <v>66</v>
      </c>
      <c r="G196" s="1" t="s">
        <v>68</v>
      </c>
      <c r="H196" s="1" t="s">
        <v>69</v>
      </c>
      <c r="I196" s="1" t="s">
        <v>70</v>
      </c>
      <c r="J196" s="1"/>
      <c r="K196" s="1" t="b">
        <v>0</v>
      </c>
      <c r="L196" s="1" t="b">
        <v>0</v>
      </c>
      <c r="M196" s="19">
        <v>2500.0</v>
      </c>
      <c r="N196" s="20">
        <v>2.1</v>
      </c>
      <c r="O196" s="20">
        <v>1190.48</v>
      </c>
      <c r="P196" s="21"/>
      <c r="Q196" s="1" t="s">
        <v>78</v>
      </c>
      <c r="R196" s="1" t="s">
        <v>154</v>
      </c>
      <c r="S196" s="1" t="s">
        <v>166</v>
      </c>
      <c r="T196" s="1" t="s">
        <v>81</v>
      </c>
      <c r="U196" s="1" t="s">
        <v>0</v>
      </c>
      <c r="V196" s="1"/>
      <c r="W196" s="22" t="s">
        <v>202</v>
      </c>
      <c r="X196" s="20">
        <v>358.18</v>
      </c>
      <c r="Y196" s="1" t="s">
        <v>0</v>
      </c>
      <c r="Z196" s="1" t="s">
        <v>0</v>
      </c>
      <c r="AA196" s="23" t="s">
        <v>101</v>
      </c>
      <c r="AB196" s="1">
        <v>1000.0</v>
      </c>
      <c r="AC196" s="1">
        <v>300.0</v>
      </c>
      <c r="AD196" s="1" t="s">
        <v>965</v>
      </c>
      <c r="AE196" s="1">
        <v>3.0</v>
      </c>
      <c r="AF196" s="5" t="s">
        <v>125</v>
      </c>
      <c r="AG196" s="5" t="s">
        <v>127</v>
      </c>
      <c r="AI196" s="5" t="s">
        <v>68</v>
      </c>
      <c r="AJ196" s="5" t="s">
        <v>89</v>
      </c>
      <c r="AK196" s="5" t="s">
        <v>90</v>
      </c>
      <c r="AL196" s="5" t="s">
        <v>91</v>
      </c>
    </row>
    <row r="197" ht="16.5" customHeight="1">
      <c r="A197" s="5" t="s">
        <v>60</v>
      </c>
      <c r="B197" s="1" t="b">
        <v>1</v>
      </c>
      <c r="C197" s="1" t="s">
        <v>967</v>
      </c>
      <c r="D197" s="1" t="s">
        <v>528</v>
      </c>
      <c r="E197" s="1" t="s">
        <v>65</v>
      </c>
      <c r="F197" s="1" t="s">
        <v>66</v>
      </c>
      <c r="G197" s="1" t="s">
        <v>68</v>
      </c>
      <c r="H197" s="1" t="s">
        <v>69</v>
      </c>
      <c r="I197" s="1" t="s">
        <v>107</v>
      </c>
      <c r="J197" s="1"/>
      <c r="K197" s="1" t="b">
        <v>0</v>
      </c>
      <c r="L197" s="1" t="b">
        <v>0</v>
      </c>
      <c r="M197" s="19">
        <v>2500.0</v>
      </c>
      <c r="N197" s="20">
        <v>2.1</v>
      </c>
      <c r="O197" s="20">
        <v>1190.48</v>
      </c>
      <c r="P197" s="21"/>
      <c r="Q197" s="1" t="s">
        <v>78</v>
      </c>
      <c r="R197" s="1" t="s">
        <v>154</v>
      </c>
      <c r="S197" s="1" t="s">
        <v>166</v>
      </c>
      <c r="T197" s="1" t="s">
        <v>81</v>
      </c>
      <c r="U197" s="1" t="s">
        <v>0</v>
      </c>
      <c r="V197" s="1"/>
      <c r="W197" s="22" t="s">
        <v>202</v>
      </c>
      <c r="X197" s="20">
        <v>337.99</v>
      </c>
      <c r="Y197" s="1" t="s">
        <v>0</v>
      </c>
      <c r="Z197" s="1" t="s">
        <v>0</v>
      </c>
      <c r="AA197" s="23" t="s">
        <v>101</v>
      </c>
      <c r="AB197" s="1">
        <v>1000.0</v>
      </c>
      <c r="AC197" s="1">
        <v>300.0</v>
      </c>
      <c r="AD197" s="1" t="s">
        <v>967</v>
      </c>
      <c r="AE197" s="1">
        <v>3.0</v>
      </c>
      <c r="AF197" s="5" t="s">
        <v>125</v>
      </c>
      <c r="AG197" s="5" t="s">
        <v>127</v>
      </c>
      <c r="AI197" s="5" t="s">
        <v>68</v>
      </c>
      <c r="AJ197" s="5" t="s">
        <v>89</v>
      </c>
      <c r="AK197" s="5" t="s">
        <v>90</v>
      </c>
      <c r="AL197" s="5" t="s">
        <v>91</v>
      </c>
    </row>
    <row r="198" ht="16.5" customHeight="1">
      <c r="A198" s="5" t="s">
        <v>60</v>
      </c>
      <c r="B198" s="1" t="b">
        <v>1</v>
      </c>
      <c r="C198" s="1" t="s">
        <v>968</v>
      </c>
      <c r="D198" s="1" t="s">
        <v>969</v>
      </c>
      <c r="E198" s="1" t="s">
        <v>65</v>
      </c>
      <c r="F198" s="1" t="s">
        <v>66</v>
      </c>
      <c r="G198" s="1" t="s">
        <v>68</v>
      </c>
      <c r="H198" s="1" t="s">
        <v>141</v>
      </c>
      <c r="I198" s="1" t="s">
        <v>70</v>
      </c>
      <c r="J198" s="1"/>
      <c r="K198" s="1" t="b">
        <v>1</v>
      </c>
      <c r="L198" s="1" t="b">
        <v>0</v>
      </c>
      <c r="M198" s="19">
        <v>2800.0</v>
      </c>
      <c r="N198" s="20">
        <v>2.1</v>
      </c>
      <c r="O198" s="20">
        <v>1333.33</v>
      </c>
      <c r="P198" s="21"/>
      <c r="Q198" s="1" t="s">
        <v>78</v>
      </c>
      <c r="R198" s="1" t="s">
        <v>154</v>
      </c>
      <c r="S198" s="1" t="s">
        <v>166</v>
      </c>
      <c r="T198" s="1" t="s">
        <v>81</v>
      </c>
      <c r="U198" s="1" t="s">
        <v>0</v>
      </c>
      <c r="V198" s="1" t="s">
        <v>156</v>
      </c>
      <c r="W198" s="22" t="s">
        <v>82</v>
      </c>
      <c r="X198" s="20">
        <v>371.24</v>
      </c>
      <c r="Y198" s="1" t="s">
        <v>0</v>
      </c>
      <c r="Z198" s="1" t="s">
        <v>0</v>
      </c>
      <c r="AA198" s="23" t="s">
        <v>101</v>
      </c>
      <c r="AB198" s="1">
        <v>1000.0</v>
      </c>
      <c r="AC198" s="1">
        <v>300.0</v>
      </c>
      <c r="AD198" s="1" t="s">
        <v>968</v>
      </c>
      <c r="AE198" s="1">
        <v>3.0</v>
      </c>
      <c r="AF198" s="5" t="s">
        <v>125</v>
      </c>
      <c r="AG198" s="5" t="s">
        <v>127</v>
      </c>
      <c r="AI198" s="5" t="s">
        <v>68</v>
      </c>
      <c r="AJ198" s="5" t="s">
        <v>89</v>
      </c>
      <c r="AK198" s="5" t="s">
        <v>90</v>
      </c>
      <c r="AL198" s="5" t="s">
        <v>91</v>
      </c>
    </row>
    <row r="199" ht="16.5" customHeight="1">
      <c r="A199" s="5" t="s">
        <v>60</v>
      </c>
      <c r="B199" s="1" t="b">
        <v>1</v>
      </c>
      <c r="C199" s="1" t="s">
        <v>972</v>
      </c>
      <c r="D199" s="1" t="s">
        <v>973</v>
      </c>
      <c r="E199" s="1" t="s">
        <v>65</v>
      </c>
      <c r="F199" s="1" t="s">
        <v>66</v>
      </c>
      <c r="G199" s="1" t="s">
        <v>68</v>
      </c>
      <c r="H199" s="1" t="s">
        <v>141</v>
      </c>
      <c r="I199" s="1" t="s">
        <v>107</v>
      </c>
      <c r="J199" s="1"/>
      <c r="K199" s="1" t="b">
        <v>1</v>
      </c>
      <c r="L199" s="1" t="b">
        <v>0</v>
      </c>
      <c r="M199" s="19">
        <v>2800.0</v>
      </c>
      <c r="N199" s="20">
        <v>2.1</v>
      </c>
      <c r="O199" s="20">
        <v>1333.33</v>
      </c>
      <c r="P199" s="21"/>
      <c r="Q199" s="1" t="s">
        <v>78</v>
      </c>
      <c r="R199" s="1" t="s">
        <v>154</v>
      </c>
      <c r="S199" s="1" t="s">
        <v>166</v>
      </c>
      <c r="T199" s="1" t="s">
        <v>81</v>
      </c>
      <c r="U199" s="1" t="s">
        <v>0</v>
      </c>
      <c r="V199" s="1" t="s">
        <v>156</v>
      </c>
      <c r="W199" s="22" t="s">
        <v>82</v>
      </c>
      <c r="X199" s="20">
        <v>352.76</v>
      </c>
      <c r="Y199" s="1" t="s">
        <v>0</v>
      </c>
      <c r="Z199" s="1" t="s">
        <v>0</v>
      </c>
      <c r="AA199" s="23" t="s">
        <v>101</v>
      </c>
      <c r="AB199" s="1">
        <v>1000.0</v>
      </c>
      <c r="AC199" s="1">
        <v>300.0</v>
      </c>
      <c r="AD199" s="1" t="s">
        <v>972</v>
      </c>
      <c r="AE199" s="1">
        <v>3.0</v>
      </c>
      <c r="AF199" s="5" t="s">
        <v>125</v>
      </c>
      <c r="AG199" s="5" t="s">
        <v>127</v>
      </c>
      <c r="AI199" s="5" t="s">
        <v>68</v>
      </c>
      <c r="AJ199" s="5" t="s">
        <v>89</v>
      </c>
      <c r="AK199" s="5" t="s">
        <v>90</v>
      </c>
      <c r="AL199" s="5" t="s">
        <v>91</v>
      </c>
    </row>
    <row r="200" ht="16.5" customHeight="1">
      <c r="A200" s="5" t="s">
        <v>60</v>
      </c>
      <c r="B200" s="1" t="b">
        <v>1</v>
      </c>
      <c r="C200" s="1" t="s">
        <v>974</v>
      </c>
      <c r="D200" s="1" t="s">
        <v>975</v>
      </c>
      <c r="E200" s="1" t="s">
        <v>65</v>
      </c>
      <c r="F200" s="1" t="s">
        <v>66</v>
      </c>
      <c r="G200" s="1" t="s">
        <v>113</v>
      </c>
      <c r="H200" s="1" t="s">
        <v>141</v>
      </c>
      <c r="I200" s="1" t="s">
        <v>70</v>
      </c>
      <c r="J200" s="1"/>
      <c r="K200" s="1" t="b">
        <v>1</v>
      </c>
      <c r="L200" s="1" t="b">
        <v>0</v>
      </c>
      <c r="M200" s="19">
        <v>1700.0</v>
      </c>
      <c r="N200" s="20">
        <v>2.1</v>
      </c>
      <c r="O200" s="20">
        <v>809.52</v>
      </c>
      <c r="P200" s="21"/>
      <c r="Q200" s="1" t="s">
        <v>117</v>
      </c>
      <c r="R200" s="1" t="s">
        <v>154</v>
      </c>
      <c r="S200" s="1" t="s">
        <v>81</v>
      </c>
      <c r="T200" s="1" t="s">
        <v>81</v>
      </c>
      <c r="U200" s="1" t="s">
        <v>0</v>
      </c>
      <c r="V200" s="1" t="s">
        <v>156</v>
      </c>
      <c r="W200" s="22" t="s">
        <v>82</v>
      </c>
      <c r="X200" s="20">
        <v>201.03000000000003</v>
      </c>
      <c r="Y200" s="1" t="s">
        <v>0</v>
      </c>
      <c r="Z200" s="1" t="s">
        <v>0</v>
      </c>
      <c r="AA200" s="23" t="s">
        <v>101</v>
      </c>
      <c r="AB200" s="1">
        <v>1000.0</v>
      </c>
      <c r="AC200" s="1">
        <v>300.0</v>
      </c>
      <c r="AD200" s="1" t="s">
        <v>974</v>
      </c>
      <c r="AE200" s="1">
        <v>4.0</v>
      </c>
      <c r="AF200" s="5" t="s">
        <v>86</v>
      </c>
      <c r="AG200" s="5" t="s">
        <v>87</v>
      </c>
      <c r="AI200" s="5" t="s">
        <v>126</v>
      </c>
      <c r="AJ200" s="5" t="s">
        <v>147</v>
      </c>
      <c r="AK200" s="5" t="s">
        <v>130</v>
      </c>
      <c r="AL200" s="5" t="s">
        <v>131</v>
      </c>
    </row>
    <row r="201" ht="16.5" customHeight="1">
      <c r="A201" s="5" t="s">
        <v>60</v>
      </c>
      <c r="B201" s="1" t="b">
        <v>1</v>
      </c>
      <c r="C201" s="1" t="s">
        <v>976</v>
      </c>
      <c r="D201" s="1" t="s">
        <v>977</v>
      </c>
      <c r="E201" s="1" t="s">
        <v>65</v>
      </c>
      <c r="F201" s="1" t="s">
        <v>66</v>
      </c>
      <c r="G201" s="1" t="s">
        <v>113</v>
      </c>
      <c r="H201" s="1" t="s">
        <v>141</v>
      </c>
      <c r="I201" s="1" t="s">
        <v>107</v>
      </c>
      <c r="J201" s="1"/>
      <c r="K201" s="1" t="b">
        <v>1</v>
      </c>
      <c r="L201" s="1" t="b">
        <v>0</v>
      </c>
      <c r="M201" s="19">
        <v>1700.0</v>
      </c>
      <c r="N201" s="20">
        <v>2.1</v>
      </c>
      <c r="O201" s="20">
        <v>809.52</v>
      </c>
      <c r="P201" s="21"/>
      <c r="Q201" s="1" t="s">
        <v>117</v>
      </c>
      <c r="R201" s="1" t="s">
        <v>154</v>
      </c>
      <c r="S201" s="1" t="s">
        <v>81</v>
      </c>
      <c r="T201" s="1" t="s">
        <v>81</v>
      </c>
      <c r="U201" s="1" t="s">
        <v>0</v>
      </c>
      <c r="V201" s="1" t="s">
        <v>156</v>
      </c>
      <c r="W201" s="22" t="s">
        <v>82</v>
      </c>
      <c r="X201" s="20">
        <v>190.02000000000004</v>
      </c>
      <c r="Y201" s="1" t="s">
        <v>0</v>
      </c>
      <c r="Z201" s="1" t="s">
        <v>0</v>
      </c>
      <c r="AA201" s="23" t="s">
        <v>101</v>
      </c>
      <c r="AB201" s="1">
        <v>1000.0</v>
      </c>
      <c r="AC201" s="1">
        <v>300.0</v>
      </c>
      <c r="AD201" s="1" t="s">
        <v>976</v>
      </c>
      <c r="AE201" s="1">
        <v>4.0</v>
      </c>
      <c r="AF201" s="5" t="s">
        <v>86</v>
      </c>
      <c r="AG201" s="5" t="s">
        <v>87</v>
      </c>
      <c r="AI201" s="5" t="s">
        <v>126</v>
      </c>
      <c r="AJ201" s="5" t="s">
        <v>147</v>
      </c>
      <c r="AK201" s="5" t="s">
        <v>130</v>
      </c>
      <c r="AL201" s="5" t="s">
        <v>131</v>
      </c>
    </row>
    <row r="202" ht="16.5" customHeight="1">
      <c r="A202" s="5" t="s">
        <v>60</v>
      </c>
      <c r="B202" s="1" t="b">
        <v>1</v>
      </c>
      <c r="C202" s="1" t="s">
        <v>978</v>
      </c>
      <c r="D202" s="1" t="s">
        <v>638</v>
      </c>
      <c r="E202" s="1" t="s">
        <v>65</v>
      </c>
      <c r="F202" s="1" t="s">
        <v>66</v>
      </c>
      <c r="G202" s="1" t="s">
        <v>113</v>
      </c>
      <c r="H202" s="1" t="s">
        <v>69</v>
      </c>
      <c r="I202" s="1" t="s">
        <v>70</v>
      </c>
      <c r="J202" s="1"/>
      <c r="K202" s="1" t="b">
        <v>0</v>
      </c>
      <c r="L202" s="1" t="b">
        <v>0</v>
      </c>
      <c r="M202" s="19">
        <v>2000.0</v>
      </c>
      <c r="N202" s="20">
        <v>2.1</v>
      </c>
      <c r="O202" s="20">
        <v>952.38</v>
      </c>
      <c r="P202" s="21"/>
      <c r="Q202" s="1" t="s">
        <v>117</v>
      </c>
      <c r="R202" s="1" t="s">
        <v>154</v>
      </c>
      <c r="S202" s="1" t="s">
        <v>81</v>
      </c>
      <c r="T202" s="1" t="s">
        <v>81</v>
      </c>
      <c r="U202" s="1" t="s">
        <v>0</v>
      </c>
      <c r="V202" s="1"/>
      <c r="W202" s="22" t="s">
        <v>202</v>
      </c>
      <c r="X202" s="20">
        <v>284.82</v>
      </c>
      <c r="Y202" s="1" t="s">
        <v>0</v>
      </c>
      <c r="Z202" s="1" t="s">
        <v>0</v>
      </c>
      <c r="AA202" s="23" t="s">
        <v>101</v>
      </c>
      <c r="AB202" s="1">
        <v>1000.0</v>
      </c>
      <c r="AC202" s="1">
        <v>300.0</v>
      </c>
      <c r="AD202" s="1" t="s">
        <v>978</v>
      </c>
      <c r="AE202" s="1">
        <v>3.0</v>
      </c>
      <c r="AF202" s="5" t="s">
        <v>86</v>
      </c>
      <c r="AG202" s="5" t="s">
        <v>87</v>
      </c>
      <c r="AH202" s="32" t="s">
        <v>429</v>
      </c>
      <c r="AI202" s="5" t="s">
        <v>126</v>
      </c>
      <c r="AJ202" s="5" t="s">
        <v>128</v>
      </c>
      <c r="AK202" s="5" t="s">
        <v>130</v>
      </c>
      <c r="AL202" s="5" t="s">
        <v>131</v>
      </c>
    </row>
    <row r="203" ht="16.5" customHeight="1">
      <c r="A203" s="5" t="s">
        <v>60</v>
      </c>
      <c r="B203" s="1" t="b">
        <v>1</v>
      </c>
      <c r="C203" s="1" t="s">
        <v>982</v>
      </c>
      <c r="D203" s="1" t="s">
        <v>651</v>
      </c>
      <c r="E203" s="1" t="s">
        <v>65</v>
      </c>
      <c r="F203" s="1" t="s">
        <v>66</v>
      </c>
      <c r="G203" s="1" t="s">
        <v>113</v>
      </c>
      <c r="H203" s="1" t="s">
        <v>69</v>
      </c>
      <c r="I203" s="1" t="s">
        <v>107</v>
      </c>
      <c r="J203" s="1"/>
      <c r="K203" s="1" t="b">
        <v>0</v>
      </c>
      <c r="L203" s="1" t="b">
        <v>0</v>
      </c>
      <c r="M203" s="19">
        <v>2000.0</v>
      </c>
      <c r="N203" s="20">
        <v>2.1</v>
      </c>
      <c r="O203" s="20">
        <v>952.38</v>
      </c>
      <c r="P203" s="21"/>
      <c r="Q203" s="1" t="s">
        <v>117</v>
      </c>
      <c r="R203" s="1" t="s">
        <v>154</v>
      </c>
      <c r="S203" s="1" t="s">
        <v>81</v>
      </c>
      <c r="T203" s="1" t="s">
        <v>81</v>
      </c>
      <c r="U203" s="1" t="s">
        <v>0</v>
      </c>
      <c r="V203" s="1"/>
      <c r="W203" s="22" t="s">
        <v>202</v>
      </c>
      <c r="X203" s="20">
        <v>289.14</v>
      </c>
      <c r="Y203" s="1" t="s">
        <v>0</v>
      </c>
      <c r="Z203" s="1" t="s">
        <v>0</v>
      </c>
      <c r="AA203" s="23" t="s">
        <v>101</v>
      </c>
      <c r="AB203" s="1">
        <v>1000.0</v>
      </c>
      <c r="AC203" s="1">
        <v>300.0</v>
      </c>
      <c r="AD203" s="1" t="s">
        <v>982</v>
      </c>
      <c r="AE203" s="1">
        <v>3.0</v>
      </c>
      <c r="AF203" s="5" t="s">
        <v>86</v>
      </c>
      <c r="AG203" s="5" t="s">
        <v>87</v>
      </c>
      <c r="AH203" s="32" t="s">
        <v>429</v>
      </c>
      <c r="AI203" s="5" t="s">
        <v>126</v>
      </c>
      <c r="AJ203" s="5" t="s">
        <v>128</v>
      </c>
      <c r="AK203" s="5" t="s">
        <v>130</v>
      </c>
      <c r="AL203" s="5" t="s">
        <v>131</v>
      </c>
    </row>
    <row r="204" ht="16.5" customHeight="1">
      <c r="A204" s="5" t="s">
        <v>60</v>
      </c>
      <c r="B204" s="1" t="b">
        <v>1</v>
      </c>
      <c r="C204" s="1" t="s">
        <v>984</v>
      </c>
      <c r="D204" s="1" t="s">
        <v>985</v>
      </c>
      <c r="E204" s="1" t="s">
        <v>65</v>
      </c>
      <c r="F204" s="1" t="s">
        <v>66</v>
      </c>
      <c r="G204" s="1" t="s">
        <v>68</v>
      </c>
      <c r="H204" s="1" t="s">
        <v>69</v>
      </c>
      <c r="I204" s="1" t="s">
        <v>70</v>
      </c>
      <c r="J204" s="1"/>
      <c r="K204" s="1" t="b">
        <v>0</v>
      </c>
      <c r="L204" s="1" t="b">
        <v>0</v>
      </c>
      <c r="M204" s="19">
        <v>4000.0</v>
      </c>
      <c r="N204" s="20">
        <v>2.1</v>
      </c>
      <c r="O204" s="20">
        <v>1666.67</v>
      </c>
      <c r="P204" s="21"/>
      <c r="Q204" s="1" t="s">
        <v>117</v>
      </c>
      <c r="R204" s="1" t="s">
        <v>154</v>
      </c>
      <c r="S204" s="1" t="s">
        <v>80</v>
      </c>
      <c r="T204" s="1" t="s">
        <v>81</v>
      </c>
      <c r="U204" s="1" t="s">
        <v>0</v>
      </c>
      <c r="V204" s="1"/>
      <c r="W204" s="22" t="s">
        <v>202</v>
      </c>
      <c r="X204" s="20">
        <v>844.4499999999999</v>
      </c>
      <c r="Y204" s="1" t="s">
        <v>0</v>
      </c>
      <c r="Z204" s="1" t="s">
        <v>0</v>
      </c>
      <c r="AA204" s="23" t="s">
        <v>101</v>
      </c>
      <c r="AB204" s="1">
        <v>1000.0</v>
      </c>
      <c r="AC204" s="1">
        <v>600.0</v>
      </c>
      <c r="AD204" s="1" t="s">
        <v>984</v>
      </c>
      <c r="AE204" s="1">
        <v>3.0</v>
      </c>
      <c r="AF204" s="5" t="s">
        <v>125</v>
      </c>
      <c r="AG204" s="5" t="s">
        <v>127</v>
      </c>
      <c r="AH204" s="5" t="s">
        <v>237</v>
      </c>
      <c r="AI204" s="5" t="s">
        <v>68</v>
      </c>
      <c r="AJ204" s="5" t="s">
        <v>89</v>
      </c>
      <c r="AK204" s="5" t="s">
        <v>90</v>
      </c>
      <c r="AL204" s="5" t="s">
        <v>91</v>
      </c>
      <c r="AM204" s="5" t="s">
        <v>987</v>
      </c>
    </row>
    <row r="205" ht="16.5" customHeight="1">
      <c r="A205" s="5" t="s">
        <v>60</v>
      </c>
      <c r="B205" s="1" t="b">
        <v>1</v>
      </c>
      <c r="C205" s="1" t="s">
        <v>988</v>
      </c>
      <c r="D205" s="1" t="s">
        <v>605</v>
      </c>
      <c r="E205" s="1" t="s">
        <v>65</v>
      </c>
      <c r="F205" s="1" t="s">
        <v>66</v>
      </c>
      <c r="G205" s="1" t="s">
        <v>68</v>
      </c>
      <c r="H205" s="1" t="s">
        <v>69</v>
      </c>
      <c r="I205" s="1" t="s">
        <v>107</v>
      </c>
      <c r="J205" s="1"/>
      <c r="K205" s="1" t="b">
        <v>0</v>
      </c>
      <c r="L205" s="1" t="b">
        <v>0</v>
      </c>
      <c r="M205" s="19">
        <v>4000.0</v>
      </c>
      <c r="N205" s="20">
        <v>2.1</v>
      </c>
      <c r="O205" s="20">
        <v>1666.67</v>
      </c>
      <c r="P205" s="21"/>
      <c r="Q205" s="1" t="s">
        <v>117</v>
      </c>
      <c r="R205" s="1" t="s">
        <v>154</v>
      </c>
      <c r="S205" s="1" t="s">
        <v>80</v>
      </c>
      <c r="T205" s="1" t="s">
        <v>81</v>
      </c>
      <c r="U205" s="1" t="s">
        <v>0</v>
      </c>
      <c r="V205" s="1"/>
      <c r="W205" s="22" t="s">
        <v>202</v>
      </c>
      <c r="X205" s="20">
        <v>786.67</v>
      </c>
      <c r="Y205" s="1" t="s">
        <v>0</v>
      </c>
      <c r="Z205" s="1" t="s">
        <v>0</v>
      </c>
      <c r="AA205" s="23" t="s">
        <v>101</v>
      </c>
      <c r="AB205" s="1">
        <v>1000.0</v>
      </c>
      <c r="AC205" s="1">
        <v>600.0</v>
      </c>
      <c r="AD205" s="1" t="s">
        <v>988</v>
      </c>
      <c r="AE205" s="1">
        <v>3.0</v>
      </c>
      <c r="AF205" s="5" t="s">
        <v>125</v>
      </c>
      <c r="AG205" s="5" t="s">
        <v>127</v>
      </c>
      <c r="AH205" s="5" t="s">
        <v>237</v>
      </c>
      <c r="AI205" s="5" t="s">
        <v>68</v>
      </c>
      <c r="AJ205" s="5" t="s">
        <v>89</v>
      </c>
      <c r="AK205" s="5" t="s">
        <v>90</v>
      </c>
      <c r="AL205" s="5" t="s">
        <v>91</v>
      </c>
      <c r="AM205" s="5" t="s">
        <v>987</v>
      </c>
    </row>
    <row r="206" ht="16.5" customHeight="1">
      <c r="A206" s="5" t="s">
        <v>60</v>
      </c>
      <c r="B206" s="1" t="b">
        <v>1</v>
      </c>
      <c r="C206" s="1" t="s">
        <v>663</v>
      </c>
      <c r="D206" s="1" t="s">
        <v>664</v>
      </c>
      <c r="E206" s="1" t="s">
        <v>65</v>
      </c>
      <c r="F206" s="1" t="s">
        <v>66</v>
      </c>
      <c r="G206" s="1" t="s">
        <v>270</v>
      </c>
      <c r="H206" s="1" t="s">
        <v>141</v>
      </c>
      <c r="I206" s="1" t="s">
        <v>70</v>
      </c>
      <c r="J206" s="1"/>
      <c r="K206" s="1" t="b">
        <v>0</v>
      </c>
      <c r="L206" s="1" t="b">
        <v>1</v>
      </c>
      <c r="M206" s="19">
        <v>1300.0</v>
      </c>
      <c r="N206" s="20">
        <v>2.1</v>
      </c>
      <c r="O206" s="20">
        <v>619.05</v>
      </c>
      <c r="P206" s="21"/>
      <c r="Q206" s="1" t="s">
        <v>78</v>
      </c>
      <c r="R206" s="1" t="s">
        <v>154</v>
      </c>
      <c r="S206" s="1" t="s">
        <v>81</v>
      </c>
      <c r="T206" s="1" t="s">
        <v>81</v>
      </c>
      <c r="U206" s="1" t="s">
        <v>991</v>
      </c>
      <c r="V206" s="1" t="s">
        <v>156</v>
      </c>
      <c r="W206" s="22" t="s">
        <v>992</v>
      </c>
      <c r="X206" s="20">
        <v>234.59</v>
      </c>
      <c r="Y206" s="1" t="s">
        <v>993</v>
      </c>
      <c r="Z206" s="1" t="s">
        <v>994</v>
      </c>
      <c r="AA206" s="23" t="s">
        <v>101</v>
      </c>
      <c r="AB206" s="1">
        <v>1000.0</v>
      </c>
      <c r="AC206" s="1">
        <v>300.0</v>
      </c>
      <c r="AD206" s="1" t="s">
        <v>663</v>
      </c>
      <c r="AE206" s="1">
        <v>3.0</v>
      </c>
      <c r="AF206" s="5" t="s">
        <v>125</v>
      </c>
      <c r="AG206" s="5" t="s">
        <v>127</v>
      </c>
      <c r="AI206" s="5" t="s">
        <v>276</v>
      </c>
      <c r="AJ206" s="5" t="s">
        <v>89</v>
      </c>
      <c r="AK206" s="5" t="s">
        <v>277</v>
      </c>
      <c r="AL206" s="5" t="s">
        <v>131</v>
      </c>
    </row>
    <row r="207" ht="16.5" customHeight="1">
      <c r="A207" s="5" t="s">
        <v>60</v>
      </c>
      <c r="B207" s="1" t="b">
        <v>1</v>
      </c>
      <c r="C207" s="1" t="s">
        <v>676</v>
      </c>
      <c r="D207" s="1" t="s">
        <v>677</v>
      </c>
      <c r="E207" s="1" t="s">
        <v>65</v>
      </c>
      <c r="F207" s="1" t="s">
        <v>66</v>
      </c>
      <c r="G207" s="1" t="s">
        <v>270</v>
      </c>
      <c r="H207" s="1" t="s">
        <v>141</v>
      </c>
      <c r="I207" s="1" t="s">
        <v>107</v>
      </c>
      <c r="J207" s="1"/>
      <c r="K207" s="1" t="b">
        <v>0</v>
      </c>
      <c r="L207" s="1" t="b">
        <v>1</v>
      </c>
      <c r="M207" s="19">
        <v>1300.0</v>
      </c>
      <c r="N207" s="20">
        <v>2.1</v>
      </c>
      <c r="O207" s="20">
        <v>619.05</v>
      </c>
      <c r="P207" s="21"/>
      <c r="Q207" s="1" t="s">
        <v>78</v>
      </c>
      <c r="R207" s="1" t="s">
        <v>154</v>
      </c>
      <c r="S207" s="1" t="s">
        <v>81</v>
      </c>
      <c r="T207" s="1" t="s">
        <v>81</v>
      </c>
      <c r="U207" s="1" t="s">
        <v>996</v>
      </c>
      <c r="V207" s="1" t="s">
        <v>156</v>
      </c>
      <c r="W207" s="22" t="s">
        <v>992</v>
      </c>
      <c r="X207" s="20">
        <v>219.3</v>
      </c>
      <c r="Y207" s="1" t="s">
        <v>997</v>
      </c>
      <c r="Z207" s="1" t="s">
        <v>998</v>
      </c>
      <c r="AA207" s="23" t="s">
        <v>101</v>
      </c>
      <c r="AB207" s="1">
        <v>1000.0</v>
      </c>
      <c r="AC207" s="1">
        <v>300.0</v>
      </c>
      <c r="AD207" s="1" t="s">
        <v>676</v>
      </c>
      <c r="AE207" s="1">
        <v>3.0</v>
      </c>
      <c r="AF207" s="5" t="s">
        <v>125</v>
      </c>
      <c r="AG207" s="5" t="s">
        <v>127</v>
      </c>
      <c r="AI207" s="5" t="s">
        <v>276</v>
      </c>
      <c r="AJ207" s="5" t="s">
        <v>89</v>
      </c>
      <c r="AK207" s="5" t="s">
        <v>277</v>
      </c>
      <c r="AL207" s="5" t="s">
        <v>131</v>
      </c>
    </row>
    <row r="208" ht="16.5" customHeight="1">
      <c r="A208" s="5" t="s">
        <v>60</v>
      </c>
      <c r="B208" s="1" t="b">
        <v>1</v>
      </c>
      <c r="C208" s="1" t="s">
        <v>1000</v>
      </c>
      <c r="D208" s="1" t="s">
        <v>1001</v>
      </c>
      <c r="E208" s="1" t="s">
        <v>1002</v>
      </c>
      <c r="F208" s="1" t="s">
        <v>66</v>
      </c>
      <c r="G208" s="1" t="s">
        <v>1003</v>
      </c>
      <c r="H208" s="1" t="s">
        <v>69</v>
      </c>
      <c r="I208" s="1" t="s">
        <v>70</v>
      </c>
      <c r="J208" s="1"/>
      <c r="K208" s="1" t="b">
        <v>0</v>
      </c>
      <c r="L208" s="1" t="b">
        <v>0</v>
      </c>
      <c r="M208" s="19">
        <v>1700.0</v>
      </c>
      <c r="N208" s="20">
        <v>2.08</v>
      </c>
      <c r="O208" s="20">
        <v>817.31</v>
      </c>
      <c r="P208" s="21"/>
      <c r="Q208" s="1" t="s">
        <v>117</v>
      </c>
      <c r="R208" s="1" t="s">
        <v>1004</v>
      </c>
      <c r="S208" s="1" t="s">
        <v>166</v>
      </c>
      <c r="T208" s="1" t="s">
        <v>81</v>
      </c>
      <c r="U208" s="1" t="s">
        <v>0</v>
      </c>
      <c r="V208" s="1" t="s">
        <v>0</v>
      </c>
      <c r="W208" s="22" t="s">
        <v>202</v>
      </c>
      <c r="X208" s="20">
        <v>344.15999999999997</v>
      </c>
      <c r="Y208" s="1" t="s">
        <v>0</v>
      </c>
      <c r="Z208" s="1" t="s">
        <v>0</v>
      </c>
      <c r="AA208" s="23" t="s">
        <v>101</v>
      </c>
      <c r="AB208" s="1">
        <v>600.0</v>
      </c>
      <c r="AC208" s="1">
        <v>600.0</v>
      </c>
      <c r="AD208" s="1" t="s">
        <v>1000</v>
      </c>
      <c r="AE208" s="1">
        <v>2.0</v>
      </c>
      <c r="AF208" s="5" t="s">
        <v>86</v>
      </c>
      <c r="AG208" s="5" t="s">
        <v>512</v>
      </c>
      <c r="AI208" s="5" t="s">
        <v>1002</v>
      </c>
      <c r="AJ208" s="5" t="s">
        <v>1005</v>
      </c>
      <c r="AK208" s="5" t="s">
        <v>1006</v>
      </c>
      <c r="AL208" s="5" t="s">
        <v>131</v>
      </c>
    </row>
    <row r="209" ht="16.5" customHeight="1">
      <c r="A209" s="5" t="s">
        <v>60</v>
      </c>
      <c r="B209" s="1" t="b">
        <v>1</v>
      </c>
      <c r="C209" s="1" t="s">
        <v>1007</v>
      </c>
      <c r="D209" s="1" t="s">
        <v>1008</v>
      </c>
      <c r="E209" s="1" t="s">
        <v>1002</v>
      </c>
      <c r="F209" s="1" t="s">
        <v>66</v>
      </c>
      <c r="G209" s="1" t="s">
        <v>1003</v>
      </c>
      <c r="H209" s="1" t="s">
        <v>69</v>
      </c>
      <c r="I209" s="1" t="s">
        <v>107</v>
      </c>
      <c r="J209" s="1"/>
      <c r="K209" s="1" t="b">
        <v>0</v>
      </c>
      <c r="L209" s="1" t="b">
        <v>0</v>
      </c>
      <c r="M209" s="19">
        <v>1700.0</v>
      </c>
      <c r="N209" s="20">
        <v>2.08</v>
      </c>
      <c r="O209" s="20">
        <v>817.31</v>
      </c>
      <c r="P209" s="21"/>
      <c r="Q209" s="1" t="s">
        <v>117</v>
      </c>
      <c r="R209" s="1" t="s">
        <v>1004</v>
      </c>
      <c r="S209" s="1" t="s">
        <v>166</v>
      </c>
      <c r="T209" s="1" t="s">
        <v>81</v>
      </c>
      <c r="U209" s="1" t="s">
        <v>0</v>
      </c>
      <c r="V209" s="1" t="s">
        <v>0</v>
      </c>
      <c r="W209" s="22" t="s">
        <v>202</v>
      </c>
      <c r="X209" s="20">
        <v>344.15999999999997</v>
      </c>
      <c r="Y209" s="1" t="s">
        <v>0</v>
      </c>
      <c r="Z209" s="1" t="s">
        <v>0</v>
      </c>
      <c r="AA209" s="23" t="s">
        <v>101</v>
      </c>
      <c r="AB209" s="1">
        <v>600.0</v>
      </c>
      <c r="AC209" s="1">
        <v>600.0</v>
      </c>
      <c r="AD209" s="1" t="s">
        <v>1007</v>
      </c>
      <c r="AE209" s="1">
        <v>2.0</v>
      </c>
      <c r="AF209" s="5" t="s">
        <v>86</v>
      </c>
      <c r="AG209" s="5" t="s">
        <v>512</v>
      </c>
      <c r="AI209" s="5" t="s">
        <v>1002</v>
      </c>
      <c r="AJ209" s="5" t="s">
        <v>1005</v>
      </c>
      <c r="AK209" s="5" t="s">
        <v>1006</v>
      </c>
      <c r="AL209" s="5" t="s">
        <v>131</v>
      </c>
    </row>
    <row r="210" ht="16.5" customHeight="1">
      <c r="A210" s="5" t="s">
        <v>60</v>
      </c>
      <c r="B210" s="1" t="b">
        <v>1</v>
      </c>
      <c r="C210" s="1" t="s">
        <v>1010</v>
      </c>
      <c r="D210" s="1" t="s">
        <v>1011</v>
      </c>
      <c r="E210" s="1" t="s">
        <v>1002</v>
      </c>
      <c r="F210" s="1" t="s">
        <v>66</v>
      </c>
      <c r="G210" s="1" t="s">
        <v>1012</v>
      </c>
      <c r="H210" s="1" t="s">
        <v>69</v>
      </c>
      <c r="I210" s="1" t="s">
        <v>249</v>
      </c>
      <c r="J210" s="1"/>
      <c r="K210" s="1" t="b">
        <v>1</v>
      </c>
      <c r="L210" s="1" t="b">
        <v>0</v>
      </c>
      <c r="M210" s="19">
        <v>3000.0</v>
      </c>
      <c r="N210" s="20">
        <v>2.08</v>
      </c>
      <c r="O210" s="20">
        <v>1442.31</v>
      </c>
      <c r="P210" s="21"/>
      <c r="Q210" s="1" t="s">
        <v>117</v>
      </c>
      <c r="R210" s="1" t="s">
        <v>1013</v>
      </c>
      <c r="S210" s="1" t="s">
        <v>80</v>
      </c>
      <c r="T210" s="1" t="s">
        <v>81</v>
      </c>
      <c r="U210" s="1" t="s">
        <v>0</v>
      </c>
      <c r="V210" s="1" t="s">
        <v>0</v>
      </c>
      <c r="W210" s="22" t="s">
        <v>82</v>
      </c>
      <c r="X210" s="20">
        <v>597.74</v>
      </c>
      <c r="Y210" s="1" t="s">
        <v>0</v>
      </c>
      <c r="Z210" s="1" t="s">
        <v>0</v>
      </c>
      <c r="AA210" s="23" t="s">
        <v>173</v>
      </c>
      <c r="AB210" s="1">
        <v>600.0</v>
      </c>
      <c r="AC210" s="1">
        <v>600.0</v>
      </c>
      <c r="AD210" s="1" t="s">
        <v>1010</v>
      </c>
      <c r="AE210" s="1">
        <v>1.0</v>
      </c>
      <c r="AF210" s="5" t="s">
        <v>86</v>
      </c>
      <c r="AG210" s="5" t="s">
        <v>121</v>
      </c>
      <c r="AI210" s="5" t="s">
        <v>1002</v>
      </c>
      <c r="AJ210" s="5" t="s">
        <v>1015</v>
      </c>
      <c r="AK210" s="5" t="s">
        <v>1016</v>
      </c>
      <c r="AL210" s="5" t="s">
        <v>91</v>
      </c>
    </row>
    <row r="211" ht="16.5" customHeight="1">
      <c r="A211" s="5" t="s">
        <v>60</v>
      </c>
      <c r="B211" s="1" t="b">
        <v>1</v>
      </c>
      <c r="C211" s="1" t="s">
        <v>1017</v>
      </c>
      <c r="D211" s="1" t="s">
        <v>1018</v>
      </c>
      <c r="E211" s="1" t="s">
        <v>1002</v>
      </c>
      <c r="F211" s="1" t="s">
        <v>500</v>
      </c>
      <c r="G211" s="1" t="s">
        <v>1012</v>
      </c>
      <c r="H211" s="1" t="s">
        <v>69</v>
      </c>
      <c r="I211" s="1" t="s">
        <v>249</v>
      </c>
      <c r="J211" s="1"/>
      <c r="K211" s="1" t="b">
        <v>1</v>
      </c>
      <c r="L211" s="1" t="b">
        <v>0</v>
      </c>
      <c r="M211" s="19">
        <v>3800.0</v>
      </c>
      <c r="N211" s="20">
        <v>2.08</v>
      </c>
      <c r="O211" s="20">
        <v>1826.92</v>
      </c>
      <c r="P211" s="21"/>
      <c r="Q211" s="1" t="s">
        <v>242</v>
      </c>
      <c r="R211" s="1" t="s">
        <v>1013</v>
      </c>
      <c r="S211" s="1" t="s">
        <v>80</v>
      </c>
      <c r="T211" s="1" t="s">
        <v>81</v>
      </c>
      <c r="U211" s="1" t="s">
        <v>0</v>
      </c>
      <c r="V211" s="1" t="s">
        <v>0</v>
      </c>
      <c r="W211" s="22" t="s">
        <v>82</v>
      </c>
      <c r="X211" s="20">
        <v>747.14</v>
      </c>
      <c r="Y211" s="1" t="s">
        <v>0</v>
      </c>
      <c r="Z211" s="1" t="s">
        <v>0</v>
      </c>
      <c r="AA211" s="23" t="s">
        <v>173</v>
      </c>
      <c r="AB211" s="1">
        <v>600.0</v>
      </c>
      <c r="AC211" s="1">
        <v>600.0</v>
      </c>
      <c r="AD211" s="1" t="s">
        <v>1017</v>
      </c>
      <c r="AE211" s="1">
        <v>1.0</v>
      </c>
      <c r="AF211" s="5" t="s">
        <v>86</v>
      </c>
      <c r="AG211" s="5" t="s">
        <v>121</v>
      </c>
      <c r="AI211" s="5" t="s">
        <v>1002</v>
      </c>
      <c r="AJ211" s="5" t="s">
        <v>1019</v>
      </c>
      <c r="AK211" s="5" t="s">
        <v>1016</v>
      </c>
      <c r="AL211" s="5" t="s">
        <v>91</v>
      </c>
    </row>
    <row r="212" ht="16.5" customHeight="1">
      <c r="A212" s="5" t="s">
        <v>60</v>
      </c>
      <c r="B212" s="1" t="b">
        <v>1</v>
      </c>
      <c r="C212" s="1" t="s">
        <v>1020</v>
      </c>
      <c r="D212" s="1" t="s">
        <v>1021</v>
      </c>
      <c r="E212" s="1" t="s">
        <v>1002</v>
      </c>
      <c r="F212" s="1" t="s">
        <v>66</v>
      </c>
      <c r="G212" s="1" t="s">
        <v>1003</v>
      </c>
      <c r="H212" s="1" t="s">
        <v>141</v>
      </c>
      <c r="I212" s="1" t="s">
        <v>70</v>
      </c>
      <c r="J212" s="1"/>
      <c r="K212" s="1" t="b">
        <v>1</v>
      </c>
      <c r="L212" s="1" t="b">
        <v>0</v>
      </c>
      <c r="M212" s="19">
        <v>2000.0</v>
      </c>
      <c r="N212" s="20">
        <v>2.08</v>
      </c>
      <c r="O212" s="20">
        <v>961.54</v>
      </c>
      <c r="P212" s="21"/>
      <c r="Q212" s="1" t="s">
        <v>78</v>
      </c>
      <c r="R212" s="1" t="s">
        <v>1022</v>
      </c>
      <c r="S212" s="1" t="s">
        <v>80</v>
      </c>
      <c r="T212" s="1" t="s">
        <v>81</v>
      </c>
      <c r="U212" s="1" t="s">
        <v>0</v>
      </c>
      <c r="V212" s="1" t="s">
        <v>146</v>
      </c>
      <c r="W212" s="22" t="s">
        <v>82</v>
      </c>
      <c r="X212" s="20">
        <v>398.75</v>
      </c>
      <c r="Y212" s="1" t="s">
        <v>0</v>
      </c>
      <c r="Z212" s="1" t="s">
        <v>0</v>
      </c>
      <c r="AA212" s="23" t="s">
        <v>173</v>
      </c>
      <c r="AB212" s="1">
        <v>600.0</v>
      </c>
      <c r="AC212" s="1">
        <v>600.0</v>
      </c>
      <c r="AD212" s="1" t="s">
        <v>1020</v>
      </c>
      <c r="AE212" s="1">
        <v>1.0</v>
      </c>
      <c r="AF212" s="5" t="s">
        <v>86</v>
      </c>
      <c r="AG212" s="5" t="s">
        <v>87</v>
      </c>
      <c r="AI212" s="5" t="s">
        <v>1002</v>
      </c>
      <c r="AJ212" s="5" t="s">
        <v>1005</v>
      </c>
      <c r="AK212" s="5" t="s">
        <v>1016</v>
      </c>
      <c r="AL212" s="5" t="s">
        <v>91</v>
      </c>
    </row>
    <row r="213" ht="16.5" customHeight="1">
      <c r="A213" s="5" t="s">
        <v>60</v>
      </c>
      <c r="B213" s="1" t="b">
        <v>1</v>
      </c>
      <c r="C213" s="1" t="s">
        <v>1023</v>
      </c>
      <c r="D213" s="1" t="s">
        <v>1024</v>
      </c>
      <c r="E213" s="1" t="s">
        <v>1002</v>
      </c>
      <c r="F213" s="1" t="s">
        <v>66</v>
      </c>
      <c r="G213" s="1" t="s">
        <v>1003</v>
      </c>
      <c r="H213" s="1" t="s">
        <v>141</v>
      </c>
      <c r="I213" s="1" t="s">
        <v>107</v>
      </c>
      <c r="J213" s="1"/>
      <c r="K213" s="1" t="b">
        <v>1</v>
      </c>
      <c r="L213" s="1" t="b">
        <v>0</v>
      </c>
      <c r="M213" s="19">
        <v>2000.0</v>
      </c>
      <c r="N213" s="20">
        <v>2.08</v>
      </c>
      <c r="O213" s="20">
        <v>961.54</v>
      </c>
      <c r="P213" s="21"/>
      <c r="Q213" s="1" t="s">
        <v>78</v>
      </c>
      <c r="R213" s="1" t="s">
        <v>1022</v>
      </c>
      <c r="S213" s="1" t="s">
        <v>80</v>
      </c>
      <c r="T213" s="1" t="s">
        <v>81</v>
      </c>
      <c r="U213" s="1" t="s">
        <v>0</v>
      </c>
      <c r="V213" s="1" t="s">
        <v>146</v>
      </c>
      <c r="W213" s="22" t="s">
        <v>82</v>
      </c>
      <c r="X213" s="20">
        <v>397.63</v>
      </c>
      <c r="Y213" s="1" t="s">
        <v>0</v>
      </c>
      <c r="Z213" s="1" t="s">
        <v>0</v>
      </c>
      <c r="AA213" s="23" t="s">
        <v>173</v>
      </c>
      <c r="AB213" s="1">
        <v>600.0</v>
      </c>
      <c r="AC213" s="1">
        <v>600.0</v>
      </c>
      <c r="AD213" s="1" t="s">
        <v>1023</v>
      </c>
      <c r="AE213" s="1">
        <v>1.0</v>
      </c>
      <c r="AF213" s="5" t="s">
        <v>86</v>
      </c>
      <c r="AG213" s="5" t="s">
        <v>87</v>
      </c>
      <c r="AI213" s="5" t="s">
        <v>1002</v>
      </c>
      <c r="AJ213" s="5" t="s">
        <v>1005</v>
      </c>
      <c r="AK213" s="5" t="s">
        <v>1016</v>
      </c>
      <c r="AL213" s="5" t="s">
        <v>91</v>
      </c>
    </row>
    <row r="214" ht="16.5" customHeight="1">
      <c r="A214" s="5" t="s">
        <v>60</v>
      </c>
      <c r="B214" s="1" t="b">
        <v>1</v>
      </c>
      <c r="C214" s="1" t="s">
        <v>1025</v>
      </c>
      <c r="D214" s="1" t="s">
        <v>1026</v>
      </c>
      <c r="E214" s="1" t="s">
        <v>1002</v>
      </c>
      <c r="F214" s="1" t="s">
        <v>109</v>
      </c>
      <c r="G214" s="1" t="s">
        <v>1027</v>
      </c>
      <c r="H214" s="1" t="s">
        <v>69</v>
      </c>
      <c r="I214" s="1" t="s">
        <v>70</v>
      </c>
      <c r="J214" s="1"/>
      <c r="K214" s="1" t="b">
        <v>1</v>
      </c>
      <c r="L214" s="1" t="b">
        <v>0</v>
      </c>
      <c r="M214" s="19">
        <v>2200.0</v>
      </c>
      <c r="N214" s="20">
        <v>2.08</v>
      </c>
      <c r="O214" s="20">
        <v>1057.69</v>
      </c>
      <c r="P214" s="21"/>
      <c r="Q214" s="1" t="s">
        <v>117</v>
      </c>
      <c r="R214" s="1" t="s">
        <v>1004</v>
      </c>
      <c r="S214" s="1" t="s">
        <v>80</v>
      </c>
      <c r="T214" s="1" t="s">
        <v>81</v>
      </c>
      <c r="U214" s="1" t="s">
        <v>0</v>
      </c>
      <c r="V214" s="1" t="s">
        <v>0</v>
      </c>
      <c r="W214" s="22" t="s">
        <v>82</v>
      </c>
      <c r="X214" s="20">
        <v>481.53</v>
      </c>
      <c r="Y214" s="1" t="s">
        <v>0</v>
      </c>
      <c r="Z214" s="1" t="s">
        <v>0</v>
      </c>
      <c r="AA214" s="23" t="s">
        <v>85</v>
      </c>
      <c r="AB214" s="1">
        <v>600.0</v>
      </c>
      <c r="AC214" s="1">
        <v>600.0</v>
      </c>
      <c r="AD214" s="1" t="s">
        <v>1025</v>
      </c>
      <c r="AE214" s="1">
        <v>4.0</v>
      </c>
      <c r="AF214" s="5" t="s">
        <v>86</v>
      </c>
      <c r="AG214" s="5" t="s">
        <v>512</v>
      </c>
      <c r="AI214" s="5" t="s">
        <v>1002</v>
      </c>
      <c r="AJ214" s="5" t="s">
        <v>1005</v>
      </c>
      <c r="AK214" s="5" t="s">
        <v>1016</v>
      </c>
      <c r="AL214" s="5" t="s">
        <v>91</v>
      </c>
    </row>
    <row r="215" ht="16.5" customHeight="1">
      <c r="A215" s="5" t="s">
        <v>60</v>
      </c>
      <c r="B215" s="1" t="b">
        <v>1</v>
      </c>
      <c r="C215" s="1" t="s">
        <v>1030</v>
      </c>
      <c r="D215" s="1" t="s">
        <v>1031</v>
      </c>
      <c r="E215" s="1" t="s">
        <v>1002</v>
      </c>
      <c r="F215" s="1" t="s">
        <v>109</v>
      </c>
      <c r="G215" s="1" t="s">
        <v>1027</v>
      </c>
      <c r="H215" s="1" t="s">
        <v>69</v>
      </c>
      <c r="I215" s="1" t="s">
        <v>107</v>
      </c>
      <c r="J215" s="1"/>
      <c r="K215" s="1" t="b">
        <v>1</v>
      </c>
      <c r="L215" s="1" t="b">
        <v>0</v>
      </c>
      <c r="M215" s="19">
        <v>2200.0</v>
      </c>
      <c r="N215" s="20">
        <v>2.08</v>
      </c>
      <c r="O215" s="20">
        <v>1057.69</v>
      </c>
      <c r="P215" s="21"/>
      <c r="Q215" s="1" t="s">
        <v>117</v>
      </c>
      <c r="R215" s="1" t="s">
        <v>1004</v>
      </c>
      <c r="S215" s="1" t="s">
        <v>80</v>
      </c>
      <c r="T215" s="1" t="s">
        <v>81</v>
      </c>
      <c r="U215" s="1" t="s">
        <v>0</v>
      </c>
      <c r="V215" s="1" t="s">
        <v>0</v>
      </c>
      <c r="W215" s="22" t="s">
        <v>82</v>
      </c>
      <c r="X215" s="20">
        <v>477.38</v>
      </c>
      <c r="Y215" s="1" t="s">
        <v>0</v>
      </c>
      <c r="Z215" s="1" t="s">
        <v>0</v>
      </c>
      <c r="AA215" s="23" t="s">
        <v>85</v>
      </c>
      <c r="AB215" s="1">
        <v>600.0</v>
      </c>
      <c r="AC215" s="1">
        <v>600.0</v>
      </c>
      <c r="AD215" s="1" t="s">
        <v>1030</v>
      </c>
      <c r="AE215" s="1">
        <v>4.0</v>
      </c>
      <c r="AF215" s="5" t="s">
        <v>86</v>
      </c>
      <c r="AG215" s="5" t="s">
        <v>512</v>
      </c>
      <c r="AI215" s="5" t="s">
        <v>1002</v>
      </c>
      <c r="AJ215" s="5" t="s">
        <v>1005</v>
      </c>
      <c r="AK215" s="5" t="s">
        <v>1016</v>
      </c>
      <c r="AL215" s="5" t="s">
        <v>91</v>
      </c>
    </row>
    <row r="216" ht="16.5" customHeight="1">
      <c r="A216" s="5" t="s">
        <v>60</v>
      </c>
      <c r="B216" s="1" t="b">
        <v>1</v>
      </c>
      <c r="C216" s="1" t="s">
        <v>1033</v>
      </c>
      <c r="D216" s="1" t="s">
        <v>1034</v>
      </c>
      <c r="E216" s="1" t="s">
        <v>1002</v>
      </c>
      <c r="F216" s="1" t="s">
        <v>109</v>
      </c>
      <c r="G216" s="1" t="s">
        <v>1003</v>
      </c>
      <c r="H216" s="1" t="s">
        <v>69</v>
      </c>
      <c r="I216" s="1" t="s">
        <v>70</v>
      </c>
      <c r="J216" s="1"/>
      <c r="K216" s="1" t="b">
        <v>1</v>
      </c>
      <c r="L216" s="1" t="b">
        <v>0</v>
      </c>
      <c r="M216" s="19">
        <v>2200.0</v>
      </c>
      <c r="N216" s="20">
        <v>2.08</v>
      </c>
      <c r="O216" s="20">
        <v>1057.69</v>
      </c>
      <c r="P216" s="21"/>
      <c r="Q216" s="1" t="s">
        <v>117</v>
      </c>
      <c r="R216" s="1" t="s">
        <v>1004</v>
      </c>
      <c r="S216" s="1" t="s">
        <v>80</v>
      </c>
      <c r="T216" s="1" t="s">
        <v>81</v>
      </c>
      <c r="U216" s="1" t="s">
        <v>0</v>
      </c>
      <c r="V216" s="1" t="s">
        <v>0</v>
      </c>
      <c r="W216" s="22" t="s">
        <v>82</v>
      </c>
      <c r="X216" s="20">
        <v>437.96</v>
      </c>
      <c r="Y216" s="1" t="s">
        <v>0</v>
      </c>
      <c r="Z216" s="1" t="s">
        <v>0</v>
      </c>
      <c r="AA216" s="23" t="s">
        <v>85</v>
      </c>
      <c r="AB216" s="1">
        <v>600.0</v>
      </c>
      <c r="AC216" s="1">
        <v>600.0</v>
      </c>
      <c r="AD216" s="1" t="s">
        <v>1033</v>
      </c>
      <c r="AE216" s="1">
        <v>3.0</v>
      </c>
      <c r="AF216" s="5" t="s">
        <v>86</v>
      </c>
      <c r="AG216" s="5" t="s">
        <v>512</v>
      </c>
      <c r="AI216" s="5" t="s">
        <v>1002</v>
      </c>
      <c r="AJ216" s="5" t="s">
        <v>1005</v>
      </c>
      <c r="AK216" s="5" t="s">
        <v>1016</v>
      </c>
      <c r="AL216" s="5" t="s">
        <v>91</v>
      </c>
    </row>
    <row r="217" ht="16.5" customHeight="1">
      <c r="A217" s="5" t="s">
        <v>60</v>
      </c>
      <c r="B217" s="1" t="b">
        <v>1</v>
      </c>
      <c r="C217" s="1" t="s">
        <v>1036</v>
      </c>
      <c r="D217" s="1" t="s">
        <v>1037</v>
      </c>
      <c r="E217" s="1" t="s">
        <v>1002</v>
      </c>
      <c r="F217" s="1" t="s">
        <v>109</v>
      </c>
      <c r="G217" s="1" t="s">
        <v>1003</v>
      </c>
      <c r="H217" s="1" t="s">
        <v>69</v>
      </c>
      <c r="I217" s="1" t="s">
        <v>107</v>
      </c>
      <c r="J217" s="1"/>
      <c r="K217" s="1" t="b">
        <v>1</v>
      </c>
      <c r="L217" s="1" t="b">
        <v>0</v>
      </c>
      <c r="M217" s="19">
        <v>2200.0</v>
      </c>
      <c r="N217" s="20">
        <v>2.08</v>
      </c>
      <c r="O217" s="20">
        <v>1057.69</v>
      </c>
      <c r="P217" s="21"/>
      <c r="Q217" s="1" t="s">
        <v>117</v>
      </c>
      <c r="R217" s="1" t="s">
        <v>1004</v>
      </c>
      <c r="S217" s="1" t="s">
        <v>80</v>
      </c>
      <c r="T217" s="1" t="s">
        <v>81</v>
      </c>
      <c r="U217" s="1" t="s">
        <v>0</v>
      </c>
      <c r="V217" s="1" t="s">
        <v>0</v>
      </c>
      <c r="W217" s="22" t="s">
        <v>82</v>
      </c>
      <c r="X217" s="20">
        <v>432.77</v>
      </c>
      <c r="Y217" s="1" t="s">
        <v>0</v>
      </c>
      <c r="Z217" s="1" t="s">
        <v>0</v>
      </c>
      <c r="AA217" s="23" t="s">
        <v>85</v>
      </c>
      <c r="AB217" s="1">
        <v>600.0</v>
      </c>
      <c r="AC217" s="1">
        <v>600.0</v>
      </c>
      <c r="AD217" s="1" t="s">
        <v>1036</v>
      </c>
      <c r="AE217" s="1">
        <v>3.0</v>
      </c>
      <c r="AF217" s="5" t="s">
        <v>86</v>
      </c>
      <c r="AG217" s="5" t="s">
        <v>512</v>
      </c>
      <c r="AI217" s="5" t="s">
        <v>1002</v>
      </c>
      <c r="AJ217" s="5" t="s">
        <v>1005</v>
      </c>
      <c r="AK217" s="5" t="s">
        <v>1016</v>
      </c>
      <c r="AL217" s="5" t="s">
        <v>91</v>
      </c>
    </row>
    <row r="218" ht="16.5" customHeight="1">
      <c r="A218" s="5" t="s">
        <v>60</v>
      </c>
      <c r="B218" s="1" t="b">
        <v>1</v>
      </c>
      <c r="C218" s="1" t="s">
        <v>1041</v>
      </c>
      <c r="D218" s="1" t="s">
        <v>1042</v>
      </c>
      <c r="E218" s="1" t="s">
        <v>1002</v>
      </c>
      <c r="F218" s="1" t="s">
        <v>109</v>
      </c>
      <c r="G218" s="1" t="s">
        <v>1003</v>
      </c>
      <c r="H218" s="1" t="s">
        <v>69</v>
      </c>
      <c r="I218" s="1" t="s">
        <v>70</v>
      </c>
      <c r="J218" s="1"/>
      <c r="K218" s="1" t="b">
        <v>1</v>
      </c>
      <c r="L218" s="1" t="b">
        <v>0</v>
      </c>
      <c r="M218" s="19">
        <v>2500.0</v>
      </c>
      <c r="N218" s="20">
        <v>2.08</v>
      </c>
      <c r="O218" s="20">
        <v>1201.92</v>
      </c>
      <c r="P218" s="21"/>
      <c r="Q218" s="1" t="s">
        <v>117</v>
      </c>
      <c r="R218" s="1" t="s">
        <v>1004</v>
      </c>
      <c r="S218" s="1" t="s">
        <v>80</v>
      </c>
      <c r="T218" s="1" t="s">
        <v>81</v>
      </c>
      <c r="U218" s="1" t="s">
        <v>0</v>
      </c>
      <c r="V218" s="1" t="s">
        <v>0</v>
      </c>
      <c r="W218" s="22" t="s">
        <v>82</v>
      </c>
      <c r="X218" s="20">
        <v>481.53</v>
      </c>
      <c r="Y218" s="1" t="s">
        <v>0</v>
      </c>
      <c r="Z218" s="1" t="s">
        <v>0</v>
      </c>
      <c r="AA218" s="23" t="s">
        <v>85</v>
      </c>
      <c r="AB218" s="1">
        <v>600.0</v>
      </c>
      <c r="AC218" s="1">
        <v>600.0</v>
      </c>
      <c r="AD218" s="1" t="s">
        <v>1041</v>
      </c>
      <c r="AE218" s="1">
        <v>3.0</v>
      </c>
      <c r="AF218" s="5" t="s">
        <v>86</v>
      </c>
      <c r="AG218" s="5" t="s">
        <v>512</v>
      </c>
      <c r="AI218" s="5" t="s">
        <v>1002</v>
      </c>
      <c r="AJ218" s="5" t="s">
        <v>1015</v>
      </c>
      <c r="AK218" s="5" t="s">
        <v>1016</v>
      </c>
      <c r="AL218" s="5" t="s">
        <v>91</v>
      </c>
    </row>
    <row r="219" ht="16.5" customHeight="1">
      <c r="A219" s="5" t="s">
        <v>60</v>
      </c>
      <c r="B219" s="1" t="b">
        <v>1</v>
      </c>
      <c r="C219" s="1" t="s">
        <v>1043</v>
      </c>
      <c r="D219" s="1" t="s">
        <v>1044</v>
      </c>
      <c r="E219" s="1" t="s">
        <v>1002</v>
      </c>
      <c r="F219" s="1" t="s">
        <v>109</v>
      </c>
      <c r="G219" s="1" t="s">
        <v>1003</v>
      </c>
      <c r="H219" s="1" t="s">
        <v>69</v>
      </c>
      <c r="I219" s="1" t="s">
        <v>107</v>
      </c>
      <c r="J219" s="1"/>
      <c r="K219" s="1" t="b">
        <v>1</v>
      </c>
      <c r="L219" s="1" t="b">
        <v>0</v>
      </c>
      <c r="M219" s="19">
        <v>2500.0</v>
      </c>
      <c r="N219" s="20">
        <v>2.08</v>
      </c>
      <c r="O219" s="20">
        <v>1201.92</v>
      </c>
      <c r="P219" s="21"/>
      <c r="Q219" s="1" t="s">
        <v>117</v>
      </c>
      <c r="R219" s="1" t="s">
        <v>1004</v>
      </c>
      <c r="S219" s="1" t="s">
        <v>80</v>
      </c>
      <c r="T219" s="1" t="s">
        <v>81</v>
      </c>
      <c r="U219" s="1" t="s">
        <v>0</v>
      </c>
      <c r="V219" s="1" t="s">
        <v>0</v>
      </c>
      <c r="W219" s="22" t="s">
        <v>82</v>
      </c>
      <c r="X219" s="20">
        <v>477.38</v>
      </c>
      <c r="Y219" s="1" t="s">
        <v>0</v>
      </c>
      <c r="Z219" s="1" t="s">
        <v>0</v>
      </c>
      <c r="AA219" s="23" t="s">
        <v>85</v>
      </c>
      <c r="AB219" s="1">
        <v>600.0</v>
      </c>
      <c r="AC219" s="1">
        <v>600.0</v>
      </c>
      <c r="AD219" s="1" t="s">
        <v>1043</v>
      </c>
      <c r="AE219" s="1">
        <v>3.0</v>
      </c>
      <c r="AF219" s="5" t="s">
        <v>86</v>
      </c>
      <c r="AG219" s="5" t="s">
        <v>512</v>
      </c>
      <c r="AI219" s="5" t="s">
        <v>1002</v>
      </c>
      <c r="AJ219" s="5" t="s">
        <v>1015</v>
      </c>
      <c r="AK219" s="5" t="s">
        <v>1016</v>
      </c>
      <c r="AL219" s="5" t="s">
        <v>91</v>
      </c>
    </row>
    <row r="220" ht="16.5" customHeight="1">
      <c r="A220" s="5" t="s">
        <v>60</v>
      </c>
      <c r="B220" s="1" t="b">
        <v>1</v>
      </c>
      <c r="C220" s="1" t="s">
        <v>1045</v>
      </c>
      <c r="D220" s="1" t="s">
        <v>1046</v>
      </c>
      <c r="E220" s="1" t="s">
        <v>1002</v>
      </c>
      <c r="F220" s="1" t="s">
        <v>109</v>
      </c>
      <c r="G220" s="1" t="s">
        <v>1003</v>
      </c>
      <c r="H220" s="1" t="s">
        <v>69</v>
      </c>
      <c r="I220" s="1" t="s">
        <v>70</v>
      </c>
      <c r="J220" s="1"/>
      <c r="K220" s="1" t="b">
        <v>1</v>
      </c>
      <c r="L220" s="1" t="b">
        <v>0</v>
      </c>
      <c r="M220" s="19">
        <v>2000.0</v>
      </c>
      <c r="N220" s="20">
        <v>2.08</v>
      </c>
      <c r="O220" s="20">
        <v>961.54</v>
      </c>
      <c r="P220" s="21"/>
      <c r="Q220" s="1" t="s">
        <v>117</v>
      </c>
      <c r="R220" s="1" t="s">
        <v>1004</v>
      </c>
      <c r="S220" s="1" t="s">
        <v>81</v>
      </c>
      <c r="T220" s="1" t="s">
        <v>81</v>
      </c>
      <c r="U220" s="1" t="s">
        <v>0</v>
      </c>
      <c r="V220" s="1" t="s">
        <v>0</v>
      </c>
      <c r="W220" s="22" t="s">
        <v>82</v>
      </c>
      <c r="X220" s="20">
        <v>400.61</v>
      </c>
      <c r="Y220" s="1" t="s">
        <v>0</v>
      </c>
      <c r="Z220" s="1" t="s">
        <v>0</v>
      </c>
      <c r="AA220" s="23" t="s">
        <v>85</v>
      </c>
      <c r="AB220" s="1">
        <v>600.0</v>
      </c>
      <c r="AC220" s="1">
        <v>600.0</v>
      </c>
      <c r="AD220" s="1" t="s">
        <v>1045</v>
      </c>
      <c r="AE220" s="1">
        <v>2.0</v>
      </c>
      <c r="AF220" s="5" t="s">
        <v>86</v>
      </c>
      <c r="AG220" s="5" t="s">
        <v>512</v>
      </c>
      <c r="AI220" s="5" t="s">
        <v>1002</v>
      </c>
      <c r="AJ220" s="5" t="s">
        <v>1015</v>
      </c>
      <c r="AK220" s="5" t="s">
        <v>1006</v>
      </c>
      <c r="AL220" s="5" t="s">
        <v>131</v>
      </c>
    </row>
    <row r="221" ht="16.5" customHeight="1">
      <c r="A221" s="5" t="s">
        <v>60</v>
      </c>
      <c r="B221" s="1" t="b">
        <v>1</v>
      </c>
      <c r="C221" s="1" t="s">
        <v>1051</v>
      </c>
      <c r="D221" s="1" t="s">
        <v>1052</v>
      </c>
      <c r="E221" s="1" t="s">
        <v>1002</v>
      </c>
      <c r="F221" s="1" t="s">
        <v>109</v>
      </c>
      <c r="G221" s="1" t="s">
        <v>1003</v>
      </c>
      <c r="H221" s="1" t="s">
        <v>69</v>
      </c>
      <c r="I221" s="1" t="s">
        <v>107</v>
      </c>
      <c r="J221" s="1"/>
      <c r="K221" s="1" t="b">
        <v>1</v>
      </c>
      <c r="L221" s="1" t="b">
        <v>0</v>
      </c>
      <c r="M221" s="19">
        <v>2000.0</v>
      </c>
      <c r="N221" s="20">
        <v>2.08</v>
      </c>
      <c r="O221" s="20">
        <v>961.54</v>
      </c>
      <c r="P221" s="21"/>
      <c r="Q221" s="1" t="s">
        <v>117</v>
      </c>
      <c r="R221" s="1" t="s">
        <v>1004</v>
      </c>
      <c r="S221" s="1" t="s">
        <v>81</v>
      </c>
      <c r="T221" s="1" t="s">
        <v>81</v>
      </c>
      <c r="U221" s="1" t="s">
        <v>0</v>
      </c>
      <c r="V221" s="1" t="s">
        <v>0</v>
      </c>
      <c r="W221" s="22" t="s">
        <v>82</v>
      </c>
      <c r="X221" s="20">
        <v>395.42</v>
      </c>
      <c r="Y221" s="1" t="s">
        <v>0</v>
      </c>
      <c r="Z221" s="1" t="s">
        <v>0</v>
      </c>
      <c r="AA221" s="23" t="s">
        <v>85</v>
      </c>
      <c r="AB221" s="1">
        <v>600.0</v>
      </c>
      <c r="AC221" s="1">
        <v>600.0</v>
      </c>
      <c r="AD221" s="1" t="s">
        <v>1051</v>
      </c>
      <c r="AE221" s="1">
        <v>2.0</v>
      </c>
      <c r="AF221" s="5" t="s">
        <v>86</v>
      </c>
      <c r="AG221" s="5" t="s">
        <v>512</v>
      </c>
      <c r="AI221" s="5" t="s">
        <v>1002</v>
      </c>
      <c r="AJ221" s="5" t="s">
        <v>1015</v>
      </c>
      <c r="AK221" s="5" t="s">
        <v>1006</v>
      </c>
      <c r="AL221" s="5" t="s">
        <v>131</v>
      </c>
    </row>
    <row r="222" ht="16.5" customHeight="1">
      <c r="A222" s="5" t="s">
        <v>60</v>
      </c>
      <c r="B222" s="1" t="b">
        <v>1</v>
      </c>
      <c r="C222" s="1" t="s">
        <v>1053</v>
      </c>
      <c r="D222" s="1" t="s">
        <v>1054</v>
      </c>
      <c r="E222" s="1" t="s">
        <v>1002</v>
      </c>
      <c r="F222" s="1" t="s">
        <v>109</v>
      </c>
      <c r="G222" s="1" t="s">
        <v>1027</v>
      </c>
      <c r="H222" s="1" t="s">
        <v>69</v>
      </c>
      <c r="I222" s="1" t="s">
        <v>70</v>
      </c>
      <c r="J222" s="1"/>
      <c r="K222" s="1" t="b">
        <v>1</v>
      </c>
      <c r="L222" s="1" t="b">
        <v>0</v>
      </c>
      <c r="M222" s="19">
        <v>1800.0</v>
      </c>
      <c r="N222" s="20">
        <v>2.08</v>
      </c>
      <c r="O222" s="20">
        <v>865.38</v>
      </c>
      <c r="P222" s="21"/>
      <c r="Q222" s="1" t="s">
        <v>117</v>
      </c>
      <c r="R222" s="1" t="s">
        <v>1004</v>
      </c>
      <c r="S222" s="1" t="s">
        <v>81</v>
      </c>
      <c r="T222" s="1" t="s">
        <v>81</v>
      </c>
      <c r="U222" s="1" t="s">
        <v>0</v>
      </c>
      <c r="V222" s="1" t="s">
        <v>0</v>
      </c>
      <c r="W222" s="22" t="s">
        <v>82</v>
      </c>
      <c r="X222" s="20">
        <v>378.82</v>
      </c>
      <c r="Y222" s="1" t="s">
        <v>0</v>
      </c>
      <c r="Z222" s="1" t="s">
        <v>0</v>
      </c>
      <c r="AA222" s="23" t="s">
        <v>85</v>
      </c>
      <c r="AB222" s="1">
        <v>600.0</v>
      </c>
      <c r="AC222" s="1">
        <v>600.0</v>
      </c>
      <c r="AD222" s="1" t="s">
        <v>1053</v>
      </c>
      <c r="AE222" s="1">
        <v>4.0</v>
      </c>
      <c r="AF222" s="5" t="s">
        <v>86</v>
      </c>
      <c r="AG222" s="5" t="s">
        <v>512</v>
      </c>
      <c r="AI222" s="5" t="s">
        <v>1002</v>
      </c>
      <c r="AJ222" s="5" t="s">
        <v>1005</v>
      </c>
      <c r="AK222" s="5" t="s">
        <v>1006</v>
      </c>
      <c r="AL222" s="5" t="s">
        <v>131</v>
      </c>
    </row>
    <row r="223" ht="16.5" customHeight="1">
      <c r="A223" s="5" t="s">
        <v>60</v>
      </c>
      <c r="B223" s="1" t="b">
        <v>1</v>
      </c>
      <c r="C223" s="1" t="s">
        <v>1055</v>
      </c>
      <c r="D223" s="1" t="s">
        <v>1056</v>
      </c>
      <c r="E223" s="1" t="s">
        <v>1002</v>
      </c>
      <c r="F223" s="1" t="s">
        <v>109</v>
      </c>
      <c r="G223" s="1" t="s">
        <v>1027</v>
      </c>
      <c r="H223" s="1" t="s">
        <v>69</v>
      </c>
      <c r="I223" s="1" t="s">
        <v>107</v>
      </c>
      <c r="J223" s="1"/>
      <c r="K223" s="1" t="b">
        <v>1</v>
      </c>
      <c r="L223" s="1" t="b">
        <v>0</v>
      </c>
      <c r="M223" s="19">
        <v>1800.0</v>
      </c>
      <c r="N223" s="20">
        <v>2.08</v>
      </c>
      <c r="O223" s="20">
        <v>865.38</v>
      </c>
      <c r="P223" s="21"/>
      <c r="Q223" s="1" t="s">
        <v>117</v>
      </c>
      <c r="R223" s="1" t="s">
        <v>1004</v>
      </c>
      <c r="S223" s="1" t="s">
        <v>81</v>
      </c>
      <c r="T223" s="1" t="s">
        <v>81</v>
      </c>
      <c r="U223" s="1" t="s">
        <v>0</v>
      </c>
      <c r="V223" s="1" t="s">
        <v>0</v>
      </c>
      <c r="W223" s="22" t="s">
        <v>82</v>
      </c>
      <c r="X223" s="20">
        <v>373.63</v>
      </c>
      <c r="Y223" s="1" t="s">
        <v>0</v>
      </c>
      <c r="Z223" s="1" t="s">
        <v>0</v>
      </c>
      <c r="AA223" s="23" t="s">
        <v>85</v>
      </c>
      <c r="AB223" s="1">
        <v>600.0</v>
      </c>
      <c r="AC223" s="1">
        <v>600.0</v>
      </c>
      <c r="AD223" s="1" t="s">
        <v>1055</v>
      </c>
      <c r="AE223" s="1">
        <v>4.0</v>
      </c>
      <c r="AF223" s="5" t="s">
        <v>86</v>
      </c>
      <c r="AG223" s="5" t="s">
        <v>512</v>
      </c>
      <c r="AI223" s="5" t="s">
        <v>1002</v>
      </c>
      <c r="AJ223" s="5" t="s">
        <v>1005</v>
      </c>
      <c r="AK223" s="5" t="s">
        <v>1006</v>
      </c>
      <c r="AL223" s="5" t="s">
        <v>131</v>
      </c>
    </row>
    <row r="224" ht="16.5" customHeight="1">
      <c r="A224" s="5" t="s">
        <v>60</v>
      </c>
      <c r="B224" s="1" t="b">
        <v>1</v>
      </c>
      <c r="C224" s="1" t="s">
        <v>1058</v>
      </c>
      <c r="D224" s="1" t="s">
        <v>1059</v>
      </c>
      <c r="E224" s="1" t="s">
        <v>1002</v>
      </c>
      <c r="F224" s="1" t="s">
        <v>66</v>
      </c>
      <c r="G224" s="1" t="s">
        <v>1003</v>
      </c>
      <c r="H224" s="1" t="s">
        <v>141</v>
      </c>
      <c r="I224" s="1" t="s">
        <v>70</v>
      </c>
      <c r="J224" s="1"/>
      <c r="K224" s="1" t="b">
        <v>1</v>
      </c>
      <c r="L224" s="1" t="b">
        <v>0</v>
      </c>
      <c r="M224" s="19">
        <v>2100.0</v>
      </c>
      <c r="N224" s="20">
        <v>2.08</v>
      </c>
      <c r="O224" s="20">
        <v>1009.62</v>
      </c>
      <c r="P224" s="21"/>
      <c r="Q224" s="1" t="s">
        <v>117</v>
      </c>
      <c r="R224" s="1" t="s">
        <v>1013</v>
      </c>
      <c r="S224" s="1" t="s">
        <v>80</v>
      </c>
      <c r="T224" s="1" t="s">
        <v>81</v>
      </c>
      <c r="U224" s="1" t="s">
        <v>0</v>
      </c>
      <c r="V224" s="1" t="s">
        <v>1062</v>
      </c>
      <c r="W224" s="22" t="s">
        <v>82</v>
      </c>
      <c r="X224" s="20">
        <v>420.95</v>
      </c>
      <c r="Y224" s="1" t="s">
        <v>0</v>
      </c>
      <c r="Z224" s="1" t="s">
        <v>0</v>
      </c>
      <c r="AA224" s="23" t="s">
        <v>173</v>
      </c>
      <c r="AB224" s="1">
        <v>600.0</v>
      </c>
      <c r="AC224" s="1">
        <v>600.0</v>
      </c>
      <c r="AD224" s="1" t="s">
        <v>1058</v>
      </c>
      <c r="AE224" s="1">
        <v>1.0</v>
      </c>
      <c r="AF224" s="5" t="s">
        <v>86</v>
      </c>
      <c r="AG224" s="5" t="s">
        <v>87</v>
      </c>
      <c r="AI224" s="5" t="s">
        <v>1002</v>
      </c>
      <c r="AJ224" s="5" t="s">
        <v>1005</v>
      </c>
      <c r="AK224" s="5" t="s">
        <v>1016</v>
      </c>
      <c r="AL224" s="5" t="s">
        <v>91</v>
      </c>
    </row>
    <row r="225" ht="16.5" customHeight="1">
      <c r="A225" s="5" t="s">
        <v>60</v>
      </c>
      <c r="B225" s="1" t="b">
        <v>1</v>
      </c>
      <c r="C225" s="1" t="s">
        <v>1063</v>
      </c>
      <c r="D225" s="1" t="s">
        <v>1064</v>
      </c>
      <c r="E225" s="1" t="s">
        <v>1002</v>
      </c>
      <c r="F225" s="1" t="s">
        <v>66</v>
      </c>
      <c r="G225" s="1" t="s">
        <v>1003</v>
      </c>
      <c r="H225" s="1" t="s">
        <v>141</v>
      </c>
      <c r="I225" s="1" t="s">
        <v>107</v>
      </c>
      <c r="J225" s="1"/>
      <c r="K225" s="1" t="b">
        <v>1</v>
      </c>
      <c r="L225" s="1" t="b">
        <v>0</v>
      </c>
      <c r="M225" s="19">
        <v>2100.0</v>
      </c>
      <c r="N225" s="20">
        <v>2.08</v>
      </c>
      <c r="O225" s="20">
        <v>1009.62</v>
      </c>
      <c r="P225" s="21"/>
      <c r="Q225" s="1" t="s">
        <v>117</v>
      </c>
      <c r="R225" s="1" t="s">
        <v>1013</v>
      </c>
      <c r="S225" s="1" t="s">
        <v>80</v>
      </c>
      <c r="T225" s="1" t="s">
        <v>81</v>
      </c>
      <c r="U225" s="1" t="s">
        <v>0</v>
      </c>
      <c r="V225" s="1" t="s">
        <v>1062</v>
      </c>
      <c r="W225" s="22" t="s">
        <v>82</v>
      </c>
      <c r="X225" s="20">
        <v>419.77</v>
      </c>
      <c r="Y225" s="1" t="s">
        <v>0</v>
      </c>
      <c r="Z225" s="1" t="s">
        <v>0</v>
      </c>
      <c r="AA225" s="23" t="s">
        <v>173</v>
      </c>
      <c r="AB225" s="1">
        <v>600.0</v>
      </c>
      <c r="AC225" s="1">
        <v>600.0</v>
      </c>
      <c r="AD225" s="1" t="s">
        <v>1063</v>
      </c>
      <c r="AE225" s="1">
        <v>1.0</v>
      </c>
      <c r="AF225" s="5" t="s">
        <v>86</v>
      </c>
      <c r="AG225" s="5" t="s">
        <v>87</v>
      </c>
      <c r="AI225" s="5" t="s">
        <v>1002</v>
      </c>
      <c r="AJ225" s="5" t="s">
        <v>1005</v>
      </c>
      <c r="AK225" s="5" t="s">
        <v>1016</v>
      </c>
      <c r="AL225" s="5" t="s">
        <v>91</v>
      </c>
    </row>
    <row r="226" ht="16.5" customHeight="1">
      <c r="A226" s="5" t="s">
        <v>60</v>
      </c>
      <c r="B226" s="1" t="b">
        <v>1</v>
      </c>
      <c r="C226" s="1" t="s">
        <v>1065</v>
      </c>
      <c r="D226" s="1" t="s">
        <v>1066</v>
      </c>
      <c r="E226" s="1" t="s">
        <v>1002</v>
      </c>
      <c r="F226" s="1" t="s">
        <v>66</v>
      </c>
      <c r="G226" s="1" t="s">
        <v>1003</v>
      </c>
      <c r="H226" s="1" t="s">
        <v>69</v>
      </c>
      <c r="I226" s="1" t="s">
        <v>70</v>
      </c>
      <c r="J226" s="1"/>
      <c r="K226" s="1" t="b">
        <v>1</v>
      </c>
      <c r="L226" s="1" t="b">
        <v>0</v>
      </c>
      <c r="M226" s="19">
        <v>2200.0</v>
      </c>
      <c r="N226" s="20">
        <v>2.08</v>
      </c>
      <c r="O226" s="20">
        <v>1057.69</v>
      </c>
      <c r="P226" s="21"/>
      <c r="Q226" s="1" t="s">
        <v>117</v>
      </c>
      <c r="R226" s="1" t="s">
        <v>1013</v>
      </c>
      <c r="S226" s="1" t="s">
        <v>80</v>
      </c>
      <c r="T226" s="1" t="s">
        <v>81</v>
      </c>
      <c r="U226" s="1" t="s">
        <v>0</v>
      </c>
      <c r="V226" s="1" t="s">
        <v>0</v>
      </c>
      <c r="W226" s="22" t="s">
        <v>82</v>
      </c>
      <c r="X226" s="20">
        <v>420.95</v>
      </c>
      <c r="Y226" s="1" t="s">
        <v>0</v>
      </c>
      <c r="Z226" s="1" t="s">
        <v>0</v>
      </c>
      <c r="AA226" s="23" t="s">
        <v>173</v>
      </c>
      <c r="AB226" s="1">
        <v>600.0</v>
      </c>
      <c r="AC226" s="1">
        <v>600.0</v>
      </c>
      <c r="AD226" s="1" t="s">
        <v>1065</v>
      </c>
      <c r="AE226" s="1">
        <v>2.0</v>
      </c>
      <c r="AF226" s="5" t="s">
        <v>86</v>
      </c>
      <c r="AG226" s="5" t="s">
        <v>87</v>
      </c>
      <c r="AI226" s="5" t="s">
        <v>1002</v>
      </c>
      <c r="AJ226" s="5" t="s">
        <v>1005</v>
      </c>
      <c r="AK226" s="5" t="s">
        <v>1016</v>
      </c>
      <c r="AL226" s="5" t="s">
        <v>91</v>
      </c>
    </row>
    <row r="227" ht="16.5" customHeight="1">
      <c r="A227" s="5" t="s">
        <v>60</v>
      </c>
      <c r="B227" s="1" t="b">
        <v>1</v>
      </c>
      <c r="C227" s="1" t="s">
        <v>1067</v>
      </c>
      <c r="D227" s="1" t="s">
        <v>1068</v>
      </c>
      <c r="E227" s="1" t="s">
        <v>1002</v>
      </c>
      <c r="F227" s="1" t="s">
        <v>66</v>
      </c>
      <c r="G227" s="1" t="s">
        <v>1003</v>
      </c>
      <c r="H227" s="1" t="s">
        <v>69</v>
      </c>
      <c r="I227" s="1" t="s">
        <v>107</v>
      </c>
      <c r="J227" s="1"/>
      <c r="K227" s="1" t="b">
        <v>1</v>
      </c>
      <c r="L227" s="1" t="b">
        <v>0</v>
      </c>
      <c r="M227" s="19">
        <v>2200.0</v>
      </c>
      <c r="N227" s="20">
        <v>2.08</v>
      </c>
      <c r="O227" s="20">
        <v>1057.69</v>
      </c>
      <c r="P227" s="21"/>
      <c r="Q227" s="1" t="s">
        <v>117</v>
      </c>
      <c r="R227" s="1" t="s">
        <v>1013</v>
      </c>
      <c r="S227" s="1" t="s">
        <v>80</v>
      </c>
      <c r="T227" s="1" t="s">
        <v>81</v>
      </c>
      <c r="U227" s="1" t="s">
        <v>0</v>
      </c>
      <c r="V227" s="1" t="s">
        <v>0</v>
      </c>
      <c r="W227" s="22" t="s">
        <v>82</v>
      </c>
      <c r="X227" s="20">
        <v>419.77</v>
      </c>
      <c r="Y227" s="1" t="s">
        <v>0</v>
      </c>
      <c r="Z227" s="1" t="s">
        <v>0</v>
      </c>
      <c r="AA227" s="23" t="s">
        <v>173</v>
      </c>
      <c r="AB227" s="1">
        <v>600.0</v>
      </c>
      <c r="AC227" s="1">
        <v>600.0</v>
      </c>
      <c r="AD227" s="1" t="s">
        <v>1067</v>
      </c>
      <c r="AE227" s="1">
        <v>2.0</v>
      </c>
      <c r="AF227" s="5" t="s">
        <v>86</v>
      </c>
      <c r="AG227" s="5" t="s">
        <v>87</v>
      </c>
      <c r="AI227" s="5" t="s">
        <v>1002</v>
      </c>
      <c r="AJ227" s="5" t="s">
        <v>1005</v>
      </c>
      <c r="AK227" s="5" t="s">
        <v>1016</v>
      </c>
      <c r="AL227" s="5" t="s">
        <v>91</v>
      </c>
    </row>
    <row r="228" ht="16.5" customHeight="1">
      <c r="A228" s="5" t="s">
        <v>60</v>
      </c>
      <c r="B228" s="1" t="b">
        <v>1</v>
      </c>
      <c r="C228" s="1" t="s">
        <v>1073</v>
      </c>
      <c r="D228" s="1" t="s">
        <v>1074</v>
      </c>
      <c r="E228" s="1" t="s">
        <v>1002</v>
      </c>
      <c r="F228" s="1" t="s">
        <v>66</v>
      </c>
      <c r="G228" s="1" t="s">
        <v>1003</v>
      </c>
      <c r="H228" s="1" t="s">
        <v>69</v>
      </c>
      <c r="I228" s="1" t="s">
        <v>70</v>
      </c>
      <c r="J228" s="1"/>
      <c r="K228" s="1" t="b">
        <v>1</v>
      </c>
      <c r="L228" s="1" t="b">
        <v>0</v>
      </c>
      <c r="M228" s="19">
        <v>2500.0</v>
      </c>
      <c r="N228" s="20">
        <v>2.08</v>
      </c>
      <c r="O228" s="20">
        <v>1201.92</v>
      </c>
      <c r="P228" s="21"/>
      <c r="Q228" s="1" t="s">
        <v>117</v>
      </c>
      <c r="R228" s="1" t="s">
        <v>1013</v>
      </c>
      <c r="S228" s="1" t="s">
        <v>80</v>
      </c>
      <c r="T228" s="1" t="s">
        <v>81</v>
      </c>
      <c r="U228" s="1" t="s">
        <v>0</v>
      </c>
      <c r="V228" s="1" t="s">
        <v>0</v>
      </c>
      <c r="W228" s="22" t="s">
        <v>82</v>
      </c>
      <c r="X228" s="20">
        <v>477.38</v>
      </c>
      <c r="Y228" s="1" t="s">
        <v>0</v>
      </c>
      <c r="Z228" s="1" t="s">
        <v>0</v>
      </c>
      <c r="AA228" s="23" t="s">
        <v>173</v>
      </c>
      <c r="AB228" s="1">
        <v>600.0</v>
      </c>
      <c r="AC228" s="1">
        <v>600.0</v>
      </c>
      <c r="AD228" s="1" t="s">
        <v>1073</v>
      </c>
      <c r="AE228" s="1">
        <v>2.0</v>
      </c>
      <c r="AF228" s="5" t="s">
        <v>86</v>
      </c>
      <c r="AG228" s="5" t="s">
        <v>87</v>
      </c>
      <c r="AI228" s="5" t="s">
        <v>1002</v>
      </c>
      <c r="AJ228" s="5" t="s">
        <v>1015</v>
      </c>
      <c r="AK228" s="5" t="s">
        <v>1016</v>
      </c>
      <c r="AL228" s="5" t="s">
        <v>91</v>
      </c>
    </row>
    <row r="229" ht="16.5" customHeight="1">
      <c r="A229" s="5" t="s">
        <v>60</v>
      </c>
      <c r="B229" s="1" t="b">
        <v>1</v>
      </c>
      <c r="C229" s="1" t="s">
        <v>1075</v>
      </c>
      <c r="D229" s="1" t="s">
        <v>1076</v>
      </c>
      <c r="E229" s="1" t="s">
        <v>1002</v>
      </c>
      <c r="F229" s="1" t="s">
        <v>66</v>
      </c>
      <c r="G229" s="1" t="s">
        <v>1003</v>
      </c>
      <c r="H229" s="1" t="s">
        <v>69</v>
      </c>
      <c r="I229" s="1" t="s">
        <v>107</v>
      </c>
      <c r="J229" s="1"/>
      <c r="K229" s="1" t="b">
        <v>1</v>
      </c>
      <c r="L229" s="1" t="b">
        <v>0</v>
      </c>
      <c r="M229" s="19">
        <v>2500.0</v>
      </c>
      <c r="N229" s="20">
        <v>2.08</v>
      </c>
      <c r="O229" s="20">
        <v>1201.92</v>
      </c>
      <c r="P229" s="21"/>
      <c r="Q229" s="1" t="s">
        <v>117</v>
      </c>
      <c r="R229" s="1" t="s">
        <v>1013</v>
      </c>
      <c r="S229" s="1" t="s">
        <v>80</v>
      </c>
      <c r="T229" s="1" t="s">
        <v>81</v>
      </c>
      <c r="U229" s="1" t="s">
        <v>0</v>
      </c>
      <c r="V229" s="1" t="s">
        <v>0</v>
      </c>
      <c r="W229" s="22" t="s">
        <v>82</v>
      </c>
      <c r="X229" s="20">
        <v>477.38</v>
      </c>
      <c r="Y229" s="1" t="s">
        <v>0</v>
      </c>
      <c r="Z229" s="1" t="s">
        <v>0</v>
      </c>
      <c r="AA229" s="23" t="s">
        <v>173</v>
      </c>
      <c r="AB229" s="1">
        <v>600.0</v>
      </c>
      <c r="AC229" s="1">
        <v>600.0</v>
      </c>
      <c r="AD229" s="1" t="s">
        <v>1075</v>
      </c>
      <c r="AE229" s="1">
        <v>2.0</v>
      </c>
      <c r="AF229" s="5" t="s">
        <v>86</v>
      </c>
      <c r="AG229" s="5" t="s">
        <v>87</v>
      </c>
      <c r="AI229" s="5" t="s">
        <v>1002</v>
      </c>
      <c r="AJ229" s="5" t="s">
        <v>1015</v>
      </c>
      <c r="AK229" s="5" t="s">
        <v>1016</v>
      </c>
      <c r="AL229" s="5" t="s">
        <v>91</v>
      </c>
    </row>
    <row r="230" ht="16.5" customHeight="1">
      <c r="A230" s="5" t="s">
        <v>60</v>
      </c>
      <c r="B230" s="1" t="b">
        <v>1</v>
      </c>
      <c r="C230" s="1" t="s">
        <v>1077</v>
      </c>
      <c r="D230" s="1" t="s">
        <v>1078</v>
      </c>
      <c r="E230" s="1" t="s">
        <v>1002</v>
      </c>
      <c r="F230" s="1" t="s">
        <v>66</v>
      </c>
      <c r="G230" s="1" t="s">
        <v>1003</v>
      </c>
      <c r="H230" s="1" t="s">
        <v>69</v>
      </c>
      <c r="I230" s="1" t="s">
        <v>70</v>
      </c>
      <c r="J230" s="1"/>
      <c r="K230" s="1" t="b">
        <v>1</v>
      </c>
      <c r="L230" s="1" t="b">
        <v>0</v>
      </c>
      <c r="M230" s="19">
        <v>2200.0</v>
      </c>
      <c r="N230" s="20">
        <v>2.08</v>
      </c>
      <c r="O230" s="20">
        <v>1057.69</v>
      </c>
      <c r="P230" s="21"/>
      <c r="Q230" s="1" t="s">
        <v>117</v>
      </c>
      <c r="R230" s="1" t="s">
        <v>1013</v>
      </c>
      <c r="S230" s="1" t="s">
        <v>166</v>
      </c>
      <c r="T230" s="1" t="s">
        <v>81</v>
      </c>
      <c r="U230" s="1" t="s">
        <v>0</v>
      </c>
      <c r="V230" s="1" t="s">
        <v>0</v>
      </c>
      <c r="W230" s="22" t="s">
        <v>82</v>
      </c>
      <c r="X230" s="20">
        <v>426.03</v>
      </c>
      <c r="Y230" s="1" t="s">
        <v>0</v>
      </c>
      <c r="Z230" s="1" t="s">
        <v>0</v>
      </c>
      <c r="AA230" s="23" t="s">
        <v>173</v>
      </c>
      <c r="AB230" s="1">
        <v>600.0</v>
      </c>
      <c r="AC230" s="1">
        <v>600.0</v>
      </c>
      <c r="AD230" s="1" t="s">
        <v>1077</v>
      </c>
      <c r="AE230" s="1">
        <v>2.0</v>
      </c>
      <c r="AF230" s="5" t="s">
        <v>86</v>
      </c>
      <c r="AG230" s="5" t="s">
        <v>87</v>
      </c>
      <c r="AI230" s="5" t="s">
        <v>1002</v>
      </c>
      <c r="AJ230" s="5" t="s">
        <v>1015</v>
      </c>
      <c r="AK230" s="5" t="s">
        <v>1016</v>
      </c>
      <c r="AL230" s="5" t="s">
        <v>91</v>
      </c>
    </row>
    <row r="231" ht="16.5" customHeight="1">
      <c r="A231" s="5" t="s">
        <v>60</v>
      </c>
      <c r="B231" s="1" t="b">
        <v>1</v>
      </c>
      <c r="C231" s="1" t="s">
        <v>1079</v>
      </c>
      <c r="D231" s="1" t="s">
        <v>1080</v>
      </c>
      <c r="E231" s="1" t="s">
        <v>1002</v>
      </c>
      <c r="F231" s="1" t="s">
        <v>66</v>
      </c>
      <c r="G231" s="1" t="s">
        <v>1003</v>
      </c>
      <c r="H231" s="1" t="s">
        <v>69</v>
      </c>
      <c r="I231" s="1" t="s">
        <v>107</v>
      </c>
      <c r="J231" s="1"/>
      <c r="K231" s="1" t="b">
        <v>1</v>
      </c>
      <c r="L231" s="1" t="b">
        <v>0</v>
      </c>
      <c r="M231" s="19">
        <v>2200.0</v>
      </c>
      <c r="N231" s="20">
        <v>2.08</v>
      </c>
      <c r="O231" s="20">
        <v>1057.69</v>
      </c>
      <c r="P231" s="21"/>
      <c r="Q231" s="1" t="s">
        <v>117</v>
      </c>
      <c r="R231" s="1" t="s">
        <v>1013</v>
      </c>
      <c r="S231" s="1" t="s">
        <v>166</v>
      </c>
      <c r="T231" s="1" t="s">
        <v>81</v>
      </c>
      <c r="U231" s="1" t="s">
        <v>0</v>
      </c>
      <c r="V231" s="1" t="s">
        <v>0</v>
      </c>
      <c r="W231" s="22" t="s">
        <v>82</v>
      </c>
      <c r="X231" s="20">
        <v>426.03</v>
      </c>
      <c r="Y231" s="1" t="s">
        <v>0</v>
      </c>
      <c r="Z231" s="1" t="s">
        <v>0</v>
      </c>
      <c r="AA231" s="23" t="s">
        <v>173</v>
      </c>
      <c r="AB231" s="1">
        <v>600.0</v>
      </c>
      <c r="AC231" s="1">
        <v>600.0</v>
      </c>
      <c r="AD231" s="1" t="s">
        <v>1079</v>
      </c>
      <c r="AE231" s="1">
        <v>2.0</v>
      </c>
      <c r="AF231" s="5" t="s">
        <v>86</v>
      </c>
      <c r="AG231" s="5" t="s">
        <v>87</v>
      </c>
      <c r="AI231" s="5" t="s">
        <v>1002</v>
      </c>
      <c r="AJ231" s="5" t="s">
        <v>1015</v>
      </c>
      <c r="AK231" s="5" t="s">
        <v>1016</v>
      </c>
      <c r="AL231" s="5" t="s">
        <v>91</v>
      </c>
    </row>
    <row r="232" ht="16.5" customHeight="1">
      <c r="A232" s="5" t="s">
        <v>60</v>
      </c>
      <c r="B232" s="1" t="b">
        <v>1</v>
      </c>
      <c r="C232" s="1" t="s">
        <v>1081</v>
      </c>
      <c r="D232" s="1" t="s">
        <v>1082</v>
      </c>
      <c r="E232" s="1" t="s">
        <v>1002</v>
      </c>
      <c r="F232" s="1" t="s">
        <v>66</v>
      </c>
      <c r="G232" s="1" t="s">
        <v>1003</v>
      </c>
      <c r="H232" s="1" t="s">
        <v>69</v>
      </c>
      <c r="I232" s="1" t="s">
        <v>70</v>
      </c>
      <c r="J232" s="1"/>
      <c r="K232" s="1" t="b">
        <v>1</v>
      </c>
      <c r="L232" s="1" t="b">
        <v>0</v>
      </c>
      <c r="M232" s="19">
        <v>2000.0</v>
      </c>
      <c r="N232" s="20">
        <v>2.08</v>
      </c>
      <c r="O232" s="20">
        <v>961.54</v>
      </c>
      <c r="P232" s="21"/>
      <c r="Q232" s="1" t="s">
        <v>117</v>
      </c>
      <c r="R232" s="1" t="s">
        <v>1013</v>
      </c>
      <c r="S232" s="1" t="s">
        <v>166</v>
      </c>
      <c r="T232" s="1" t="s">
        <v>81</v>
      </c>
      <c r="U232" s="1" t="s">
        <v>0</v>
      </c>
      <c r="V232" s="1" t="s">
        <v>0</v>
      </c>
      <c r="W232" s="22" t="s">
        <v>82</v>
      </c>
      <c r="X232" s="20">
        <v>420.32</v>
      </c>
      <c r="Y232" s="1" t="s">
        <v>0</v>
      </c>
      <c r="Z232" s="1" t="s">
        <v>0</v>
      </c>
      <c r="AA232" s="23" t="s">
        <v>173</v>
      </c>
      <c r="AB232" s="1">
        <v>600.0</v>
      </c>
      <c r="AC232" s="1">
        <v>600.0</v>
      </c>
      <c r="AD232" s="1" t="s">
        <v>1081</v>
      </c>
      <c r="AE232" s="1">
        <v>3.0</v>
      </c>
      <c r="AF232" s="5" t="s">
        <v>86</v>
      </c>
      <c r="AG232" s="5" t="s">
        <v>87</v>
      </c>
      <c r="AI232" s="5" t="s">
        <v>1002</v>
      </c>
      <c r="AJ232" s="5" t="s">
        <v>1015</v>
      </c>
      <c r="AK232" s="5" t="s">
        <v>1016</v>
      </c>
      <c r="AL232" s="5" t="s">
        <v>91</v>
      </c>
    </row>
    <row r="233" ht="16.5" customHeight="1">
      <c r="A233" s="5" t="s">
        <v>60</v>
      </c>
      <c r="B233" s="1" t="b">
        <v>1</v>
      </c>
      <c r="C233" s="1" t="s">
        <v>1084</v>
      </c>
      <c r="D233" s="1" t="s">
        <v>1085</v>
      </c>
      <c r="E233" s="1" t="s">
        <v>1002</v>
      </c>
      <c r="F233" s="1" t="s">
        <v>66</v>
      </c>
      <c r="G233" s="1" t="s">
        <v>1003</v>
      </c>
      <c r="H233" s="1" t="s">
        <v>69</v>
      </c>
      <c r="I233" s="1" t="s">
        <v>107</v>
      </c>
      <c r="J233" s="1"/>
      <c r="K233" s="1" t="b">
        <v>1</v>
      </c>
      <c r="L233" s="1" t="b">
        <v>0</v>
      </c>
      <c r="M233" s="19">
        <v>2000.0</v>
      </c>
      <c r="N233" s="20">
        <v>2.08</v>
      </c>
      <c r="O233" s="20">
        <v>961.54</v>
      </c>
      <c r="P233" s="21"/>
      <c r="Q233" s="1" t="s">
        <v>117</v>
      </c>
      <c r="R233" s="1" t="s">
        <v>1013</v>
      </c>
      <c r="S233" s="1" t="s">
        <v>166</v>
      </c>
      <c r="T233" s="1" t="s">
        <v>81</v>
      </c>
      <c r="U233" s="1" t="s">
        <v>0</v>
      </c>
      <c r="V233" s="1" t="s">
        <v>0</v>
      </c>
      <c r="W233" s="22" t="s">
        <v>82</v>
      </c>
      <c r="X233" s="20">
        <v>420.32</v>
      </c>
      <c r="Y233" s="1" t="s">
        <v>0</v>
      </c>
      <c r="Z233" s="1" t="s">
        <v>0</v>
      </c>
      <c r="AA233" s="23" t="s">
        <v>173</v>
      </c>
      <c r="AB233" s="1">
        <v>600.0</v>
      </c>
      <c r="AC233" s="1">
        <v>600.0</v>
      </c>
      <c r="AD233" s="1" t="s">
        <v>1084</v>
      </c>
      <c r="AE233" s="1">
        <v>3.0</v>
      </c>
      <c r="AF233" s="5" t="s">
        <v>86</v>
      </c>
      <c r="AG233" s="5" t="s">
        <v>87</v>
      </c>
      <c r="AI233" s="5" t="s">
        <v>1002</v>
      </c>
      <c r="AJ233" s="5" t="s">
        <v>1015</v>
      </c>
      <c r="AK233" s="5" t="s">
        <v>1016</v>
      </c>
      <c r="AL233" s="5" t="s">
        <v>91</v>
      </c>
    </row>
    <row r="234" ht="16.5" customHeight="1">
      <c r="A234" s="5" t="s">
        <v>60</v>
      </c>
      <c r="B234" s="1" t="b">
        <v>1</v>
      </c>
      <c r="C234" s="1" t="s">
        <v>1088</v>
      </c>
      <c r="D234" s="1" t="s">
        <v>1089</v>
      </c>
      <c r="E234" s="1" t="s">
        <v>1002</v>
      </c>
      <c r="F234" s="1" t="s">
        <v>66</v>
      </c>
      <c r="G234" s="1" t="s">
        <v>1012</v>
      </c>
      <c r="H234" s="1" t="s">
        <v>69</v>
      </c>
      <c r="I234" s="1" t="s">
        <v>249</v>
      </c>
      <c r="J234" s="1"/>
      <c r="K234" s="1" t="b">
        <v>1</v>
      </c>
      <c r="L234" s="1" t="b">
        <v>0</v>
      </c>
      <c r="M234" s="19">
        <v>2500.0</v>
      </c>
      <c r="N234" s="20">
        <v>2.08</v>
      </c>
      <c r="O234" s="20">
        <v>1201.92</v>
      </c>
      <c r="P234" s="21"/>
      <c r="Q234" s="1" t="s">
        <v>117</v>
      </c>
      <c r="R234" s="1" t="s">
        <v>145</v>
      </c>
      <c r="S234" s="1" t="s">
        <v>80</v>
      </c>
      <c r="T234" s="1" t="s">
        <v>81</v>
      </c>
      <c r="U234" s="1" t="s">
        <v>0</v>
      </c>
      <c r="V234" s="1" t="s">
        <v>0</v>
      </c>
      <c r="W234" s="22" t="s">
        <v>82</v>
      </c>
      <c r="X234" s="20">
        <v>520.96</v>
      </c>
      <c r="Y234" s="1" t="s">
        <v>0</v>
      </c>
      <c r="Z234" s="1" t="s">
        <v>0</v>
      </c>
      <c r="AA234" s="23" t="s">
        <v>173</v>
      </c>
      <c r="AB234" s="1">
        <v>600.0</v>
      </c>
      <c r="AC234" s="1">
        <v>600.0</v>
      </c>
      <c r="AD234" s="1" t="s">
        <v>1088</v>
      </c>
      <c r="AE234" s="1">
        <v>1.0</v>
      </c>
      <c r="AF234" s="5" t="s">
        <v>86</v>
      </c>
      <c r="AG234" s="5" t="s">
        <v>121</v>
      </c>
      <c r="AI234" s="5" t="s">
        <v>1002</v>
      </c>
      <c r="AJ234" s="5" t="s">
        <v>1015</v>
      </c>
      <c r="AK234" s="5" t="s">
        <v>1016</v>
      </c>
      <c r="AL234" s="5" t="s">
        <v>91</v>
      </c>
    </row>
    <row r="235" ht="16.5" customHeight="1">
      <c r="A235" s="5" t="s">
        <v>60</v>
      </c>
      <c r="B235" s="1" t="b">
        <v>1</v>
      </c>
      <c r="C235" s="1" t="s">
        <v>1090</v>
      </c>
      <c r="D235" s="1" t="s">
        <v>1091</v>
      </c>
      <c r="E235" s="1" t="s">
        <v>1002</v>
      </c>
      <c r="F235" s="1" t="s">
        <v>66</v>
      </c>
      <c r="G235" s="1" t="s">
        <v>1012</v>
      </c>
      <c r="H235" s="1" t="s">
        <v>69</v>
      </c>
      <c r="I235" s="1" t="s">
        <v>249</v>
      </c>
      <c r="J235" s="1"/>
      <c r="K235" s="1" t="b">
        <v>1</v>
      </c>
      <c r="L235" s="1" t="b">
        <v>0</v>
      </c>
      <c r="M235" s="19">
        <v>3500.0</v>
      </c>
      <c r="N235" s="20">
        <v>2.08</v>
      </c>
      <c r="O235" s="20">
        <v>1682.69</v>
      </c>
      <c r="P235" s="21"/>
      <c r="Q235" s="1" t="s">
        <v>78</v>
      </c>
      <c r="R235" s="1" t="s">
        <v>1004</v>
      </c>
      <c r="S235" s="1" t="s">
        <v>80</v>
      </c>
      <c r="T235" s="1" t="s">
        <v>81</v>
      </c>
      <c r="U235" s="1" t="s">
        <v>0</v>
      </c>
      <c r="V235" s="1" t="s">
        <v>0</v>
      </c>
      <c r="W235" s="22" t="s">
        <v>82</v>
      </c>
      <c r="X235" s="20">
        <v>664.1400000000001</v>
      </c>
      <c r="Y235" s="1" t="s">
        <v>0</v>
      </c>
      <c r="Z235" s="1" t="s">
        <v>0</v>
      </c>
      <c r="AA235" s="23" t="s">
        <v>173</v>
      </c>
      <c r="AB235" s="1">
        <v>600.0</v>
      </c>
      <c r="AC235" s="1">
        <v>600.0</v>
      </c>
      <c r="AD235" s="1" t="s">
        <v>1090</v>
      </c>
      <c r="AE235" s="1">
        <v>2.0</v>
      </c>
      <c r="AF235" s="5" t="s">
        <v>86</v>
      </c>
      <c r="AG235" s="5" t="s">
        <v>121</v>
      </c>
      <c r="AI235" s="5" t="s">
        <v>1002</v>
      </c>
      <c r="AJ235" s="5" t="s">
        <v>1015</v>
      </c>
      <c r="AK235" s="5" t="s">
        <v>1016</v>
      </c>
      <c r="AL235" s="5" t="s">
        <v>91</v>
      </c>
    </row>
    <row r="236" ht="16.5" customHeight="1">
      <c r="A236" s="5" t="s">
        <v>60</v>
      </c>
      <c r="B236" s="1" t="b">
        <v>1</v>
      </c>
      <c r="C236" s="1" t="s">
        <v>1093</v>
      </c>
      <c r="D236" s="1" t="s">
        <v>1094</v>
      </c>
      <c r="E236" s="1" t="s">
        <v>1002</v>
      </c>
      <c r="F236" s="1" t="s">
        <v>66</v>
      </c>
      <c r="G236" s="1" t="s">
        <v>1096</v>
      </c>
      <c r="H236" s="1" t="s">
        <v>69</v>
      </c>
      <c r="I236" s="1" t="s">
        <v>70</v>
      </c>
      <c r="J236" s="1"/>
      <c r="K236" s="1" t="b">
        <v>0</v>
      </c>
      <c r="L236" s="1" t="b">
        <v>0</v>
      </c>
      <c r="M236" s="19">
        <v>1000.0</v>
      </c>
      <c r="N236" s="20">
        <v>2.08</v>
      </c>
      <c r="O236" s="20">
        <v>480.77</v>
      </c>
      <c r="P236" s="21"/>
      <c r="Q236" s="1" t="s">
        <v>78</v>
      </c>
      <c r="R236" s="1" t="s">
        <v>1004</v>
      </c>
      <c r="S236" s="1" t="s">
        <v>81</v>
      </c>
      <c r="T236" s="1" t="s">
        <v>81</v>
      </c>
      <c r="U236" s="1" t="s">
        <v>0</v>
      </c>
      <c r="V236" s="1" t="s">
        <v>0</v>
      </c>
      <c r="W236" s="22" t="s">
        <v>202</v>
      </c>
      <c r="X236" s="20">
        <v>201.19</v>
      </c>
      <c r="Y236" s="1" t="s">
        <v>0</v>
      </c>
      <c r="Z236" s="1" t="s">
        <v>0</v>
      </c>
      <c r="AA236" s="23" t="s">
        <v>85</v>
      </c>
      <c r="AB236" s="1">
        <v>600.0</v>
      </c>
      <c r="AC236" s="1">
        <v>600.0</v>
      </c>
      <c r="AD236" s="1" t="s">
        <v>1093</v>
      </c>
      <c r="AE236" s="1">
        <v>2.0</v>
      </c>
      <c r="AF236" s="5" t="s">
        <v>125</v>
      </c>
      <c r="AG236" s="5" t="s">
        <v>127</v>
      </c>
      <c r="AI236" s="5" t="s">
        <v>1002</v>
      </c>
      <c r="AJ236" s="5" t="s">
        <v>1098</v>
      </c>
      <c r="AK236" s="5" t="s">
        <v>1006</v>
      </c>
      <c r="AL236" s="5" t="s">
        <v>131</v>
      </c>
    </row>
    <row r="237" ht="16.5" customHeight="1">
      <c r="A237" s="5" t="s">
        <v>60</v>
      </c>
      <c r="B237" s="1" t="b">
        <v>1</v>
      </c>
      <c r="C237" s="1" t="s">
        <v>1099</v>
      </c>
      <c r="D237" s="1" t="s">
        <v>1100</v>
      </c>
      <c r="E237" s="1" t="s">
        <v>1002</v>
      </c>
      <c r="F237" s="1" t="s">
        <v>66</v>
      </c>
      <c r="G237" s="1" t="s">
        <v>1096</v>
      </c>
      <c r="H237" s="1" t="s">
        <v>69</v>
      </c>
      <c r="I237" s="1" t="s">
        <v>107</v>
      </c>
      <c r="J237" s="1"/>
      <c r="K237" s="1" t="b">
        <v>0</v>
      </c>
      <c r="L237" s="1" t="b">
        <v>0</v>
      </c>
      <c r="M237" s="19">
        <v>1000.0</v>
      </c>
      <c r="N237" s="20">
        <v>2.08</v>
      </c>
      <c r="O237" s="20">
        <v>480.77</v>
      </c>
      <c r="P237" s="21"/>
      <c r="Q237" s="1" t="s">
        <v>117</v>
      </c>
      <c r="R237" s="1" t="s">
        <v>1004</v>
      </c>
      <c r="S237" s="1" t="s">
        <v>81</v>
      </c>
      <c r="T237" s="1" t="s">
        <v>81</v>
      </c>
      <c r="U237" s="1" t="s">
        <v>0</v>
      </c>
      <c r="V237" s="1" t="s">
        <v>0</v>
      </c>
      <c r="W237" s="22" t="s">
        <v>202</v>
      </c>
      <c r="X237" s="20">
        <v>201.19</v>
      </c>
      <c r="Y237" s="1" t="s">
        <v>0</v>
      </c>
      <c r="Z237" s="1" t="s">
        <v>0</v>
      </c>
      <c r="AA237" s="23" t="s">
        <v>85</v>
      </c>
      <c r="AB237" s="1">
        <v>600.0</v>
      </c>
      <c r="AC237" s="1">
        <v>600.0</v>
      </c>
      <c r="AD237" s="1" t="s">
        <v>1099</v>
      </c>
      <c r="AE237" s="1">
        <v>2.0</v>
      </c>
      <c r="AF237" s="5" t="s">
        <v>125</v>
      </c>
      <c r="AG237" s="5" t="s">
        <v>127</v>
      </c>
      <c r="AI237" s="5" t="s">
        <v>1002</v>
      </c>
      <c r="AJ237" s="5" t="s">
        <v>1098</v>
      </c>
      <c r="AK237" s="5" t="s">
        <v>1006</v>
      </c>
      <c r="AL237" s="5" t="s">
        <v>131</v>
      </c>
    </row>
    <row r="238" ht="16.5" customHeight="1">
      <c r="A238" s="5" t="s">
        <v>60</v>
      </c>
      <c r="B238" s="1" t="b">
        <v>1</v>
      </c>
      <c r="C238" s="1" t="s">
        <v>1101</v>
      </c>
      <c r="D238" s="1" t="s">
        <v>1102</v>
      </c>
      <c r="E238" s="1" t="s">
        <v>1002</v>
      </c>
      <c r="F238" s="1" t="s">
        <v>66</v>
      </c>
      <c r="G238" s="1" t="s">
        <v>1003</v>
      </c>
      <c r="H238" s="1" t="s">
        <v>69</v>
      </c>
      <c r="I238" s="1" t="s">
        <v>70</v>
      </c>
      <c r="J238" s="1"/>
      <c r="K238" s="1" t="b">
        <v>0</v>
      </c>
      <c r="L238" s="1" t="b">
        <v>0</v>
      </c>
      <c r="M238" s="19">
        <v>1800.0</v>
      </c>
      <c r="N238" s="20">
        <v>2.08</v>
      </c>
      <c r="O238" s="20">
        <v>865.38</v>
      </c>
      <c r="P238" s="21"/>
      <c r="Q238" s="1" t="s">
        <v>117</v>
      </c>
      <c r="R238" s="1" t="s">
        <v>1004</v>
      </c>
      <c r="S238" s="1" t="s">
        <v>166</v>
      </c>
      <c r="T238" s="1" t="s">
        <v>81</v>
      </c>
      <c r="U238" s="1" t="s">
        <v>0</v>
      </c>
      <c r="V238" s="1" t="s">
        <v>0</v>
      </c>
      <c r="W238" s="22" t="s">
        <v>202</v>
      </c>
      <c r="X238" s="20">
        <v>336.28000000000003</v>
      </c>
      <c r="Y238" s="1" t="s">
        <v>0</v>
      </c>
      <c r="Z238" s="1" t="s">
        <v>0</v>
      </c>
      <c r="AA238" s="23" t="s">
        <v>85</v>
      </c>
      <c r="AB238" s="1">
        <v>600.0</v>
      </c>
      <c r="AC238" s="1">
        <v>600.0</v>
      </c>
      <c r="AD238" s="1" t="s">
        <v>1101</v>
      </c>
      <c r="AE238" s="1">
        <v>2.0</v>
      </c>
      <c r="AF238" s="5" t="s">
        <v>86</v>
      </c>
      <c r="AG238" s="5" t="s">
        <v>87</v>
      </c>
      <c r="AI238" s="5" t="s">
        <v>1002</v>
      </c>
      <c r="AJ238" s="5" t="s">
        <v>1005</v>
      </c>
      <c r="AK238" s="5" t="s">
        <v>1016</v>
      </c>
      <c r="AL238" s="5" t="s">
        <v>91</v>
      </c>
    </row>
    <row r="239" ht="16.5" customHeight="1">
      <c r="A239" s="5" t="s">
        <v>60</v>
      </c>
      <c r="B239" s="1" t="b">
        <v>1</v>
      </c>
      <c r="C239" s="1" t="s">
        <v>1103</v>
      </c>
      <c r="D239" s="1" t="s">
        <v>1104</v>
      </c>
      <c r="E239" s="1" t="s">
        <v>1002</v>
      </c>
      <c r="F239" s="1" t="s">
        <v>66</v>
      </c>
      <c r="G239" s="1" t="s">
        <v>1003</v>
      </c>
      <c r="H239" s="1" t="s">
        <v>69</v>
      </c>
      <c r="I239" s="1" t="s">
        <v>107</v>
      </c>
      <c r="J239" s="1"/>
      <c r="K239" s="1" t="b">
        <v>0</v>
      </c>
      <c r="L239" s="1" t="b">
        <v>0</v>
      </c>
      <c r="M239" s="19">
        <v>1800.0</v>
      </c>
      <c r="N239" s="20">
        <v>2.08</v>
      </c>
      <c r="O239" s="20">
        <v>865.38</v>
      </c>
      <c r="P239" s="21"/>
      <c r="Q239" s="1" t="s">
        <v>117</v>
      </c>
      <c r="R239" s="1" t="s">
        <v>1004</v>
      </c>
      <c r="S239" s="1" t="s">
        <v>166</v>
      </c>
      <c r="T239" s="1" t="s">
        <v>81</v>
      </c>
      <c r="U239" s="1" t="s">
        <v>0</v>
      </c>
      <c r="V239" s="1" t="s">
        <v>0</v>
      </c>
      <c r="W239" s="22" t="s">
        <v>202</v>
      </c>
      <c r="X239" s="20">
        <v>336.28000000000003</v>
      </c>
      <c r="Y239" s="1" t="s">
        <v>0</v>
      </c>
      <c r="Z239" s="1" t="s">
        <v>0</v>
      </c>
      <c r="AA239" s="23" t="s">
        <v>85</v>
      </c>
      <c r="AB239" s="1">
        <v>600.0</v>
      </c>
      <c r="AC239" s="1">
        <v>600.0</v>
      </c>
      <c r="AD239" s="1" t="s">
        <v>1103</v>
      </c>
      <c r="AE239" s="1">
        <v>2.0</v>
      </c>
      <c r="AF239" s="5" t="s">
        <v>86</v>
      </c>
      <c r="AG239" s="5" t="s">
        <v>87</v>
      </c>
      <c r="AI239" s="5" t="s">
        <v>1002</v>
      </c>
      <c r="AJ239" s="5" t="s">
        <v>1005</v>
      </c>
      <c r="AK239" s="5" t="s">
        <v>1016</v>
      </c>
      <c r="AL239" s="5" t="s">
        <v>91</v>
      </c>
    </row>
    <row r="240" ht="16.5" hidden="1" customHeight="1">
      <c r="A240" s="5" t="s">
        <v>60</v>
      </c>
      <c r="B240" s="1" t="b">
        <v>0</v>
      </c>
      <c r="C240" s="1" t="s">
        <v>1107</v>
      </c>
      <c r="D240" s="1" t="s">
        <v>1108</v>
      </c>
      <c r="E240" s="1" t="s">
        <v>1109</v>
      </c>
      <c r="F240" s="1" t="s">
        <v>66</v>
      </c>
      <c r="G240" s="1" t="s">
        <v>1110</v>
      </c>
      <c r="H240" s="1" t="s">
        <v>141</v>
      </c>
      <c r="I240" s="1" t="s">
        <v>249</v>
      </c>
      <c r="J240" s="1"/>
      <c r="K240" s="1" t="b">
        <v>1</v>
      </c>
      <c r="L240" s="1" t="b">
        <v>0</v>
      </c>
      <c r="M240" s="19">
        <v>1500.0</v>
      </c>
      <c r="N240" s="20">
        <v>2.08</v>
      </c>
      <c r="O240" s="20">
        <v>721.15</v>
      </c>
      <c r="P240" s="21"/>
      <c r="Q240" s="1" t="s">
        <v>117</v>
      </c>
      <c r="R240" s="1" t="s">
        <v>145</v>
      </c>
      <c r="S240" s="1" t="s">
        <v>81</v>
      </c>
      <c r="T240" s="1" t="s">
        <v>81</v>
      </c>
      <c r="U240" s="1" t="s">
        <v>0</v>
      </c>
      <c r="V240" s="1" t="s">
        <v>146</v>
      </c>
      <c r="W240" s="22" t="s">
        <v>82</v>
      </c>
      <c r="X240" s="20">
        <v>293.42</v>
      </c>
      <c r="Y240" s="1" t="s">
        <v>0</v>
      </c>
      <c r="Z240" s="1" t="s">
        <v>0</v>
      </c>
      <c r="AA240" s="23" t="s">
        <v>85</v>
      </c>
      <c r="AB240" s="1">
        <v>600.0</v>
      </c>
      <c r="AC240" s="1">
        <v>600.0</v>
      </c>
      <c r="AD240" s="1" t="s">
        <v>1107</v>
      </c>
      <c r="AE240" s="1">
        <v>0.0</v>
      </c>
      <c r="AF240" s="5" t="s">
        <v>86</v>
      </c>
      <c r="AG240" s="5" t="s">
        <v>121</v>
      </c>
      <c r="AI240" s="5" t="s">
        <v>1112</v>
      </c>
      <c r="AJ240" s="5" t="s">
        <v>1113</v>
      </c>
      <c r="AK240" s="5" t="s">
        <v>1114</v>
      </c>
      <c r="AL240" s="5" t="s">
        <v>131</v>
      </c>
      <c r="AM240" s="5" t="s">
        <v>1115</v>
      </c>
    </row>
    <row r="241" ht="16.5" customHeight="1">
      <c r="A241" s="5" t="s">
        <v>60</v>
      </c>
      <c r="B241" s="1" t="b">
        <v>1</v>
      </c>
      <c r="C241" s="1" t="s">
        <v>1117</v>
      </c>
      <c r="D241" s="1" t="s">
        <v>1118</v>
      </c>
      <c r="E241" s="1" t="s">
        <v>1109</v>
      </c>
      <c r="F241" s="1" t="s">
        <v>66</v>
      </c>
      <c r="G241" s="1" t="s">
        <v>1119</v>
      </c>
      <c r="H241" s="1" t="s">
        <v>69</v>
      </c>
      <c r="I241" s="1" t="s">
        <v>249</v>
      </c>
      <c r="J241" s="1"/>
      <c r="K241" s="1" t="b">
        <v>1</v>
      </c>
      <c r="L241" s="1" t="b">
        <v>0</v>
      </c>
      <c r="M241" s="19">
        <v>1500.0</v>
      </c>
      <c r="N241" s="20">
        <v>2.08</v>
      </c>
      <c r="O241" s="20">
        <v>721.15</v>
      </c>
      <c r="P241" s="21"/>
      <c r="Q241" s="1" t="s">
        <v>242</v>
      </c>
      <c r="R241" s="1" t="s">
        <v>145</v>
      </c>
      <c r="S241" s="1" t="s">
        <v>81</v>
      </c>
      <c r="T241" s="1" t="s">
        <v>81</v>
      </c>
      <c r="U241" s="1" t="s">
        <v>0</v>
      </c>
      <c r="V241" s="1" t="s">
        <v>0</v>
      </c>
      <c r="W241" s="22" t="s">
        <v>82</v>
      </c>
      <c r="X241" s="20">
        <v>262.94</v>
      </c>
      <c r="Y241" s="1" t="s">
        <v>0</v>
      </c>
      <c r="Z241" s="1" t="s">
        <v>0</v>
      </c>
      <c r="AA241" s="23" t="s">
        <v>173</v>
      </c>
      <c r="AB241" s="1">
        <v>500.0</v>
      </c>
      <c r="AC241" s="1">
        <v>500.0</v>
      </c>
      <c r="AD241" s="1" t="s">
        <v>1117</v>
      </c>
      <c r="AE241" s="1">
        <v>2.0</v>
      </c>
      <c r="AF241" s="5" t="s">
        <v>125</v>
      </c>
      <c r="AG241" s="5" t="s">
        <v>174</v>
      </c>
      <c r="AI241" s="5" t="s">
        <v>1120</v>
      </c>
      <c r="AJ241" s="5" t="s">
        <v>1121</v>
      </c>
      <c r="AL241" s="5" t="s">
        <v>131</v>
      </c>
    </row>
    <row r="242" ht="16.5" customHeight="1">
      <c r="A242" s="5" t="s">
        <v>60</v>
      </c>
      <c r="B242" s="1" t="b">
        <v>1</v>
      </c>
      <c r="C242" s="1" t="s">
        <v>1122</v>
      </c>
      <c r="D242" s="1" t="s">
        <v>1123</v>
      </c>
      <c r="E242" s="1" t="s">
        <v>1109</v>
      </c>
      <c r="F242" s="1" t="s">
        <v>66</v>
      </c>
      <c r="G242" s="1" t="s">
        <v>1119</v>
      </c>
      <c r="H242" s="1" t="s">
        <v>69</v>
      </c>
      <c r="I242" s="1" t="s">
        <v>249</v>
      </c>
      <c r="J242" s="1"/>
      <c r="K242" s="1" t="b">
        <v>1</v>
      </c>
      <c r="L242" s="1" t="b">
        <v>0</v>
      </c>
      <c r="M242" s="19">
        <v>1300.0</v>
      </c>
      <c r="N242" s="20">
        <v>2.08</v>
      </c>
      <c r="O242" s="20">
        <v>625.0</v>
      </c>
      <c r="P242" s="21"/>
      <c r="Q242" s="1" t="s">
        <v>78</v>
      </c>
      <c r="R242" s="1" t="s">
        <v>336</v>
      </c>
      <c r="S242" s="1" t="s">
        <v>81</v>
      </c>
      <c r="T242" s="1" t="s">
        <v>81</v>
      </c>
      <c r="U242" s="1" t="s">
        <v>0</v>
      </c>
      <c r="V242" s="1" t="s">
        <v>0</v>
      </c>
      <c r="W242" s="22" t="s">
        <v>82</v>
      </c>
      <c r="X242" s="20">
        <v>309.31</v>
      </c>
      <c r="Y242" s="1" t="s">
        <v>0</v>
      </c>
      <c r="Z242" s="1" t="s">
        <v>0</v>
      </c>
      <c r="AA242" s="23" t="s">
        <v>173</v>
      </c>
      <c r="AB242" s="1">
        <v>500.0</v>
      </c>
      <c r="AC242" s="1">
        <v>500.0</v>
      </c>
      <c r="AD242" s="1" t="s">
        <v>1122</v>
      </c>
      <c r="AE242" s="1">
        <v>3.0</v>
      </c>
      <c r="AF242" s="5" t="s">
        <v>125</v>
      </c>
      <c r="AG242" s="5" t="s">
        <v>174</v>
      </c>
      <c r="AI242" s="5" t="s">
        <v>1120</v>
      </c>
      <c r="AJ242" s="5" t="s">
        <v>1121</v>
      </c>
      <c r="AL242" s="5" t="s">
        <v>131</v>
      </c>
    </row>
    <row r="243" ht="16.5" customHeight="1">
      <c r="A243" s="5" t="s">
        <v>60</v>
      </c>
      <c r="B243" s="1" t="b">
        <v>1</v>
      </c>
      <c r="C243" s="1" t="s">
        <v>1124</v>
      </c>
      <c r="D243" s="1" t="s">
        <v>1125</v>
      </c>
      <c r="E243" s="1" t="s">
        <v>1109</v>
      </c>
      <c r="F243" s="1" t="s">
        <v>66</v>
      </c>
      <c r="G243" s="1" t="s">
        <v>1119</v>
      </c>
      <c r="H243" s="1" t="s">
        <v>69</v>
      </c>
      <c r="I243" s="1" t="s">
        <v>249</v>
      </c>
      <c r="J243" s="1"/>
      <c r="K243" s="1" t="b">
        <v>1</v>
      </c>
      <c r="L243" s="1" t="b">
        <v>0</v>
      </c>
      <c r="M243" s="19">
        <v>1200.0</v>
      </c>
      <c r="N243" s="20">
        <v>2.08</v>
      </c>
      <c r="O243" s="20">
        <v>576.92</v>
      </c>
      <c r="P243" s="21"/>
      <c r="Q243" s="1" t="s">
        <v>78</v>
      </c>
      <c r="R243" s="1" t="s">
        <v>336</v>
      </c>
      <c r="S243" s="1" t="s">
        <v>81</v>
      </c>
      <c r="T243" s="1" t="s">
        <v>81</v>
      </c>
      <c r="U243" s="1" t="s">
        <v>0</v>
      </c>
      <c r="V243" s="1" t="s">
        <v>0</v>
      </c>
      <c r="W243" s="22" t="s">
        <v>82</v>
      </c>
      <c r="X243" s="20">
        <v>250.59</v>
      </c>
      <c r="Y243" s="1" t="s">
        <v>0</v>
      </c>
      <c r="Z243" s="1" t="s">
        <v>0</v>
      </c>
      <c r="AA243" s="23" t="s">
        <v>173</v>
      </c>
      <c r="AB243" s="1">
        <v>500.0</v>
      </c>
      <c r="AC243" s="1">
        <v>500.0</v>
      </c>
      <c r="AD243" s="1" t="s">
        <v>1124</v>
      </c>
      <c r="AE243" s="1">
        <v>3.0</v>
      </c>
      <c r="AF243" s="5" t="s">
        <v>125</v>
      </c>
      <c r="AG243" s="5" t="s">
        <v>174</v>
      </c>
      <c r="AI243" s="5" t="s">
        <v>1120</v>
      </c>
      <c r="AJ243" s="5" t="s">
        <v>1121</v>
      </c>
      <c r="AL243" s="5" t="s">
        <v>131</v>
      </c>
    </row>
    <row r="244" ht="16.5" customHeight="1">
      <c r="A244" s="5" t="s">
        <v>60</v>
      </c>
      <c r="B244" s="1" t="b">
        <v>1</v>
      </c>
      <c r="C244" s="1" t="s">
        <v>1127</v>
      </c>
      <c r="D244" s="1" t="s">
        <v>1128</v>
      </c>
      <c r="E244" s="1" t="s">
        <v>1109</v>
      </c>
      <c r="F244" s="1" t="s">
        <v>66</v>
      </c>
      <c r="G244" s="1" t="s">
        <v>1129</v>
      </c>
      <c r="H244" s="1" t="s">
        <v>69</v>
      </c>
      <c r="I244" s="1" t="s">
        <v>249</v>
      </c>
      <c r="J244" s="1"/>
      <c r="K244" s="1" t="b">
        <v>1</v>
      </c>
      <c r="L244" s="1" t="b">
        <v>0</v>
      </c>
      <c r="M244" s="19">
        <v>1000.0</v>
      </c>
      <c r="N244" s="20">
        <v>2.08</v>
      </c>
      <c r="O244" s="20">
        <v>480.77</v>
      </c>
      <c r="P244" s="21"/>
      <c r="Q244" s="1" t="s">
        <v>117</v>
      </c>
      <c r="R244" s="1" t="s">
        <v>145</v>
      </c>
      <c r="S244" s="1" t="s">
        <v>81</v>
      </c>
      <c r="T244" s="1" t="s">
        <v>81</v>
      </c>
      <c r="U244" s="1" t="s">
        <v>0</v>
      </c>
      <c r="V244" s="1" t="s">
        <v>0</v>
      </c>
      <c r="W244" s="22" t="s">
        <v>82</v>
      </c>
      <c r="X244" s="20">
        <v>191.45</v>
      </c>
      <c r="Y244" s="1" t="s">
        <v>1130</v>
      </c>
      <c r="Z244" s="1" t="s">
        <v>1128</v>
      </c>
      <c r="AA244" s="23" t="s">
        <v>173</v>
      </c>
      <c r="AB244" s="1">
        <v>500.0</v>
      </c>
      <c r="AC244" s="1">
        <v>500.0</v>
      </c>
      <c r="AD244" s="1" t="s">
        <v>1127</v>
      </c>
      <c r="AE244" s="1">
        <v>3.0</v>
      </c>
      <c r="AF244" s="5" t="s">
        <v>125</v>
      </c>
      <c r="AG244" s="5" t="s">
        <v>174</v>
      </c>
      <c r="AI244" s="5" t="s">
        <v>1120</v>
      </c>
      <c r="AJ244" s="5" t="s">
        <v>1131</v>
      </c>
      <c r="AK244" s="5" t="s">
        <v>1132</v>
      </c>
      <c r="AL244" s="5" t="s">
        <v>131</v>
      </c>
    </row>
    <row r="245" ht="16.5" customHeight="1">
      <c r="A245" s="5" t="s">
        <v>60</v>
      </c>
      <c r="B245" s="1" t="b">
        <v>1</v>
      </c>
      <c r="C245" s="1" t="s">
        <v>1133</v>
      </c>
      <c r="D245" s="1" t="s">
        <v>1134</v>
      </c>
      <c r="E245" s="1" t="s">
        <v>1109</v>
      </c>
      <c r="F245" s="1" t="s">
        <v>66</v>
      </c>
      <c r="G245" s="1" t="s">
        <v>1129</v>
      </c>
      <c r="H245" s="1" t="s">
        <v>69</v>
      </c>
      <c r="I245" s="1" t="s">
        <v>249</v>
      </c>
      <c r="J245" s="1"/>
      <c r="K245" s="1" t="b">
        <v>1</v>
      </c>
      <c r="L245" s="1" t="b">
        <v>0</v>
      </c>
      <c r="M245" s="19">
        <v>1200.0</v>
      </c>
      <c r="N245" s="20">
        <v>2.08</v>
      </c>
      <c r="O245" s="20">
        <v>576.92</v>
      </c>
      <c r="P245" s="21"/>
      <c r="Q245" s="1" t="s">
        <v>117</v>
      </c>
      <c r="R245" s="1" t="s">
        <v>145</v>
      </c>
      <c r="S245" s="1" t="s">
        <v>81</v>
      </c>
      <c r="T245" s="1" t="s">
        <v>81</v>
      </c>
      <c r="U245" s="1" t="s">
        <v>0</v>
      </c>
      <c r="V245" s="1" t="s">
        <v>0</v>
      </c>
      <c r="W245" s="22" t="s">
        <v>82</v>
      </c>
      <c r="X245" s="20">
        <v>206.29</v>
      </c>
      <c r="Y245" s="1" t="s">
        <v>1137</v>
      </c>
      <c r="Z245" s="1" t="s">
        <v>1134</v>
      </c>
      <c r="AA245" s="23" t="s">
        <v>173</v>
      </c>
      <c r="AB245" s="1">
        <v>500.0</v>
      </c>
      <c r="AC245" s="1">
        <v>500.0</v>
      </c>
      <c r="AD245" s="1" t="s">
        <v>1133</v>
      </c>
      <c r="AE245" s="1">
        <v>3.0</v>
      </c>
      <c r="AF245" s="5" t="s">
        <v>125</v>
      </c>
      <c r="AG245" s="5" t="s">
        <v>174</v>
      </c>
      <c r="AI245" s="5" t="s">
        <v>1120</v>
      </c>
      <c r="AJ245" s="5" t="s">
        <v>1131</v>
      </c>
      <c r="AK245" s="5" t="s">
        <v>1139</v>
      </c>
      <c r="AL245" s="5" t="s">
        <v>131</v>
      </c>
    </row>
    <row r="246" ht="16.5" customHeight="1">
      <c r="A246" s="5" t="s">
        <v>60</v>
      </c>
      <c r="B246" s="1" t="b">
        <v>1</v>
      </c>
      <c r="C246" s="1" t="s">
        <v>1141</v>
      </c>
      <c r="D246" s="1" t="s">
        <v>1142</v>
      </c>
      <c r="E246" s="1" t="s">
        <v>1109</v>
      </c>
      <c r="F246" s="1" t="s">
        <v>247</v>
      </c>
      <c r="G246" s="1" t="s">
        <v>248</v>
      </c>
      <c r="H246" s="1" t="s">
        <v>69</v>
      </c>
      <c r="I246" s="1" t="s">
        <v>249</v>
      </c>
      <c r="J246" s="1"/>
      <c r="K246" s="1" t="b">
        <v>1</v>
      </c>
      <c r="L246" s="1" t="b">
        <v>0</v>
      </c>
      <c r="M246" s="19">
        <v>400.0</v>
      </c>
      <c r="N246" s="20">
        <v>2.08</v>
      </c>
      <c r="O246" s="20">
        <v>192.31</v>
      </c>
      <c r="P246" s="21"/>
      <c r="Q246" s="1" t="s">
        <v>117</v>
      </c>
      <c r="R246" s="1" t="s">
        <v>145</v>
      </c>
      <c r="S246" s="1" t="s">
        <v>81</v>
      </c>
      <c r="T246" s="1" t="s">
        <v>81</v>
      </c>
      <c r="U246" s="1" t="s">
        <v>0</v>
      </c>
      <c r="V246" s="1" t="s">
        <v>0</v>
      </c>
      <c r="W246" s="22" t="s">
        <v>82</v>
      </c>
      <c r="X246" s="20">
        <v>63.32</v>
      </c>
      <c r="Y246" s="1" t="s">
        <v>0</v>
      </c>
      <c r="Z246" s="1" t="s">
        <v>0</v>
      </c>
      <c r="AA246" s="23" t="s">
        <v>173</v>
      </c>
      <c r="AB246" s="1">
        <v>500.0</v>
      </c>
      <c r="AC246" s="1">
        <v>500.0</v>
      </c>
      <c r="AD246" s="1" t="s">
        <v>1141</v>
      </c>
      <c r="AE246" s="1">
        <v>3.0</v>
      </c>
      <c r="AF246" s="5" t="s">
        <v>125</v>
      </c>
      <c r="AG246" s="5" t="s">
        <v>174</v>
      </c>
      <c r="AI246" s="5" t="s">
        <v>248</v>
      </c>
      <c r="AJ246" s="5" t="s">
        <v>1146</v>
      </c>
      <c r="AK246" s="5" t="s">
        <v>1147</v>
      </c>
      <c r="AL246" s="5" t="s">
        <v>131</v>
      </c>
    </row>
    <row r="247" ht="16.5" customHeight="1">
      <c r="A247" s="5" t="s">
        <v>60</v>
      </c>
      <c r="B247" s="1" t="b">
        <v>1</v>
      </c>
      <c r="C247" s="1" t="s">
        <v>1148</v>
      </c>
      <c r="D247" s="1" t="s">
        <v>1149</v>
      </c>
      <c r="E247" s="1" t="s">
        <v>1109</v>
      </c>
      <c r="F247" s="1" t="s">
        <v>247</v>
      </c>
      <c r="G247" s="1" t="s">
        <v>248</v>
      </c>
      <c r="H247" s="1" t="s">
        <v>69</v>
      </c>
      <c r="I247" s="1" t="s">
        <v>249</v>
      </c>
      <c r="J247" s="1"/>
      <c r="K247" s="1" t="b">
        <v>1</v>
      </c>
      <c r="L247" s="1" t="b">
        <v>0</v>
      </c>
      <c r="M247" s="19">
        <v>650.0</v>
      </c>
      <c r="N247" s="20">
        <v>2.08</v>
      </c>
      <c r="O247" s="20">
        <v>312.5</v>
      </c>
      <c r="P247" s="21"/>
      <c r="Q247" s="1" t="s">
        <v>117</v>
      </c>
      <c r="R247" s="1" t="s">
        <v>79</v>
      </c>
      <c r="S247" s="1" t="s">
        <v>81</v>
      </c>
      <c r="T247" s="1" t="s">
        <v>81</v>
      </c>
      <c r="U247" s="1" t="s">
        <v>0</v>
      </c>
      <c r="V247" s="1" t="s">
        <v>0</v>
      </c>
      <c r="W247" s="22" t="s">
        <v>82</v>
      </c>
      <c r="X247" s="20">
        <v>119.97</v>
      </c>
      <c r="Y247" s="1" t="s">
        <v>0</v>
      </c>
      <c r="Z247" s="1" t="s">
        <v>0</v>
      </c>
      <c r="AA247" s="23" t="s">
        <v>173</v>
      </c>
      <c r="AB247" s="1">
        <v>500.0</v>
      </c>
      <c r="AC247" s="1">
        <v>500.0</v>
      </c>
      <c r="AD247" s="1" t="s">
        <v>1148</v>
      </c>
      <c r="AE247" s="1">
        <v>2.0</v>
      </c>
      <c r="AF247" s="5" t="s">
        <v>125</v>
      </c>
      <c r="AG247" s="5" t="s">
        <v>174</v>
      </c>
      <c r="AI247" s="5" t="s">
        <v>248</v>
      </c>
      <c r="AJ247" s="5" t="s">
        <v>1146</v>
      </c>
      <c r="AK247" s="5" t="s">
        <v>1151</v>
      </c>
      <c r="AL247" s="5" t="s">
        <v>131</v>
      </c>
    </row>
    <row r="248" ht="16.5" customHeight="1">
      <c r="A248" s="5" t="s">
        <v>60</v>
      </c>
      <c r="B248" s="1" t="b">
        <v>1</v>
      </c>
      <c r="C248" s="1" t="s">
        <v>1152</v>
      </c>
      <c r="D248" s="1" t="s">
        <v>1153</v>
      </c>
      <c r="E248" s="1" t="s">
        <v>1109</v>
      </c>
      <c r="F248" s="1" t="s">
        <v>66</v>
      </c>
      <c r="G248" s="1" t="s">
        <v>1119</v>
      </c>
      <c r="H248" s="1" t="s">
        <v>69</v>
      </c>
      <c r="I248" s="1" t="s">
        <v>249</v>
      </c>
      <c r="J248" s="1"/>
      <c r="K248" s="1" t="b">
        <v>1</v>
      </c>
      <c r="L248" s="1" t="b">
        <v>0</v>
      </c>
      <c r="M248" s="19">
        <v>1500.0</v>
      </c>
      <c r="N248" s="20">
        <v>2.08</v>
      </c>
      <c r="O248" s="20">
        <v>721.15</v>
      </c>
      <c r="P248" s="21"/>
      <c r="Q248" s="1" t="s">
        <v>117</v>
      </c>
      <c r="R248" s="1" t="s">
        <v>145</v>
      </c>
      <c r="S248" s="1" t="s">
        <v>81</v>
      </c>
      <c r="T248" s="1" t="s">
        <v>81</v>
      </c>
      <c r="U248" s="1" t="s">
        <v>0</v>
      </c>
      <c r="V248" s="1" t="s">
        <v>0</v>
      </c>
      <c r="W248" s="22" t="s">
        <v>82</v>
      </c>
      <c r="X248" s="20">
        <v>281.72</v>
      </c>
      <c r="Y248" s="1" t="s">
        <v>0</v>
      </c>
      <c r="Z248" s="1" t="s">
        <v>0</v>
      </c>
      <c r="AA248" s="23" t="s">
        <v>173</v>
      </c>
      <c r="AB248" s="1">
        <v>500.0</v>
      </c>
      <c r="AC248" s="1">
        <v>500.0</v>
      </c>
      <c r="AD248" s="1" t="s">
        <v>1152</v>
      </c>
      <c r="AE248" s="1">
        <v>2.0</v>
      </c>
      <c r="AF248" s="5" t="s">
        <v>125</v>
      </c>
      <c r="AG248" s="5" t="s">
        <v>174</v>
      </c>
      <c r="AI248" s="5" t="s">
        <v>1120</v>
      </c>
      <c r="AJ248" s="5" t="s">
        <v>1121</v>
      </c>
      <c r="AK248" s="5" t="s">
        <v>1155</v>
      </c>
      <c r="AL248" s="5" t="s">
        <v>131</v>
      </c>
    </row>
    <row r="249" ht="16.5" customHeight="1">
      <c r="A249" s="5" t="s">
        <v>60</v>
      </c>
      <c r="B249" s="1" t="b">
        <v>1</v>
      </c>
      <c r="C249" s="1" t="s">
        <v>1156</v>
      </c>
      <c r="D249" s="1" t="s">
        <v>1157</v>
      </c>
      <c r="E249" s="1" t="s">
        <v>1109</v>
      </c>
      <c r="F249" s="1" t="s">
        <v>66</v>
      </c>
      <c r="G249" s="1" t="s">
        <v>1119</v>
      </c>
      <c r="H249" s="1" t="s">
        <v>69</v>
      </c>
      <c r="I249" s="1" t="s">
        <v>249</v>
      </c>
      <c r="J249" s="1"/>
      <c r="K249" s="1" t="b">
        <v>1</v>
      </c>
      <c r="L249" s="1" t="b">
        <v>0</v>
      </c>
      <c r="M249" s="19">
        <v>1600.0</v>
      </c>
      <c r="N249" s="20">
        <v>2.08</v>
      </c>
      <c r="O249" s="20">
        <v>769.23</v>
      </c>
      <c r="P249" s="21"/>
      <c r="Q249" s="1" t="s">
        <v>117</v>
      </c>
      <c r="R249" s="1" t="s">
        <v>145</v>
      </c>
      <c r="S249" s="1" t="s">
        <v>81</v>
      </c>
      <c r="T249" s="1" t="s">
        <v>81</v>
      </c>
      <c r="U249" s="1" t="s">
        <v>0</v>
      </c>
      <c r="V249" s="1" t="s">
        <v>0</v>
      </c>
      <c r="W249" s="22" t="s">
        <v>82</v>
      </c>
      <c r="X249" s="20">
        <v>317.52</v>
      </c>
      <c r="Y249" s="1" t="s">
        <v>0</v>
      </c>
      <c r="Z249" s="1" t="s">
        <v>0</v>
      </c>
      <c r="AA249" s="23" t="s">
        <v>85</v>
      </c>
      <c r="AB249" s="1">
        <v>500.0</v>
      </c>
      <c r="AC249" s="1">
        <v>500.0</v>
      </c>
      <c r="AD249" s="1" t="s">
        <v>1156</v>
      </c>
      <c r="AE249" s="1">
        <v>2.0</v>
      </c>
      <c r="AF249" s="5" t="s">
        <v>125</v>
      </c>
      <c r="AG249" s="5" t="s">
        <v>174</v>
      </c>
      <c r="AI249" s="5" t="s">
        <v>1120</v>
      </c>
      <c r="AJ249" s="5" t="s">
        <v>1121</v>
      </c>
      <c r="AK249" s="5" t="s">
        <v>1155</v>
      </c>
      <c r="AL249" s="5" t="s">
        <v>131</v>
      </c>
    </row>
    <row r="250" ht="16.5" customHeight="1">
      <c r="A250" s="5" t="s">
        <v>60</v>
      </c>
      <c r="B250" s="1" t="b">
        <v>1</v>
      </c>
      <c r="C250" s="1" t="s">
        <v>1159</v>
      </c>
      <c r="D250" s="1" t="s">
        <v>1160</v>
      </c>
      <c r="E250" s="1" t="s">
        <v>1109</v>
      </c>
      <c r="F250" s="1" t="s">
        <v>109</v>
      </c>
      <c r="G250" s="1" t="s">
        <v>1162</v>
      </c>
      <c r="H250" s="1" t="s">
        <v>69</v>
      </c>
      <c r="I250" s="1" t="s">
        <v>249</v>
      </c>
      <c r="J250" s="1"/>
      <c r="K250" s="1" t="b">
        <v>1</v>
      </c>
      <c r="L250" s="1" t="b">
        <v>0</v>
      </c>
      <c r="M250" s="19">
        <v>1800.0</v>
      </c>
      <c r="N250" s="20">
        <v>2.08</v>
      </c>
      <c r="O250" s="20">
        <v>865.38</v>
      </c>
      <c r="P250" s="21"/>
      <c r="Q250" s="1" t="s">
        <v>117</v>
      </c>
      <c r="R250" s="1" t="s">
        <v>250</v>
      </c>
      <c r="S250" s="1" t="s">
        <v>81</v>
      </c>
      <c r="T250" s="1" t="s">
        <v>81</v>
      </c>
      <c r="U250" s="1" t="s">
        <v>0</v>
      </c>
      <c r="V250" s="1" t="s">
        <v>0</v>
      </c>
      <c r="W250" s="22" t="s">
        <v>82</v>
      </c>
      <c r="X250" s="20">
        <v>381.53</v>
      </c>
      <c r="Y250" s="1" t="s">
        <v>0</v>
      </c>
      <c r="Z250" s="1" t="s">
        <v>0</v>
      </c>
      <c r="AA250" s="23" t="s">
        <v>173</v>
      </c>
      <c r="AB250" s="1">
        <v>500.0</v>
      </c>
      <c r="AC250" s="1">
        <v>500.0</v>
      </c>
      <c r="AD250" s="1" t="s">
        <v>1159</v>
      </c>
      <c r="AE250" s="1">
        <v>1.0</v>
      </c>
      <c r="AF250" s="5" t="s">
        <v>86</v>
      </c>
      <c r="AG250" s="5" t="s">
        <v>512</v>
      </c>
      <c r="AI250" s="5" t="s">
        <v>1120</v>
      </c>
      <c r="AJ250" s="5" t="s">
        <v>1131</v>
      </c>
      <c r="AK250" s="5" t="s">
        <v>1155</v>
      </c>
      <c r="AL250" s="5" t="s">
        <v>131</v>
      </c>
    </row>
    <row r="251" ht="16.5" customHeight="1">
      <c r="A251" s="5" t="s">
        <v>60</v>
      </c>
      <c r="B251" s="1" t="b">
        <v>1</v>
      </c>
      <c r="C251" s="1" t="s">
        <v>1165</v>
      </c>
      <c r="D251" s="1" t="s">
        <v>1167</v>
      </c>
      <c r="E251" s="1" t="s">
        <v>1109</v>
      </c>
      <c r="F251" s="1" t="s">
        <v>109</v>
      </c>
      <c r="G251" s="1" t="s">
        <v>1162</v>
      </c>
      <c r="H251" s="1" t="s">
        <v>69</v>
      </c>
      <c r="I251" s="1" t="s">
        <v>249</v>
      </c>
      <c r="J251" s="1"/>
      <c r="K251" s="1" t="b">
        <v>1</v>
      </c>
      <c r="L251" s="1" t="b">
        <v>0</v>
      </c>
      <c r="M251" s="19">
        <v>2000.0</v>
      </c>
      <c r="N251" s="20">
        <v>2.08</v>
      </c>
      <c r="O251" s="20">
        <v>961.54</v>
      </c>
      <c r="P251" s="21"/>
      <c r="Q251" s="1" t="s">
        <v>117</v>
      </c>
      <c r="R251" s="1" t="s">
        <v>250</v>
      </c>
      <c r="S251" s="1" t="s">
        <v>81</v>
      </c>
      <c r="T251" s="1" t="s">
        <v>81</v>
      </c>
      <c r="U251" s="1" t="s">
        <v>0</v>
      </c>
      <c r="V251" s="1" t="s">
        <v>0</v>
      </c>
      <c r="W251" s="22" t="s">
        <v>82</v>
      </c>
      <c r="X251" s="20">
        <v>414.01</v>
      </c>
      <c r="Y251" s="1" t="s">
        <v>0</v>
      </c>
      <c r="Z251" s="1" t="s">
        <v>0</v>
      </c>
      <c r="AA251" s="23" t="s">
        <v>173</v>
      </c>
      <c r="AB251" s="1">
        <v>500.0</v>
      </c>
      <c r="AC251" s="1">
        <v>500.0</v>
      </c>
      <c r="AD251" s="1" t="s">
        <v>1165</v>
      </c>
      <c r="AE251" s="1">
        <v>1.0</v>
      </c>
      <c r="AF251" s="5" t="s">
        <v>86</v>
      </c>
      <c r="AG251" s="5" t="s">
        <v>512</v>
      </c>
      <c r="AI251" s="5" t="s">
        <v>1120</v>
      </c>
      <c r="AJ251" s="5" t="s">
        <v>1131</v>
      </c>
      <c r="AK251" s="5" t="s">
        <v>1132</v>
      </c>
      <c r="AL251" s="5" t="s">
        <v>131</v>
      </c>
    </row>
    <row r="252" ht="16.5" hidden="1" customHeight="1">
      <c r="A252" s="5" t="s">
        <v>60</v>
      </c>
      <c r="B252" s="1" t="b">
        <v>0</v>
      </c>
      <c r="C252" s="1" t="s">
        <v>1168</v>
      </c>
      <c r="D252" s="1" t="s">
        <v>1169</v>
      </c>
      <c r="E252" s="1" t="s">
        <v>1109</v>
      </c>
      <c r="F252" s="1" t="s">
        <v>109</v>
      </c>
      <c r="G252" s="1" t="s">
        <v>1110</v>
      </c>
      <c r="H252" s="1" t="s">
        <v>69</v>
      </c>
      <c r="I252" s="1" t="s">
        <v>249</v>
      </c>
      <c r="J252" s="1"/>
      <c r="K252" s="1" t="b">
        <v>1</v>
      </c>
      <c r="L252" s="1" t="b">
        <v>0</v>
      </c>
      <c r="M252" s="19">
        <v>5500.0</v>
      </c>
      <c r="N252" s="20">
        <v>2.08</v>
      </c>
      <c r="O252" s="20">
        <v>2644.23</v>
      </c>
      <c r="P252" s="21"/>
      <c r="Q252" s="1" t="s">
        <v>242</v>
      </c>
      <c r="R252" s="1" t="s">
        <v>613</v>
      </c>
      <c r="S252" s="1" t="s">
        <v>359</v>
      </c>
      <c r="T252" s="1" t="s">
        <v>81</v>
      </c>
      <c r="U252" s="1" t="s">
        <v>0</v>
      </c>
      <c r="V252" s="1" t="s">
        <v>0</v>
      </c>
      <c r="W252" s="22" t="s">
        <v>82</v>
      </c>
      <c r="X252" s="20">
        <v>1331.88</v>
      </c>
      <c r="Y252" s="1" t="s">
        <v>0</v>
      </c>
      <c r="Z252" s="1" t="s">
        <v>0</v>
      </c>
      <c r="AA252" s="23" t="s">
        <v>101</v>
      </c>
      <c r="AB252" s="1">
        <v>800.0</v>
      </c>
      <c r="AC252" s="1">
        <v>100.0</v>
      </c>
      <c r="AD252" s="1" t="s">
        <v>1168</v>
      </c>
      <c r="AE252" s="1">
        <v>0.0</v>
      </c>
      <c r="AF252" s="5" t="s">
        <v>86</v>
      </c>
      <c r="AG252" s="5" t="s">
        <v>121</v>
      </c>
      <c r="AI252" s="5" t="s">
        <v>1112</v>
      </c>
      <c r="AJ252" s="5" t="s">
        <v>1113</v>
      </c>
      <c r="AK252" s="5" t="s">
        <v>1170</v>
      </c>
      <c r="AL252" s="5" t="s">
        <v>131</v>
      </c>
      <c r="AM252" s="5" t="s">
        <v>1115</v>
      </c>
    </row>
    <row r="253" ht="16.5" customHeight="1">
      <c r="A253" s="5" t="s">
        <v>60</v>
      </c>
      <c r="B253" s="1" t="b">
        <v>1</v>
      </c>
      <c r="C253" s="1" t="s">
        <v>1171</v>
      </c>
      <c r="D253" s="1" t="s">
        <v>1172</v>
      </c>
      <c r="E253" s="1" t="s">
        <v>1109</v>
      </c>
      <c r="F253" s="1" t="s">
        <v>109</v>
      </c>
      <c r="G253" s="1" t="s">
        <v>1162</v>
      </c>
      <c r="H253" s="1" t="s">
        <v>69</v>
      </c>
      <c r="I253" s="1" t="s">
        <v>249</v>
      </c>
      <c r="J253" s="1"/>
      <c r="K253" s="1" t="b">
        <v>1</v>
      </c>
      <c r="L253" s="1" t="b">
        <v>0</v>
      </c>
      <c r="M253" s="19">
        <v>1700.0</v>
      </c>
      <c r="N253" s="20">
        <v>2.08</v>
      </c>
      <c r="O253" s="20">
        <v>817.31</v>
      </c>
      <c r="P253" s="21"/>
      <c r="Q253" s="1" t="s">
        <v>117</v>
      </c>
      <c r="R253" s="1" t="s">
        <v>145</v>
      </c>
      <c r="S253" s="1" t="s">
        <v>81</v>
      </c>
      <c r="T253" s="1" t="s">
        <v>81</v>
      </c>
      <c r="U253" s="1" t="s">
        <v>0</v>
      </c>
      <c r="V253" s="1" t="s">
        <v>0</v>
      </c>
      <c r="W253" s="22" t="s">
        <v>82</v>
      </c>
      <c r="X253" s="20">
        <v>378.21000000000004</v>
      </c>
      <c r="Y253" s="1" t="s">
        <v>0</v>
      </c>
      <c r="Z253" s="1" t="s">
        <v>0</v>
      </c>
      <c r="AA253" s="23" t="s">
        <v>173</v>
      </c>
      <c r="AB253" s="1">
        <v>500.0</v>
      </c>
      <c r="AC253" s="1">
        <v>500.0</v>
      </c>
      <c r="AD253" s="1" t="s">
        <v>1171</v>
      </c>
      <c r="AE253" s="1">
        <v>2.0</v>
      </c>
      <c r="AF253" s="5" t="s">
        <v>86</v>
      </c>
      <c r="AG253" s="5" t="s">
        <v>512</v>
      </c>
      <c r="AI253" s="5" t="s">
        <v>1120</v>
      </c>
      <c r="AJ253" s="5" t="s">
        <v>1131</v>
      </c>
      <c r="AK253" s="5" t="s">
        <v>1155</v>
      </c>
      <c r="AL253" s="5" t="s">
        <v>131</v>
      </c>
    </row>
    <row r="254" ht="16.5" customHeight="1">
      <c r="A254" s="5" t="s">
        <v>60</v>
      </c>
      <c r="B254" s="1" t="b">
        <v>1</v>
      </c>
      <c r="C254" s="1" t="s">
        <v>1177</v>
      </c>
      <c r="D254" s="1" t="s">
        <v>1178</v>
      </c>
      <c r="E254" s="1" t="s">
        <v>1109</v>
      </c>
      <c r="F254" s="1" t="s">
        <v>109</v>
      </c>
      <c r="G254" s="1" t="s">
        <v>1162</v>
      </c>
      <c r="H254" s="1" t="s">
        <v>69</v>
      </c>
      <c r="I254" s="1" t="s">
        <v>249</v>
      </c>
      <c r="J254" s="1"/>
      <c r="K254" s="1" t="b">
        <v>1</v>
      </c>
      <c r="L254" s="1" t="b">
        <v>0</v>
      </c>
      <c r="M254" s="19">
        <v>1300.0</v>
      </c>
      <c r="N254" s="20">
        <v>2.08</v>
      </c>
      <c r="O254" s="20">
        <v>625.0</v>
      </c>
      <c r="P254" s="21"/>
      <c r="Q254" s="1" t="s">
        <v>117</v>
      </c>
      <c r="R254" s="1" t="s">
        <v>79</v>
      </c>
      <c r="S254" s="1" t="s">
        <v>81</v>
      </c>
      <c r="T254" s="1" t="s">
        <v>81</v>
      </c>
      <c r="U254" s="1" t="s">
        <v>0</v>
      </c>
      <c r="V254" s="1" t="s">
        <v>0</v>
      </c>
      <c r="W254" s="22" t="s">
        <v>82</v>
      </c>
      <c r="X254" s="20">
        <v>263.15</v>
      </c>
      <c r="Y254" s="1" t="s">
        <v>0</v>
      </c>
      <c r="Z254" s="1" t="s">
        <v>0</v>
      </c>
      <c r="AA254" s="23" t="s">
        <v>173</v>
      </c>
      <c r="AB254" s="1">
        <v>500.0</v>
      </c>
      <c r="AC254" s="1">
        <v>500.0</v>
      </c>
      <c r="AD254" s="1" t="s">
        <v>1177</v>
      </c>
      <c r="AE254" s="1">
        <v>2.0</v>
      </c>
      <c r="AF254" s="5" t="s">
        <v>86</v>
      </c>
      <c r="AG254" s="5" t="s">
        <v>512</v>
      </c>
      <c r="AI254" s="5" t="s">
        <v>1120</v>
      </c>
      <c r="AJ254" s="5" t="s">
        <v>1131</v>
      </c>
      <c r="AK254" s="5" t="s">
        <v>1181</v>
      </c>
      <c r="AL254" s="5" t="s">
        <v>131</v>
      </c>
    </row>
    <row r="255" ht="16.5" customHeight="1">
      <c r="A255" s="5" t="s">
        <v>60</v>
      </c>
      <c r="B255" s="1" t="b">
        <v>1</v>
      </c>
      <c r="C255" s="1" t="s">
        <v>1182</v>
      </c>
      <c r="D255" s="1" t="s">
        <v>1183</v>
      </c>
      <c r="E255" s="1" t="s">
        <v>1109</v>
      </c>
      <c r="F255" s="1" t="s">
        <v>66</v>
      </c>
      <c r="G255" s="1" t="s">
        <v>1129</v>
      </c>
      <c r="H255" s="1" t="s">
        <v>69</v>
      </c>
      <c r="I255" s="1" t="s">
        <v>249</v>
      </c>
      <c r="J255" s="1"/>
      <c r="K255" s="1" t="b">
        <v>1</v>
      </c>
      <c r="L255" s="1" t="b">
        <v>0</v>
      </c>
      <c r="M255" s="19">
        <v>1700.0</v>
      </c>
      <c r="N255" s="20">
        <v>2.08</v>
      </c>
      <c r="O255" s="20">
        <v>817.31</v>
      </c>
      <c r="P255" s="21"/>
      <c r="Q255" s="1" t="s">
        <v>117</v>
      </c>
      <c r="R255" s="1" t="s">
        <v>79</v>
      </c>
      <c r="S255" s="1" t="s">
        <v>81</v>
      </c>
      <c r="T255" s="1" t="s">
        <v>81</v>
      </c>
      <c r="U255" s="1" t="s">
        <v>0</v>
      </c>
      <c r="V255" s="1" t="s">
        <v>0</v>
      </c>
      <c r="W255" s="22" t="s">
        <v>82</v>
      </c>
      <c r="X255" s="20">
        <v>362.33</v>
      </c>
      <c r="Y255" s="1" t="s">
        <v>0</v>
      </c>
      <c r="Z255" s="1" t="s">
        <v>0</v>
      </c>
      <c r="AA255" s="23" t="s">
        <v>173</v>
      </c>
      <c r="AB255" s="1">
        <v>500.0</v>
      </c>
      <c r="AC255" s="1">
        <v>500.0</v>
      </c>
      <c r="AD255" s="1" t="s">
        <v>1182</v>
      </c>
      <c r="AE255" s="1">
        <v>1.0</v>
      </c>
      <c r="AF255" s="5" t="s">
        <v>125</v>
      </c>
      <c r="AG255" s="5" t="s">
        <v>174</v>
      </c>
      <c r="AI255" s="5" t="s">
        <v>1186</v>
      </c>
      <c r="AJ255" s="5" t="s">
        <v>1187</v>
      </c>
      <c r="AK255" s="5" t="s">
        <v>1139</v>
      </c>
      <c r="AL255" s="5" t="s">
        <v>131</v>
      </c>
    </row>
    <row r="256" ht="16.5" customHeight="1">
      <c r="A256" s="5" t="s">
        <v>60</v>
      </c>
      <c r="B256" s="1" t="b">
        <v>1</v>
      </c>
      <c r="C256" s="1" t="s">
        <v>1188</v>
      </c>
      <c r="D256" s="1" t="s">
        <v>1189</v>
      </c>
      <c r="E256" s="1" t="s">
        <v>1109</v>
      </c>
      <c r="F256" s="1" t="s">
        <v>66</v>
      </c>
      <c r="G256" s="1" t="s">
        <v>1129</v>
      </c>
      <c r="H256" s="1" t="s">
        <v>69</v>
      </c>
      <c r="I256" s="1" t="s">
        <v>249</v>
      </c>
      <c r="J256" s="1"/>
      <c r="K256" s="1" t="b">
        <v>1</v>
      </c>
      <c r="L256" s="1" t="b">
        <v>0</v>
      </c>
      <c r="M256" s="19">
        <v>1300.0</v>
      </c>
      <c r="N256" s="20">
        <v>2.08</v>
      </c>
      <c r="O256" s="20">
        <v>625.0</v>
      </c>
      <c r="P256" s="21"/>
      <c r="Q256" s="1" t="s">
        <v>117</v>
      </c>
      <c r="R256" s="1" t="s">
        <v>79</v>
      </c>
      <c r="S256" s="1" t="s">
        <v>81</v>
      </c>
      <c r="T256" s="1" t="s">
        <v>81</v>
      </c>
      <c r="U256" s="1" t="s">
        <v>0</v>
      </c>
      <c r="V256" s="1" t="s">
        <v>0</v>
      </c>
      <c r="W256" s="22" t="s">
        <v>82</v>
      </c>
      <c r="X256" s="20">
        <v>254.32000000000002</v>
      </c>
      <c r="Y256" s="1" t="s">
        <v>0</v>
      </c>
      <c r="Z256" s="1" t="s">
        <v>0</v>
      </c>
      <c r="AA256" s="23" t="s">
        <v>85</v>
      </c>
      <c r="AB256" s="1">
        <v>500.0</v>
      </c>
      <c r="AC256" s="1">
        <v>500.0</v>
      </c>
      <c r="AD256" s="1" t="s">
        <v>1188</v>
      </c>
      <c r="AE256" s="1">
        <v>1.0</v>
      </c>
      <c r="AF256" s="5" t="s">
        <v>125</v>
      </c>
      <c r="AG256" s="5" t="s">
        <v>174</v>
      </c>
      <c r="AI256" s="5" t="s">
        <v>1186</v>
      </c>
      <c r="AJ256" s="5" t="s">
        <v>1187</v>
      </c>
      <c r="AK256" s="5" t="s">
        <v>1155</v>
      </c>
      <c r="AL256" s="5" t="s">
        <v>131</v>
      </c>
    </row>
    <row r="257" ht="16.5" customHeight="1">
      <c r="A257" s="5" t="s">
        <v>60</v>
      </c>
      <c r="B257" s="1" t="b">
        <v>1</v>
      </c>
      <c r="C257" s="1" t="s">
        <v>1192</v>
      </c>
      <c r="D257" s="1" t="s">
        <v>1193</v>
      </c>
      <c r="E257" s="1" t="s">
        <v>1109</v>
      </c>
      <c r="F257" s="1" t="s">
        <v>66</v>
      </c>
      <c r="G257" s="1" t="s">
        <v>1129</v>
      </c>
      <c r="H257" s="1" t="s">
        <v>69</v>
      </c>
      <c r="I257" s="1" t="s">
        <v>249</v>
      </c>
      <c r="J257" s="1"/>
      <c r="K257" s="1" t="b">
        <v>1</v>
      </c>
      <c r="L257" s="1" t="b">
        <v>0</v>
      </c>
      <c r="M257" s="19">
        <v>1400.0</v>
      </c>
      <c r="N257" s="20">
        <v>2.08</v>
      </c>
      <c r="O257" s="20">
        <v>673.08</v>
      </c>
      <c r="P257" s="21"/>
      <c r="Q257" s="1" t="s">
        <v>117</v>
      </c>
      <c r="R257" s="1" t="s">
        <v>79</v>
      </c>
      <c r="S257" s="1" t="s">
        <v>81</v>
      </c>
      <c r="T257" s="1" t="s">
        <v>81</v>
      </c>
      <c r="U257" s="1" t="s">
        <v>0</v>
      </c>
      <c r="V257" s="1" t="s">
        <v>0</v>
      </c>
      <c r="W257" s="22" t="s">
        <v>82</v>
      </c>
      <c r="X257" s="20">
        <v>280.17</v>
      </c>
      <c r="Y257" s="1" t="s">
        <v>0</v>
      </c>
      <c r="Z257" s="1" t="s">
        <v>0</v>
      </c>
      <c r="AA257" s="23" t="s">
        <v>85</v>
      </c>
      <c r="AB257" s="1">
        <v>500.0</v>
      </c>
      <c r="AC257" s="1">
        <v>500.0</v>
      </c>
      <c r="AD257" s="1" t="s">
        <v>1192</v>
      </c>
      <c r="AE257" s="1">
        <v>3.0</v>
      </c>
      <c r="AF257" s="5" t="s">
        <v>125</v>
      </c>
      <c r="AG257" s="5" t="s">
        <v>174</v>
      </c>
      <c r="AI257" s="5" t="s">
        <v>1186</v>
      </c>
      <c r="AJ257" s="5" t="s">
        <v>1187</v>
      </c>
      <c r="AK257" s="5" t="s">
        <v>1132</v>
      </c>
      <c r="AL257" s="5" t="s">
        <v>131</v>
      </c>
    </row>
    <row r="258" ht="16.5" customHeight="1">
      <c r="A258" s="5" t="s">
        <v>60</v>
      </c>
      <c r="B258" s="1" t="b">
        <v>1</v>
      </c>
      <c r="C258" s="1" t="s">
        <v>1194</v>
      </c>
      <c r="D258" s="1" t="s">
        <v>1195</v>
      </c>
      <c r="E258" s="1" t="s">
        <v>1109</v>
      </c>
      <c r="F258" s="1" t="s">
        <v>66</v>
      </c>
      <c r="G258" s="1" t="s">
        <v>1129</v>
      </c>
      <c r="H258" s="1" t="s">
        <v>69</v>
      </c>
      <c r="I258" s="1" t="s">
        <v>249</v>
      </c>
      <c r="J258" s="1"/>
      <c r="K258" s="1" t="b">
        <v>1</v>
      </c>
      <c r="L258" s="1" t="b">
        <v>0</v>
      </c>
      <c r="M258" s="19">
        <v>1500.0</v>
      </c>
      <c r="N258" s="20">
        <v>2.08</v>
      </c>
      <c r="O258" s="20">
        <v>721.15</v>
      </c>
      <c r="P258" s="21"/>
      <c r="Q258" s="1" t="s">
        <v>117</v>
      </c>
      <c r="R258" s="1" t="s">
        <v>79</v>
      </c>
      <c r="S258" s="1" t="s">
        <v>81</v>
      </c>
      <c r="T258" s="1" t="s">
        <v>81</v>
      </c>
      <c r="U258" s="1" t="s">
        <v>0</v>
      </c>
      <c r="V258" s="1" t="s">
        <v>0</v>
      </c>
      <c r="W258" s="22" t="s">
        <v>82</v>
      </c>
      <c r="X258" s="20">
        <v>304.44</v>
      </c>
      <c r="Y258" s="1" t="s">
        <v>0</v>
      </c>
      <c r="Z258" s="1" t="s">
        <v>0</v>
      </c>
      <c r="AA258" s="23" t="s">
        <v>85</v>
      </c>
      <c r="AB258" s="1">
        <v>500.0</v>
      </c>
      <c r="AC258" s="1">
        <v>500.0</v>
      </c>
      <c r="AD258" s="1" t="s">
        <v>1194</v>
      </c>
      <c r="AE258" s="1">
        <v>2.0</v>
      </c>
      <c r="AF258" s="5" t="s">
        <v>125</v>
      </c>
      <c r="AG258" s="5" t="s">
        <v>174</v>
      </c>
      <c r="AI258" s="5" t="s">
        <v>1186</v>
      </c>
      <c r="AJ258" s="5" t="s">
        <v>1187</v>
      </c>
      <c r="AK258" s="5" t="s">
        <v>1139</v>
      </c>
      <c r="AL258" s="5" t="s">
        <v>131</v>
      </c>
    </row>
    <row r="259" ht="16.5" customHeight="1">
      <c r="A259" s="5" t="s">
        <v>60</v>
      </c>
      <c r="B259" s="1" t="b">
        <v>1</v>
      </c>
      <c r="C259" s="1" t="s">
        <v>1201</v>
      </c>
      <c r="D259" s="1" t="s">
        <v>1202</v>
      </c>
      <c r="E259" s="1" t="s">
        <v>1109</v>
      </c>
      <c r="F259" s="1" t="s">
        <v>66</v>
      </c>
      <c r="G259" s="1" t="s">
        <v>1129</v>
      </c>
      <c r="H259" s="1" t="s">
        <v>69</v>
      </c>
      <c r="I259" s="1" t="s">
        <v>249</v>
      </c>
      <c r="J259" s="1"/>
      <c r="K259" s="1" t="b">
        <v>1</v>
      </c>
      <c r="L259" s="1" t="b">
        <v>0</v>
      </c>
      <c r="M259" s="19">
        <v>1600.0</v>
      </c>
      <c r="N259" s="20">
        <v>2.08</v>
      </c>
      <c r="O259" s="20">
        <v>769.23</v>
      </c>
      <c r="P259" s="21"/>
      <c r="Q259" s="1" t="s">
        <v>117</v>
      </c>
      <c r="R259" s="1" t="s">
        <v>79</v>
      </c>
      <c r="S259" s="1" t="s">
        <v>81</v>
      </c>
      <c r="T259" s="1" t="s">
        <v>81</v>
      </c>
      <c r="U259" s="1" t="s">
        <v>0</v>
      </c>
      <c r="V259" s="1" t="s">
        <v>0</v>
      </c>
      <c r="W259" s="22" t="s">
        <v>82</v>
      </c>
      <c r="X259" s="20">
        <v>327.37</v>
      </c>
      <c r="Y259" s="1" t="s">
        <v>0</v>
      </c>
      <c r="Z259" s="1" t="s">
        <v>0</v>
      </c>
      <c r="AA259" s="23" t="s">
        <v>85</v>
      </c>
      <c r="AB259" s="1">
        <v>500.0</v>
      </c>
      <c r="AC259" s="1">
        <v>500.0</v>
      </c>
      <c r="AD259" s="1" t="s">
        <v>1201</v>
      </c>
      <c r="AE259" s="1">
        <v>2.0</v>
      </c>
      <c r="AF259" s="5" t="s">
        <v>125</v>
      </c>
      <c r="AG259" s="5" t="s">
        <v>174</v>
      </c>
      <c r="AI259" s="5" t="s">
        <v>1186</v>
      </c>
      <c r="AJ259" s="5" t="s">
        <v>1187</v>
      </c>
      <c r="AK259" s="5" t="s">
        <v>1139</v>
      </c>
      <c r="AL259" s="5" t="s">
        <v>131</v>
      </c>
    </row>
    <row r="260" ht="16.5" customHeight="1">
      <c r="A260" s="5" t="s">
        <v>60</v>
      </c>
      <c r="B260" s="1" t="b">
        <v>1</v>
      </c>
      <c r="C260" s="1" t="s">
        <v>1204</v>
      </c>
      <c r="D260" s="1" t="s">
        <v>1205</v>
      </c>
      <c r="E260" s="1" t="s">
        <v>1109</v>
      </c>
      <c r="F260" s="1" t="s">
        <v>247</v>
      </c>
      <c r="G260" s="1" t="s">
        <v>248</v>
      </c>
      <c r="H260" s="1" t="s">
        <v>69</v>
      </c>
      <c r="I260" s="1" t="s">
        <v>249</v>
      </c>
      <c r="J260" s="1"/>
      <c r="K260" s="1" t="b">
        <v>1</v>
      </c>
      <c r="L260" s="1" t="b">
        <v>0</v>
      </c>
      <c r="M260" s="19">
        <v>550.0</v>
      </c>
      <c r="N260" s="20">
        <v>2.08</v>
      </c>
      <c r="O260" s="20">
        <v>264.42</v>
      </c>
      <c r="P260" s="21"/>
      <c r="Q260" s="1" t="s">
        <v>117</v>
      </c>
      <c r="R260" s="1" t="s">
        <v>145</v>
      </c>
      <c r="S260" s="1" t="s">
        <v>81</v>
      </c>
      <c r="T260" s="1" t="s">
        <v>81</v>
      </c>
      <c r="U260" s="1" t="s">
        <v>0</v>
      </c>
      <c r="V260" s="1" t="s">
        <v>0</v>
      </c>
      <c r="W260" s="22" t="s">
        <v>82</v>
      </c>
      <c r="X260" s="20">
        <v>97.46000000000001</v>
      </c>
      <c r="Y260" s="1" t="s">
        <v>0</v>
      </c>
      <c r="Z260" s="1" t="s">
        <v>0</v>
      </c>
      <c r="AA260" s="23" t="s">
        <v>173</v>
      </c>
      <c r="AB260" s="1">
        <v>500.0</v>
      </c>
      <c r="AC260" s="1">
        <v>500.0</v>
      </c>
      <c r="AD260" s="1" t="s">
        <v>1204</v>
      </c>
      <c r="AE260" s="1">
        <v>3.0</v>
      </c>
      <c r="AF260" s="5" t="s">
        <v>125</v>
      </c>
      <c r="AG260" s="5" t="s">
        <v>174</v>
      </c>
      <c r="AI260" s="5" t="s">
        <v>1186</v>
      </c>
      <c r="AJ260" s="5" t="s">
        <v>1209</v>
      </c>
      <c r="AL260" s="5" t="s">
        <v>131</v>
      </c>
    </row>
    <row r="261" ht="16.5" customHeight="1">
      <c r="A261" s="5" t="s">
        <v>60</v>
      </c>
      <c r="B261" s="1" t="b">
        <v>1</v>
      </c>
      <c r="C261" s="1" t="s">
        <v>1210</v>
      </c>
      <c r="D261" s="1" t="s">
        <v>1211</v>
      </c>
      <c r="E261" s="1" t="s">
        <v>1109</v>
      </c>
      <c r="F261" s="1" t="s">
        <v>66</v>
      </c>
      <c r="G261" s="1" t="s">
        <v>1162</v>
      </c>
      <c r="H261" s="1" t="s">
        <v>69</v>
      </c>
      <c r="I261" s="1" t="s">
        <v>249</v>
      </c>
      <c r="J261" s="1"/>
      <c r="K261" s="1" t="b">
        <v>1</v>
      </c>
      <c r="L261" s="1" t="b">
        <v>0</v>
      </c>
      <c r="M261" s="19">
        <v>2800.0</v>
      </c>
      <c r="N261" s="20">
        <v>2.08</v>
      </c>
      <c r="O261" s="20">
        <v>1346.15</v>
      </c>
      <c r="P261" s="21"/>
      <c r="Q261" s="1" t="s">
        <v>242</v>
      </c>
      <c r="R261" s="1" t="s">
        <v>79</v>
      </c>
      <c r="S261" s="1" t="s">
        <v>81</v>
      </c>
      <c r="T261" s="1" t="s">
        <v>81</v>
      </c>
      <c r="U261" s="1" t="s">
        <v>0</v>
      </c>
      <c r="V261" s="1" t="s">
        <v>0</v>
      </c>
      <c r="W261" s="22" t="s">
        <v>82</v>
      </c>
      <c r="X261" s="20">
        <v>594.9399999999999</v>
      </c>
      <c r="Y261" s="1" t="s">
        <v>0</v>
      </c>
      <c r="Z261" s="1" t="s">
        <v>0</v>
      </c>
      <c r="AA261" s="23" t="s">
        <v>173</v>
      </c>
      <c r="AB261" s="1">
        <v>500.0</v>
      </c>
      <c r="AC261" s="1">
        <v>500.0</v>
      </c>
      <c r="AD261" s="1" t="s">
        <v>1210</v>
      </c>
      <c r="AE261" s="1">
        <v>2.0</v>
      </c>
      <c r="AF261" s="5" t="s">
        <v>125</v>
      </c>
      <c r="AG261" s="5" t="s">
        <v>174</v>
      </c>
      <c r="AI261" s="5" t="s">
        <v>1120</v>
      </c>
      <c r="AJ261" s="5" t="s">
        <v>1212</v>
      </c>
      <c r="AK261" s="5" t="s">
        <v>1139</v>
      </c>
      <c r="AL261" s="5" t="s">
        <v>131</v>
      </c>
    </row>
    <row r="262" ht="16.5" customHeight="1">
      <c r="A262" s="5" t="s">
        <v>60</v>
      </c>
      <c r="B262" s="1" t="b">
        <v>1</v>
      </c>
      <c r="C262" s="1" t="s">
        <v>1213</v>
      </c>
      <c r="D262" s="1" t="s">
        <v>1214</v>
      </c>
      <c r="E262" s="1" t="s">
        <v>1109</v>
      </c>
      <c r="F262" s="1" t="s">
        <v>66</v>
      </c>
      <c r="G262" s="1" t="s">
        <v>1162</v>
      </c>
      <c r="H262" s="1" t="s">
        <v>69</v>
      </c>
      <c r="I262" s="1" t="s">
        <v>249</v>
      </c>
      <c r="J262" s="1"/>
      <c r="K262" s="1" t="b">
        <v>0</v>
      </c>
      <c r="L262" s="1" t="b">
        <v>0</v>
      </c>
      <c r="M262" s="19">
        <v>1700.0</v>
      </c>
      <c r="N262" s="20">
        <v>2.08</v>
      </c>
      <c r="O262" s="20">
        <v>817.31</v>
      </c>
      <c r="P262" s="21"/>
      <c r="Q262" s="1" t="s">
        <v>117</v>
      </c>
      <c r="R262" s="1" t="s">
        <v>79</v>
      </c>
      <c r="S262" s="1" t="s">
        <v>81</v>
      </c>
      <c r="T262" s="1" t="s">
        <v>81</v>
      </c>
      <c r="U262" s="1" t="s">
        <v>0</v>
      </c>
      <c r="V262" s="1" t="s">
        <v>0</v>
      </c>
      <c r="W262" s="22" t="s">
        <v>202</v>
      </c>
      <c r="X262" s="20">
        <v>317.41</v>
      </c>
      <c r="Y262" s="1" t="s">
        <v>0</v>
      </c>
      <c r="Z262" s="1" t="s">
        <v>0</v>
      </c>
      <c r="AA262" s="23" t="s">
        <v>173</v>
      </c>
      <c r="AB262" s="1">
        <v>500.0</v>
      </c>
      <c r="AC262" s="1">
        <v>500.0</v>
      </c>
      <c r="AD262" s="1" t="s">
        <v>1213</v>
      </c>
      <c r="AE262" s="1">
        <v>2.0</v>
      </c>
      <c r="AF262" s="5" t="s">
        <v>125</v>
      </c>
      <c r="AG262" s="5" t="s">
        <v>174</v>
      </c>
      <c r="AI262" s="5" t="s">
        <v>1120</v>
      </c>
      <c r="AJ262" s="5" t="s">
        <v>1212</v>
      </c>
      <c r="AK262" s="5" t="s">
        <v>1155</v>
      </c>
      <c r="AL262" s="5" t="s">
        <v>131</v>
      </c>
    </row>
    <row r="263" ht="16.5" customHeight="1">
      <c r="A263" s="5" t="s">
        <v>60</v>
      </c>
      <c r="B263" s="1" t="b">
        <v>1</v>
      </c>
      <c r="C263" s="1" t="s">
        <v>1217</v>
      </c>
      <c r="D263" s="1" t="s">
        <v>1218</v>
      </c>
      <c r="E263" s="1" t="s">
        <v>1109</v>
      </c>
      <c r="F263" s="1" t="s">
        <v>66</v>
      </c>
      <c r="G263" s="1" t="s">
        <v>1129</v>
      </c>
      <c r="H263" s="1" t="s">
        <v>69</v>
      </c>
      <c r="I263" s="1" t="s">
        <v>249</v>
      </c>
      <c r="J263" s="1"/>
      <c r="K263" s="1" t="b">
        <v>1</v>
      </c>
      <c r="L263" s="1" t="b">
        <v>0</v>
      </c>
      <c r="M263" s="19">
        <v>1800.0</v>
      </c>
      <c r="N263" s="20">
        <v>2.08</v>
      </c>
      <c r="O263" s="20">
        <v>865.38</v>
      </c>
      <c r="P263" s="21"/>
      <c r="Q263" s="1" t="s">
        <v>117</v>
      </c>
      <c r="R263" s="1" t="s">
        <v>358</v>
      </c>
      <c r="S263" s="1" t="s">
        <v>81</v>
      </c>
      <c r="T263" s="1" t="s">
        <v>81</v>
      </c>
      <c r="U263" s="1" t="s">
        <v>0</v>
      </c>
      <c r="V263" s="1" t="s">
        <v>0</v>
      </c>
      <c r="W263" s="22" t="s">
        <v>82</v>
      </c>
      <c r="X263" s="20">
        <v>377.17</v>
      </c>
      <c r="Y263" s="1" t="s">
        <v>0</v>
      </c>
      <c r="Z263" s="1" t="s">
        <v>0</v>
      </c>
      <c r="AA263" s="23" t="s">
        <v>173</v>
      </c>
      <c r="AB263" s="1">
        <v>500.0</v>
      </c>
      <c r="AC263" s="1">
        <v>500.0</v>
      </c>
      <c r="AD263" s="1" t="s">
        <v>1217</v>
      </c>
      <c r="AE263" s="1">
        <v>2.0</v>
      </c>
      <c r="AF263" s="5" t="s">
        <v>125</v>
      </c>
      <c r="AG263" s="5" t="s">
        <v>174</v>
      </c>
      <c r="AI263" s="5" t="s">
        <v>1120</v>
      </c>
      <c r="AJ263" s="5" t="s">
        <v>1212</v>
      </c>
      <c r="AK263" s="5" t="s">
        <v>1132</v>
      </c>
      <c r="AL263" s="5" t="s">
        <v>131</v>
      </c>
    </row>
    <row r="264" ht="16.5" customHeight="1">
      <c r="A264" s="5" t="s">
        <v>60</v>
      </c>
      <c r="B264" s="1" t="b">
        <v>1</v>
      </c>
      <c r="C264" s="1" t="s">
        <v>1221</v>
      </c>
      <c r="D264" s="1" t="s">
        <v>1222</v>
      </c>
      <c r="E264" s="1" t="s">
        <v>1109</v>
      </c>
      <c r="F264" s="1" t="s">
        <v>66</v>
      </c>
      <c r="G264" s="1" t="s">
        <v>1162</v>
      </c>
      <c r="H264" s="1" t="s">
        <v>69</v>
      </c>
      <c r="I264" s="1" t="s">
        <v>249</v>
      </c>
      <c r="J264" s="1"/>
      <c r="K264" s="1" t="b">
        <v>1</v>
      </c>
      <c r="L264" s="1" t="b">
        <v>0</v>
      </c>
      <c r="M264" s="19">
        <v>2600.0</v>
      </c>
      <c r="N264" s="20">
        <v>2.08</v>
      </c>
      <c r="O264" s="20">
        <v>1250.0</v>
      </c>
      <c r="P264" s="21"/>
      <c r="Q264" s="1" t="s">
        <v>242</v>
      </c>
      <c r="R264" s="1" t="s">
        <v>79</v>
      </c>
      <c r="S264" s="1" t="s">
        <v>81</v>
      </c>
      <c r="T264" s="1" t="s">
        <v>81</v>
      </c>
      <c r="U264" s="1" t="s">
        <v>0</v>
      </c>
      <c r="V264" s="1" t="s">
        <v>0</v>
      </c>
      <c r="W264" s="22" t="s">
        <v>82</v>
      </c>
      <c r="X264" s="20">
        <v>571.71</v>
      </c>
      <c r="Y264" s="1" t="s">
        <v>0</v>
      </c>
      <c r="Z264" s="1" t="s">
        <v>0</v>
      </c>
      <c r="AA264" s="23" t="s">
        <v>173</v>
      </c>
      <c r="AB264" s="1">
        <v>500.0</v>
      </c>
      <c r="AC264" s="1">
        <v>500.0</v>
      </c>
      <c r="AD264" s="1" t="s">
        <v>1221</v>
      </c>
      <c r="AE264" s="1">
        <v>2.0</v>
      </c>
      <c r="AF264" s="5" t="s">
        <v>125</v>
      </c>
      <c r="AG264" s="5" t="s">
        <v>174</v>
      </c>
      <c r="AI264" s="5" t="s">
        <v>1120</v>
      </c>
      <c r="AJ264" s="5" t="s">
        <v>1212</v>
      </c>
      <c r="AK264" s="5" t="s">
        <v>1132</v>
      </c>
      <c r="AL264" s="5" t="s">
        <v>131</v>
      </c>
    </row>
    <row r="265" ht="16.5" customHeight="1">
      <c r="A265" s="5" t="s">
        <v>60</v>
      </c>
      <c r="B265" s="1" t="b">
        <v>1</v>
      </c>
      <c r="C265" s="1" t="s">
        <v>1224</v>
      </c>
      <c r="D265" s="1" t="s">
        <v>1225</v>
      </c>
      <c r="E265" s="1" t="s">
        <v>1109</v>
      </c>
      <c r="F265" s="1" t="s">
        <v>66</v>
      </c>
      <c r="G265" s="1" t="s">
        <v>1129</v>
      </c>
      <c r="H265" s="1" t="s">
        <v>69</v>
      </c>
      <c r="I265" s="1" t="s">
        <v>249</v>
      </c>
      <c r="J265" s="1"/>
      <c r="K265" s="1" t="b">
        <v>1</v>
      </c>
      <c r="L265" s="1" t="b">
        <v>0</v>
      </c>
      <c r="M265" s="19">
        <v>2000.0</v>
      </c>
      <c r="N265" s="20">
        <v>2.08</v>
      </c>
      <c r="O265" s="20">
        <v>961.54</v>
      </c>
      <c r="P265" s="21"/>
      <c r="Q265" s="1" t="s">
        <v>117</v>
      </c>
      <c r="R265" s="1" t="s">
        <v>358</v>
      </c>
      <c r="S265" s="1" t="s">
        <v>81</v>
      </c>
      <c r="T265" s="1" t="s">
        <v>81</v>
      </c>
      <c r="U265" s="1" t="s">
        <v>0</v>
      </c>
      <c r="V265" s="1" t="s">
        <v>0</v>
      </c>
      <c r="W265" s="22" t="s">
        <v>82</v>
      </c>
      <c r="X265" s="20">
        <v>424.28</v>
      </c>
      <c r="Y265" s="1" t="s">
        <v>0</v>
      </c>
      <c r="Z265" s="1" t="s">
        <v>0</v>
      </c>
      <c r="AA265" s="23" t="s">
        <v>173</v>
      </c>
      <c r="AB265" s="1">
        <v>500.0</v>
      </c>
      <c r="AC265" s="1">
        <v>500.0</v>
      </c>
      <c r="AD265" s="1" t="s">
        <v>1224</v>
      </c>
      <c r="AE265" s="1">
        <v>2.0</v>
      </c>
      <c r="AF265" s="5" t="s">
        <v>125</v>
      </c>
      <c r="AG265" s="5" t="s">
        <v>174</v>
      </c>
      <c r="AI265" s="5" t="s">
        <v>1120</v>
      </c>
      <c r="AJ265" s="5" t="s">
        <v>1212</v>
      </c>
      <c r="AK265" s="5" t="s">
        <v>1139</v>
      </c>
      <c r="AL265" s="5" t="s">
        <v>131</v>
      </c>
    </row>
    <row r="266" ht="16.5" customHeight="1">
      <c r="A266" s="5" t="s">
        <v>60</v>
      </c>
      <c r="B266" s="1" t="b">
        <v>1</v>
      </c>
      <c r="C266" s="1" t="s">
        <v>1228</v>
      </c>
      <c r="D266" s="1" t="s">
        <v>1229</v>
      </c>
      <c r="E266" s="1" t="s">
        <v>1109</v>
      </c>
      <c r="F266" s="1" t="s">
        <v>66</v>
      </c>
      <c r="G266" s="1" t="s">
        <v>1162</v>
      </c>
      <c r="H266" s="1" t="s">
        <v>69</v>
      </c>
      <c r="I266" s="1" t="s">
        <v>249</v>
      </c>
      <c r="J266" s="1"/>
      <c r="K266" s="1" t="b">
        <v>1</v>
      </c>
      <c r="L266" s="1" t="b">
        <v>0</v>
      </c>
      <c r="M266" s="19">
        <v>2000.0</v>
      </c>
      <c r="N266" s="20">
        <v>2.08</v>
      </c>
      <c r="O266" s="20">
        <v>961.54</v>
      </c>
      <c r="P266" s="21"/>
      <c r="Q266" s="1" t="s">
        <v>117</v>
      </c>
      <c r="R266" s="1" t="s">
        <v>358</v>
      </c>
      <c r="S266" s="1" t="s">
        <v>81</v>
      </c>
      <c r="T266" s="1" t="s">
        <v>81</v>
      </c>
      <c r="U266" s="1" t="s">
        <v>0</v>
      </c>
      <c r="V266" s="1" t="s">
        <v>0</v>
      </c>
      <c r="W266" s="22" t="s">
        <v>82</v>
      </c>
      <c r="X266" s="20">
        <v>436.62</v>
      </c>
      <c r="Y266" s="1" t="s">
        <v>0</v>
      </c>
      <c r="Z266" s="1" t="s">
        <v>0</v>
      </c>
      <c r="AA266" s="23" t="s">
        <v>173</v>
      </c>
      <c r="AB266" s="1">
        <v>500.0</v>
      </c>
      <c r="AC266" s="1">
        <v>500.0</v>
      </c>
      <c r="AD266" s="1" t="s">
        <v>1228</v>
      </c>
      <c r="AE266" s="1">
        <v>2.0</v>
      </c>
      <c r="AF266" s="5" t="s">
        <v>86</v>
      </c>
      <c r="AG266" s="5" t="s">
        <v>512</v>
      </c>
      <c r="AI266" s="5" t="s">
        <v>1120</v>
      </c>
      <c r="AJ266" s="5" t="s">
        <v>1212</v>
      </c>
      <c r="AK266" s="5" t="s">
        <v>1132</v>
      </c>
      <c r="AL266" s="5" t="s">
        <v>131</v>
      </c>
    </row>
    <row r="267" ht="16.5" customHeight="1">
      <c r="A267" s="5" t="s">
        <v>60</v>
      </c>
      <c r="B267" s="1" t="b">
        <v>1</v>
      </c>
      <c r="C267" s="1" t="s">
        <v>1230</v>
      </c>
      <c r="D267" s="1" t="s">
        <v>1231</v>
      </c>
      <c r="E267" s="1" t="s">
        <v>1109</v>
      </c>
      <c r="F267" s="1" t="s">
        <v>66</v>
      </c>
      <c r="G267" s="1" t="s">
        <v>248</v>
      </c>
      <c r="H267" s="1" t="s">
        <v>69</v>
      </c>
      <c r="I267" s="1" t="s">
        <v>249</v>
      </c>
      <c r="J267" s="1"/>
      <c r="K267" s="1" t="b">
        <v>0</v>
      </c>
      <c r="L267" s="1" t="b">
        <v>0</v>
      </c>
      <c r="M267" s="19">
        <v>800.0</v>
      </c>
      <c r="N267" s="20">
        <v>2.08</v>
      </c>
      <c r="O267" s="20">
        <v>384.62</v>
      </c>
      <c r="P267" s="21"/>
      <c r="Q267" s="1" t="s">
        <v>117</v>
      </c>
      <c r="R267" s="1" t="s">
        <v>358</v>
      </c>
      <c r="S267" s="1" t="s">
        <v>81</v>
      </c>
      <c r="T267" s="1" t="s">
        <v>81</v>
      </c>
      <c r="U267" s="1" t="s">
        <v>0</v>
      </c>
      <c r="V267" s="1" t="s">
        <v>0</v>
      </c>
      <c r="W267" s="22" t="s">
        <v>202</v>
      </c>
      <c r="X267" s="20">
        <v>149.95000000000002</v>
      </c>
      <c r="Y267" s="1" t="s">
        <v>0</v>
      </c>
      <c r="Z267" s="1" t="s">
        <v>0</v>
      </c>
      <c r="AA267" s="23" t="s">
        <v>173</v>
      </c>
      <c r="AB267" s="1">
        <v>500.0</v>
      </c>
      <c r="AC267" s="1">
        <v>500.0</v>
      </c>
      <c r="AD267" s="1" t="s">
        <v>1230</v>
      </c>
      <c r="AE267" s="1">
        <v>3.0</v>
      </c>
      <c r="AF267" s="5" t="s">
        <v>125</v>
      </c>
      <c r="AG267" s="5" t="s">
        <v>127</v>
      </c>
      <c r="AI267" s="5" t="s">
        <v>1120</v>
      </c>
      <c r="AJ267" s="5" t="s">
        <v>1234</v>
      </c>
      <c r="AK267" s="5" t="s">
        <v>1181</v>
      </c>
      <c r="AL267" s="5" t="s">
        <v>131</v>
      </c>
    </row>
    <row r="268" ht="16.5" customHeight="1">
      <c r="A268" s="5" t="s">
        <v>60</v>
      </c>
      <c r="B268" s="1" t="b">
        <v>1</v>
      </c>
      <c r="C268" s="1" t="s">
        <v>1236</v>
      </c>
      <c r="D268" s="1" t="s">
        <v>1237</v>
      </c>
      <c r="E268" s="1" t="s">
        <v>1109</v>
      </c>
      <c r="F268" s="1" t="s">
        <v>66</v>
      </c>
      <c r="G268" s="1" t="s">
        <v>1110</v>
      </c>
      <c r="H268" s="1" t="s">
        <v>69</v>
      </c>
      <c r="I268" s="1" t="s">
        <v>249</v>
      </c>
      <c r="J268" s="1"/>
      <c r="K268" s="1" t="b">
        <v>1</v>
      </c>
      <c r="L268" s="1" t="b">
        <v>0</v>
      </c>
      <c r="M268" s="19">
        <v>1300.0</v>
      </c>
      <c r="N268" s="20">
        <v>2.08</v>
      </c>
      <c r="O268" s="20">
        <v>625.0</v>
      </c>
      <c r="P268" s="21"/>
      <c r="Q268" s="1" t="s">
        <v>78</v>
      </c>
      <c r="R268" s="1" t="s">
        <v>145</v>
      </c>
      <c r="S268" s="1" t="s">
        <v>81</v>
      </c>
      <c r="T268" s="1" t="s">
        <v>81</v>
      </c>
      <c r="U268" s="1" t="s">
        <v>0</v>
      </c>
      <c r="V268" s="1" t="s">
        <v>0</v>
      </c>
      <c r="W268" s="22" t="s">
        <v>82</v>
      </c>
      <c r="X268" s="20">
        <v>254.67</v>
      </c>
      <c r="Y268" s="1" t="s">
        <v>0</v>
      </c>
      <c r="Z268" s="1" t="s">
        <v>0</v>
      </c>
      <c r="AA268" s="23" t="s">
        <v>173</v>
      </c>
      <c r="AB268" s="1">
        <v>600.0</v>
      </c>
      <c r="AC268" s="1">
        <v>600.0</v>
      </c>
      <c r="AD268" s="1" t="s">
        <v>1236</v>
      </c>
      <c r="AE268" s="1">
        <v>1.0</v>
      </c>
      <c r="AF268" s="5" t="s">
        <v>86</v>
      </c>
      <c r="AG268" s="5" t="s">
        <v>121</v>
      </c>
      <c r="AI268" s="5" t="s">
        <v>1112</v>
      </c>
      <c r="AJ268" s="5" t="s">
        <v>1113</v>
      </c>
      <c r="AK268" s="5" t="s">
        <v>1114</v>
      </c>
      <c r="AL268" s="5" t="s">
        <v>131</v>
      </c>
    </row>
    <row r="269" ht="16.5" customHeight="1">
      <c r="A269" s="5" t="s">
        <v>60</v>
      </c>
      <c r="B269" s="1" t="b">
        <v>1</v>
      </c>
      <c r="C269" s="1" t="s">
        <v>1238</v>
      </c>
      <c r="D269" s="1" t="s">
        <v>1239</v>
      </c>
      <c r="E269" s="1" t="s">
        <v>1109</v>
      </c>
      <c r="F269" s="1" t="s">
        <v>66</v>
      </c>
      <c r="G269" s="1" t="s">
        <v>1110</v>
      </c>
      <c r="H269" s="1" t="s">
        <v>69</v>
      </c>
      <c r="I269" s="1" t="s">
        <v>249</v>
      </c>
      <c r="J269" s="1"/>
      <c r="K269" s="1" t="b">
        <v>1</v>
      </c>
      <c r="L269" s="1" t="b">
        <v>0</v>
      </c>
      <c r="M269" s="19">
        <v>1500.0</v>
      </c>
      <c r="N269" s="20">
        <v>2.08</v>
      </c>
      <c r="O269" s="20">
        <v>721.15</v>
      </c>
      <c r="P269" s="21"/>
      <c r="Q269" s="1" t="s">
        <v>78</v>
      </c>
      <c r="R269" s="1" t="s">
        <v>145</v>
      </c>
      <c r="S269" s="1" t="s">
        <v>81</v>
      </c>
      <c r="T269" s="1" t="s">
        <v>81</v>
      </c>
      <c r="U269" s="1" t="s">
        <v>0</v>
      </c>
      <c r="V269" s="1" t="s">
        <v>0</v>
      </c>
      <c r="W269" s="22" t="s">
        <v>82</v>
      </c>
      <c r="X269" s="20">
        <v>286.79</v>
      </c>
      <c r="Y269" s="1" t="s">
        <v>0</v>
      </c>
      <c r="Z269" s="1" t="s">
        <v>0</v>
      </c>
      <c r="AA269" s="23" t="s">
        <v>173</v>
      </c>
      <c r="AB269" s="1">
        <v>600.0</v>
      </c>
      <c r="AC269" s="1">
        <v>600.0</v>
      </c>
      <c r="AD269" s="1" t="s">
        <v>1238</v>
      </c>
      <c r="AE269" s="1">
        <v>1.0</v>
      </c>
      <c r="AF269" s="5" t="s">
        <v>86</v>
      </c>
      <c r="AG269" s="5" t="s">
        <v>121</v>
      </c>
      <c r="AI269" s="5" t="s">
        <v>1112</v>
      </c>
      <c r="AJ269" s="5" t="s">
        <v>1113</v>
      </c>
      <c r="AK269" s="5" t="s">
        <v>1170</v>
      </c>
      <c r="AL269" s="5" t="s">
        <v>131</v>
      </c>
    </row>
    <row r="270" ht="16.5" customHeight="1">
      <c r="A270" s="5" t="s">
        <v>60</v>
      </c>
      <c r="B270" s="1" t="b">
        <v>1</v>
      </c>
      <c r="C270" s="1" t="s">
        <v>1241</v>
      </c>
      <c r="D270" s="1" t="s">
        <v>1242</v>
      </c>
      <c r="E270" s="1" t="s">
        <v>1109</v>
      </c>
      <c r="F270" s="1" t="s">
        <v>66</v>
      </c>
      <c r="G270" s="1" t="s">
        <v>1110</v>
      </c>
      <c r="H270" s="1" t="s">
        <v>69</v>
      </c>
      <c r="I270" s="1" t="s">
        <v>1243</v>
      </c>
      <c r="J270" s="1"/>
      <c r="K270" s="1" t="b">
        <v>1</v>
      </c>
      <c r="L270" s="1" t="b">
        <v>0</v>
      </c>
      <c r="M270" s="19">
        <v>1300.0</v>
      </c>
      <c r="N270" s="20">
        <v>2.08</v>
      </c>
      <c r="O270" s="20">
        <v>625.0</v>
      </c>
      <c r="P270" s="21"/>
      <c r="Q270" s="1" t="s">
        <v>117</v>
      </c>
      <c r="R270" s="1" t="s">
        <v>145</v>
      </c>
      <c r="S270" s="1" t="s">
        <v>81</v>
      </c>
      <c r="T270" s="1" t="s">
        <v>81</v>
      </c>
      <c r="U270" s="1" t="s">
        <v>0</v>
      </c>
      <c r="V270" s="1" t="s">
        <v>0</v>
      </c>
      <c r="W270" s="22" t="s">
        <v>82</v>
      </c>
      <c r="X270" s="20">
        <v>334.21000000000004</v>
      </c>
      <c r="Y270" s="1" t="s">
        <v>0</v>
      </c>
      <c r="Z270" s="1" t="s">
        <v>0</v>
      </c>
      <c r="AA270" s="23" t="s">
        <v>101</v>
      </c>
      <c r="AB270" s="1">
        <v>600.0</v>
      </c>
      <c r="AC270" s="1">
        <v>600.0</v>
      </c>
      <c r="AD270" s="1" t="s">
        <v>1241</v>
      </c>
      <c r="AE270" s="1">
        <v>1.0</v>
      </c>
      <c r="AF270" s="5" t="s">
        <v>86</v>
      </c>
      <c r="AG270" s="5" t="s">
        <v>121</v>
      </c>
      <c r="AI270" s="5" t="s">
        <v>1112</v>
      </c>
      <c r="AJ270" s="5" t="s">
        <v>1113</v>
      </c>
      <c r="AK270" s="5" t="s">
        <v>1244</v>
      </c>
      <c r="AL270" s="5" t="s">
        <v>131</v>
      </c>
    </row>
    <row r="271" ht="16.5" customHeight="1">
      <c r="A271" s="5" t="s">
        <v>60</v>
      </c>
      <c r="B271" s="1" t="b">
        <v>1</v>
      </c>
      <c r="C271" s="1" t="s">
        <v>1245</v>
      </c>
      <c r="D271" s="1" t="s">
        <v>1246</v>
      </c>
      <c r="E271" s="1" t="s">
        <v>1109</v>
      </c>
      <c r="F271" s="1" t="s">
        <v>66</v>
      </c>
      <c r="G271" s="1" t="s">
        <v>1247</v>
      </c>
      <c r="H271" s="1" t="s">
        <v>141</v>
      </c>
      <c r="I271" s="1" t="s">
        <v>249</v>
      </c>
      <c r="J271" s="1"/>
      <c r="K271" s="1" t="b">
        <v>1</v>
      </c>
      <c r="L271" s="1" t="b">
        <v>0</v>
      </c>
      <c r="M271" s="19">
        <v>2200.0</v>
      </c>
      <c r="N271" s="20">
        <v>2.08</v>
      </c>
      <c r="O271" s="20">
        <v>1057.69</v>
      </c>
      <c r="P271" s="21"/>
      <c r="Q271" s="1" t="s">
        <v>78</v>
      </c>
      <c r="R271" s="1" t="s">
        <v>154</v>
      </c>
      <c r="S271" s="1" t="s">
        <v>81</v>
      </c>
      <c r="T271" s="1" t="s">
        <v>81</v>
      </c>
      <c r="U271" s="1" t="s">
        <v>0</v>
      </c>
      <c r="V271" s="1" t="s">
        <v>156</v>
      </c>
      <c r="W271" s="22" t="s">
        <v>82</v>
      </c>
      <c r="X271" s="20">
        <v>501.78</v>
      </c>
      <c r="Y271" s="1" t="s">
        <v>0</v>
      </c>
      <c r="Z271" s="1" t="s">
        <v>0</v>
      </c>
      <c r="AA271" s="23" t="s">
        <v>101</v>
      </c>
      <c r="AB271" s="1">
        <v>500.0</v>
      </c>
      <c r="AC271" s="1">
        <v>500.0</v>
      </c>
      <c r="AD271" s="1" t="s">
        <v>1245</v>
      </c>
      <c r="AE271" s="1">
        <v>1.0</v>
      </c>
      <c r="AF271" s="5" t="s">
        <v>86</v>
      </c>
      <c r="AG271" s="5" t="s">
        <v>121</v>
      </c>
      <c r="AI271" s="5" t="s">
        <v>1120</v>
      </c>
      <c r="AJ271" s="5" t="s">
        <v>1131</v>
      </c>
      <c r="AK271" s="5" t="s">
        <v>1139</v>
      </c>
      <c r="AL271" s="5" t="s">
        <v>131</v>
      </c>
    </row>
    <row r="272" ht="16.5" customHeight="1">
      <c r="A272" s="5" t="s">
        <v>60</v>
      </c>
      <c r="B272" s="1" t="b">
        <v>1</v>
      </c>
      <c r="C272" s="1" t="s">
        <v>1248</v>
      </c>
      <c r="D272" s="1" t="s">
        <v>1249</v>
      </c>
      <c r="E272" s="1" t="s">
        <v>1109</v>
      </c>
      <c r="F272" s="1" t="s">
        <v>66</v>
      </c>
      <c r="G272" s="1" t="s">
        <v>1110</v>
      </c>
      <c r="H272" s="1" t="s">
        <v>69</v>
      </c>
      <c r="I272" s="1" t="s">
        <v>249</v>
      </c>
      <c r="J272" s="1"/>
      <c r="K272" s="1" t="b">
        <v>1</v>
      </c>
      <c r="L272" s="1" t="b">
        <v>0</v>
      </c>
      <c r="M272" s="19">
        <v>1500.0</v>
      </c>
      <c r="N272" s="20">
        <v>2.08</v>
      </c>
      <c r="O272" s="20">
        <v>721.15</v>
      </c>
      <c r="P272" s="21"/>
      <c r="Q272" s="1" t="s">
        <v>117</v>
      </c>
      <c r="R272" s="1" t="s">
        <v>250</v>
      </c>
      <c r="S272" s="1" t="s">
        <v>81</v>
      </c>
      <c r="T272" s="1" t="s">
        <v>81</v>
      </c>
      <c r="U272" s="1" t="s">
        <v>0</v>
      </c>
      <c r="V272" s="1" t="s">
        <v>0</v>
      </c>
      <c r="W272" s="22" t="s">
        <v>82</v>
      </c>
      <c r="X272" s="20">
        <v>281.18</v>
      </c>
      <c r="Y272" s="1" t="s">
        <v>0</v>
      </c>
      <c r="Z272" s="1" t="s">
        <v>0</v>
      </c>
      <c r="AA272" s="23" t="s">
        <v>173</v>
      </c>
      <c r="AB272" s="1">
        <v>600.0</v>
      </c>
      <c r="AC272" s="1">
        <v>600.0</v>
      </c>
      <c r="AD272" s="1" t="s">
        <v>1248</v>
      </c>
      <c r="AE272" s="1">
        <v>1.0</v>
      </c>
      <c r="AF272" s="5" t="s">
        <v>86</v>
      </c>
      <c r="AG272" s="5" t="s">
        <v>121</v>
      </c>
      <c r="AI272" s="5" t="s">
        <v>1112</v>
      </c>
      <c r="AJ272" s="5" t="s">
        <v>1113</v>
      </c>
      <c r="AK272" s="5" t="s">
        <v>1170</v>
      </c>
      <c r="AL272" s="5" t="s">
        <v>131</v>
      </c>
    </row>
    <row r="273" ht="16.5" customHeight="1">
      <c r="A273" s="5" t="s">
        <v>60</v>
      </c>
      <c r="B273" s="1" t="b">
        <v>1</v>
      </c>
      <c r="C273" s="1" t="s">
        <v>1251</v>
      </c>
      <c r="D273" s="1" t="s">
        <v>1252</v>
      </c>
      <c r="E273" s="1" t="s">
        <v>1109</v>
      </c>
      <c r="F273" s="1" t="s">
        <v>66</v>
      </c>
      <c r="G273" s="1" t="s">
        <v>1110</v>
      </c>
      <c r="H273" s="1" t="s">
        <v>69</v>
      </c>
      <c r="I273" s="1" t="s">
        <v>249</v>
      </c>
      <c r="J273" s="1"/>
      <c r="K273" s="1" t="b">
        <v>1</v>
      </c>
      <c r="L273" s="1" t="b">
        <v>0</v>
      </c>
      <c r="M273" s="19">
        <v>1800.0</v>
      </c>
      <c r="N273" s="20">
        <v>2.08</v>
      </c>
      <c r="O273" s="20">
        <v>865.38</v>
      </c>
      <c r="P273" s="21"/>
      <c r="Q273" s="1" t="s">
        <v>117</v>
      </c>
      <c r="R273" s="1" t="s">
        <v>250</v>
      </c>
      <c r="S273" s="1" t="s">
        <v>81</v>
      </c>
      <c r="T273" s="1" t="s">
        <v>81</v>
      </c>
      <c r="U273" s="1" t="s">
        <v>0</v>
      </c>
      <c r="V273" s="1" t="s">
        <v>0</v>
      </c>
      <c r="W273" s="22" t="s">
        <v>82</v>
      </c>
      <c r="X273" s="20">
        <v>354.59999999999997</v>
      </c>
      <c r="Y273" s="1" t="s">
        <v>0</v>
      </c>
      <c r="Z273" s="1" t="s">
        <v>0</v>
      </c>
      <c r="AA273" s="23" t="s">
        <v>173</v>
      </c>
      <c r="AB273" s="1">
        <v>600.0</v>
      </c>
      <c r="AC273" s="1">
        <v>600.0</v>
      </c>
      <c r="AD273" s="1" t="s">
        <v>1251</v>
      </c>
      <c r="AE273" s="1">
        <v>1.0</v>
      </c>
      <c r="AF273" s="5" t="s">
        <v>86</v>
      </c>
      <c r="AG273" s="5" t="s">
        <v>121</v>
      </c>
      <c r="AI273" s="5" t="s">
        <v>1112</v>
      </c>
      <c r="AJ273" s="5" t="s">
        <v>1113</v>
      </c>
      <c r="AK273" s="5" t="s">
        <v>1253</v>
      </c>
      <c r="AL273" s="5" t="s">
        <v>131</v>
      </c>
    </row>
    <row r="274" ht="16.5" customHeight="1">
      <c r="A274" s="5" t="s">
        <v>60</v>
      </c>
      <c r="B274" s="1" t="b">
        <v>1</v>
      </c>
      <c r="C274" s="1" t="s">
        <v>1255</v>
      </c>
      <c r="D274" s="1" t="s">
        <v>1256</v>
      </c>
      <c r="E274" s="1" t="s">
        <v>1109</v>
      </c>
      <c r="F274" s="1" t="s">
        <v>66</v>
      </c>
      <c r="G274" s="1" t="s">
        <v>1110</v>
      </c>
      <c r="H274" s="1" t="s">
        <v>69</v>
      </c>
      <c r="I274" s="1" t="s">
        <v>249</v>
      </c>
      <c r="J274" s="1"/>
      <c r="K274" s="1" t="b">
        <v>1</v>
      </c>
      <c r="L274" s="1" t="b">
        <v>0</v>
      </c>
      <c r="M274" s="19">
        <v>2200.0</v>
      </c>
      <c r="N274" s="20">
        <v>2.08</v>
      </c>
      <c r="O274" s="20">
        <v>1057.69</v>
      </c>
      <c r="P274" s="21"/>
      <c r="Q274" s="1" t="s">
        <v>117</v>
      </c>
      <c r="R274" s="1" t="s">
        <v>250</v>
      </c>
      <c r="S274" s="1" t="s">
        <v>81</v>
      </c>
      <c r="T274" s="1" t="s">
        <v>81</v>
      </c>
      <c r="U274" s="1" t="s">
        <v>0</v>
      </c>
      <c r="V274" s="1" t="s">
        <v>0</v>
      </c>
      <c r="W274" s="22" t="s">
        <v>82</v>
      </c>
      <c r="X274" s="20">
        <v>424.96</v>
      </c>
      <c r="Y274" s="1" t="s">
        <v>0</v>
      </c>
      <c r="Z274" s="1" t="s">
        <v>0</v>
      </c>
      <c r="AA274" s="23" t="s">
        <v>173</v>
      </c>
      <c r="AB274" s="1">
        <v>600.0</v>
      </c>
      <c r="AC274" s="1">
        <v>600.0</v>
      </c>
      <c r="AD274" s="1" t="s">
        <v>1255</v>
      </c>
      <c r="AE274" s="1">
        <v>1.0</v>
      </c>
      <c r="AF274" s="5" t="s">
        <v>86</v>
      </c>
      <c r="AG274" s="5" t="s">
        <v>121</v>
      </c>
      <c r="AI274" s="5" t="s">
        <v>1112</v>
      </c>
      <c r="AJ274" s="5" t="s">
        <v>1113</v>
      </c>
      <c r="AK274" s="5" t="s">
        <v>1258</v>
      </c>
      <c r="AL274" s="5" t="s">
        <v>131</v>
      </c>
    </row>
    <row r="275" ht="16.5" customHeight="1">
      <c r="A275" s="5" t="s">
        <v>60</v>
      </c>
      <c r="B275" s="1" t="b">
        <v>1</v>
      </c>
      <c r="C275" s="1" t="s">
        <v>1259</v>
      </c>
      <c r="D275" s="1" t="s">
        <v>1260</v>
      </c>
      <c r="E275" s="1" t="s">
        <v>1109</v>
      </c>
      <c r="F275" s="1" t="s">
        <v>66</v>
      </c>
      <c r="G275" s="1" t="s">
        <v>1110</v>
      </c>
      <c r="H275" s="1" t="s">
        <v>69</v>
      </c>
      <c r="I275" s="1" t="s">
        <v>249</v>
      </c>
      <c r="J275" s="1"/>
      <c r="K275" s="1" t="b">
        <v>1</v>
      </c>
      <c r="L275" s="1" t="b">
        <v>0</v>
      </c>
      <c r="M275" s="19">
        <v>1700.0</v>
      </c>
      <c r="N275" s="20">
        <v>2.08</v>
      </c>
      <c r="O275" s="20">
        <v>817.31</v>
      </c>
      <c r="P275" s="21"/>
      <c r="Q275" s="1" t="s">
        <v>117</v>
      </c>
      <c r="R275" s="1" t="s">
        <v>250</v>
      </c>
      <c r="S275" s="1" t="s">
        <v>81</v>
      </c>
      <c r="T275" s="1" t="s">
        <v>81</v>
      </c>
      <c r="U275" s="1" t="s">
        <v>0</v>
      </c>
      <c r="V275" s="1" t="s">
        <v>0</v>
      </c>
      <c r="W275" s="22" t="s">
        <v>82</v>
      </c>
      <c r="X275" s="20">
        <v>314.83000000000004</v>
      </c>
      <c r="Y275" s="1" t="s">
        <v>0</v>
      </c>
      <c r="Z275" s="1" t="s">
        <v>0</v>
      </c>
      <c r="AA275" s="23" t="s">
        <v>173</v>
      </c>
      <c r="AB275" s="1">
        <v>600.0</v>
      </c>
      <c r="AC275" s="1">
        <v>600.0</v>
      </c>
      <c r="AD275" s="1" t="s">
        <v>1259</v>
      </c>
      <c r="AE275" s="1">
        <v>1.0</v>
      </c>
      <c r="AF275" s="5" t="s">
        <v>86</v>
      </c>
      <c r="AG275" s="5" t="s">
        <v>121</v>
      </c>
      <c r="AI275" s="5" t="s">
        <v>1112</v>
      </c>
      <c r="AJ275" s="5" t="s">
        <v>1113</v>
      </c>
      <c r="AK275" s="5" t="s">
        <v>1170</v>
      </c>
      <c r="AL275" s="5" t="s">
        <v>131</v>
      </c>
    </row>
    <row r="276" ht="16.5" hidden="1" customHeight="1">
      <c r="A276" s="5" t="s">
        <v>60</v>
      </c>
      <c r="B276" s="1" t="b">
        <v>0</v>
      </c>
      <c r="C276" s="1" t="s">
        <v>1262</v>
      </c>
      <c r="D276" s="1" t="s">
        <v>1263</v>
      </c>
      <c r="E276" s="1" t="s">
        <v>1109</v>
      </c>
      <c r="F276" s="1" t="s">
        <v>500</v>
      </c>
      <c r="G276" s="1" t="s">
        <v>1110</v>
      </c>
      <c r="H276" s="1" t="s">
        <v>69</v>
      </c>
      <c r="I276" s="1" t="s">
        <v>249</v>
      </c>
      <c r="J276" s="1"/>
      <c r="K276" s="1" t="b">
        <v>1</v>
      </c>
      <c r="L276" s="1" t="b">
        <v>0</v>
      </c>
      <c r="M276" s="19">
        <v>5500.0</v>
      </c>
      <c r="N276" s="20">
        <v>2.08</v>
      </c>
      <c r="O276" s="20">
        <v>2644.23</v>
      </c>
      <c r="P276" s="21"/>
      <c r="Q276" s="1" t="s">
        <v>242</v>
      </c>
      <c r="R276" s="1" t="s">
        <v>613</v>
      </c>
      <c r="S276" s="1" t="s">
        <v>359</v>
      </c>
      <c r="T276" s="1" t="s">
        <v>81</v>
      </c>
      <c r="U276" s="1" t="s">
        <v>0</v>
      </c>
      <c r="V276" s="1" t="s">
        <v>0</v>
      </c>
      <c r="W276" s="22" t="s">
        <v>82</v>
      </c>
      <c r="X276" s="20">
        <v>1265.95</v>
      </c>
      <c r="Y276" s="1" t="s">
        <v>0</v>
      </c>
      <c r="Z276" s="1" t="s">
        <v>0</v>
      </c>
      <c r="AA276" s="23" t="s">
        <v>101</v>
      </c>
      <c r="AB276" s="1">
        <v>800.0</v>
      </c>
      <c r="AC276" s="1">
        <v>100.0</v>
      </c>
      <c r="AD276" s="1" t="s">
        <v>1262</v>
      </c>
      <c r="AE276" s="1">
        <v>0.0</v>
      </c>
      <c r="AF276" s="5" t="s">
        <v>86</v>
      </c>
      <c r="AG276" s="5" t="s">
        <v>121</v>
      </c>
      <c r="AI276" s="5" t="s">
        <v>1112</v>
      </c>
      <c r="AJ276" s="5" t="s">
        <v>1113</v>
      </c>
      <c r="AK276" s="5" t="s">
        <v>1170</v>
      </c>
      <c r="AL276" s="5" t="s">
        <v>131</v>
      </c>
      <c r="AM276" s="5" t="s">
        <v>1266</v>
      </c>
    </row>
    <row r="277" ht="16.5" customHeight="1">
      <c r="A277" s="5" t="s">
        <v>60</v>
      </c>
      <c r="B277" s="1" t="b">
        <v>1</v>
      </c>
      <c r="C277" s="1" t="s">
        <v>1267</v>
      </c>
      <c r="D277" s="1" t="s">
        <v>1268</v>
      </c>
      <c r="E277" s="1" t="s">
        <v>1109</v>
      </c>
      <c r="F277" s="1" t="s">
        <v>66</v>
      </c>
      <c r="G277" s="1" t="s">
        <v>1247</v>
      </c>
      <c r="H277" s="1" t="s">
        <v>141</v>
      </c>
      <c r="I277" s="1" t="s">
        <v>249</v>
      </c>
      <c r="J277" s="1"/>
      <c r="K277" s="1" t="b">
        <v>1</v>
      </c>
      <c r="L277" s="1" t="b">
        <v>0</v>
      </c>
      <c r="M277" s="19">
        <v>3200.0</v>
      </c>
      <c r="N277" s="20">
        <v>2.08</v>
      </c>
      <c r="O277" s="20">
        <v>1538.46</v>
      </c>
      <c r="P277" s="21"/>
      <c r="Q277" s="1" t="s">
        <v>117</v>
      </c>
      <c r="R277" s="1" t="s">
        <v>1269</v>
      </c>
      <c r="S277" s="1" t="s">
        <v>81</v>
      </c>
      <c r="T277" s="1" t="s">
        <v>81</v>
      </c>
      <c r="U277" s="1" t="s">
        <v>0</v>
      </c>
      <c r="V277" s="1" t="s">
        <v>0</v>
      </c>
      <c r="W277" s="22" t="s">
        <v>82</v>
      </c>
      <c r="X277" s="20">
        <v>698.49</v>
      </c>
      <c r="Y277" s="1" t="s">
        <v>0</v>
      </c>
      <c r="Z277" s="1" t="s">
        <v>0</v>
      </c>
      <c r="AA277" s="23" t="s">
        <v>101</v>
      </c>
      <c r="AB277" s="1">
        <v>500.0</v>
      </c>
      <c r="AC277" s="1">
        <v>500.0</v>
      </c>
      <c r="AD277" s="1" t="s">
        <v>1267</v>
      </c>
      <c r="AE277" s="1">
        <v>1.0</v>
      </c>
      <c r="AF277" s="5" t="s">
        <v>86</v>
      </c>
      <c r="AG277" s="5" t="s">
        <v>121</v>
      </c>
      <c r="AI277" s="5" t="s">
        <v>1120</v>
      </c>
      <c r="AJ277" s="5" t="s">
        <v>1131</v>
      </c>
      <c r="AK277" s="5" t="s">
        <v>1139</v>
      </c>
      <c r="AL277" s="5" t="s">
        <v>131</v>
      </c>
    </row>
    <row r="278" ht="16.5" customHeight="1">
      <c r="A278" s="5" t="s">
        <v>60</v>
      </c>
      <c r="B278" s="1" t="b">
        <v>1</v>
      </c>
      <c r="C278" s="1" t="s">
        <v>1272</v>
      </c>
      <c r="D278" s="1" t="s">
        <v>1273</v>
      </c>
      <c r="E278" s="1" t="s">
        <v>1109</v>
      </c>
      <c r="F278" s="1" t="s">
        <v>66</v>
      </c>
      <c r="G278" s="1" t="s">
        <v>1247</v>
      </c>
      <c r="H278" s="1" t="s">
        <v>141</v>
      </c>
      <c r="I278" s="1" t="s">
        <v>249</v>
      </c>
      <c r="J278" s="1"/>
      <c r="K278" s="1" t="b">
        <v>1</v>
      </c>
      <c r="L278" s="1" t="b">
        <v>0</v>
      </c>
      <c r="M278" s="19">
        <v>3500.0</v>
      </c>
      <c r="N278" s="20">
        <v>2.08</v>
      </c>
      <c r="O278" s="20">
        <v>1682.69</v>
      </c>
      <c r="P278" s="21"/>
      <c r="Q278" s="1" t="s">
        <v>242</v>
      </c>
      <c r="R278" s="1" t="s">
        <v>1269</v>
      </c>
      <c r="S278" s="1" t="s">
        <v>81</v>
      </c>
      <c r="T278" s="1" t="s">
        <v>81</v>
      </c>
      <c r="U278" s="1" t="s">
        <v>0</v>
      </c>
      <c r="V278" s="1" t="s">
        <v>0</v>
      </c>
      <c r="W278" s="22" t="s">
        <v>82</v>
      </c>
      <c r="X278" s="20">
        <v>748.5</v>
      </c>
      <c r="Y278" s="1" t="s">
        <v>0</v>
      </c>
      <c r="Z278" s="1" t="s">
        <v>0</v>
      </c>
      <c r="AA278" s="23" t="s">
        <v>101</v>
      </c>
      <c r="AB278" s="1">
        <v>500.0</v>
      </c>
      <c r="AC278" s="1">
        <v>500.0</v>
      </c>
      <c r="AD278" s="1" t="s">
        <v>1272</v>
      </c>
      <c r="AE278" s="1">
        <v>1.0</v>
      </c>
      <c r="AF278" s="5" t="s">
        <v>86</v>
      </c>
      <c r="AG278" s="5" t="s">
        <v>121</v>
      </c>
      <c r="AI278" s="5" t="s">
        <v>1120</v>
      </c>
      <c r="AJ278" s="5" t="s">
        <v>1131</v>
      </c>
      <c r="AK278" s="5" t="s">
        <v>1139</v>
      </c>
      <c r="AL278" s="5" t="s">
        <v>131</v>
      </c>
    </row>
    <row r="279" ht="16.5" customHeight="1">
      <c r="A279" s="5" t="s">
        <v>60</v>
      </c>
      <c r="B279" s="1" t="b">
        <v>1</v>
      </c>
      <c r="C279" s="1" t="s">
        <v>1274</v>
      </c>
      <c r="D279" s="1" t="s">
        <v>1275</v>
      </c>
      <c r="E279" s="1" t="s">
        <v>1109</v>
      </c>
      <c r="F279" s="1" t="s">
        <v>66</v>
      </c>
      <c r="G279" s="1" t="s">
        <v>248</v>
      </c>
      <c r="H279" s="1" t="s">
        <v>69</v>
      </c>
      <c r="I279" s="1" t="s">
        <v>249</v>
      </c>
      <c r="J279" s="1"/>
      <c r="K279" s="1" t="b">
        <v>1</v>
      </c>
      <c r="L279" s="1" t="b">
        <v>0</v>
      </c>
      <c r="M279" s="19">
        <v>800.0</v>
      </c>
      <c r="N279" s="20">
        <v>2.08</v>
      </c>
      <c r="O279" s="20">
        <v>384.62</v>
      </c>
      <c r="P279" s="21"/>
      <c r="Q279" s="1" t="s">
        <v>242</v>
      </c>
      <c r="R279" s="1" t="s">
        <v>145</v>
      </c>
      <c r="S279" s="1" t="s">
        <v>81</v>
      </c>
      <c r="T279" s="1" t="s">
        <v>81</v>
      </c>
      <c r="U279" s="1" t="s">
        <v>0</v>
      </c>
      <c r="V279" s="1" t="s">
        <v>0</v>
      </c>
      <c r="W279" s="22" t="s">
        <v>82</v>
      </c>
      <c r="X279" s="20">
        <v>210.23</v>
      </c>
      <c r="Y279" s="1" t="s">
        <v>0</v>
      </c>
      <c r="Z279" s="1" t="s">
        <v>0</v>
      </c>
      <c r="AA279" s="23" t="s">
        <v>101</v>
      </c>
      <c r="AB279" s="1">
        <v>500.0</v>
      </c>
      <c r="AC279" s="1">
        <v>500.0</v>
      </c>
      <c r="AD279" s="1" t="s">
        <v>1274</v>
      </c>
      <c r="AE279" s="1">
        <v>1.0</v>
      </c>
      <c r="AF279" s="5" t="s">
        <v>125</v>
      </c>
      <c r="AG279" s="5" t="s">
        <v>174</v>
      </c>
      <c r="AI279" s="5" t="s">
        <v>248</v>
      </c>
      <c r="AJ279" s="5" t="s">
        <v>1278</v>
      </c>
      <c r="AK279" s="5" t="s">
        <v>1147</v>
      </c>
      <c r="AL279" s="5" t="s">
        <v>131</v>
      </c>
    </row>
    <row r="280" ht="16.5" customHeight="1">
      <c r="A280" s="5" t="s">
        <v>60</v>
      </c>
      <c r="B280" s="1" t="b">
        <v>1</v>
      </c>
      <c r="C280" s="1" t="s">
        <v>1279</v>
      </c>
      <c r="D280" s="1" t="s">
        <v>1280</v>
      </c>
      <c r="E280" s="1" t="s">
        <v>1109</v>
      </c>
      <c r="F280" s="1" t="s">
        <v>66</v>
      </c>
      <c r="G280" s="1" t="s">
        <v>248</v>
      </c>
      <c r="H280" s="1" t="s">
        <v>69</v>
      </c>
      <c r="I280" s="1" t="s">
        <v>249</v>
      </c>
      <c r="J280" s="1"/>
      <c r="K280" s="1" t="b">
        <v>1</v>
      </c>
      <c r="L280" s="1" t="b">
        <v>0</v>
      </c>
      <c r="M280" s="19">
        <v>700.0</v>
      </c>
      <c r="N280" s="20">
        <v>2.08</v>
      </c>
      <c r="O280" s="20">
        <v>336.54</v>
      </c>
      <c r="P280" s="21"/>
      <c r="Q280" s="1" t="s">
        <v>242</v>
      </c>
      <c r="R280" s="1" t="s">
        <v>145</v>
      </c>
      <c r="S280" s="1" t="s">
        <v>81</v>
      </c>
      <c r="T280" s="1" t="s">
        <v>81</v>
      </c>
      <c r="U280" s="1" t="s">
        <v>0</v>
      </c>
      <c r="V280" s="1" t="s">
        <v>0</v>
      </c>
      <c r="W280" s="22" t="s">
        <v>82</v>
      </c>
      <c r="X280" s="20">
        <v>182.73000000000002</v>
      </c>
      <c r="Y280" s="1" t="s">
        <v>0</v>
      </c>
      <c r="Z280" s="1" t="s">
        <v>0</v>
      </c>
      <c r="AA280" s="23" t="s">
        <v>101</v>
      </c>
      <c r="AB280" s="1">
        <v>500.0</v>
      </c>
      <c r="AC280" s="1">
        <v>500.0</v>
      </c>
      <c r="AD280" s="1" t="s">
        <v>1279</v>
      </c>
      <c r="AE280" s="1">
        <v>1.0</v>
      </c>
      <c r="AF280" s="5" t="s">
        <v>125</v>
      </c>
      <c r="AG280" s="5" t="s">
        <v>174</v>
      </c>
      <c r="AI280" s="5" t="s">
        <v>248</v>
      </c>
      <c r="AJ280" s="5" t="s">
        <v>1278</v>
      </c>
      <c r="AK280" s="5" t="s">
        <v>1147</v>
      </c>
      <c r="AL280" s="5" t="s">
        <v>131</v>
      </c>
    </row>
    <row r="281" ht="16.5" customHeight="1">
      <c r="A281" s="5" t="s">
        <v>60</v>
      </c>
      <c r="B281" s="1" t="b">
        <v>1</v>
      </c>
      <c r="C281" s="1" t="s">
        <v>1282</v>
      </c>
      <c r="D281" s="1" t="s">
        <v>1283</v>
      </c>
      <c r="E281" s="1" t="s">
        <v>1109</v>
      </c>
      <c r="F281" s="1" t="s">
        <v>66</v>
      </c>
      <c r="G281" s="1" t="s">
        <v>248</v>
      </c>
      <c r="H281" s="1" t="s">
        <v>69</v>
      </c>
      <c r="I281" s="1" t="s">
        <v>249</v>
      </c>
      <c r="J281" s="1"/>
      <c r="K281" s="1" t="b">
        <v>1</v>
      </c>
      <c r="L281" s="1" t="b">
        <v>0</v>
      </c>
      <c r="M281" s="19">
        <v>400.0</v>
      </c>
      <c r="N281" s="20">
        <v>2.08</v>
      </c>
      <c r="O281" s="20">
        <v>192.31</v>
      </c>
      <c r="P281" s="21"/>
      <c r="Q281" s="1" t="s">
        <v>117</v>
      </c>
      <c r="R281" s="1" t="s">
        <v>79</v>
      </c>
      <c r="S281" s="1" t="s">
        <v>81</v>
      </c>
      <c r="T281" s="1" t="s">
        <v>81</v>
      </c>
      <c r="U281" s="1" t="s">
        <v>0</v>
      </c>
      <c r="V281" s="1" t="s">
        <v>0</v>
      </c>
      <c r="W281" s="22" t="s">
        <v>82</v>
      </c>
      <c r="X281" s="20">
        <v>70.06</v>
      </c>
      <c r="Y281" s="1" t="s">
        <v>0</v>
      </c>
      <c r="Z281" s="1" t="s">
        <v>0</v>
      </c>
      <c r="AA281" s="23" t="s">
        <v>101</v>
      </c>
      <c r="AB281" s="1">
        <v>500.0</v>
      </c>
      <c r="AC281" s="1">
        <v>500.0</v>
      </c>
      <c r="AD281" s="1" t="s">
        <v>1282</v>
      </c>
      <c r="AE281" s="1">
        <v>1.0</v>
      </c>
      <c r="AF281" s="5" t="s">
        <v>125</v>
      </c>
      <c r="AG281" s="5" t="s">
        <v>127</v>
      </c>
      <c r="AI281" s="5" t="s">
        <v>248</v>
      </c>
      <c r="AJ281" s="5" t="s">
        <v>1284</v>
      </c>
      <c r="AK281" s="5" t="s">
        <v>1285</v>
      </c>
      <c r="AL281" s="5" t="s">
        <v>131</v>
      </c>
    </row>
    <row r="282" ht="16.5" customHeight="1">
      <c r="A282" s="5" t="s">
        <v>60</v>
      </c>
      <c r="B282" s="1" t="b">
        <v>1</v>
      </c>
      <c r="C282" s="1" t="s">
        <v>1286</v>
      </c>
      <c r="D282" s="1" t="s">
        <v>1287</v>
      </c>
      <c r="E282" s="1" t="s">
        <v>1109</v>
      </c>
      <c r="F282" s="1" t="s">
        <v>66</v>
      </c>
      <c r="G282" s="1" t="s">
        <v>248</v>
      </c>
      <c r="H282" s="1" t="s">
        <v>69</v>
      </c>
      <c r="I282" s="1" t="s">
        <v>249</v>
      </c>
      <c r="J282" s="1"/>
      <c r="K282" s="1" t="b">
        <v>1</v>
      </c>
      <c r="L282" s="1" t="b">
        <v>0</v>
      </c>
      <c r="M282" s="19">
        <v>450.0</v>
      </c>
      <c r="N282" s="20">
        <v>2.08</v>
      </c>
      <c r="O282" s="20">
        <v>216.35</v>
      </c>
      <c r="P282" s="21"/>
      <c r="Q282" s="1" t="s">
        <v>117</v>
      </c>
      <c r="R282" s="1" t="s">
        <v>79</v>
      </c>
      <c r="S282" s="1" t="s">
        <v>81</v>
      </c>
      <c r="T282" s="1" t="s">
        <v>81</v>
      </c>
      <c r="U282" s="1" t="s">
        <v>0</v>
      </c>
      <c r="V282" s="1" t="s">
        <v>0</v>
      </c>
      <c r="W282" s="22" t="s">
        <v>82</v>
      </c>
      <c r="X282" s="20">
        <v>89.46</v>
      </c>
      <c r="Y282" s="1" t="s">
        <v>0</v>
      </c>
      <c r="Z282" s="1" t="s">
        <v>0</v>
      </c>
      <c r="AA282" s="23" t="s">
        <v>101</v>
      </c>
      <c r="AB282" s="1">
        <v>500.0</v>
      </c>
      <c r="AC282" s="1">
        <v>500.0</v>
      </c>
      <c r="AD282" s="1" t="s">
        <v>1286</v>
      </c>
      <c r="AE282" s="1">
        <v>1.0</v>
      </c>
      <c r="AF282" s="5" t="s">
        <v>125</v>
      </c>
      <c r="AG282" s="5" t="s">
        <v>127</v>
      </c>
      <c r="AI282" s="5" t="s">
        <v>248</v>
      </c>
      <c r="AJ282" s="5" t="s">
        <v>1284</v>
      </c>
      <c r="AK282" s="5" t="s">
        <v>1285</v>
      </c>
      <c r="AL282" s="5" t="s">
        <v>131</v>
      </c>
    </row>
    <row r="283" ht="16.5" customHeight="1">
      <c r="A283" s="5" t="s">
        <v>60</v>
      </c>
      <c r="B283" s="1" t="b">
        <v>1</v>
      </c>
      <c r="C283" s="1" t="s">
        <v>1288</v>
      </c>
      <c r="D283" s="1" t="s">
        <v>1289</v>
      </c>
      <c r="E283" s="1" t="s">
        <v>1109</v>
      </c>
      <c r="F283" s="1" t="s">
        <v>66</v>
      </c>
      <c r="G283" s="1" t="s">
        <v>248</v>
      </c>
      <c r="H283" s="1" t="s">
        <v>69</v>
      </c>
      <c r="I283" s="1" t="s">
        <v>249</v>
      </c>
      <c r="J283" s="1"/>
      <c r="K283" s="1" t="b">
        <v>1</v>
      </c>
      <c r="L283" s="1" t="b">
        <v>0</v>
      </c>
      <c r="M283" s="19">
        <v>500.0</v>
      </c>
      <c r="N283" s="20">
        <v>2.08</v>
      </c>
      <c r="O283" s="20">
        <v>240.38</v>
      </c>
      <c r="P283" s="21"/>
      <c r="Q283" s="1" t="s">
        <v>117</v>
      </c>
      <c r="R283" s="1" t="s">
        <v>79</v>
      </c>
      <c r="S283" s="1" t="s">
        <v>81</v>
      </c>
      <c r="T283" s="1" t="s">
        <v>81</v>
      </c>
      <c r="U283" s="1" t="s">
        <v>0</v>
      </c>
      <c r="V283" s="1" t="s">
        <v>0</v>
      </c>
      <c r="W283" s="22" t="s">
        <v>82</v>
      </c>
      <c r="X283" s="20">
        <v>101.08</v>
      </c>
      <c r="Y283" s="1" t="s">
        <v>0</v>
      </c>
      <c r="Z283" s="1" t="s">
        <v>0</v>
      </c>
      <c r="AA283" s="23" t="s">
        <v>101</v>
      </c>
      <c r="AB283" s="1">
        <v>500.0</v>
      </c>
      <c r="AC283" s="1">
        <v>500.0</v>
      </c>
      <c r="AD283" s="1" t="s">
        <v>1288</v>
      </c>
      <c r="AE283" s="1">
        <v>1.0</v>
      </c>
      <c r="AF283" s="5" t="s">
        <v>125</v>
      </c>
      <c r="AG283" s="5" t="s">
        <v>127</v>
      </c>
      <c r="AI283" s="5" t="s">
        <v>248</v>
      </c>
      <c r="AJ283" s="5" t="s">
        <v>1284</v>
      </c>
      <c r="AK283" s="5" t="s">
        <v>1285</v>
      </c>
      <c r="AL283" s="5" t="s">
        <v>131</v>
      </c>
    </row>
    <row r="284" ht="16.5" customHeight="1">
      <c r="A284" s="5" t="s">
        <v>60</v>
      </c>
      <c r="B284" s="1" t="b">
        <v>1</v>
      </c>
      <c r="C284" s="1" t="s">
        <v>1290</v>
      </c>
      <c r="D284" s="1" t="s">
        <v>1291</v>
      </c>
      <c r="E284" s="1" t="s">
        <v>1109</v>
      </c>
      <c r="F284" s="1" t="s">
        <v>66</v>
      </c>
      <c r="G284" s="1" t="s">
        <v>248</v>
      </c>
      <c r="H284" s="1" t="s">
        <v>69</v>
      </c>
      <c r="I284" s="1" t="s">
        <v>249</v>
      </c>
      <c r="J284" s="1"/>
      <c r="K284" s="1" t="b">
        <v>1</v>
      </c>
      <c r="L284" s="1" t="b">
        <v>0</v>
      </c>
      <c r="M284" s="19">
        <v>600.0</v>
      </c>
      <c r="N284" s="20">
        <v>2.08</v>
      </c>
      <c r="O284" s="20">
        <v>288.46</v>
      </c>
      <c r="P284" s="21"/>
      <c r="Q284" s="1" t="s">
        <v>117</v>
      </c>
      <c r="R284" s="1" t="s">
        <v>79</v>
      </c>
      <c r="S284" s="1" t="s">
        <v>81</v>
      </c>
      <c r="T284" s="1" t="s">
        <v>81</v>
      </c>
      <c r="U284" s="1" t="s">
        <v>0</v>
      </c>
      <c r="V284" s="1" t="s">
        <v>0</v>
      </c>
      <c r="W284" s="22" t="s">
        <v>82</v>
      </c>
      <c r="X284" s="20">
        <v>107.31</v>
      </c>
      <c r="Y284" s="1" t="s">
        <v>0</v>
      </c>
      <c r="Z284" s="1" t="s">
        <v>0</v>
      </c>
      <c r="AA284" s="23" t="s">
        <v>101</v>
      </c>
      <c r="AB284" s="1">
        <v>500.0</v>
      </c>
      <c r="AC284" s="1">
        <v>500.0</v>
      </c>
      <c r="AD284" s="1" t="s">
        <v>1290</v>
      </c>
      <c r="AE284" s="1">
        <v>1.0</v>
      </c>
      <c r="AF284" s="5" t="s">
        <v>125</v>
      </c>
      <c r="AG284" s="5" t="s">
        <v>127</v>
      </c>
      <c r="AI284" s="5" t="s">
        <v>248</v>
      </c>
      <c r="AJ284" s="5" t="s">
        <v>1284</v>
      </c>
      <c r="AK284" s="5" t="s">
        <v>1285</v>
      </c>
      <c r="AL284" s="5" t="s">
        <v>131</v>
      </c>
    </row>
    <row r="285" ht="16.5" hidden="1" customHeight="1">
      <c r="A285" s="5" t="s">
        <v>60</v>
      </c>
      <c r="B285" s="1" t="b">
        <v>0</v>
      </c>
      <c r="C285" s="1" t="s">
        <v>1293</v>
      </c>
      <c r="D285" s="1" t="s">
        <v>1294</v>
      </c>
      <c r="E285" s="1" t="s">
        <v>1109</v>
      </c>
      <c r="F285" s="1" t="s">
        <v>66</v>
      </c>
      <c r="G285" s="1" t="s">
        <v>1110</v>
      </c>
      <c r="H285" s="1" t="s">
        <v>69</v>
      </c>
      <c r="I285" s="1" t="s">
        <v>249</v>
      </c>
      <c r="J285" s="1"/>
      <c r="K285" s="1" t="b">
        <v>1</v>
      </c>
      <c r="L285" s="1" t="b">
        <v>0</v>
      </c>
      <c r="M285" s="19">
        <v>5000.0</v>
      </c>
      <c r="N285" s="20">
        <v>2.08</v>
      </c>
      <c r="O285" s="20">
        <v>2403.85</v>
      </c>
      <c r="P285" s="21"/>
      <c r="Q285" s="1" t="s">
        <v>117</v>
      </c>
      <c r="R285" s="1" t="s">
        <v>145</v>
      </c>
      <c r="S285" s="1" t="s">
        <v>359</v>
      </c>
      <c r="T285" s="1" t="s">
        <v>81</v>
      </c>
      <c r="U285" s="1" t="s">
        <v>0</v>
      </c>
      <c r="V285" s="1" t="s">
        <v>0</v>
      </c>
      <c r="W285" s="22" t="s">
        <v>82</v>
      </c>
      <c r="X285" s="20">
        <v>1161.5200000000002</v>
      </c>
      <c r="Y285" s="1" t="s">
        <v>0</v>
      </c>
      <c r="Z285" s="1" t="s">
        <v>0</v>
      </c>
      <c r="AA285" s="23" t="s">
        <v>101</v>
      </c>
      <c r="AB285" s="1">
        <v>800.0</v>
      </c>
      <c r="AC285" s="1">
        <v>100.0</v>
      </c>
      <c r="AD285" s="1" t="s">
        <v>1293</v>
      </c>
      <c r="AE285" s="1">
        <v>0.0</v>
      </c>
      <c r="AF285" s="5" t="s">
        <v>86</v>
      </c>
      <c r="AG285" s="5" t="s">
        <v>121</v>
      </c>
      <c r="AI285" s="5" t="s">
        <v>1112</v>
      </c>
      <c r="AJ285" s="5" t="s">
        <v>1113</v>
      </c>
      <c r="AK285" s="5" t="s">
        <v>1114</v>
      </c>
      <c r="AL285" s="5" t="s">
        <v>131</v>
      </c>
      <c r="AM285" s="5" t="s">
        <v>1266</v>
      </c>
    </row>
    <row r="286" ht="16.5" customHeight="1">
      <c r="A286" s="5" t="s">
        <v>60</v>
      </c>
      <c r="B286" s="1" t="b">
        <v>1</v>
      </c>
      <c r="C286" s="1" t="s">
        <v>1295</v>
      </c>
      <c r="D286" s="1" t="s">
        <v>1296</v>
      </c>
      <c r="E286" s="1" t="s">
        <v>1109</v>
      </c>
      <c r="F286" s="1" t="s">
        <v>66</v>
      </c>
      <c r="G286" s="1" t="s">
        <v>248</v>
      </c>
      <c r="H286" s="1" t="s">
        <v>69</v>
      </c>
      <c r="I286" s="1" t="s">
        <v>249</v>
      </c>
      <c r="J286" s="1"/>
      <c r="K286" s="1" t="b">
        <v>1</v>
      </c>
      <c r="L286" s="1" t="b">
        <v>0</v>
      </c>
      <c r="M286" s="19">
        <v>500.0</v>
      </c>
      <c r="N286" s="20">
        <v>2.08</v>
      </c>
      <c r="O286" s="20">
        <v>240.38</v>
      </c>
      <c r="P286" s="21"/>
      <c r="Q286" s="1" t="s">
        <v>117</v>
      </c>
      <c r="R286" s="1" t="s">
        <v>79</v>
      </c>
      <c r="S286" s="1" t="s">
        <v>81</v>
      </c>
      <c r="T286" s="1" t="s">
        <v>81</v>
      </c>
      <c r="U286" s="1" t="s">
        <v>0</v>
      </c>
      <c r="V286" s="1" t="s">
        <v>0</v>
      </c>
      <c r="W286" s="22" t="s">
        <v>82</v>
      </c>
      <c r="X286" s="20">
        <v>97.25</v>
      </c>
      <c r="Y286" s="1" t="s">
        <v>0</v>
      </c>
      <c r="Z286" s="1" t="s">
        <v>0</v>
      </c>
      <c r="AA286" s="23" t="s">
        <v>173</v>
      </c>
      <c r="AB286" s="1">
        <v>500.0</v>
      </c>
      <c r="AC286" s="1">
        <v>500.0</v>
      </c>
      <c r="AD286" s="1" t="s">
        <v>1295</v>
      </c>
      <c r="AE286" s="1">
        <v>1.0</v>
      </c>
      <c r="AF286" s="5" t="s">
        <v>125</v>
      </c>
      <c r="AG286" s="5" t="s">
        <v>174</v>
      </c>
      <c r="AI286" s="5" t="s">
        <v>248</v>
      </c>
      <c r="AJ286" s="5" t="s">
        <v>1146</v>
      </c>
      <c r="AK286" s="5" t="s">
        <v>1147</v>
      </c>
      <c r="AL286" s="5" t="s">
        <v>131</v>
      </c>
    </row>
    <row r="287" ht="16.5" customHeight="1">
      <c r="A287" s="5" t="s">
        <v>60</v>
      </c>
      <c r="B287" s="1" t="b">
        <v>1</v>
      </c>
      <c r="C287" s="1" t="s">
        <v>1297</v>
      </c>
      <c r="D287" s="1" t="s">
        <v>1298</v>
      </c>
      <c r="E287" s="1" t="s">
        <v>1109</v>
      </c>
      <c r="F287" s="1" t="s">
        <v>66</v>
      </c>
      <c r="G287" s="1" t="s">
        <v>248</v>
      </c>
      <c r="H287" s="1" t="s">
        <v>69</v>
      </c>
      <c r="I287" s="1" t="s">
        <v>249</v>
      </c>
      <c r="J287" s="1"/>
      <c r="K287" s="1" t="b">
        <v>1</v>
      </c>
      <c r="L287" s="1" t="b">
        <v>0</v>
      </c>
      <c r="M287" s="19">
        <v>400.0</v>
      </c>
      <c r="N287" s="20">
        <v>2.08</v>
      </c>
      <c r="O287" s="20">
        <v>192.31</v>
      </c>
      <c r="P287" s="21"/>
      <c r="Q287" s="1" t="s">
        <v>117</v>
      </c>
      <c r="R287" s="1" t="s">
        <v>79</v>
      </c>
      <c r="S287" s="1" t="s">
        <v>81</v>
      </c>
      <c r="T287" s="1" t="s">
        <v>81</v>
      </c>
      <c r="U287" s="1" t="s">
        <v>0</v>
      </c>
      <c r="V287" s="1" t="s">
        <v>0</v>
      </c>
      <c r="W287" s="22" t="s">
        <v>82</v>
      </c>
      <c r="X287" s="20">
        <v>64.15</v>
      </c>
      <c r="Y287" s="1" t="s">
        <v>0</v>
      </c>
      <c r="Z287" s="1" t="s">
        <v>0</v>
      </c>
      <c r="AA287" s="23" t="s">
        <v>173</v>
      </c>
      <c r="AB287" s="1">
        <v>500.0</v>
      </c>
      <c r="AC287" s="1">
        <v>500.0</v>
      </c>
      <c r="AD287" s="1" t="s">
        <v>1297</v>
      </c>
      <c r="AE287" s="1">
        <v>1.0</v>
      </c>
      <c r="AF287" s="5" t="s">
        <v>125</v>
      </c>
      <c r="AG287" s="5" t="s">
        <v>174</v>
      </c>
      <c r="AI287" s="5" t="s">
        <v>248</v>
      </c>
      <c r="AJ287" s="5" t="s">
        <v>1146</v>
      </c>
      <c r="AK287" s="5" t="s">
        <v>1147</v>
      </c>
      <c r="AL287" s="5" t="s">
        <v>131</v>
      </c>
    </row>
    <row r="288" ht="16.5" customHeight="1">
      <c r="A288" s="5" t="s">
        <v>60</v>
      </c>
      <c r="B288" s="1" t="b">
        <v>1</v>
      </c>
      <c r="C288" s="1" t="s">
        <v>1300</v>
      </c>
      <c r="D288" s="1" t="s">
        <v>1301</v>
      </c>
      <c r="E288" s="1" t="s">
        <v>1109</v>
      </c>
      <c r="F288" s="1" t="s">
        <v>66</v>
      </c>
      <c r="G288" s="1" t="s">
        <v>1119</v>
      </c>
      <c r="H288" s="1" t="s">
        <v>69</v>
      </c>
      <c r="I288" s="1" t="s">
        <v>249</v>
      </c>
      <c r="J288" s="1"/>
      <c r="K288" s="1" t="b">
        <v>1</v>
      </c>
      <c r="L288" s="1" t="b">
        <v>0</v>
      </c>
      <c r="M288" s="19">
        <v>800.0</v>
      </c>
      <c r="N288" s="20">
        <v>2.08</v>
      </c>
      <c r="O288" s="20">
        <v>384.62</v>
      </c>
      <c r="P288" s="21"/>
      <c r="Q288" s="1" t="s">
        <v>78</v>
      </c>
      <c r="R288" s="1" t="s">
        <v>145</v>
      </c>
      <c r="S288" s="1" t="s">
        <v>81</v>
      </c>
      <c r="T288" s="1" t="s">
        <v>81</v>
      </c>
      <c r="U288" s="1" t="s">
        <v>0</v>
      </c>
      <c r="V288" s="1" t="s">
        <v>0</v>
      </c>
      <c r="W288" s="22" t="s">
        <v>82</v>
      </c>
      <c r="X288" s="20">
        <v>173.82</v>
      </c>
      <c r="Y288" s="1" t="s">
        <v>0</v>
      </c>
      <c r="Z288" s="1" t="s">
        <v>0</v>
      </c>
      <c r="AA288" s="23" t="s">
        <v>173</v>
      </c>
      <c r="AB288" s="1">
        <v>500.0</v>
      </c>
      <c r="AC288" s="1">
        <v>500.0</v>
      </c>
      <c r="AD288" s="1" t="s">
        <v>1300</v>
      </c>
      <c r="AE288" s="1">
        <v>4.0</v>
      </c>
      <c r="AF288" s="5" t="s">
        <v>125</v>
      </c>
      <c r="AG288" s="5" t="s">
        <v>174</v>
      </c>
      <c r="AI288" s="5" t="s">
        <v>1120</v>
      </c>
      <c r="AJ288" s="5" t="s">
        <v>1121</v>
      </c>
      <c r="AK288" s="5" t="s">
        <v>1181</v>
      </c>
      <c r="AL288" s="5" t="s">
        <v>131</v>
      </c>
    </row>
    <row r="289" ht="16.5" hidden="1" customHeight="1">
      <c r="A289" s="5" t="s">
        <v>60</v>
      </c>
      <c r="B289" s="1" t="b">
        <v>0</v>
      </c>
      <c r="C289" s="1" t="s">
        <v>1302</v>
      </c>
      <c r="D289" s="1" t="s">
        <v>1303</v>
      </c>
      <c r="E289" s="1" t="s">
        <v>1109</v>
      </c>
      <c r="F289" s="1" t="s">
        <v>66</v>
      </c>
      <c r="G289" s="1" t="s">
        <v>1110</v>
      </c>
      <c r="H289" s="1" t="s">
        <v>141</v>
      </c>
      <c r="I289" s="1" t="s">
        <v>249</v>
      </c>
      <c r="J289" s="1"/>
      <c r="K289" s="1" t="b">
        <v>1</v>
      </c>
      <c r="L289" s="1" t="b">
        <v>0</v>
      </c>
      <c r="M289" s="19">
        <v>1500.0</v>
      </c>
      <c r="N289" s="20">
        <v>2.08</v>
      </c>
      <c r="O289" s="20">
        <v>721.15</v>
      </c>
      <c r="P289" s="21"/>
      <c r="Q289" s="1" t="s">
        <v>78</v>
      </c>
      <c r="R289" s="1" t="s">
        <v>154</v>
      </c>
      <c r="S289" s="1" t="s">
        <v>81</v>
      </c>
      <c r="T289" s="1" t="s">
        <v>81</v>
      </c>
      <c r="U289" s="1" t="s">
        <v>0</v>
      </c>
      <c r="V289" s="1" t="s">
        <v>156</v>
      </c>
      <c r="W289" s="22" t="s">
        <v>82</v>
      </c>
      <c r="X289" s="20">
        <v>244.98999999999998</v>
      </c>
      <c r="Y289" s="1" t="s">
        <v>0</v>
      </c>
      <c r="Z289" s="1" t="s">
        <v>0</v>
      </c>
      <c r="AA289" s="23" t="s">
        <v>101</v>
      </c>
      <c r="AB289" s="1">
        <v>600.0</v>
      </c>
      <c r="AC289" s="1">
        <v>600.0</v>
      </c>
      <c r="AD289" s="1" t="s">
        <v>1302</v>
      </c>
      <c r="AE289" s="1">
        <v>0.0</v>
      </c>
      <c r="AF289" s="5" t="s">
        <v>86</v>
      </c>
      <c r="AG289" s="5" t="s">
        <v>121</v>
      </c>
      <c r="AI289" s="5" t="s">
        <v>1112</v>
      </c>
      <c r="AJ289" s="5" t="s">
        <v>1113</v>
      </c>
      <c r="AK289" s="5" t="s">
        <v>1114</v>
      </c>
      <c r="AL289" s="5" t="s">
        <v>131</v>
      </c>
      <c r="AM289" s="5" t="s">
        <v>1266</v>
      </c>
    </row>
    <row r="290" ht="16.5" hidden="1" customHeight="1">
      <c r="A290" s="5" t="s">
        <v>60</v>
      </c>
      <c r="B290" s="1" t="b">
        <v>0</v>
      </c>
      <c r="C290" s="1" t="s">
        <v>1305</v>
      </c>
      <c r="D290" s="1" t="s">
        <v>1306</v>
      </c>
      <c r="E290" s="1" t="s">
        <v>1109</v>
      </c>
      <c r="F290" s="1" t="s">
        <v>66</v>
      </c>
      <c r="G290" s="1" t="s">
        <v>1110</v>
      </c>
      <c r="H290" s="1" t="s">
        <v>141</v>
      </c>
      <c r="I290" s="1" t="s">
        <v>249</v>
      </c>
      <c r="J290" s="1"/>
      <c r="K290" s="1" t="b">
        <v>1</v>
      </c>
      <c r="L290" s="1" t="b">
        <v>0</v>
      </c>
      <c r="M290" s="19">
        <v>1500.0</v>
      </c>
      <c r="N290" s="20">
        <v>2.08</v>
      </c>
      <c r="O290" s="20">
        <v>721.15</v>
      </c>
      <c r="P290" s="21"/>
      <c r="Q290" s="1" t="s">
        <v>78</v>
      </c>
      <c r="R290" s="1" t="s">
        <v>154</v>
      </c>
      <c r="S290" s="1" t="s">
        <v>81</v>
      </c>
      <c r="T290" s="1" t="s">
        <v>81</v>
      </c>
      <c r="U290" s="1" t="s">
        <v>0</v>
      </c>
      <c r="V290" s="1" t="s">
        <v>156</v>
      </c>
      <c r="W290" s="22" t="s">
        <v>82</v>
      </c>
      <c r="X290" s="20">
        <v>275.06</v>
      </c>
      <c r="Y290" s="1" t="s">
        <v>0</v>
      </c>
      <c r="Z290" s="1" t="s">
        <v>0</v>
      </c>
      <c r="AA290" s="23" t="s">
        <v>101</v>
      </c>
      <c r="AB290" s="1">
        <v>600.0</v>
      </c>
      <c r="AC290" s="1">
        <v>600.0</v>
      </c>
      <c r="AD290" s="1" t="s">
        <v>1305</v>
      </c>
      <c r="AE290" s="1">
        <v>0.0</v>
      </c>
      <c r="AF290" s="5" t="s">
        <v>86</v>
      </c>
      <c r="AG290" s="5" t="s">
        <v>121</v>
      </c>
      <c r="AI290" s="5" t="s">
        <v>1112</v>
      </c>
      <c r="AJ290" s="5" t="s">
        <v>1113</v>
      </c>
      <c r="AK290" s="5" t="s">
        <v>1170</v>
      </c>
      <c r="AL290" s="5" t="s">
        <v>131</v>
      </c>
      <c r="AM290" s="5" t="s">
        <v>1266</v>
      </c>
    </row>
    <row r="291" ht="16.5" customHeight="1">
      <c r="A291" s="5" t="s">
        <v>60</v>
      </c>
      <c r="B291" s="1" t="b">
        <v>1</v>
      </c>
      <c r="C291" s="1" t="s">
        <v>1308</v>
      </c>
      <c r="D291" s="1" t="s">
        <v>1309</v>
      </c>
      <c r="E291" s="1" t="s">
        <v>1109</v>
      </c>
      <c r="F291" s="1" t="s">
        <v>66</v>
      </c>
      <c r="G291" s="1" t="s">
        <v>1110</v>
      </c>
      <c r="H291" s="1" t="s">
        <v>69</v>
      </c>
      <c r="I291" s="1" t="s">
        <v>249</v>
      </c>
      <c r="J291" s="1"/>
      <c r="K291" s="1" t="b">
        <v>1</v>
      </c>
      <c r="L291" s="1" t="b">
        <v>0</v>
      </c>
      <c r="M291" s="19">
        <v>1600.0</v>
      </c>
      <c r="N291" s="20">
        <v>2.08</v>
      </c>
      <c r="O291" s="20">
        <v>769.23</v>
      </c>
      <c r="P291" s="21"/>
      <c r="Q291" s="1" t="s">
        <v>117</v>
      </c>
      <c r="R291" s="1" t="s">
        <v>250</v>
      </c>
      <c r="S291" s="1" t="s">
        <v>81</v>
      </c>
      <c r="T291" s="1" t="s">
        <v>81</v>
      </c>
      <c r="U291" s="1" t="s">
        <v>0</v>
      </c>
      <c r="V291" s="1" t="s">
        <v>0</v>
      </c>
      <c r="W291" s="22" t="s">
        <v>82</v>
      </c>
      <c r="X291" s="20">
        <v>311.77</v>
      </c>
      <c r="Y291" s="1" t="s">
        <v>0</v>
      </c>
      <c r="Z291" s="1" t="s">
        <v>0</v>
      </c>
      <c r="AA291" s="23" t="s">
        <v>173</v>
      </c>
      <c r="AB291" s="1">
        <v>600.0</v>
      </c>
      <c r="AC291" s="1">
        <v>600.0</v>
      </c>
      <c r="AD291" s="1" t="s">
        <v>1308</v>
      </c>
      <c r="AE291" s="1">
        <v>1.0</v>
      </c>
      <c r="AF291" s="5" t="s">
        <v>86</v>
      </c>
      <c r="AG291" s="5" t="s">
        <v>121</v>
      </c>
      <c r="AI291" s="5" t="s">
        <v>1112</v>
      </c>
      <c r="AJ291" s="5" t="s">
        <v>1113</v>
      </c>
      <c r="AK291" s="5" t="s">
        <v>1170</v>
      </c>
      <c r="AL291" s="5" t="s">
        <v>131</v>
      </c>
    </row>
    <row r="292" ht="16.5" customHeight="1">
      <c r="A292" s="5" t="s">
        <v>60</v>
      </c>
      <c r="B292" s="1" t="b">
        <v>1</v>
      </c>
      <c r="C292" s="1" t="s">
        <v>1310</v>
      </c>
      <c r="D292" s="1" t="s">
        <v>1311</v>
      </c>
      <c r="E292" s="1" t="s">
        <v>1109</v>
      </c>
      <c r="F292" s="1" t="s">
        <v>66</v>
      </c>
      <c r="G292" s="1" t="s">
        <v>1110</v>
      </c>
      <c r="H292" s="1" t="s">
        <v>69</v>
      </c>
      <c r="I292" s="1" t="s">
        <v>249</v>
      </c>
      <c r="J292" s="1"/>
      <c r="K292" s="1" t="b">
        <v>1</v>
      </c>
      <c r="L292" s="1" t="b">
        <v>0</v>
      </c>
      <c r="M292" s="19">
        <v>1500.0</v>
      </c>
      <c r="N292" s="20">
        <v>2.08</v>
      </c>
      <c r="O292" s="20">
        <v>721.15</v>
      </c>
      <c r="P292" s="21"/>
      <c r="Q292" s="1" t="s">
        <v>117</v>
      </c>
      <c r="R292" s="1" t="s">
        <v>250</v>
      </c>
      <c r="S292" s="1" t="s">
        <v>81</v>
      </c>
      <c r="T292" s="1" t="s">
        <v>81</v>
      </c>
      <c r="U292" s="1" t="s">
        <v>0</v>
      </c>
      <c r="V292" s="1" t="s">
        <v>0</v>
      </c>
      <c r="W292" s="22" t="s">
        <v>82</v>
      </c>
      <c r="X292" s="20">
        <v>287.3</v>
      </c>
      <c r="Y292" s="1" t="s">
        <v>0</v>
      </c>
      <c r="Z292" s="1" t="s">
        <v>0</v>
      </c>
      <c r="AA292" s="23" t="s">
        <v>173</v>
      </c>
      <c r="AB292" s="1">
        <v>600.0</v>
      </c>
      <c r="AC292" s="1">
        <v>600.0</v>
      </c>
      <c r="AD292" s="1" t="s">
        <v>1310</v>
      </c>
      <c r="AE292" s="1">
        <v>1.0</v>
      </c>
      <c r="AF292" s="5" t="s">
        <v>86</v>
      </c>
      <c r="AG292" s="5" t="s">
        <v>121</v>
      </c>
      <c r="AI292" s="5" t="s">
        <v>1112</v>
      </c>
      <c r="AJ292" s="5" t="s">
        <v>1113</v>
      </c>
      <c r="AK292" s="5" t="s">
        <v>1114</v>
      </c>
      <c r="AL292" s="5" t="s">
        <v>131</v>
      </c>
    </row>
    <row r="293" ht="16.5" customHeight="1">
      <c r="A293" s="5" t="s">
        <v>60</v>
      </c>
      <c r="B293" s="1" t="b">
        <v>1</v>
      </c>
      <c r="C293" s="1" t="s">
        <v>1312</v>
      </c>
      <c r="D293" s="1" t="s">
        <v>1313</v>
      </c>
      <c r="E293" s="1" t="s">
        <v>1109</v>
      </c>
      <c r="F293" s="1" t="s">
        <v>66</v>
      </c>
      <c r="G293" s="1" t="s">
        <v>1110</v>
      </c>
      <c r="H293" s="1" t="s">
        <v>69</v>
      </c>
      <c r="I293" s="1" t="s">
        <v>249</v>
      </c>
      <c r="J293" s="1"/>
      <c r="K293" s="1" t="b">
        <v>1</v>
      </c>
      <c r="L293" s="1" t="b">
        <v>0</v>
      </c>
      <c r="M293" s="19">
        <v>2200.0</v>
      </c>
      <c r="N293" s="20">
        <v>2.08</v>
      </c>
      <c r="O293" s="20">
        <v>1057.69</v>
      </c>
      <c r="P293" s="21"/>
      <c r="Q293" s="1" t="s">
        <v>117</v>
      </c>
      <c r="R293" s="1" t="s">
        <v>250</v>
      </c>
      <c r="S293" s="1" t="s">
        <v>81</v>
      </c>
      <c r="T293" s="1" t="s">
        <v>81</v>
      </c>
      <c r="U293" s="1" t="s">
        <v>0</v>
      </c>
      <c r="V293" s="1" t="s">
        <v>0</v>
      </c>
      <c r="W293" s="22" t="s">
        <v>82</v>
      </c>
      <c r="X293" s="20">
        <v>438.21</v>
      </c>
      <c r="Y293" s="1" t="s">
        <v>0</v>
      </c>
      <c r="Z293" s="1" t="s">
        <v>0</v>
      </c>
      <c r="AA293" s="23" t="s">
        <v>173</v>
      </c>
      <c r="AB293" s="1">
        <v>600.0</v>
      </c>
      <c r="AC293" s="1">
        <v>600.0</v>
      </c>
      <c r="AD293" s="1" t="s">
        <v>1312</v>
      </c>
      <c r="AE293" s="1">
        <v>1.0</v>
      </c>
      <c r="AF293" s="5" t="s">
        <v>86</v>
      </c>
      <c r="AG293" s="5" t="s">
        <v>121</v>
      </c>
      <c r="AI293" s="5" t="s">
        <v>1112</v>
      </c>
      <c r="AJ293" s="5" t="s">
        <v>1113</v>
      </c>
      <c r="AK293" s="5" t="s">
        <v>1253</v>
      </c>
      <c r="AL293" s="5" t="s">
        <v>131</v>
      </c>
    </row>
    <row r="294" ht="16.5" customHeight="1">
      <c r="A294" s="5" t="s">
        <v>60</v>
      </c>
      <c r="B294" s="1" t="b">
        <v>1</v>
      </c>
      <c r="C294" s="1" t="s">
        <v>1316</v>
      </c>
      <c r="D294" s="1" t="s">
        <v>1317</v>
      </c>
      <c r="E294" s="1" t="s">
        <v>1109</v>
      </c>
      <c r="F294" s="1" t="s">
        <v>66</v>
      </c>
      <c r="G294" s="1" t="s">
        <v>1110</v>
      </c>
      <c r="H294" s="1" t="s">
        <v>69</v>
      </c>
      <c r="I294" s="1" t="s">
        <v>249</v>
      </c>
      <c r="J294" s="1"/>
      <c r="K294" s="1" t="b">
        <v>1</v>
      </c>
      <c r="L294" s="1" t="b">
        <v>0</v>
      </c>
      <c r="M294" s="19">
        <v>1800.0</v>
      </c>
      <c r="N294" s="20">
        <v>2.08</v>
      </c>
      <c r="O294" s="20">
        <v>865.38</v>
      </c>
      <c r="P294" s="21"/>
      <c r="Q294" s="1" t="s">
        <v>117</v>
      </c>
      <c r="R294" s="1" t="s">
        <v>250</v>
      </c>
      <c r="S294" s="1" t="s">
        <v>81</v>
      </c>
      <c r="T294" s="1" t="s">
        <v>81</v>
      </c>
      <c r="U294" s="1" t="s">
        <v>0</v>
      </c>
      <c r="V294" s="1" t="s">
        <v>0</v>
      </c>
      <c r="W294" s="22" t="s">
        <v>82</v>
      </c>
      <c r="X294" s="20">
        <v>337.26</v>
      </c>
      <c r="Y294" s="1" t="s">
        <v>0</v>
      </c>
      <c r="Z294" s="1" t="s">
        <v>0</v>
      </c>
      <c r="AA294" s="23" t="s">
        <v>173</v>
      </c>
      <c r="AB294" s="1">
        <v>600.0</v>
      </c>
      <c r="AC294" s="1">
        <v>600.0</v>
      </c>
      <c r="AD294" s="1" t="s">
        <v>1316</v>
      </c>
      <c r="AE294" s="1">
        <v>1.0</v>
      </c>
      <c r="AF294" s="5" t="s">
        <v>86</v>
      </c>
      <c r="AG294" s="5" t="s">
        <v>121</v>
      </c>
      <c r="AI294" s="5" t="s">
        <v>1112</v>
      </c>
      <c r="AJ294" s="5" t="s">
        <v>1113</v>
      </c>
      <c r="AK294" s="5" t="s">
        <v>1170</v>
      </c>
      <c r="AL294" s="5" t="s">
        <v>131</v>
      </c>
    </row>
    <row r="295" ht="16.5" customHeight="1">
      <c r="A295" s="5" t="s">
        <v>60</v>
      </c>
      <c r="B295" s="1" t="b">
        <v>1</v>
      </c>
      <c r="C295" s="1" t="s">
        <v>1322</v>
      </c>
      <c r="D295" s="1" t="s">
        <v>1323</v>
      </c>
      <c r="E295" s="1" t="s">
        <v>1109</v>
      </c>
      <c r="F295" s="1" t="s">
        <v>66</v>
      </c>
      <c r="G295" s="1" t="s">
        <v>1110</v>
      </c>
      <c r="H295" s="1" t="s">
        <v>69</v>
      </c>
      <c r="I295" s="1" t="s">
        <v>249</v>
      </c>
      <c r="J295" s="1"/>
      <c r="K295" s="1" t="b">
        <v>1</v>
      </c>
      <c r="L295" s="1" t="b">
        <v>0</v>
      </c>
      <c r="M295" s="19">
        <v>1200.0</v>
      </c>
      <c r="N295" s="20">
        <v>2.08</v>
      </c>
      <c r="O295" s="20">
        <v>576.92</v>
      </c>
      <c r="P295" s="21"/>
      <c r="Q295" s="1" t="s">
        <v>117</v>
      </c>
      <c r="R295" s="1" t="s">
        <v>250</v>
      </c>
      <c r="S295" s="1" t="s">
        <v>81</v>
      </c>
      <c r="T295" s="1" t="s">
        <v>81</v>
      </c>
      <c r="U295" s="1" t="s">
        <v>0</v>
      </c>
      <c r="V295" s="1" t="s">
        <v>0</v>
      </c>
      <c r="W295" s="22" t="s">
        <v>82</v>
      </c>
      <c r="X295" s="20">
        <v>225.1</v>
      </c>
      <c r="Y295" s="1" t="s">
        <v>0</v>
      </c>
      <c r="Z295" s="1" t="s">
        <v>0</v>
      </c>
      <c r="AA295" s="23" t="s">
        <v>173</v>
      </c>
      <c r="AB295" s="1">
        <v>600.0</v>
      </c>
      <c r="AC295" s="1">
        <v>600.0</v>
      </c>
      <c r="AD295" s="1" t="s">
        <v>1322</v>
      </c>
      <c r="AE295" s="1">
        <v>1.0</v>
      </c>
      <c r="AF295" s="5" t="s">
        <v>86</v>
      </c>
      <c r="AG295" s="5" t="s">
        <v>121</v>
      </c>
      <c r="AI295" s="5" t="s">
        <v>1112</v>
      </c>
      <c r="AJ295" s="5" t="s">
        <v>1113</v>
      </c>
      <c r="AK295" s="5" t="s">
        <v>1114</v>
      </c>
      <c r="AL295" s="5" t="s">
        <v>131</v>
      </c>
    </row>
    <row r="296" ht="16.5" customHeight="1">
      <c r="A296" s="5" t="s">
        <v>60</v>
      </c>
      <c r="B296" s="1" t="b">
        <v>1</v>
      </c>
      <c r="C296" s="1" t="s">
        <v>1326</v>
      </c>
      <c r="D296" s="1" t="s">
        <v>1328</v>
      </c>
      <c r="E296" s="1" t="s">
        <v>1109</v>
      </c>
      <c r="F296" s="1" t="s">
        <v>66</v>
      </c>
      <c r="G296" s="1" t="s">
        <v>1129</v>
      </c>
      <c r="H296" s="1" t="s">
        <v>69</v>
      </c>
      <c r="I296" s="1" t="s">
        <v>249</v>
      </c>
      <c r="J296" s="1"/>
      <c r="K296" s="1" t="b">
        <v>1</v>
      </c>
      <c r="L296" s="1" t="b">
        <v>0</v>
      </c>
      <c r="M296" s="19">
        <v>1300.0</v>
      </c>
      <c r="N296" s="20">
        <v>2.08</v>
      </c>
      <c r="O296" s="20">
        <v>625.0</v>
      </c>
      <c r="P296" s="21"/>
      <c r="Q296" s="1" t="s">
        <v>117</v>
      </c>
      <c r="R296" s="1" t="s">
        <v>79</v>
      </c>
      <c r="S296" s="1" t="s">
        <v>81</v>
      </c>
      <c r="T296" s="1" t="s">
        <v>81</v>
      </c>
      <c r="U296" s="1" t="s">
        <v>0</v>
      </c>
      <c r="V296" s="1" t="s">
        <v>0</v>
      </c>
      <c r="W296" s="22" t="s">
        <v>82</v>
      </c>
      <c r="X296" s="20">
        <v>261.28</v>
      </c>
      <c r="Y296" s="1" t="s">
        <v>0</v>
      </c>
      <c r="Z296" s="1" t="s">
        <v>0</v>
      </c>
      <c r="AA296" s="23" t="s">
        <v>85</v>
      </c>
      <c r="AB296" s="1">
        <v>500.0</v>
      </c>
      <c r="AC296" s="1">
        <v>500.0</v>
      </c>
      <c r="AD296" s="1" t="s">
        <v>1326</v>
      </c>
      <c r="AE296" s="1">
        <v>2.0</v>
      </c>
      <c r="AF296" s="5" t="s">
        <v>125</v>
      </c>
      <c r="AG296" s="5" t="s">
        <v>174</v>
      </c>
      <c r="AI296" s="5" t="s">
        <v>1186</v>
      </c>
      <c r="AJ296" s="5" t="s">
        <v>1187</v>
      </c>
      <c r="AK296" s="5" t="s">
        <v>1132</v>
      </c>
      <c r="AL296" s="5" t="s">
        <v>131</v>
      </c>
    </row>
    <row r="297" ht="16.5" customHeight="1">
      <c r="A297" s="5" t="s">
        <v>60</v>
      </c>
      <c r="B297" s="1" t="b">
        <v>1</v>
      </c>
      <c r="C297" s="1" t="s">
        <v>1332</v>
      </c>
      <c r="D297" s="1" t="s">
        <v>1333</v>
      </c>
      <c r="E297" s="1" t="s">
        <v>1109</v>
      </c>
      <c r="F297" s="1" t="s">
        <v>66</v>
      </c>
      <c r="G297" s="1" t="s">
        <v>248</v>
      </c>
      <c r="H297" s="1" t="s">
        <v>69</v>
      </c>
      <c r="I297" s="1" t="s">
        <v>249</v>
      </c>
      <c r="J297" s="1"/>
      <c r="K297" s="1" t="b">
        <v>1</v>
      </c>
      <c r="L297" s="1" t="b">
        <v>0</v>
      </c>
      <c r="M297" s="19">
        <v>350.0</v>
      </c>
      <c r="N297" s="20">
        <v>2.08</v>
      </c>
      <c r="O297" s="20">
        <v>168.27</v>
      </c>
      <c r="P297" s="21"/>
      <c r="Q297" s="1" t="s">
        <v>78</v>
      </c>
      <c r="R297" s="1" t="s">
        <v>79</v>
      </c>
      <c r="S297" s="1" t="s">
        <v>81</v>
      </c>
      <c r="T297" s="1" t="s">
        <v>81</v>
      </c>
      <c r="U297" s="1" t="s">
        <v>0</v>
      </c>
      <c r="V297" s="1" t="s">
        <v>0</v>
      </c>
      <c r="W297" s="22" t="s">
        <v>82</v>
      </c>
      <c r="X297" s="20">
        <v>79.82</v>
      </c>
      <c r="Y297" s="1" t="s">
        <v>0</v>
      </c>
      <c r="Z297" s="1" t="s">
        <v>0</v>
      </c>
      <c r="AA297" s="23" t="s">
        <v>85</v>
      </c>
      <c r="AB297" s="1">
        <v>500.0</v>
      </c>
      <c r="AC297" s="1">
        <v>500.0</v>
      </c>
      <c r="AD297" s="1" t="s">
        <v>1332</v>
      </c>
      <c r="AE297" s="1">
        <v>5.0</v>
      </c>
      <c r="AF297" s="5" t="s">
        <v>125</v>
      </c>
      <c r="AG297" s="5" t="s">
        <v>127</v>
      </c>
      <c r="AI297" s="5" t="s">
        <v>1120</v>
      </c>
      <c r="AJ297" s="5" t="s">
        <v>1234</v>
      </c>
      <c r="AK297" s="5" t="s">
        <v>1181</v>
      </c>
      <c r="AL297" s="5" t="s">
        <v>131</v>
      </c>
    </row>
    <row r="298" ht="16.5" customHeight="1">
      <c r="A298" s="5" t="s">
        <v>60</v>
      </c>
      <c r="B298" s="1" t="b">
        <v>1</v>
      </c>
      <c r="C298" s="1" t="s">
        <v>1338</v>
      </c>
      <c r="D298" s="1" t="s">
        <v>1339</v>
      </c>
      <c r="E298" s="1" t="s">
        <v>1109</v>
      </c>
      <c r="F298" s="1" t="s">
        <v>66</v>
      </c>
      <c r="G298" s="1" t="s">
        <v>248</v>
      </c>
      <c r="H298" s="1" t="s">
        <v>69</v>
      </c>
      <c r="I298" s="1" t="s">
        <v>249</v>
      </c>
      <c r="J298" s="1"/>
      <c r="K298" s="1" t="b">
        <v>1</v>
      </c>
      <c r="L298" s="1" t="b">
        <v>0</v>
      </c>
      <c r="M298" s="19">
        <v>450.0</v>
      </c>
      <c r="N298" s="20">
        <v>2.08</v>
      </c>
      <c r="O298" s="20">
        <v>216.35</v>
      </c>
      <c r="P298" s="21"/>
      <c r="Q298" s="1" t="s">
        <v>78</v>
      </c>
      <c r="R298" s="1" t="s">
        <v>79</v>
      </c>
      <c r="S298" s="1" t="s">
        <v>81</v>
      </c>
      <c r="T298" s="1" t="s">
        <v>81</v>
      </c>
      <c r="U298" s="1" t="s">
        <v>0</v>
      </c>
      <c r="V298" s="1" t="s">
        <v>0</v>
      </c>
      <c r="W298" s="22" t="s">
        <v>82</v>
      </c>
      <c r="X298" s="20">
        <v>97.87</v>
      </c>
      <c r="Y298" s="1" t="s">
        <v>0</v>
      </c>
      <c r="Z298" s="1" t="s">
        <v>0</v>
      </c>
      <c r="AA298" s="23" t="s">
        <v>85</v>
      </c>
      <c r="AB298" s="1">
        <v>500.0</v>
      </c>
      <c r="AC298" s="1">
        <v>500.0</v>
      </c>
      <c r="AD298" s="1" t="s">
        <v>1338</v>
      </c>
      <c r="AE298" s="1">
        <v>5.0</v>
      </c>
      <c r="AF298" s="5" t="s">
        <v>125</v>
      </c>
      <c r="AG298" s="5" t="s">
        <v>127</v>
      </c>
      <c r="AI298" s="5" t="s">
        <v>1120</v>
      </c>
      <c r="AJ298" s="5" t="s">
        <v>1234</v>
      </c>
      <c r="AK298" s="5" t="s">
        <v>1181</v>
      </c>
      <c r="AL298" s="5" t="s">
        <v>131</v>
      </c>
    </row>
    <row r="299" ht="16.5" customHeight="1">
      <c r="A299" s="5" t="s">
        <v>60</v>
      </c>
      <c r="B299" s="1" t="b">
        <v>1</v>
      </c>
      <c r="C299" s="1" t="s">
        <v>1341</v>
      </c>
      <c r="D299" s="1" t="s">
        <v>1342</v>
      </c>
      <c r="E299" s="1" t="s">
        <v>1109</v>
      </c>
      <c r="F299" s="1" t="s">
        <v>66</v>
      </c>
      <c r="G299" s="1" t="s">
        <v>1119</v>
      </c>
      <c r="H299" s="1" t="s">
        <v>69</v>
      </c>
      <c r="I299" s="1" t="s">
        <v>1243</v>
      </c>
      <c r="J299" s="1"/>
      <c r="K299" s="1" t="b">
        <v>1</v>
      </c>
      <c r="L299" s="1" t="b">
        <v>0</v>
      </c>
      <c r="M299" s="19">
        <v>1000.0</v>
      </c>
      <c r="N299" s="20">
        <v>2.08</v>
      </c>
      <c r="O299" s="20">
        <v>480.77</v>
      </c>
      <c r="P299" s="21"/>
      <c r="Q299" s="1" t="s">
        <v>117</v>
      </c>
      <c r="R299" s="1" t="s">
        <v>79</v>
      </c>
      <c r="S299" s="1" t="s">
        <v>81</v>
      </c>
      <c r="T299" s="1" t="s">
        <v>81</v>
      </c>
      <c r="U299" s="1" t="s">
        <v>0</v>
      </c>
      <c r="V299" s="1" t="s">
        <v>0</v>
      </c>
      <c r="W299" s="22" t="s">
        <v>82</v>
      </c>
      <c r="X299" s="20">
        <v>200.28</v>
      </c>
      <c r="Y299" s="1" t="s">
        <v>0</v>
      </c>
      <c r="Z299" s="1" t="s">
        <v>0</v>
      </c>
      <c r="AA299" s="23" t="s">
        <v>173</v>
      </c>
      <c r="AB299" s="1">
        <v>500.0</v>
      </c>
      <c r="AC299" s="1">
        <v>500.0</v>
      </c>
      <c r="AD299" s="1" t="s">
        <v>1341</v>
      </c>
      <c r="AE299" s="1">
        <v>3.0</v>
      </c>
      <c r="AF299" s="5" t="s">
        <v>125</v>
      </c>
      <c r="AG299" s="5" t="s">
        <v>174</v>
      </c>
      <c r="AI299" s="5" t="s">
        <v>1120</v>
      </c>
      <c r="AJ299" s="5" t="s">
        <v>1345</v>
      </c>
      <c r="AK299" s="5" t="s">
        <v>1181</v>
      </c>
      <c r="AL299" s="5" t="s">
        <v>131</v>
      </c>
    </row>
    <row r="300" ht="16.5" customHeight="1">
      <c r="A300" s="5" t="s">
        <v>60</v>
      </c>
      <c r="B300" s="1" t="b">
        <v>1</v>
      </c>
      <c r="C300" s="1" t="s">
        <v>1346</v>
      </c>
      <c r="D300" s="1" t="s">
        <v>1347</v>
      </c>
      <c r="E300" s="1" t="s">
        <v>1109</v>
      </c>
      <c r="F300" s="1" t="s">
        <v>66</v>
      </c>
      <c r="G300" s="1" t="s">
        <v>1119</v>
      </c>
      <c r="H300" s="1" t="s">
        <v>69</v>
      </c>
      <c r="I300" s="1" t="s">
        <v>1243</v>
      </c>
      <c r="J300" s="1"/>
      <c r="K300" s="1" t="b">
        <v>1</v>
      </c>
      <c r="L300" s="1" t="b">
        <v>0</v>
      </c>
      <c r="M300" s="19">
        <v>900.0</v>
      </c>
      <c r="N300" s="20">
        <v>2.08</v>
      </c>
      <c r="O300" s="20">
        <v>432.69</v>
      </c>
      <c r="P300" s="21"/>
      <c r="Q300" s="1" t="s">
        <v>117</v>
      </c>
      <c r="R300" s="1" t="s">
        <v>79</v>
      </c>
      <c r="S300" s="1" t="s">
        <v>81</v>
      </c>
      <c r="T300" s="1" t="s">
        <v>81</v>
      </c>
      <c r="U300" s="1" t="s">
        <v>0</v>
      </c>
      <c r="V300" s="1" t="s">
        <v>0</v>
      </c>
      <c r="W300" s="22" t="s">
        <v>82</v>
      </c>
      <c r="X300" s="20">
        <v>168.63</v>
      </c>
      <c r="Y300" s="1" t="s">
        <v>0</v>
      </c>
      <c r="Z300" s="1" t="s">
        <v>0</v>
      </c>
      <c r="AA300" s="23" t="s">
        <v>173</v>
      </c>
      <c r="AB300" s="1">
        <v>500.0</v>
      </c>
      <c r="AC300" s="1">
        <v>500.0</v>
      </c>
      <c r="AD300" s="1" t="s">
        <v>1346</v>
      </c>
      <c r="AE300" s="1">
        <v>3.0</v>
      </c>
      <c r="AF300" s="5" t="s">
        <v>125</v>
      </c>
      <c r="AG300" s="5" t="s">
        <v>174</v>
      </c>
      <c r="AI300" s="5" t="s">
        <v>1120</v>
      </c>
      <c r="AJ300" s="5" t="s">
        <v>1345</v>
      </c>
      <c r="AK300" s="5" t="s">
        <v>1181</v>
      </c>
      <c r="AL300" s="5" t="s">
        <v>131</v>
      </c>
    </row>
    <row r="301" ht="16.5" customHeight="1">
      <c r="A301" s="5" t="s">
        <v>60</v>
      </c>
      <c r="B301" s="1" t="b">
        <v>1</v>
      </c>
      <c r="C301" s="1" t="s">
        <v>1350</v>
      </c>
      <c r="D301" s="1" t="s">
        <v>1351</v>
      </c>
      <c r="E301" s="1" t="s">
        <v>1109</v>
      </c>
      <c r="F301" s="1" t="s">
        <v>66</v>
      </c>
      <c r="G301" s="1" t="s">
        <v>1119</v>
      </c>
      <c r="H301" s="1" t="s">
        <v>69</v>
      </c>
      <c r="I301" s="1" t="s">
        <v>249</v>
      </c>
      <c r="J301" s="1"/>
      <c r="K301" s="1" t="b">
        <v>1</v>
      </c>
      <c r="L301" s="1" t="b">
        <v>0</v>
      </c>
      <c r="M301" s="19">
        <v>1200.0</v>
      </c>
      <c r="N301" s="20">
        <v>2.08</v>
      </c>
      <c r="O301" s="20">
        <v>576.92</v>
      </c>
      <c r="P301" s="21"/>
      <c r="Q301" s="1" t="s">
        <v>117</v>
      </c>
      <c r="R301" s="1" t="s">
        <v>79</v>
      </c>
      <c r="S301" s="1" t="s">
        <v>81</v>
      </c>
      <c r="T301" s="1" t="s">
        <v>81</v>
      </c>
      <c r="U301" s="1" t="s">
        <v>0</v>
      </c>
      <c r="V301" s="1" t="s">
        <v>0</v>
      </c>
      <c r="W301" s="22" t="s">
        <v>82</v>
      </c>
      <c r="X301" s="20">
        <v>240.22</v>
      </c>
      <c r="Y301" s="1" t="s">
        <v>0</v>
      </c>
      <c r="Z301" s="1" t="s">
        <v>0</v>
      </c>
      <c r="AA301" s="23" t="s">
        <v>173</v>
      </c>
      <c r="AB301" s="1">
        <v>500.0</v>
      </c>
      <c r="AC301" s="1">
        <v>500.0</v>
      </c>
      <c r="AD301" s="1" t="s">
        <v>1350</v>
      </c>
      <c r="AE301" s="1">
        <v>5.0</v>
      </c>
      <c r="AF301" s="5" t="s">
        <v>125</v>
      </c>
      <c r="AG301" s="5" t="s">
        <v>174</v>
      </c>
      <c r="AI301" s="5" t="s">
        <v>1186</v>
      </c>
      <c r="AJ301" s="5" t="s">
        <v>1187</v>
      </c>
      <c r="AL301" s="5" t="s">
        <v>131</v>
      </c>
    </row>
    <row r="302" ht="16.5" customHeight="1">
      <c r="A302" s="5" t="s">
        <v>60</v>
      </c>
      <c r="B302" s="1" t="b">
        <v>1</v>
      </c>
      <c r="C302" s="1" t="s">
        <v>1354</v>
      </c>
      <c r="D302" s="1" t="s">
        <v>1355</v>
      </c>
      <c r="E302" s="1" t="s">
        <v>1109</v>
      </c>
      <c r="F302" s="1" t="s">
        <v>66</v>
      </c>
      <c r="G302" s="1" t="s">
        <v>1119</v>
      </c>
      <c r="H302" s="1" t="s">
        <v>69</v>
      </c>
      <c r="I302" s="1" t="s">
        <v>249</v>
      </c>
      <c r="J302" s="1"/>
      <c r="K302" s="1" t="b">
        <v>1</v>
      </c>
      <c r="L302" s="1" t="b">
        <v>0</v>
      </c>
      <c r="M302" s="19">
        <v>1100.0</v>
      </c>
      <c r="N302" s="20">
        <v>2.08</v>
      </c>
      <c r="O302" s="20">
        <v>528.85</v>
      </c>
      <c r="P302" s="21"/>
      <c r="Q302" s="1" t="s">
        <v>117</v>
      </c>
      <c r="R302" s="1" t="s">
        <v>79</v>
      </c>
      <c r="S302" s="1" t="s">
        <v>81</v>
      </c>
      <c r="T302" s="1" t="s">
        <v>81</v>
      </c>
      <c r="U302" s="1" t="s">
        <v>0</v>
      </c>
      <c r="V302" s="1" t="s">
        <v>0</v>
      </c>
      <c r="W302" s="22" t="s">
        <v>82</v>
      </c>
      <c r="X302" s="20">
        <v>222.68</v>
      </c>
      <c r="Y302" s="1" t="s">
        <v>0</v>
      </c>
      <c r="Z302" s="1" t="s">
        <v>0</v>
      </c>
      <c r="AA302" s="23" t="s">
        <v>85</v>
      </c>
      <c r="AB302" s="1">
        <v>500.0</v>
      </c>
      <c r="AC302" s="1">
        <v>500.0</v>
      </c>
      <c r="AD302" s="1" t="s">
        <v>1354</v>
      </c>
      <c r="AE302" s="1">
        <v>5.0</v>
      </c>
      <c r="AF302" s="5" t="s">
        <v>125</v>
      </c>
      <c r="AG302" s="5" t="s">
        <v>174</v>
      </c>
      <c r="AI302" s="5" t="s">
        <v>1186</v>
      </c>
      <c r="AJ302" s="5" t="s">
        <v>1187</v>
      </c>
      <c r="AL302" s="5" t="s">
        <v>131</v>
      </c>
    </row>
    <row r="303" ht="16.5" customHeight="1">
      <c r="A303" s="5" t="s">
        <v>60</v>
      </c>
      <c r="B303" s="1" t="b">
        <v>1</v>
      </c>
      <c r="C303" s="1" t="s">
        <v>1357</v>
      </c>
      <c r="D303" s="1" t="s">
        <v>1358</v>
      </c>
      <c r="E303" s="1" t="s">
        <v>1109</v>
      </c>
      <c r="F303" s="1" t="s">
        <v>66</v>
      </c>
      <c r="G303" s="1" t="s">
        <v>248</v>
      </c>
      <c r="H303" s="1" t="s">
        <v>69</v>
      </c>
      <c r="I303" s="1" t="s">
        <v>249</v>
      </c>
      <c r="J303" s="1"/>
      <c r="K303" s="1" t="b">
        <v>1</v>
      </c>
      <c r="L303" s="1" t="b">
        <v>0</v>
      </c>
      <c r="M303" s="19">
        <v>350.0</v>
      </c>
      <c r="N303" s="20">
        <v>2.08</v>
      </c>
      <c r="O303" s="20">
        <v>168.27</v>
      </c>
      <c r="P303" s="21"/>
      <c r="Q303" s="1" t="s">
        <v>78</v>
      </c>
      <c r="R303" s="1" t="s">
        <v>79</v>
      </c>
      <c r="S303" s="1" t="s">
        <v>81</v>
      </c>
      <c r="T303" s="1" t="s">
        <v>81</v>
      </c>
      <c r="U303" s="1" t="s">
        <v>0</v>
      </c>
      <c r="V303" s="1" t="s">
        <v>0</v>
      </c>
      <c r="W303" s="22" t="s">
        <v>82</v>
      </c>
      <c r="X303" s="20">
        <v>71.1</v>
      </c>
      <c r="Y303" s="1" t="s">
        <v>0</v>
      </c>
      <c r="Z303" s="1" t="s">
        <v>0</v>
      </c>
      <c r="AA303" s="23" t="s">
        <v>85</v>
      </c>
      <c r="AB303" s="1">
        <v>500.0</v>
      </c>
      <c r="AC303" s="1">
        <v>500.0</v>
      </c>
      <c r="AD303" s="1" t="s">
        <v>1357</v>
      </c>
      <c r="AE303" s="1">
        <v>3.0</v>
      </c>
      <c r="AF303" s="5" t="s">
        <v>125</v>
      </c>
      <c r="AG303" s="5" t="s">
        <v>174</v>
      </c>
      <c r="AI303" s="5" t="s">
        <v>248</v>
      </c>
      <c r="AJ303" s="5" t="s">
        <v>1146</v>
      </c>
      <c r="AK303" s="5" t="s">
        <v>1147</v>
      </c>
      <c r="AL303" s="5" t="s">
        <v>131</v>
      </c>
    </row>
    <row r="304" ht="16.5" customHeight="1">
      <c r="A304" s="5" t="s">
        <v>60</v>
      </c>
      <c r="B304" s="1" t="b">
        <v>1</v>
      </c>
      <c r="C304" s="1" t="s">
        <v>1361</v>
      </c>
      <c r="D304" s="1" t="s">
        <v>1362</v>
      </c>
      <c r="E304" s="1" t="s">
        <v>1109</v>
      </c>
      <c r="F304" s="1" t="s">
        <v>66</v>
      </c>
      <c r="G304" s="1" t="s">
        <v>1119</v>
      </c>
      <c r="H304" s="1" t="s">
        <v>69</v>
      </c>
      <c r="I304" s="1" t="s">
        <v>249</v>
      </c>
      <c r="J304" s="1"/>
      <c r="K304" s="1" t="b">
        <v>1</v>
      </c>
      <c r="L304" s="1" t="b">
        <v>0</v>
      </c>
      <c r="M304" s="19">
        <v>1300.0</v>
      </c>
      <c r="N304" s="20">
        <v>2.08</v>
      </c>
      <c r="O304" s="20">
        <v>625.0</v>
      </c>
      <c r="P304" s="21"/>
      <c r="Q304" s="1" t="s">
        <v>242</v>
      </c>
      <c r="R304" s="1" t="s">
        <v>358</v>
      </c>
      <c r="S304" s="1" t="s">
        <v>81</v>
      </c>
      <c r="T304" s="1" t="s">
        <v>81</v>
      </c>
      <c r="U304" s="1" t="s">
        <v>0</v>
      </c>
      <c r="V304" s="1" t="s">
        <v>0</v>
      </c>
      <c r="W304" s="22" t="s">
        <v>82</v>
      </c>
      <c r="X304" s="20">
        <v>265.12</v>
      </c>
      <c r="Y304" s="1" t="s">
        <v>0</v>
      </c>
      <c r="Z304" s="1" t="s">
        <v>0</v>
      </c>
      <c r="AA304" s="23" t="s">
        <v>173</v>
      </c>
      <c r="AB304" s="1">
        <v>500.0</v>
      </c>
      <c r="AC304" s="1">
        <v>500.0</v>
      </c>
      <c r="AD304" s="1" t="s">
        <v>1361</v>
      </c>
      <c r="AE304" s="1">
        <v>1.0</v>
      </c>
      <c r="AF304" s="5" t="s">
        <v>125</v>
      </c>
      <c r="AG304" s="5" t="s">
        <v>174</v>
      </c>
      <c r="AI304" s="5" t="s">
        <v>1186</v>
      </c>
      <c r="AJ304" s="5" t="s">
        <v>1187</v>
      </c>
      <c r="AL304" s="5" t="s">
        <v>131</v>
      </c>
    </row>
    <row r="305" ht="16.5" customHeight="1">
      <c r="A305" s="5" t="s">
        <v>60</v>
      </c>
      <c r="B305" s="1" t="b">
        <v>1</v>
      </c>
      <c r="C305" s="1" t="s">
        <v>1363</v>
      </c>
      <c r="D305" s="1" t="s">
        <v>1364</v>
      </c>
      <c r="E305" s="1" t="s">
        <v>1109</v>
      </c>
      <c r="F305" s="1" t="s">
        <v>66</v>
      </c>
      <c r="G305" s="1" t="s">
        <v>1119</v>
      </c>
      <c r="H305" s="1" t="s">
        <v>69</v>
      </c>
      <c r="I305" s="1" t="s">
        <v>249</v>
      </c>
      <c r="J305" s="1"/>
      <c r="K305" s="1" t="b">
        <v>1</v>
      </c>
      <c r="L305" s="1" t="b">
        <v>0</v>
      </c>
      <c r="M305" s="19">
        <v>1200.0</v>
      </c>
      <c r="N305" s="20">
        <v>2.08</v>
      </c>
      <c r="O305" s="20">
        <v>576.92</v>
      </c>
      <c r="P305" s="21"/>
      <c r="Q305" s="1" t="s">
        <v>242</v>
      </c>
      <c r="R305" s="1" t="s">
        <v>358</v>
      </c>
      <c r="S305" s="1" t="s">
        <v>81</v>
      </c>
      <c r="T305" s="1" t="s">
        <v>81</v>
      </c>
      <c r="U305" s="1" t="s">
        <v>0</v>
      </c>
      <c r="V305" s="1" t="s">
        <v>0</v>
      </c>
      <c r="W305" s="22" t="s">
        <v>82</v>
      </c>
      <c r="X305" s="20">
        <v>249.87</v>
      </c>
      <c r="Y305" s="1" t="s">
        <v>0</v>
      </c>
      <c r="Z305" s="1" t="s">
        <v>0</v>
      </c>
      <c r="AA305" s="23" t="s">
        <v>173</v>
      </c>
      <c r="AB305" s="1">
        <v>500.0</v>
      </c>
      <c r="AC305" s="1">
        <v>500.0</v>
      </c>
      <c r="AD305" s="1" t="s">
        <v>1363</v>
      </c>
      <c r="AE305" s="1">
        <v>1.0</v>
      </c>
      <c r="AF305" s="5" t="s">
        <v>125</v>
      </c>
      <c r="AG305" s="5" t="s">
        <v>174</v>
      </c>
      <c r="AI305" s="5" t="s">
        <v>1186</v>
      </c>
      <c r="AJ305" s="5" t="s">
        <v>1187</v>
      </c>
      <c r="AL305" s="5" t="s">
        <v>131</v>
      </c>
    </row>
    <row r="306" ht="16.5" customHeight="1">
      <c r="A306" s="5" t="s">
        <v>60</v>
      </c>
      <c r="B306" s="1" t="b">
        <v>1</v>
      </c>
      <c r="C306" s="1" t="s">
        <v>1365</v>
      </c>
      <c r="D306" s="1" t="s">
        <v>1366</v>
      </c>
      <c r="E306" s="1" t="s">
        <v>1109</v>
      </c>
      <c r="F306" s="1" t="s">
        <v>66</v>
      </c>
      <c r="G306" s="1" t="s">
        <v>1119</v>
      </c>
      <c r="H306" s="1" t="s">
        <v>69</v>
      </c>
      <c r="I306" s="1" t="s">
        <v>249</v>
      </c>
      <c r="J306" s="1"/>
      <c r="K306" s="1" t="b">
        <v>1</v>
      </c>
      <c r="L306" s="1" t="b">
        <v>0</v>
      </c>
      <c r="M306" s="19">
        <v>1000.0</v>
      </c>
      <c r="N306" s="20">
        <v>2.08</v>
      </c>
      <c r="O306" s="20">
        <v>480.77</v>
      </c>
      <c r="P306" s="21"/>
      <c r="Q306" s="1" t="s">
        <v>117</v>
      </c>
      <c r="R306" s="1" t="s">
        <v>79</v>
      </c>
      <c r="S306" s="1" t="s">
        <v>81</v>
      </c>
      <c r="T306" s="1" t="s">
        <v>81</v>
      </c>
      <c r="U306" s="1" t="s">
        <v>0</v>
      </c>
      <c r="V306" s="1" t="s">
        <v>0</v>
      </c>
      <c r="W306" s="22" t="s">
        <v>82</v>
      </c>
      <c r="X306" s="20">
        <v>214.28</v>
      </c>
      <c r="Y306" s="1" t="s">
        <v>0</v>
      </c>
      <c r="Z306" s="1" t="s">
        <v>0</v>
      </c>
      <c r="AA306" s="23" t="s">
        <v>85</v>
      </c>
      <c r="AB306" s="1">
        <v>500.0</v>
      </c>
      <c r="AC306" s="1">
        <v>500.0</v>
      </c>
      <c r="AD306" s="1" t="s">
        <v>1365</v>
      </c>
      <c r="AE306" s="1">
        <v>5.0</v>
      </c>
      <c r="AF306" s="5" t="s">
        <v>125</v>
      </c>
      <c r="AG306" s="5" t="s">
        <v>174</v>
      </c>
      <c r="AI306" s="5" t="s">
        <v>1186</v>
      </c>
      <c r="AJ306" s="5" t="s">
        <v>1187</v>
      </c>
      <c r="AL306" s="5" t="s">
        <v>131</v>
      </c>
    </row>
    <row r="307" ht="16.5" customHeight="1">
      <c r="A307" s="5" t="s">
        <v>60</v>
      </c>
      <c r="B307" s="1" t="b">
        <v>1</v>
      </c>
      <c r="C307" s="1" t="s">
        <v>1372</v>
      </c>
      <c r="D307" s="1" t="s">
        <v>1373</v>
      </c>
      <c r="E307" s="1" t="s">
        <v>1109</v>
      </c>
      <c r="F307" s="1" t="s">
        <v>66</v>
      </c>
      <c r="G307" s="1" t="s">
        <v>1119</v>
      </c>
      <c r="H307" s="1" t="s">
        <v>69</v>
      </c>
      <c r="I307" s="1" t="s">
        <v>249</v>
      </c>
      <c r="J307" s="1"/>
      <c r="K307" s="1" t="b">
        <v>1</v>
      </c>
      <c r="L307" s="1" t="b">
        <v>0</v>
      </c>
      <c r="M307" s="19">
        <v>1000.0</v>
      </c>
      <c r="N307" s="20">
        <v>2.08</v>
      </c>
      <c r="O307" s="20">
        <v>480.77</v>
      </c>
      <c r="P307" s="21"/>
      <c r="Q307" s="1" t="s">
        <v>117</v>
      </c>
      <c r="R307" s="1" t="s">
        <v>79</v>
      </c>
      <c r="S307" s="1" t="s">
        <v>81</v>
      </c>
      <c r="T307" s="1" t="s">
        <v>81</v>
      </c>
      <c r="U307" s="1" t="s">
        <v>0</v>
      </c>
      <c r="V307" s="1" t="s">
        <v>0</v>
      </c>
      <c r="W307" s="22" t="s">
        <v>82</v>
      </c>
      <c r="X307" s="20">
        <v>192.6</v>
      </c>
      <c r="Y307" s="1" t="s">
        <v>0</v>
      </c>
      <c r="Z307" s="1" t="s">
        <v>0</v>
      </c>
      <c r="AA307" s="23" t="s">
        <v>85</v>
      </c>
      <c r="AB307" s="1">
        <v>500.0</v>
      </c>
      <c r="AC307" s="1">
        <v>500.0</v>
      </c>
      <c r="AD307" s="1" t="s">
        <v>1372</v>
      </c>
      <c r="AE307" s="1">
        <v>3.0</v>
      </c>
      <c r="AF307" s="5" t="s">
        <v>125</v>
      </c>
      <c r="AG307" s="5" t="s">
        <v>174</v>
      </c>
      <c r="AI307" s="5" t="s">
        <v>1186</v>
      </c>
      <c r="AJ307" s="5" t="s">
        <v>1374</v>
      </c>
      <c r="AK307" s="5" t="s">
        <v>1155</v>
      </c>
      <c r="AL307" s="5" t="s">
        <v>131</v>
      </c>
    </row>
    <row r="308" ht="16.5" customHeight="1">
      <c r="A308" s="5" t="s">
        <v>60</v>
      </c>
      <c r="B308" s="1" t="b">
        <v>1</v>
      </c>
      <c r="C308" s="1" t="s">
        <v>1375</v>
      </c>
      <c r="D308" s="1" t="s">
        <v>1376</v>
      </c>
      <c r="E308" s="1" t="s">
        <v>1109</v>
      </c>
      <c r="F308" s="1" t="s">
        <v>66</v>
      </c>
      <c r="G308" s="1" t="s">
        <v>1119</v>
      </c>
      <c r="H308" s="1" t="s">
        <v>69</v>
      </c>
      <c r="I308" s="1" t="s">
        <v>249</v>
      </c>
      <c r="J308" s="1"/>
      <c r="K308" s="1" t="b">
        <v>1</v>
      </c>
      <c r="L308" s="1" t="b">
        <v>0</v>
      </c>
      <c r="M308" s="19">
        <v>900.0</v>
      </c>
      <c r="N308" s="20">
        <v>2.08</v>
      </c>
      <c r="O308" s="20">
        <v>432.69</v>
      </c>
      <c r="P308" s="21"/>
      <c r="Q308" s="1" t="s">
        <v>117</v>
      </c>
      <c r="R308" s="1" t="s">
        <v>79</v>
      </c>
      <c r="S308" s="1" t="s">
        <v>81</v>
      </c>
      <c r="T308" s="1" t="s">
        <v>81</v>
      </c>
      <c r="U308" s="1" t="s">
        <v>0</v>
      </c>
      <c r="V308" s="1" t="s">
        <v>0</v>
      </c>
      <c r="W308" s="22" t="s">
        <v>82</v>
      </c>
      <c r="X308" s="20">
        <v>194.04999999999998</v>
      </c>
      <c r="Y308" s="1" t="s">
        <v>0</v>
      </c>
      <c r="Z308" s="1" t="s">
        <v>0</v>
      </c>
      <c r="AA308" s="23" t="s">
        <v>173</v>
      </c>
      <c r="AB308" s="1">
        <v>500.0</v>
      </c>
      <c r="AC308" s="1">
        <v>500.0</v>
      </c>
      <c r="AD308" s="1" t="s">
        <v>1375</v>
      </c>
      <c r="AE308" s="1">
        <v>4.0</v>
      </c>
      <c r="AF308" s="5" t="s">
        <v>125</v>
      </c>
      <c r="AG308" s="5" t="s">
        <v>174</v>
      </c>
      <c r="AI308" s="5" t="s">
        <v>1186</v>
      </c>
      <c r="AJ308" s="5" t="s">
        <v>1187</v>
      </c>
      <c r="AL308" s="5" t="s">
        <v>131</v>
      </c>
    </row>
    <row r="309" ht="16.5" customHeight="1">
      <c r="A309" s="5" t="s">
        <v>60</v>
      </c>
      <c r="B309" s="1" t="b">
        <v>1</v>
      </c>
      <c r="C309" s="1" t="s">
        <v>1377</v>
      </c>
      <c r="D309" s="1" t="s">
        <v>1378</v>
      </c>
      <c r="E309" s="1" t="s">
        <v>1109</v>
      </c>
      <c r="F309" s="1" t="s">
        <v>66</v>
      </c>
      <c r="G309" s="1" t="s">
        <v>248</v>
      </c>
      <c r="H309" s="1" t="s">
        <v>69</v>
      </c>
      <c r="I309" s="1" t="s">
        <v>249</v>
      </c>
      <c r="J309" s="1"/>
      <c r="K309" s="1" t="b">
        <v>1</v>
      </c>
      <c r="L309" s="1" t="b">
        <v>0</v>
      </c>
      <c r="M309" s="19">
        <v>800.0</v>
      </c>
      <c r="N309" s="20">
        <v>2.08</v>
      </c>
      <c r="O309" s="20">
        <v>384.62</v>
      </c>
      <c r="P309" s="21"/>
      <c r="Q309" s="1" t="s">
        <v>117</v>
      </c>
      <c r="R309" s="1" t="s">
        <v>145</v>
      </c>
      <c r="S309" s="1" t="s">
        <v>81</v>
      </c>
      <c r="T309" s="1" t="s">
        <v>81</v>
      </c>
      <c r="U309" s="1" t="s">
        <v>0</v>
      </c>
      <c r="V309" s="1" t="s">
        <v>0</v>
      </c>
      <c r="W309" s="22" t="s">
        <v>82</v>
      </c>
      <c r="X309" s="20">
        <v>156.8</v>
      </c>
      <c r="Y309" s="1" t="s">
        <v>0</v>
      </c>
      <c r="Z309" s="1" t="s">
        <v>0</v>
      </c>
      <c r="AA309" s="23" t="s">
        <v>173</v>
      </c>
      <c r="AB309" s="1">
        <v>500.0</v>
      </c>
      <c r="AC309" s="1">
        <v>500.0</v>
      </c>
      <c r="AD309" s="1" t="s">
        <v>1377</v>
      </c>
      <c r="AE309" s="1">
        <v>2.0</v>
      </c>
      <c r="AF309" s="5" t="s">
        <v>125</v>
      </c>
      <c r="AG309" s="5" t="s">
        <v>174</v>
      </c>
      <c r="AI309" s="5" t="s">
        <v>248</v>
      </c>
      <c r="AJ309" s="5" t="s">
        <v>1146</v>
      </c>
      <c r="AK309" s="5" t="s">
        <v>1147</v>
      </c>
      <c r="AL309" s="5" t="s">
        <v>131</v>
      </c>
    </row>
    <row r="310" ht="16.5" customHeight="1">
      <c r="A310" s="5" t="s">
        <v>60</v>
      </c>
      <c r="B310" s="1" t="b">
        <v>1</v>
      </c>
      <c r="C310" s="1" t="s">
        <v>1379</v>
      </c>
      <c r="D310" s="1" t="s">
        <v>1380</v>
      </c>
      <c r="E310" s="1" t="s">
        <v>1109</v>
      </c>
      <c r="F310" s="1" t="s">
        <v>247</v>
      </c>
      <c r="G310" s="1" t="s">
        <v>1119</v>
      </c>
      <c r="H310" s="1" t="s">
        <v>69</v>
      </c>
      <c r="I310" s="1" t="s">
        <v>249</v>
      </c>
      <c r="J310" s="1"/>
      <c r="K310" s="1" t="b">
        <v>1</v>
      </c>
      <c r="L310" s="1" t="b">
        <v>0</v>
      </c>
      <c r="M310" s="19">
        <v>1500.0</v>
      </c>
      <c r="N310" s="20">
        <v>2.08</v>
      </c>
      <c r="O310" s="20">
        <v>721.15</v>
      </c>
      <c r="P310" s="21"/>
      <c r="Q310" s="1" t="s">
        <v>117</v>
      </c>
      <c r="R310" s="1" t="s">
        <v>358</v>
      </c>
      <c r="S310" s="1" t="s">
        <v>81</v>
      </c>
      <c r="T310" s="1" t="s">
        <v>81</v>
      </c>
      <c r="U310" s="1" t="s">
        <v>0</v>
      </c>
      <c r="V310" s="1" t="s">
        <v>0</v>
      </c>
      <c r="W310" s="22" t="s">
        <v>82</v>
      </c>
      <c r="X310" s="20">
        <v>278.19</v>
      </c>
      <c r="Y310" s="1" t="s">
        <v>0</v>
      </c>
      <c r="Z310" s="1" t="s">
        <v>0</v>
      </c>
      <c r="AA310" s="23" t="s">
        <v>173</v>
      </c>
      <c r="AB310" s="1">
        <v>500.0</v>
      </c>
      <c r="AC310" s="1">
        <v>500.0</v>
      </c>
      <c r="AD310" s="1" t="s">
        <v>1379</v>
      </c>
      <c r="AE310" s="1">
        <v>2.0</v>
      </c>
      <c r="AF310" s="5" t="s">
        <v>125</v>
      </c>
      <c r="AG310" s="5" t="s">
        <v>174</v>
      </c>
      <c r="AI310" s="5" t="s">
        <v>1120</v>
      </c>
      <c r="AJ310" s="5" t="s">
        <v>1121</v>
      </c>
      <c r="AK310" s="5" t="s">
        <v>1155</v>
      </c>
      <c r="AL310" s="5" t="s">
        <v>131</v>
      </c>
    </row>
    <row r="311" ht="16.5" customHeight="1">
      <c r="A311" s="5" t="s">
        <v>60</v>
      </c>
      <c r="B311" s="1" t="b">
        <v>1</v>
      </c>
      <c r="C311" s="1" t="s">
        <v>1382</v>
      </c>
      <c r="D311" s="1" t="s">
        <v>1383</v>
      </c>
      <c r="E311" s="1" t="s">
        <v>1109</v>
      </c>
      <c r="F311" s="1" t="s">
        <v>66</v>
      </c>
      <c r="G311" s="1" t="s">
        <v>1162</v>
      </c>
      <c r="H311" s="1" t="s">
        <v>69</v>
      </c>
      <c r="I311" s="1" t="s">
        <v>249</v>
      </c>
      <c r="J311" s="1"/>
      <c r="K311" s="1" t="b">
        <v>0</v>
      </c>
      <c r="L311" s="1" t="b">
        <v>1</v>
      </c>
      <c r="M311" s="19">
        <v>1100.0</v>
      </c>
      <c r="N311" s="20">
        <v>2.08</v>
      </c>
      <c r="O311" s="20">
        <v>528.85</v>
      </c>
      <c r="P311" s="21"/>
      <c r="Q311" s="1" t="s">
        <v>117</v>
      </c>
      <c r="R311" s="1" t="s">
        <v>145</v>
      </c>
      <c r="S311" s="1" t="s">
        <v>81</v>
      </c>
      <c r="T311" s="1" t="s">
        <v>81</v>
      </c>
      <c r="U311" s="1" t="s">
        <v>0</v>
      </c>
      <c r="V311" s="1" t="s">
        <v>0</v>
      </c>
      <c r="W311" s="22" t="s">
        <v>992</v>
      </c>
      <c r="X311" s="20">
        <v>232.54</v>
      </c>
      <c r="Y311" s="1" t="s">
        <v>1385</v>
      </c>
      <c r="Z311" s="1" t="s">
        <v>1383</v>
      </c>
      <c r="AA311" s="23" t="s">
        <v>85</v>
      </c>
      <c r="AB311" s="1">
        <v>500.0</v>
      </c>
      <c r="AC311" s="1">
        <v>500.0</v>
      </c>
      <c r="AD311" s="1" t="s">
        <v>1382</v>
      </c>
      <c r="AE311" s="1">
        <v>3.0</v>
      </c>
      <c r="AF311" s="5" t="s">
        <v>125</v>
      </c>
      <c r="AG311" s="5" t="s">
        <v>174</v>
      </c>
      <c r="AI311" s="5" t="s">
        <v>1120</v>
      </c>
      <c r="AJ311" s="5" t="s">
        <v>1121</v>
      </c>
      <c r="AK311" s="5" t="s">
        <v>1155</v>
      </c>
      <c r="AL311" s="5" t="s">
        <v>131</v>
      </c>
    </row>
    <row r="312" ht="16.5" customHeight="1">
      <c r="A312" s="5" t="s">
        <v>60</v>
      </c>
      <c r="B312" s="1" t="b">
        <v>1</v>
      </c>
      <c r="C312" s="1" t="s">
        <v>1386</v>
      </c>
      <c r="D312" s="1" t="s">
        <v>1387</v>
      </c>
      <c r="E312" s="1" t="s">
        <v>1109</v>
      </c>
      <c r="F312" s="1" t="s">
        <v>66</v>
      </c>
      <c r="G312" s="1" t="s">
        <v>1162</v>
      </c>
      <c r="H312" s="1" t="s">
        <v>69</v>
      </c>
      <c r="I312" s="1" t="s">
        <v>249</v>
      </c>
      <c r="J312" s="1"/>
      <c r="K312" s="1" t="b">
        <v>0</v>
      </c>
      <c r="L312" s="1" t="b">
        <v>1</v>
      </c>
      <c r="M312" s="19">
        <v>1300.0</v>
      </c>
      <c r="N312" s="20">
        <v>2.08</v>
      </c>
      <c r="O312" s="20">
        <v>625.0</v>
      </c>
      <c r="P312" s="21"/>
      <c r="Q312" s="1" t="s">
        <v>117</v>
      </c>
      <c r="R312" s="1" t="s">
        <v>145</v>
      </c>
      <c r="S312" s="1" t="s">
        <v>81</v>
      </c>
      <c r="T312" s="1" t="s">
        <v>81</v>
      </c>
      <c r="U312" s="1" t="s">
        <v>0</v>
      </c>
      <c r="V312" s="1" t="s">
        <v>0</v>
      </c>
      <c r="W312" s="22" t="s">
        <v>992</v>
      </c>
      <c r="X312" s="20">
        <v>245.92999999999998</v>
      </c>
      <c r="Y312" s="1" t="s">
        <v>1390</v>
      </c>
      <c r="Z312" s="1" t="s">
        <v>1391</v>
      </c>
      <c r="AA312" s="23" t="s">
        <v>85</v>
      </c>
      <c r="AB312" s="1">
        <v>500.0</v>
      </c>
      <c r="AC312" s="1">
        <v>500.0</v>
      </c>
      <c r="AD312" s="1" t="s">
        <v>1386</v>
      </c>
      <c r="AE312" s="1">
        <v>3.0</v>
      </c>
      <c r="AF312" s="5" t="s">
        <v>125</v>
      </c>
      <c r="AG312" s="5" t="s">
        <v>174</v>
      </c>
      <c r="AI312" s="5" t="s">
        <v>1120</v>
      </c>
      <c r="AJ312" s="5" t="s">
        <v>1121</v>
      </c>
      <c r="AK312" s="5" t="s">
        <v>1155</v>
      </c>
      <c r="AL312" s="5" t="s">
        <v>131</v>
      </c>
    </row>
    <row r="313" ht="16.5" hidden="1" customHeight="1">
      <c r="A313" s="5" t="s">
        <v>60</v>
      </c>
      <c r="B313" s="1" t="b">
        <v>0</v>
      </c>
      <c r="C313" s="1" t="s">
        <v>1392</v>
      </c>
      <c r="D313" s="1" t="s">
        <v>1393</v>
      </c>
      <c r="E313" s="1" t="s">
        <v>65</v>
      </c>
      <c r="F313" s="1" t="s">
        <v>66</v>
      </c>
      <c r="G313" s="1" t="s">
        <v>270</v>
      </c>
      <c r="H313" s="1" t="s">
        <v>96</v>
      </c>
      <c r="I313" s="1" t="s">
        <v>70</v>
      </c>
      <c r="J313" s="1"/>
      <c r="K313" s="1" t="b">
        <v>0</v>
      </c>
      <c r="L313" s="1" t="b">
        <v>0</v>
      </c>
      <c r="M313" s="19">
        <v>900.0</v>
      </c>
      <c r="N313" s="20">
        <v>2.1</v>
      </c>
      <c r="O313" s="20">
        <v>428.57</v>
      </c>
      <c r="P313" s="21"/>
      <c r="Q313" s="1" t="s">
        <v>78</v>
      </c>
      <c r="R313" s="1" t="s">
        <v>1394</v>
      </c>
      <c r="S313" s="1" t="s">
        <v>273</v>
      </c>
      <c r="T313" s="1" t="s">
        <v>81</v>
      </c>
      <c r="U313" s="1"/>
      <c r="V313" s="1" t="s">
        <v>386</v>
      </c>
      <c r="W313" s="22" t="s">
        <v>202</v>
      </c>
      <c r="X313" s="20">
        <v>139.12</v>
      </c>
      <c r="Y313" s="1" t="s">
        <v>0</v>
      </c>
      <c r="Z313" s="1" t="s">
        <v>0</v>
      </c>
      <c r="AA313" s="23" t="s">
        <v>1394</v>
      </c>
      <c r="AB313" s="1">
        <v>1000.0</v>
      </c>
      <c r="AC313" s="1">
        <v>300.0</v>
      </c>
      <c r="AD313" s="1" t="s">
        <v>1392</v>
      </c>
      <c r="AE313" s="1">
        <v>0.0</v>
      </c>
      <c r="AF313" s="5" t="s">
        <v>125</v>
      </c>
      <c r="AG313" s="5" t="s">
        <v>127</v>
      </c>
      <c r="AI313" s="5" t="s">
        <v>276</v>
      </c>
      <c r="AJ313" s="5" t="s">
        <v>89</v>
      </c>
      <c r="AK313" s="5" t="s">
        <v>501</v>
      </c>
      <c r="AL313" s="5" t="s">
        <v>131</v>
      </c>
      <c r="AM313" s="5" t="s">
        <v>910</v>
      </c>
    </row>
    <row r="314" ht="16.5" hidden="1" customHeight="1">
      <c r="A314" s="5" t="s">
        <v>60</v>
      </c>
      <c r="B314" s="1" t="b">
        <v>0</v>
      </c>
      <c r="C314" s="1" t="s">
        <v>1395</v>
      </c>
      <c r="D314" s="1" t="s">
        <v>1396</v>
      </c>
      <c r="E314" s="1" t="s">
        <v>65</v>
      </c>
      <c r="F314" s="1" t="s">
        <v>66</v>
      </c>
      <c r="G314" s="1" t="s">
        <v>270</v>
      </c>
      <c r="H314" s="1" t="s">
        <v>96</v>
      </c>
      <c r="I314" s="1" t="s">
        <v>107</v>
      </c>
      <c r="J314" s="1"/>
      <c r="K314" s="1" t="b">
        <v>0</v>
      </c>
      <c r="L314" s="1" t="b">
        <v>0</v>
      </c>
      <c r="M314" s="19">
        <v>900.0</v>
      </c>
      <c r="N314" s="20">
        <v>2.1</v>
      </c>
      <c r="O314" s="20">
        <v>428.57</v>
      </c>
      <c r="P314" s="21"/>
      <c r="Q314" s="1" t="s">
        <v>78</v>
      </c>
      <c r="R314" s="1" t="s">
        <v>1394</v>
      </c>
      <c r="S314" s="1" t="s">
        <v>273</v>
      </c>
      <c r="T314" s="1" t="s">
        <v>81</v>
      </c>
      <c r="U314" s="1"/>
      <c r="V314" s="1" t="s">
        <v>386</v>
      </c>
      <c r="W314" s="22" t="s">
        <v>202</v>
      </c>
      <c r="X314" s="20">
        <v>130.98000000000002</v>
      </c>
      <c r="Y314" s="1" t="s">
        <v>0</v>
      </c>
      <c r="Z314" s="1" t="s">
        <v>0</v>
      </c>
      <c r="AA314" s="23" t="s">
        <v>1394</v>
      </c>
      <c r="AB314" s="1">
        <v>1000.0</v>
      </c>
      <c r="AC314" s="1">
        <v>300.0</v>
      </c>
      <c r="AD314" s="1" t="s">
        <v>1395</v>
      </c>
      <c r="AE314" s="1">
        <v>0.0</v>
      </c>
      <c r="AF314" s="5" t="s">
        <v>125</v>
      </c>
      <c r="AG314" s="5" t="s">
        <v>127</v>
      </c>
      <c r="AI314" s="5" t="s">
        <v>276</v>
      </c>
      <c r="AJ314" s="5" t="s">
        <v>89</v>
      </c>
      <c r="AK314" s="5" t="s">
        <v>501</v>
      </c>
      <c r="AL314" s="5" t="s">
        <v>131</v>
      </c>
      <c r="AM314" s="5" t="s">
        <v>910</v>
      </c>
    </row>
    <row r="315" ht="16.5" hidden="1" customHeight="1">
      <c r="A315" s="5" t="s">
        <v>60</v>
      </c>
      <c r="B315" s="1" t="b">
        <v>0</v>
      </c>
      <c r="C315" s="1" t="s">
        <v>1398</v>
      </c>
      <c r="D315" s="1" t="s">
        <v>1399</v>
      </c>
      <c r="E315" s="1" t="s">
        <v>65</v>
      </c>
      <c r="F315" s="1" t="s">
        <v>66</v>
      </c>
      <c r="G315" s="1" t="s">
        <v>113</v>
      </c>
      <c r="H315" s="1" t="s">
        <v>69</v>
      </c>
      <c r="I315" s="1" t="s">
        <v>70</v>
      </c>
      <c r="J315" s="1"/>
      <c r="K315" s="1" t="b">
        <v>1</v>
      </c>
      <c r="L315" s="1" t="b">
        <v>0</v>
      </c>
      <c r="M315" s="19">
        <v>1800.0</v>
      </c>
      <c r="N315" s="20">
        <v>2.1</v>
      </c>
      <c r="O315" s="20">
        <v>857.14</v>
      </c>
      <c r="P315" s="21"/>
      <c r="Q315" s="1" t="s">
        <v>117</v>
      </c>
      <c r="R315" s="1" t="s">
        <v>1394</v>
      </c>
      <c r="S315" s="1" t="s">
        <v>81</v>
      </c>
      <c r="T315" s="1" t="s">
        <v>81</v>
      </c>
      <c r="U315" s="1"/>
      <c r="V315" s="1" t="s">
        <v>0</v>
      </c>
      <c r="W315" s="22" t="s">
        <v>82</v>
      </c>
      <c r="X315" s="20">
        <v>259.6</v>
      </c>
      <c r="Y315" s="1" t="s">
        <v>0</v>
      </c>
      <c r="Z315" s="1" t="s">
        <v>0</v>
      </c>
      <c r="AA315" s="23" t="s">
        <v>1394</v>
      </c>
      <c r="AB315" s="1">
        <v>2000.0</v>
      </c>
      <c r="AC315" s="1">
        <v>500.0</v>
      </c>
      <c r="AD315" s="1" t="s">
        <v>1398</v>
      </c>
      <c r="AE315" s="1">
        <v>0.0</v>
      </c>
      <c r="AF315" s="5" t="s">
        <v>125</v>
      </c>
      <c r="AG315" s="5" t="s">
        <v>127</v>
      </c>
      <c r="AI315" s="5" t="s">
        <v>126</v>
      </c>
      <c r="AJ315" s="5" t="s">
        <v>128</v>
      </c>
      <c r="AK315" s="5" t="s">
        <v>130</v>
      </c>
      <c r="AL315" s="5" t="s">
        <v>131</v>
      </c>
      <c r="AM315" s="5" t="s">
        <v>910</v>
      </c>
    </row>
    <row r="316" ht="16.5" hidden="1" customHeight="1">
      <c r="A316" s="5" t="s">
        <v>60</v>
      </c>
      <c r="B316" s="1" t="b">
        <v>0</v>
      </c>
      <c r="C316" s="1" t="s">
        <v>1400</v>
      </c>
      <c r="D316" s="1" t="s">
        <v>1401</v>
      </c>
      <c r="E316" s="1" t="s">
        <v>65</v>
      </c>
      <c r="F316" s="1" t="s">
        <v>66</v>
      </c>
      <c r="G316" s="1" t="s">
        <v>113</v>
      </c>
      <c r="H316" s="1" t="s">
        <v>69</v>
      </c>
      <c r="I316" s="1" t="s">
        <v>107</v>
      </c>
      <c r="J316" s="1"/>
      <c r="K316" s="1" t="b">
        <v>1</v>
      </c>
      <c r="L316" s="1" t="b">
        <v>0</v>
      </c>
      <c r="M316" s="19">
        <v>1800.0</v>
      </c>
      <c r="N316" s="20">
        <v>2.1</v>
      </c>
      <c r="O316" s="20">
        <v>857.14</v>
      </c>
      <c r="P316" s="21"/>
      <c r="Q316" s="1" t="s">
        <v>117</v>
      </c>
      <c r="R316" s="1" t="s">
        <v>1394</v>
      </c>
      <c r="S316" s="1" t="s">
        <v>81</v>
      </c>
      <c r="T316" s="1" t="s">
        <v>81</v>
      </c>
      <c r="U316" s="1"/>
      <c r="V316" s="1" t="s">
        <v>0</v>
      </c>
      <c r="W316" s="22" t="s">
        <v>82</v>
      </c>
      <c r="X316" s="20">
        <v>308.75000000000006</v>
      </c>
      <c r="Y316" s="1" t="s">
        <v>0</v>
      </c>
      <c r="Z316" s="1" t="s">
        <v>0</v>
      </c>
      <c r="AA316" s="23" t="s">
        <v>1394</v>
      </c>
      <c r="AB316" s="1">
        <v>1000.0</v>
      </c>
      <c r="AC316" s="1">
        <v>300.0</v>
      </c>
      <c r="AD316" s="1" t="s">
        <v>1400</v>
      </c>
      <c r="AE316" s="1">
        <v>0.0</v>
      </c>
      <c r="AF316" s="5" t="s">
        <v>125</v>
      </c>
      <c r="AG316" s="5" t="s">
        <v>127</v>
      </c>
      <c r="AI316" s="5" t="s">
        <v>126</v>
      </c>
      <c r="AJ316" s="5" t="s">
        <v>128</v>
      </c>
      <c r="AK316" s="5" t="s">
        <v>130</v>
      </c>
      <c r="AL316" s="5" t="s">
        <v>131</v>
      </c>
      <c r="AM316" s="5" t="s">
        <v>910</v>
      </c>
    </row>
    <row r="317" ht="16.5" hidden="1" customHeight="1">
      <c r="A317" s="5" t="s">
        <v>60</v>
      </c>
      <c r="B317" s="1" t="b">
        <v>0</v>
      </c>
      <c r="C317" s="1" t="s">
        <v>1403</v>
      </c>
      <c r="D317" s="1" t="s">
        <v>1404</v>
      </c>
      <c r="E317" s="1" t="s">
        <v>65</v>
      </c>
      <c r="F317" s="1" t="s">
        <v>66</v>
      </c>
      <c r="G317" s="1" t="s">
        <v>113</v>
      </c>
      <c r="H317" s="1" t="s">
        <v>69</v>
      </c>
      <c r="I317" s="1" t="s">
        <v>107</v>
      </c>
      <c r="J317" s="1"/>
      <c r="K317" s="1" t="b">
        <v>1</v>
      </c>
      <c r="L317" s="1" t="b">
        <v>0</v>
      </c>
      <c r="M317" s="19">
        <v>800.0</v>
      </c>
      <c r="N317" s="20">
        <v>2.1</v>
      </c>
      <c r="O317" s="20">
        <v>380.95</v>
      </c>
      <c r="P317" s="21"/>
      <c r="Q317" s="1" t="s">
        <v>117</v>
      </c>
      <c r="R317" s="1" t="s">
        <v>1394</v>
      </c>
      <c r="S317" s="1" t="s">
        <v>81</v>
      </c>
      <c r="T317" s="1" t="s">
        <v>81</v>
      </c>
      <c r="U317" s="1"/>
      <c r="V317" s="1" t="s">
        <v>0</v>
      </c>
      <c r="W317" s="22" t="s">
        <v>82</v>
      </c>
      <c r="X317" s="20">
        <v>103.78999999999999</v>
      </c>
      <c r="Y317" s="1" t="s">
        <v>0</v>
      </c>
      <c r="Z317" s="1" t="s">
        <v>0</v>
      </c>
      <c r="AA317" s="23" t="s">
        <v>1394</v>
      </c>
      <c r="AB317" s="1">
        <v>1000.0</v>
      </c>
      <c r="AC317" s="1">
        <v>300.0</v>
      </c>
      <c r="AD317" s="1" t="s">
        <v>1403</v>
      </c>
      <c r="AE317" s="1">
        <v>0.0</v>
      </c>
      <c r="AF317" s="5" t="s">
        <v>125</v>
      </c>
      <c r="AG317" s="5" t="s">
        <v>127</v>
      </c>
      <c r="AI317" s="5" t="s">
        <v>126</v>
      </c>
      <c r="AJ317" s="5" t="s">
        <v>1032</v>
      </c>
      <c r="AK317" s="5" t="s">
        <v>130</v>
      </c>
      <c r="AL317" s="5" t="s">
        <v>131</v>
      </c>
      <c r="AM317" s="5" t="s">
        <v>910</v>
      </c>
    </row>
    <row r="318" ht="16.5" hidden="1" customHeight="1">
      <c r="A318" s="5" t="s">
        <v>60</v>
      </c>
      <c r="B318" s="1" t="b">
        <v>0</v>
      </c>
      <c r="C318" s="1" t="s">
        <v>1405</v>
      </c>
      <c r="D318" s="1" t="s">
        <v>1406</v>
      </c>
      <c r="E318" s="1" t="s">
        <v>1002</v>
      </c>
      <c r="F318" s="1" t="s">
        <v>109</v>
      </c>
      <c r="G318" s="1" t="s">
        <v>1096</v>
      </c>
      <c r="H318" s="1" t="s">
        <v>69</v>
      </c>
      <c r="I318" s="1" t="s">
        <v>70</v>
      </c>
      <c r="J318" s="1"/>
      <c r="K318" s="1" t="b">
        <v>0</v>
      </c>
      <c r="L318" s="1" t="b">
        <v>0</v>
      </c>
      <c r="M318" s="19">
        <v>800.0</v>
      </c>
      <c r="N318" s="20">
        <v>2.08</v>
      </c>
      <c r="O318" s="20">
        <v>384.62</v>
      </c>
      <c r="P318" s="21"/>
      <c r="Q318" s="1" t="s">
        <v>78</v>
      </c>
      <c r="R318" s="1" t="s">
        <v>1394</v>
      </c>
      <c r="S318" s="1" t="s">
        <v>81</v>
      </c>
      <c r="T318" s="1" t="s">
        <v>81</v>
      </c>
      <c r="U318" s="1"/>
      <c r="V318" s="1" t="s">
        <v>0</v>
      </c>
      <c r="W318" s="22" t="s">
        <v>202</v>
      </c>
      <c r="X318" s="20">
        <v>192.59</v>
      </c>
      <c r="Y318" s="1" t="s">
        <v>0</v>
      </c>
      <c r="Z318" s="1" t="s">
        <v>0</v>
      </c>
      <c r="AA318" s="23" t="s">
        <v>1394</v>
      </c>
      <c r="AB318" s="1">
        <v>600.0</v>
      </c>
      <c r="AC318" s="1">
        <v>600.0</v>
      </c>
      <c r="AD318" s="1" t="s">
        <v>1405</v>
      </c>
      <c r="AE318" s="1">
        <v>0.0</v>
      </c>
      <c r="AF318" s="5" t="s">
        <v>86</v>
      </c>
      <c r="AG318" s="5" t="s">
        <v>512</v>
      </c>
      <c r="AL318" s="5" t="s">
        <v>131</v>
      </c>
      <c r="AM318" s="5" t="s">
        <v>1115</v>
      </c>
    </row>
    <row r="319" ht="16.5" hidden="1" customHeight="1">
      <c r="A319" s="5" t="s">
        <v>60</v>
      </c>
      <c r="B319" s="1" t="b">
        <v>0</v>
      </c>
      <c r="C319" s="1" t="s">
        <v>1407</v>
      </c>
      <c r="D319" s="1" t="s">
        <v>1408</v>
      </c>
      <c r="E319" s="1" t="s">
        <v>1002</v>
      </c>
      <c r="F319" s="1" t="s">
        <v>109</v>
      </c>
      <c r="G319" s="1" t="s">
        <v>1096</v>
      </c>
      <c r="H319" s="1" t="s">
        <v>69</v>
      </c>
      <c r="I319" s="1" t="s">
        <v>70</v>
      </c>
      <c r="J319" s="1"/>
      <c r="K319" s="1" t="b">
        <v>0</v>
      </c>
      <c r="L319" s="1" t="b">
        <v>0</v>
      </c>
      <c r="M319" s="19">
        <v>800.0</v>
      </c>
      <c r="N319" s="20">
        <v>2.08</v>
      </c>
      <c r="O319" s="20">
        <v>384.62</v>
      </c>
      <c r="P319" s="21"/>
      <c r="Q319" s="1" t="s">
        <v>78</v>
      </c>
      <c r="R319" s="1" t="s">
        <v>1394</v>
      </c>
      <c r="S319" s="1" t="s">
        <v>81</v>
      </c>
      <c r="T319" s="1" t="s">
        <v>81</v>
      </c>
      <c r="U319" s="1"/>
      <c r="V319" s="1" t="s">
        <v>0</v>
      </c>
      <c r="W319" s="22" t="s">
        <v>202</v>
      </c>
      <c r="X319" s="20">
        <v>192.59</v>
      </c>
      <c r="Y319" s="1" t="s">
        <v>0</v>
      </c>
      <c r="Z319" s="1" t="s">
        <v>0</v>
      </c>
      <c r="AA319" s="23" t="s">
        <v>1394</v>
      </c>
      <c r="AB319" s="1">
        <v>600.0</v>
      </c>
      <c r="AC319" s="1">
        <v>600.0</v>
      </c>
      <c r="AD319" s="1" t="s">
        <v>1407</v>
      </c>
      <c r="AE319" s="1">
        <v>0.0</v>
      </c>
      <c r="AF319" s="5" t="s">
        <v>86</v>
      </c>
      <c r="AG319" s="5" t="s">
        <v>512</v>
      </c>
      <c r="AL319" s="5" t="s">
        <v>131</v>
      </c>
      <c r="AM319" s="5" t="s">
        <v>1115</v>
      </c>
    </row>
    <row r="320" ht="16.5" hidden="1" customHeight="1">
      <c r="A320" s="5" t="s">
        <v>60</v>
      </c>
      <c r="B320" s="1" t="b">
        <v>0</v>
      </c>
      <c r="C320" s="1" t="s">
        <v>1409</v>
      </c>
      <c r="D320" s="1" t="s">
        <v>1410</v>
      </c>
      <c r="E320" s="1" t="s">
        <v>1109</v>
      </c>
      <c r="F320" s="1" t="s">
        <v>66</v>
      </c>
      <c r="G320" s="1" t="s">
        <v>1119</v>
      </c>
      <c r="H320" s="1" t="s">
        <v>69</v>
      </c>
      <c r="I320" s="1" t="s">
        <v>249</v>
      </c>
      <c r="J320" s="1"/>
      <c r="K320" s="1" t="b">
        <v>1</v>
      </c>
      <c r="L320" s="1" t="b">
        <v>0</v>
      </c>
      <c r="M320" s="19">
        <v>1400.0</v>
      </c>
      <c r="N320" s="20">
        <v>2.08</v>
      </c>
      <c r="O320" s="20">
        <v>673.08</v>
      </c>
      <c r="P320" s="21"/>
      <c r="Q320" s="1" t="s">
        <v>117</v>
      </c>
      <c r="R320" s="1" t="s">
        <v>1394</v>
      </c>
      <c r="S320" s="1" t="s">
        <v>81</v>
      </c>
      <c r="T320" s="1" t="s">
        <v>81</v>
      </c>
      <c r="U320" s="1"/>
      <c r="V320" s="1" t="s">
        <v>0</v>
      </c>
      <c r="W320" s="22" t="s">
        <v>82</v>
      </c>
      <c r="X320" s="20">
        <v>265.12</v>
      </c>
      <c r="Y320" s="1" t="s">
        <v>0</v>
      </c>
      <c r="Z320" s="1" t="s">
        <v>0</v>
      </c>
      <c r="AA320" s="23" t="s">
        <v>1394</v>
      </c>
      <c r="AB320" s="1">
        <v>500.0</v>
      </c>
      <c r="AC320" s="1">
        <v>500.0</v>
      </c>
      <c r="AD320" s="1" t="s">
        <v>1409</v>
      </c>
      <c r="AE320" s="1">
        <v>0.0</v>
      </c>
      <c r="AF320" s="5" t="s">
        <v>125</v>
      </c>
      <c r="AG320" s="5" t="s">
        <v>127</v>
      </c>
      <c r="AI320" s="5" t="s">
        <v>1120</v>
      </c>
      <c r="AJ320" s="5" t="s">
        <v>1121</v>
      </c>
      <c r="AK320" s="5" t="s">
        <v>1155</v>
      </c>
      <c r="AL320" s="5" t="s">
        <v>131</v>
      </c>
      <c r="AM320" s="5" t="s">
        <v>1266</v>
      </c>
    </row>
    <row r="321" ht="16.5" hidden="1" customHeight="1">
      <c r="A321" s="5" t="s">
        <v>60</v>
      </c>
      <c r="B321" s="1" t="b">
        <v>0</v>
      </c>
      <c r="C321" s="1" t="s">
        <v>1413</v>
      </c>
      <c r="D321" s="1" t="s">
        <v>1414</v>
      </c>
      <c r="E321" s="1" t="s">
        <v>1109</v>
      </c>
      <c r="F321" s="1" t="s">
        <v>66</v>
      </c>
      <c r="G321" s="1" t="s">
        <v>1110</v>
      </c>
      <c r="H321" s="1" t="s">
        <v>69</v>
      </c>
      <c r="I321" s="1" t="s">
        <v>249</v>
      </c>
      <c r="J321" s="1"/>
      <c r="K321" s="1" t="b">
        <v>1</v>
      </c>
      <c r="L321" s="1" t="b">
        <v>0</v>
      </c>
      <c r="M321" s="19">
        <v>5500.0</v>
      </c>
      <c r="N321" s="20">
        <v>2.08</v>
      </c>
      <c r="O321" s="20">
        <v>2644.23</v>
      </c>
      <c r="P321" s="21"/>
      <c r="Q321" s="1" t="s">
        <v>117</v>
      </c>
      <c r="R321" s="1" t="s">
        <v>1394</v>
      </c>
      <c r="S321" s="1" t="s">
        <v>359</v>
      </c>
      <c r="T321" s="1" t="s">
        <v>81</v>
      </c>
      <c r="U321" s="1"/>
      <c r="V321" s="1" t="s">
        <v>0</v>
      </c>
      <c r="W321" s="22" t="s">
        <v>82</v>
      </c>
      <c r="X321" s="20">
        <v>1251.4</v>
      </c>
      <c r="Y321" s="1" t="s">
        <v>0</v>
      </c>
      <c r="Z321" s="1" t="s">
        <v>0</v>
      </c>
      <c r="AA321" s="23" t="s">
        <v>1394</v>
      </c>
      <c r="AB321" s="1">
        <v>800.0</v>
      </c>
      <c r="AC321" s="1">
        <v>100.0</v>
      </c>
      <c r="AD321" s="1" t="s">
        <v>1413</v>
      </c>
      <c r="AE321" s="1">
        <v>0.0</v>
      </c>
      <c r="AF321" s="5" t="s">
        <v>86</v>
      </c>
      <c r="AG321" s="5" t="s">
        <v>121</v>
      </c>
      <c r="AI321" s="5" t="s">
        <v>1112</v>
      </c>
      <c r="AJ321" s="5" t="s">
        <v>1113</v>
      </c>
      <c r="AK321" s="5" t="s">
        <v>1170</v>
      </c>
      <c r="AL321" s="5" t="s">
        <v>131</v>
      </c>
      <c r="AM321" s="5" t="s">
        <v>1115</v>
      </c>
    </row>
    <row r="322" ht="16.5" customHeight="1">
      <c r="A322" s="5" t="s">
        <v>60</v>
      </c>
      <c r="B322" s="1" t="b">
        <v>1</v>
      </c>
      <c r="C322" s="1" t="s">
        <v>467</v>
      </c>
      <c r="D322" s="1" t="s">
        <v>468</v>
      </c>
      <c r="E322" s="1" t="s">
        <v>65</v>
      </c>
      <c r="F322" s="1" t="s">
        <v>66</v>
      </c>
      <c r="G322" s="1" t="s">
        <v>68</v>
      </c>
      <c r="H322" s="1" t="s">
        <v>96</v>
      </c>
      <c r="I322" s="1" t="s">
        <v>70</v>
      </c>
      <c r="J322" s="1"/>
      <c r="K322" s="1" t="b">
        <v>0</v>
      </c>
      <c r="L322" s="1" t="b">
        <v>0</v>
      </c>
      <c r="M322" s="19">
        <v>2000.0</v>
      </c>
      <c r="N322" s="20">
        <v>2.1</v>
      </c>
      <c r="O322" s="20">
        <v>952.38</v>
      </c>
      <c r="P322" s="21"/>
      <c r="Q322" s="1" t="s">
        <v>78</v>
      </c>
      <c r="R322" s="1" t="s">
        <v>97</v>
      </c>
      <c r="S322" s="1" t="s">
        <v>166</v>
      </c>
      <c r="T322" s="1" t="s">
        <v>81</v>
      </c>
      <c r="U322" s="1"/>
      <c r="V322" s="1" t="s">
        <v>471</v>
      </c>
      <c r="W322" s="22" t="s">
        <v>202</v>
      </c>
      <c r="X322" s="20">
        <v>334.57000000000005</v>
      </c>
      <c r="Y322" s="1" t="s">
        <v>0</v>
      </c>
      <c r="Z322" s="1" t="s">
        <v>0</v>
      </c>
      <c r="AA322" s="23" t="s">
        <v>1394</v>
      </c>
      <c r="AB322" s="1">
        <v>1000.0</v>
      </c>
      <c r="AC322" s="1">
        <v>300.0</v>
      </c>
      <c r="AD322" s="1" t="s">
        <v>467</v>
      </c>
      <c r="AE322" s="1">
        <v>5.0</v>
      </c>
      <c r="AF322" s="5" t="s">
        <v>125</v>
      </c>
      <c r="AG322" s="5" t="s">
        <v>174</v>
      </c>
      <c r="AH322" s="32" t="s">
        <v>264</v>
      </c>
      <c r="AI322" s="5" t="s">
        <v>68</v>
      </c>
      <c r="AJ322" s="5" t="s">
        <v>89</v>
      </c>
      <c r="AK322" s="5" t="s">
        <v>90</v>
      </c>
      <c r="AL322" s="5" t="s">
        <v>91</v>
      </c>
    </row>
    <row r="323" ht="16.5" customHeight="1">
      <c r="A323" s="5" t="s">
        <v>60</v>
      </c>
      <c r="B323" s="1" t="b">
        <v>1</v>
      </c>
      <c r="C323" s="1" t="s">
        <v>479</v>
      </c>
      <c r="D323" s="1" t="s">
        <v>481</v>
      </c>
      <c r="E323" s="1" t="s">
        <v>65</v>
      </c>
      <c r="F323" s="1" t="s">
        <v>66</v>
      </c>
      <c r="G323" s="1" t="s">
        <v>68</v>
      </c>
      <c r="H323" s="1" t="s">
        <v>96</v>
      </c>
      <c r="I323" s="1" t="s">
        <v>107</v>
      </c>
      <c r="J323" s="1"/>
      <c r="K323" s="1" t="b">
        <v>0</v>
      </c>
      <c r="L323" s="1" t="b">
        <v>0</v>
      </c>
      <c r="M323" s="19">
        <v>2000.0</v>
      </c>
      <c r="N323" s="20">
        <v>2.1</v>
      </c>
      <c r="O323" s="20">
        <v>952.38</v>
      </c>
      <c r="P323" s="21"/>
      <c r="Q323" s="1" t="s">
        <v>78</v>
      </c>
      <c r="R323" s="1" t="s">
        <v>97</v>
      </c>
      <c r="S323" s="1" t="s">
        <v>166</v>
      </c>
      <c r="T323" s="1" t="s">
        <v>81</v>
      </c>
      <c r="U323" s="1"/>
      <c r="V323" s="1" t="s">
        <v>471</v>
      </c>
      <c r="W323" s="22" t="s">
        <v>202</v>
      </c>
      <c r="X323" s="20">
        <v>314.78000000000003</v>
      </c>
      <c r="Y323" s="1" t="s">
        <v>0</v>
      </c>
      <c r="Z323" s="1" t="s">
        <v>0</v>
      </c>
      <c r="AA323" s="23" t="s">
        <v>1394</v>
      </c>
      <c r="AB323" s="1">
        <v>1000.0</v>
      </c>
      <c r="AC323" s="1">
        <v>300.0</v>
      </c>
      <c r="AD323" s="1" t="s">
        <v>479</v>
      </c>
      <c r="AE323" s="1">
        <v>4.0</v>
      </c>
      <c r="AF323" s="5" t="s">
        <v>125</v>
      </c>
      <c r="AG323" s="5" t="s">
        <v>174</v>
      </c>
      <c r="AH323" s="32" t="s">
        <v>264</v>
      </c>
      <c r="AI323" s="5" t="s">
        <v>68</v>
      </c>
      <c r="AJ323" s="5" t="s">
        <v>89</v>
      </c>
      <c r="AK323" s="5" t="s">
        <v>90</v>
      </c>
      <c r="AL323" s="5" t="s">
        <v>91</v>
      </c>
    </row>
    <row r="324" ht="16.5" customHeight="1">
      <c r="A324" s="5" t="s">
        <v>60</v>
      </c>
      <c r="B324" s="1" t="b">
        <v>1</v>
      </c>
      <c r="C324" s="1" t="s">
        <v>536</v>
      </c>
      <c r="D324" s="1" t="s">
        <v>537</v>
      </c>
      <c r="E324" s="1" t="s">
        <v>65</v>
      </c>
      <c r="F324" s="1" t="s">
        <v>66</v>
      </c>
      <c r="G324" s="1" t="s">
        <v>270</v>
      </c>
      <c r="H324" s="1" t="s">
        <v>96</v>
      </c>
      <c r="I324" s="1" t="s">
        <v>70</v>
      </c>
      <c r="J324" s="1"/>
      <c r="K324" s="1" t="b">
        <v>1</v>
      </c>
      <c r="L324" s="1" t="b">
        <v>0</v>
      </c>
      <c r="M324" s="19">
        <v>900.0</v>
      </c>
      <c r="N324" s="20">
        <v>2.1</v>
      </c>
      <c r="O324" s="20">
        <v>428.57</v>
      </c>
      <c r="P324" s="21"/>
      <c r="Q324" s="1" t="s">
        <v>78</v>
      </c>
      <c r="R324" s="1" t="s">
        <v>97</v>
      </c>
      <c r="S324" s="1" t="s">
        <v>273</v>
      </c>
      <c r="T324" s="1" t="s">
        <v>81</v>
      </c>
      <c r="U324" s="1"/>
      <c r="V324" s="1" t="s">
        <v>471</v>
      </c>
      <c r="W324" s="22" t="s">
        <v>82</v>
      </c>
      <c r="X324" s="20">
        <v>139.42000000000002</v>
      </c>
      <c r="Y324" s="1" t="s">
        <v>0</v>
      </c>
      <c r="Z324" s="1" t="s">
        <v>0</v>
      </c>
      <c r="AA324" s="23" t="s">
        <v>1394</v>
      </c>
      <c r="AB324" s="1">
        <v>1000.0</v>
      </c>
      <c r="AC324" s="1">
        <v>300.0</v>
      </c>
      <c r="AD324" s="1" t="s">
        <v>536</v>
      </c>
      <c r="AE324" s="1">
        <v>3.0</v>
      </c>
      <c r="AF324" s="5" t="s">
        <v>125</v>
      </c>
      <c r="AG324" s="5" t="s">
        <v>127</v>
      </c>
      <c r="AH324" s="5" t="s">
        <v>237</v>
      </c>
      <c r="AI324" s="5" t="s">
        <v>276</v>
      </c>
      <c r="AJ324" s="5" t="s">
        <v>89</v>
      </c>
      <c r="AK324" s="5" t="s">
        <v>277</v>
      </c>
      <c r="AL324" s="5" t="s">
        <v>131</v>
      </c>
    </row>
    <row r="325" ht="16.5" customHeight="1">
      <c r="A325" s="5" t="s">
        <v>60</v>
      </c>
      <c r="B325" s="1" t="b">
        <v>1</v>
      </c>
      <c r="C325" s="1" t="s">
        <v>561</v>
      </c>
      <c r="D325" s="1" t="s">
        <v>562</v>
      </c>
      <c r="E325" s="1" t="s">
        <v>65</v>
      </c>
      <c r="F325" s="1" t="s">
        <v>66</v>
      </c>
      <c r="G325" s="1" t="s">
        <v>270</v>
      </c>
      <c r="H325" s="1" t="s">
        <v>96</v>
      </c>
      <c r="I325" s="1" t="s">
        <v>107</v>
      </c>
      <c r="J325" s="1"/>
      <c r="K325" s="1" t="b">
        <v>1</v>
      </c>
      <c r="L325" s="1" t="b">
        <v>0</v>
      </c>
      <c r="M325" s="19">
        <v>900.0</v>
      </c>
      <c r="N325" s="20">
        <v>2.1</v>
      </c>
      <c r="O325" s="20">
        <v>428.57</v>
      </c>
      <c r="P325" s="21"/>
      <c r="Q325" s="1" t="s">
        <v>78</v>
      </c>
      <c r="R325" s="1" t="s">
        <v>97</v>
      </c>
      <c r="S325" s="1" t="s">
        <v>273</v>
      </c>
      <c r="T325" s="1" t="s">
        <v>81</v>
      </c>
      <c r="U325" s="1"/>
      <c r="V325" s="1" t="s">
        <v>471</v>
      </c>
      <c r="W325" s="22" t="s">
        <v>82</v>
      </c>
      <c r="X325" s="20">
        <v>131.54000000000002</v>
      </c>
      <c r="Y325" s="1" t="s">
        <v>0</v>
      </c>
      <c r="Z325" s="1" t="s">
        <v>0</v>
      </c>
      <c r="AA325" s="23" t="s">
        <v>1394</v>
      </c>
      <c r="AB325" s="1">
        <v>1000.0</v>
      </c>
      <c r="AC325" s="1">
        <v>300.0</v>
      </c>
      <c r="AD325" s="1" t="s">
        <v>561</v>
      </c>
      <c r="AE325" s="1">
        <v>3.0</v>
      </c>
      <c r="AF325" s="5" t="s">
        <v>125</v>
      </c>
      <c r="AG325" s="5" t="s">
        <v>127</v>
      </c>
      <c r="AH325" s="5" t="s">
        <v>237</v>
      </c>
      <c r="AI325" s="5" t="s">
        <v>276</v>
      </c>
      <c r="AJ325" s="5" t="s">
        <v>89</v>
      </c>
      <c r="AK325" s="5" t="s">
        <v>277</v>
      </c>
      <c r="AL325" s="5" t="s">
        <v>131</v>
      </c>
    </row>
    <row r="326" ht="16.5" customHeight="1">
      <c r="A326" s="5" t="s">
        <v>60</v>
      </c>
      <c r="B326" s="1" t="b">
        <v>1</v>
      </c>
      <c r="C326" s="1" t="s">
        <v>671</v>
      </c>
      <c r="D326" s="1" t="s">
        <v>672</v>
      </c>
      <c r="E326" s="1" t="s">
        <v>65</v>
      </c>
      <c r="F326" s="1" t="s">
        <v>66</v>
      </c>
      <c r="G326" s="1" t="s">
        <v>68</v>
      </c>
      <c r="H326" s="1" t="s">
        <v>96</v>
      </c>
      <c r="I326" s="1" t="s">
        <v>70</v>
      </c>
      <c r="J326" s="1"/>
      <c r="K326" s="1" t="b">
        <v>0</v>
      </c>
      <c r="L326" s="1" t="b">
        <v>0</v>
      </c>
      <c r="M326" s="19">
        <v>3300.0</v>
      </c>
      <c r="N326" s="20">
        <v>2.1</v>
      </c>
      <c r="O326" s="20">
        <v>1571.43</v>
      </c>
      <c r="P326" s="21"/>
      <c r="Q326" s="1" t="s">
        <v>117</v>
      </c>
      <c r="R326" s="1" t="s">
        <v>97</v>
      </c>
      <c r="S326" s="1" t="s">
        <v>166</v>
      </c>
      <c r="T326" s="1" t="s">
        <v>81</v>
      </c>
      <c r="U326" s="1"/>
      <c r="V326" s="1" t="s">
        <v>471</v>
      </c>
      <c r="W326" s="22" t="s">
        <v>202</v>
      </c>
      <c r="X326" s="20">
        <v>671.22</v>
      </c>
      <c r="Y326" s="1" t="s">
        <v>0</v>
      </c>
      <c r="Z326" s="1" t="s">
        <v>0</v>
      </c>
      <c r="AA326" s="23" t="s">
        <v>1394</v>
      </c>
      <c r="AB326" s="1">
        <v>1000.0</v>
      </c>
      <c r="AC326" s="1">
        <v>300.0</v>
      </c>
      <c r="AD326" s="1" t="s">
        <v>671</v>
      </c>
      <c r="AE326" s="1">
        <v>3.0</v>
      </c>
      <c r="AF326" s="5" t="s">
        <v>86</v>
      </c>
      <c r="AG326" s="5" t="s">
        <v>121</v>
      </c>
      <c r="AH326" s="5" t="s">
        <v>306</v>
      </c>
      <c r="AI326" s="5" t="s">
        <v>68</v>
      </c>
      <c r="AJ326" s="5" t="s">
        <v>89</v>
      </c>
      <c r="AK326" s="5" t="s">
        <v>132</v>
      </c>
      <c r="AL326" s="5" t="s">
        <v>91</v>
      </c>
    </row>
    <row r="327" ht="16.5" customHeight="1">
      <c r="A327" s="5" t="s">
        <v>60</v>
      </c>
      <c r="B327" s="1" t="b">
        <v>1</v>
      </c>
      <c r="C327" s="1" t="s">
        <v>696</v>
      </c>
      <c r="D327" s="1" t="s">
        <v>697</v>
      </c>
      <c r="E327" s="1" t="s">
        <v>65</v>
      </c>
      <c r="F327" s="1" t="s">
        <v>66</v>
      </c>
      <c r="G327" s="1" t="s">
        <v>68</v>
      </c>
      <c r="H327" s="1" t="s">
        <v>96</v>
      </c>
      <c r="I327" s="1" t="s">
        <v>107</v>
      </c>
      <c r="J327" s="1"/>
      <c r="K327" s="1" t="b">
        <v>0</v>
      </c>
      <c r="L327" s="1" t="b">
        <v>0</v>
      </c>
      <c r="M327" s="19">
        <v>3300.0</v>
      </c>
      <c r="N327" s="20">
        <v>2.1</v>
      </c>
      <c r="O327" s="20">
        <v>1571.43</v>
      </c>
      <c r="P327" s="21"/>
      <c r="Q327" s="1" t="s">
        <v>117</v>
      </c>
      <c r="R327" s="1" t="s">
        <v>97</v>
      </c>
      <c r="S327" s="1" t="s">
        <v>166</v>
      </c>
      <c r="T327" s="1" t="s">
        <v>81</v>
      </c>
      <c r="U327" s="1"/>
      <c r="V327" s="1" t="s">
        <v>471</v>
      </c>
      <c r="W327" s="22" t="s">
        <v>202</v>
      </c>
      <c r="X327" s="20">
        <v>637.9</v>
      </c>
      <c r="Y327" s="1" t="s">
        <v>0</v>
      </c>
      <c r="Z327" s="1" t="s">
        <v>0</v>
      </c>
      <c r="AA327" s="23" t="s">
        <v>1394</v>
      </c>
      <c r="AB327" s="1">
        <v>1000.0</v>
      </c>
      <c r="AC327" s="1">
        <v>300.0</v>
      </c>
      <c r="AD327" s="1" t="s">
        <v>696</v>
      </c>
      <c r="AE327" s="1">
        <v>2.0</v>
      </c>
      <c r="AF327" s="5" t="s">
        <v>86</v>
      </c>
      <c r="AG327" s="5" t="s">
        <v>121</v>
      </c>
      <c r="AH327" s="5" t="s">
        <v>306</v>
      </c>
      <c r="AI327" s="5" t="s">
        <v>68</v>
      </c>
      <c r="AJ327" s="5" t="s">
        <v>89</v>
      </c>
      <c r="AK327" s="5" t="s">
        <v>132</v>
      </c>
      <c r="AL327" s="5" t="s">
        <v>91</v>
      </c>
    </row>
    <row r="328" ht="16.5" customHeight="1">
      <c r="A328" s="5" t="s">
        <v>60</v>
      </c>
      <c r="B328" s="1" t="b">
        <v>1</v>
      </c>
      <c r="C328" s="1" t="s">
        <v>1038</v>
      </c>
      <c r="D328" s="1" t="s">
        <v>1039</v>
      </c>
      <c r="E328" s="1" t="s">
        <v>65</v>
      </c>
      <c r="F328" s="1" t="s">
        <v>66</v>
      </c>
      <c r="G328" s="1" t="s">
        <v>68</v>
      </c>
      <c r="H328" s="1" t="s">
        <v>96</v>
      </c>
      <c r="I328" s="1" t="s">
        <v>70</v>
      </c>
      <c r="J328" s="1"/>
      <c r="K328" s="1" t="b">
        <v>0</v>
      </c>
      <c r="L328" s="1" t="b">
        <v>0</v>
      </c>
      <c r="M328" s="19">
        <v>1800.0</v>
      </c>
      <c r="N328" s="20">
        <v>2.1</v>
      </c>
      <c r="O328" s="20">
        <v>857.14</v>
      </c>
      <c r="P328" s="21"/>
      <c r="Q328" s="1" t="s">
        <v>78</v>
      </c>
      <c r="R328" s="1" t="s">
        <v>97</v>
      </c>
      <c r="S328" s="1" t="s">
        <v>166</v>
      </c>
      <c r="T328" s="1" t="s">
        <v>81</v>
      </c>
      <c r="U328" s="1"/>
      <c r="V328" s="1" t="s">
        <v>471</v>
      </c>
      <c r="W328" s="22" t="s">
        <v>202</v>
      </c>
      <c r="X328" s="20">
        <v>268.05</v>
      </c>
      <c r="Y328" s="1" t="s">
        <v>0</v>
      </c>
      <c r="Z328" s="1" t="s">
        <v>0</v>
      </c>
      <c r="AA328" s="23" t="s">
        <v>1394</v>
      </c>
      <c r="AB328" s="1">
        <v>1000.0</v>
      </c>
      <c r="AC328" s="1">
        <v>300.0</v>
      </c>
      <c r="AD328" s="1" t="s">
        <v>1038</v>
      </c>
      <c r="AE328" s="1">
        <v>3.0</v>
      </c>
      <c r="AF328" s="5" t="s">
        <v>125</v>
      </c>
      <c r="AG328" s="5" t="s">
        <v>127</v>
      </c>
      <c r="AH328" s="5" t="s">
        <v>237</v>
      </c>
      <c r="AI328" s="5" t="s">
        <v>68</v>
      </c>
      <c r="AJ328" s="5" t="s">
        <v>89</v>
      </c>
      <c r="AK328" s="5" t="s">
        <v>90</v>
      </c>
      <c r="AL328" s="5" t="s">
        <v>91</v>
      </c>
    </row>
    <row r="329" ht="16.5" customHeight="1">
      <c r="A329" s="5" t="s">
        <v>60</v>
      </c>
      <c r="B329" s="1" t="b">
        <v>1</v>
      </c>
      <c r="C329" s="1" t="s">
        <v>1048</v>
      </c>
      <c r="D329" s="1" t="s">
        <v>1049</v>
      </c>
      <c r="E329" s="1" t="s">
        <v>65</v>
      </c>
      <c r="F329" s="1" t="s">
        <v>66</v>
      </c>
      <c r="G329" s="1" t="s">
        <v>68</v>
      </c>
      <c r="H329" s="1" t="s">
        <v>96</v>
      </c>
      <c r="I329" s="1" t="s">
        <v>107</v>
      </c>
      <c r="J329" s="1"/>
      <c r="K329" s="1" t="b">
        <v>0</v>
      </c>
      <c r="L329" s="1" t="b">
        <v>0</v>
      </c>
      <c r="M329" s="19">
        <v>1800.0</v>
      </c>
      <c r="N329" s="20">
        <v>2.1</v>
      </c>
      <c r="O329" s="20">
        <v>857.14</v>
      </c>
      <c r="P329" s="21"/>
      <c r="Q329" s="1" t="s">
        <v>78</v>
      </c>
      <c r="R329" s="1" t="s">
        <v>97</v>
      </c>
      <c r="S329" s="1" t="s">
        <v>166</v>
      </c>
      <c r="T329" s="1" t="s">
        <v>81</v>
      </c>
      <c r="U329" s="1"/>
      <c r="V329" s="1" t="s">
        <v>471</v>
      </c>
      <c r="W329" s="22" t="s">
        <v>202</v>
      </c>
      <c r="X329" s="20">
        <v>259.51</v>
      </c>
      <c r="Y329" s="1" t="s">
        <v>0</v>
      </c>
      <c r="Z329" s="1" t="s">
        <v>0</v>
      </c>
      <c r="AA329" s="23" t="s">
        <v>1394</v>
      </c>
      <c r="AB329" s="1">
        <v>1000.0</v>
      </c>
      <c r="AC329" s="1">
        <v>300.0</v>
      </c>
      <c r="AD329" s="1" t="s">
        <v>1048</v>
      </c>
      <c r="AE329" s="1">
        <v>2.0</v>
      </c>
      <c r="AF329" s="5" t="s">
        <v>125</v>
      </c>
      <c r="AG329" s="5" t="s">
        <v>127</v>
      </c>
      <c r="AH329" s="5" t="s">
        <v>237</v>
      </c>
      <c r="AI329" s="5" t="s">
        <v>68</v>
      </c>
      <c r="AJ329" s="5" t="s">
        <v>89</v>
      </c>
      <c r="AK329" s="5" t="s">
        <v>90</v>
      </c>
      <c r="AL329" s="5" t="s">
        <v>91</v>
      </c>
    </row>
    <row r="330" ht="16.5" customHeight="1">
      <c r="A330" s="5" t="s">
        <v>60</v>
      </c>
      <c r="B330" s="1" t="b">
        <v>1</v>
      </c>
      <c r="C330" s="1" t="s">
        <v>1060</v>
      </c>
      <c r="D330" s="1" t="s">
        <v>1061</v>
      </c>
      <c r="E330" s="1" t="s">
        <v>65</v>
      </c>
      <c r="F330" s="1" t="s">
        <v>66</v>
      </c>
      <c r="G330" s="1" t="s">
        <v>126</v>
      </c>
      <c r="H330" s="1" t="s">
        <v>96</v>
      </c>
      <c r="I330" s="1" t="s">
        <v>70</v>
      </c>
      <c r="J330" s="1"/>
      <c r="K330" s="1" t="b">
        <v>0</v>
      </c>
      <c r="L330" s="1" t="b">
        <v>0</v>
      </c>
      <c r="M330" s="19">
        <v>1800.0</v>
      </c>
      <c r="N330" s="20">
        <v>2.1</v>
      </c>
      <c r="O330" s="20">
        <v>857.14</v>
      </c>
      <c r="P330" s="21"/>
      <c r="Q330" s="1" t="s">
        <v>78</v>
      </c>
      <c r="R330" s="1" t="s">
        <v>97</v>
      </c>
      <c r="S330" s="1" t="s">
        <v>81</v>
      </c>
      <c r="T330" s="1" t="s">
        <v>81</v>
      </c>
      <c r="U330" s="1"/>
      <c r="V330" s="1" t="s">
        <v>471</v>
      </c>
      <c r="W330" s="22" t="s">
        <v>202</v>
      </c>
      <c r="X330" s="20">
        <v>239.41</v>
      </c>
      <c r="Y330" s="1" t="s">
        <v>0</v>
      </c>
      <c r="Z330" s="1" t="s">
        <v>0</v>
      </c>
      <c r="AA330" s="23" t="s">
        <v>1394</v>
      </c>
      <c r="AB330" s="1">
        <v>1000.0</v>
      </c>
      <c r="AC330" s="1">
        <v>300.0</v>
      </c>
      <c r="AD330" s="1" t="s">
        <v>1060</v>
      </c>
      <c r="AE330" s="1">
        <v>3.0</v>
      </c>
      <c r="AF330" s="5" t="s">
        <v>86</v>
      </c>
      <c r="AG330" s="5" t="s">
        <v>87</v>
      </c>
      <c r="AH330" s="5" t="s">
        <v>88</v>
      </c>
      <c r="AI330" s="5" t="s">
        <v>126</v>
      </c>
      <c r="AJ330" s="5" t="s">
        <v>161</v>
      </c>
      <c r="AK330" s="5" t="s">
        <v>130</v>
      </c>
      <c r="AL330" s="5" t="s">
        <v>131</v>
      </c>
    </row>
    <row r="331" ht="16.5" customHeight="1">
      <c r="A331" s="5" t="s">
        <v>60</v>
      </c>
      <c r="B331" s="1" t="b">
        <v>1</v>
      </c>
      <c r="C331" s="1" t="s">
        <v>1069</v>
      </c>
      <c r="D331" s="1" t="s">
        <v>1071</v>
      </c>
      <c r="E331" s="1" t="s">
        <v>65</v>
      </c>
      <c r="F331" s="1" t="s">
        <v>66</v>
      </c>
      <c r="G331" s="1" t="s">
        <v>126</v>
      </c>
      <c r="H331" s="1" t="s">
        <v>96</v>
      </c>
      <c r="I331" s="1" t="s">
        <v>107</v>
      </c>
      <c r="J331" s="1"/>
      <c r="K331" s="1" t="b">
        <v>0</v>
      </c>
      <c r="L331" s="1" t="b">
        <v>0</v>
      </c>
      <c r="M331" s="19">
        <v>1800.0</v>
      </c>
      <c r="N331" s="20">
        <v>2.1</v>
      </c>
      <c r="O331" s="20">
        <v>857.14</v>
      </c>
      <c r="P331" s="21"/>
      <c r="Q331" s="1" t="s">
        <v>78</v>
      </c>
      <c r="R331" s="1" t="s">
        <v>97</v>
      </c>
      <c r="S331" s="1" t="s">
        <v>81</v>
      </c>
      <c r="T331" s="1" t="s">
        <v>81</v>
      </c>
      <c r="U331" s="1"/>
      <c r="V331" s="1" t="s">
        <v>471</v>
      </c>
      <c r="W331" s="22" t="s">
        <v>202</v>
      </c>
      <c r="X331" s="20">
        <v>224.9</v>
      </c>
      <c r="Y331" s="1" t="s">
        <v>0</v>
      </c>
      <c r="Z331" s="1" t="s">
        <v>0</v>
      </c>
      <c r="AA331" s="23" t="s">
        <v>1394</v>
      </c>
      <c r="AB331" s="1">
        <v>1000.0</v>
      </c>
      <c r="AC331" s="1">
        <v>300.0</v>
      </c>
      <c r="AD331" s="1" t="s">
        <v>1069</v>
      </c>
      <c r="AE331" s="1">
        <v>3.0</v>
      </c>
      <c r="AF331" s="5" t="s">
        <v>86</v>
      </c>
      <c r="AG331" s="5" t="s">
        <v>87</v>
      </c>
      <c r="AH331" s="5" t="s">
        <v>88</v>
      </c>
      <c r="AI331" s="5" t="s">
        <v>126</v>
      </c>
      <c r="AJ331" s="5" t="s">
        <v>161</v>
      </c>
      <c r="AK331" s="5" t="s">
        <v>130</v>
      </c>
      <c r="AL331" s="5" t="s">
        <v>131</v>
      </c>
    </row>
    <row r="332" ht="16.5" customHeight="1">
      <c r="A332" s="5" t="s">
        <v>60</v>
      </c>
      <c r="B332" s="1" t="b">
        <v>1</v>
      </c>
      <c r="C332" s="1" t="s">
        <v>1158</v>
      </c>
      <c r="D332" s="1" t="s">
        <v>1161</v>
      </c>
      <c r="E332" s="1" t="s">
        <v>65</v>
      </c>
      <c r="F332" s="1" t="s">
        <v>109</v>
      </c>
      <c r="G332" s="1" t="s">
        <v>113</v>
      </c>
      <c r="H332" s="1" t="s">
        <v>96</v>
      </c>
      <c r="I332" s="1" t="s">
        <v>70</v>
      </c>
      <c r="J332" s="1"/>
      <c r="K332" s="1" t="b">
        <v>0</v>
      </c>
      <c r="L332" s="1" t="b">
        <v>0</v>
      </c>
      <c r="M332" s="19">
        <v>1200.0</v>
      </c>
      <c r="N332" s="20">
        <v>2.1</v>
      </c>
      <c r="O332" s="20">
        <v>571.43</v>
      </c>
      <c r="P332" s="21"/>
      <c r="Q332" s="1" t="s">
        <v>78</v>
      </c>
      <c r="R332" s="1" t="s">
        <v>97</v>
      </c>
      <c r="S332" s="1" t="s">
        <v>546</v>
      </c>
      <c r="T332" s="1" t="s">
        <v>81</v>
      </c>
      <c r="U332" s="1"/>
      <c r="V332" s="1" t="s">
        <v>471</v>
      </c>
      <c r="W332" s="22" t="s">
        <v>202</v>
      </c>
      <c r="X332" s="20">
        <v>200.72</v>
      </c>
      <c r="Y332" s="1" t="s">
        <v>0</v>
      </c>
      <c r="Z332" s="1" t="s">
        <v>0</v>
      </c>
      <c r="AA332" s="23" t="s">
        <v>1394</v>
      </c>
      <c r="AB332" s="1">
        <v>1000.0</v>
      </c>
      <c r="AC332" s="1">
        <v>300.0</v>
      </c>
      <c r="AD332" s="1" t="s">
        <v>1158</v>
      </c>
      <c r="AE332" s="1">
        <v>4.0</v>
      </c>
      <c r="AF332" s="5" t="s">
        <v>86</v>
      </c>
      <c r="AG332" s="5" t="s">
        <v>512</v>
      </c>
      <c r="AI332" s="5" t="s">
        <v>126</v>
      </c>
      <c r="AJ332" s="5" t="s">
        <v>128</v>
      </c>
      <c r="AK332" s="5" t="s">
        <v>130</v>
      </c>
      <c r="AL332" s="5" t="s">
        <v>131</v>
      </c>
    </row>
    <row r="333" ht="16.5" customHeight="1">
      <c r="A333" s="5" t="s">
        <v>60</v>
      </c>
      <c r="B333" s="1" t="b">
        <v>1</v>
      </c>
      <c r="C333" s="1" t="s">
        <v>1173</v>
      </c>
      <c r="D333" s="1" t="s">
        <v>1176</v>
      </c>
      <c r="E333" s="1" t="s">
        <v>65</v>
      </c>
      <c r="F333" s="1" t="s">
        <v>109</v>
      </c>
      <c r="G333" s="1" t="s">
        <v>113</v>
      </c>
      <c r="H333" s="1" t="s">
        <v>96</v>
      </c>
      <c r="I333" s="1" t="s">
        <v>107</v>
      </c>
      <c r="J333" s="1"/>
      <c r="K333" s="1" t="b">
        <v>0</v>
      </c>
      <c r="L333" s="1" t="b">
        <v>0</v>
      </c>
      <c r="M333" s="19">
        <v>1200.0</v>
      </c>
      <c r="N333" s="20">
        <v>2.1</v>
      </c>
      <c r="O333" s="20">
        <v>571.43</v>
      </c>
      <c r="P333" s="21"/>
      <c r="Q333" s="1" t="s">
        <v>78</v>
      </c>
      <c r="R333" s="1" t="s">
        <v>97</v>
      </c>
      <c r="S333" s="1" t="s">
        <v>546</v>
      </c>
      <c r="T333" s="1" t="s">
        <v>81</v>
      </c>
      <c r="U333" s="1"/>
      <c r="V333" s="1" t="s">
        <v>471</v>
      </c>
      <c r="W333" s="22" t="s">
        <v>202</v>
      </c>
      <c r="X333" s="20">
        <v>205.22000000000003</v>
      </c>
      <c r="Y333" s="1" t="s">
        <v>0</v>
      </c>
      <c r="Z333" s="1" t="s">
        <v>0</v>
      </c>
      <c r="AA333" s="23" t="s">
        <v>1394</v>
      </c>
      <c r="AB333" s="1">
        <v>1000.0</v>
      </c>
      <c r="AC333" s="1">
        <v>300.0</v>
      </c>
      <c r="AD333" s="1" t="s">
        <v>1173</v>
      </c>
      <c r="AE333" s="1">
        <v>3.0</v>
      </c>
      <c r="AF333" s="5" t="s">
        <v>86</v>
      </c>
      <c r="AG333" s="5" t="s">
        <v>512</v>
      </c>
      <c r="AI333" s="5" t="s">
        <v>126</v>
      </c>
      <c r="AJ333" s="5" t="s">
        <v>128</v>
      </c>
      <c r="AK333" s="5" t="s">
        <v>130</v>
      </c>
      <c r="AL333" s="5" t="s">
        <v>131</v>
      </c>
    </row>
    <row r="334" ht="16.5" customHeight="1">
      <c r="A334" s="5" t="s">
        <v>60</v>
      </c>
      <c r="B334" s="1" t="b">
        <v>1</v>
      </c>
      <c r="C334" s="1" t="s">
        <v>1219</v>
      </c>
      <c r="D334" s="1" t="s">
        <v>1220</v>
      </c>
      <c r="E334" s="1" t="s">
        <v>65</v>
      </c>
      <c r="F334" s="1" t="s">
        <v>109</v>
      </c>
      <c r="G334" s="1" t="s">
        <v>270</v>
      </c>
      <c r="H334" s="1" t="s">
        <v>96</v>
      </c>
      <c r="I334" s="1" t="s">
        <v>70</v>
      </c>
      <c r="J334" s="1"/>
      <c r="K334" s="1" t="b">
        <v>0</v>
      </c>
      <c r="L334" s="1" t="b">
        <v>0</v>
      </c>
      <c r="M334" s="19">
        <v>1200.0</v>
      </c>
      <c r="N334" s="20">
        <v>2.1</v>
      </c>
      <c r="O334" s="20">
        <v>571.43</v>
      </c>
      <c r="P334" s="21"/>
      <c r="Q334" s="1" t="s">
        <v>117</v>
      </c>
      <c r="R334" s="1" t="s">
        <v>97</v>
      </c>
      <c r="S334" s="1" t="s">
        <v>81</v>
      </c>
      <c r="T334" s="1" t="s">
        <v>81</v>
      </c>
      <c r="U334" s="1"/>
      <c r="V334" s="1" t="s">
        <v>471</v>
      </c>
      <c r="W334" s="22" t="s">
        <v>202</v>
      </c>
      <c r="X334" s="20">
        <v>251.48000000000002</v>
      </c>
      <c r="Y334" s="1" t="s">
        <v>0</v>
      </c>
      <c r="Z334" s="1" t="s">
        <v>0</v>
      </c>
      <c r="AA334" s="23" t="s">
        <v>1394</v>
      </c>
      <c r="AB334" s="1">
        <v>800.0</v>
      </c>
      <c r="AC334" s="1">
        <v>500.0</v>
      </c>
      <c r="AD334" s="1" t="s">
        <v>1219</v>
      </c>
      <c r="AE334" s="1">
        <v>4.0</v>
      </c>
      <c r="AF334" s="5" t="s">
        <v>86</v>
      </c>
      <c r="AG334" s="5" t="s">
        <v>512</v>
      </c>
      <c r="AH334" s="5" t="s">
        <v>88</v>
      </c>
      <c r="AI334" s="5" t="s">
        <v>276</v>
      </c>
      <c r="AJ334" s="5" t="s">
        <v>161</v>
      </c>
      <c r="AK334" s="5" t="s">
        <v>277</v>
      </c>
      <c r="AL334" s="5" t="s">
        <v>131</v>
      </c>
    </row>
    <row r="335" ht="16.5" customHeight="1">
      <c r="A335" s="5" t="s">
        <v>60</v>
      </c>
      <c r="B335" s="1" t="b">
        <v>1</v>
      </c>
      <c r="C335" s="1" t="s">
        <v>1232</v>
      </c>
      <c r="D335" s="1" t="s">
        <v>1233</v>
      </c>
      <c r="E335" s="1" t="s">
        <v>65</v>
      </c>
      <c r="F335" s="1" t="s">
        <v>109</v>
      </c>
      <c r="G335" s="1" t="s">
        <v>270</v>
      </c>
      <c r="H335" s="1" t="s">
        <v>96</v>
      </c>
      <c r="I335" s="1" t="s">
        <v>107</v>
      </c>
      <c r="J335" s="1"/>
      <c r="K335" s="1" t="b">
        <v>0</v>
      </c>
      <c r="L335" s="1" t="b">
        <v>0</v>
      </c>
      <c r="M335" s="19">
        <v>1200.0</v>
      </c>
      <c r="N335" s="20">
        <v>2.1</v>
      </c>
      <c r="O335" s="20">
        <v>571.43</v>
      </c>
      <c r="P335" s="21"/>
      <c r="Q335" s="1" t="s">
        <v>117</v>
      </c>
      <c r="R335" s="1" t="s">
        <v>97</v>
      </c>
      <c r="S335" s="1" t="s">
        <v>81</v>
      </c>
      <c r="T335" s="1" t="s">
        <v>81</v>
      </c>
      <c r="U335" s="1"/>
      <c r="V335" s="1" t="s">
        <v>471</v>
      </c>
      <c r="W335" s="22" t="s">
        <v>202</v>
      </c>
      <c r="X335" s="20">
        <v>235.68</v>
      </c>
      <c r="Y335" s="1" t="s">
        <v>0</v>
      </c>
      <c r="Z335" s="1" t="s">
        <v>0</v>
      </c>
      <c r="AA335" s="23" t="s">
        <v>1394</v>
      </c>
      <c r="AB335" s="1">
        <v>800.0</v>
      </c>
      <c r="AC335" s="1">
        <v>500.0</v>
      </c>
      <c r="AD335" s="1" t="s">
        <v>1232</v>
      </c>
      <c r="AE335" s="1">
        <v>3.0</v>
      </c>
      <c r="AF335" s="5" t="s">
        <v>86</v>
      </c>
      <c r="AG335" s="5" t="s">
        <v>512</v>
      </c>
      <c r="AH335" s="5" t="s">
        <v>88</v>
      </c>
      <c r="AI335" s="5" t="s">
        <v>276</v>
      </c>
      <c r="AJ335" s="5" t="s">
        <v>161</v>
      </c>
      <c r="AK335" s="5" t="s">
        <v>277</v>
      </c>
      <c r="AL335" s="5" t="s">
        <v>131</v>
      </c>
    </row>
    <row r="336" ht="16.5" customHeight="1">
      <c r="A336" s="5" t="s">
        <v>60</v>
      </c>
      <c r="B336" s="1" t="b">
        <v>1</v>
      </c>
      <c r="C336" s="1" t="s">
        <v>1254</v>
      </c>
      <c r="D336" s="1" t="s">
        <v>1257</v>
      </c>
      <c r="E336" s="1" t="s">
        <v>65</v>
      </c>
      <c r="F336" s="1" t="s">
        <v>109</v>
      </c>
      <c r="G336" s="1" t="s">
        <v>355</v>
      </c>
      <c r="H336" s="1" t="s">
        <v>96</v>
      </c>
      <c r="I336" s="1" t="s">
        <v>70</v>
      </c>
      <c r="J336" s="1"/>
      <c r="K336" s="1" t="b">
        <v>0</v>
      </c>
      <c r="L336" s="1" t="b">
        <v>0</v>
      </c>
      <c r="M336" s="19">
        <v>2500.0</v>
      </c>
      <c r="N336" s="20">
        <v>2.1</v>
      </c>
      <c r="O336" s="20">
        <v>1190.48</v>
      </c>
      <c r="P336" s="21"/>
      <c r="Q336" s="1" t="s">
        <v>117</v>
      </c>
      <c r="R336" s="1" t="s">
        <v>97</v>
      </c>
      <c r="S336" s="1" t="s">
        <v>198</v>
      </c>
      <c r="T336" s="1" t="s">
        <v>81</v>
      </c>
      <c r="U336" s="1"/>
      <c r="V336" s="1" t="s">
        <v>471</v>
      </c>
      <c r="W336" s="22" t="s">
        <v>202</v>
      </c>
      <c r="X336" s="20">
        <v>494.01000000000005</v>
      </c>
      <c r="Y336" s="1" t="s">
        <v>0</v>
      </c>
      <c r="Z336" s="1" t="s">
        <v>0</v>
      </c>
      <c r="AA336" s="23" t="s">
        <v>1394</v>
      </c>
      <c r="AB336" s="1">
        <v>800.0</v>
      </c>
      <c r="AC336" s="1">
        <v>100.0</v>
      </c>
      <c r="AD336" s="1" t="s">
        <v>1254</v>
      </c>
      <c r="AE336" s="1">
        <v>2.0</v>
      </c>
      <c r="AF336" s="5" t="s">
        <v>86</v>
      </c>
      <c r="AG336" s="5" t="s">
        <v>512</v>
      </c>
      <c r="AH336" s="32" t="s">
        <v>122</v>
      </c>
      <c r="AI336" s="5" t="s">
        <v>355</v>
      </c>
      <c r="AJ336" s="5" t="s">
        <v>161</v>
      </c>
      <c r="AK336" s="5" t="s">
        <v>539</v>
      </c>
      <c r="AL336" s="5" t="s">
        <v>131</v>
      </c>
    </row>
    <row r="337" ht="16.5" customHeight="1">
      <c r="A337" s="5" t="s">
        <v>60</v>
      </c>
      <c r="B337" s="1" t="b">
        <v>1</v>
      </c>
      <c r="C337" s="1" t="s">
        <v>1270</v>
      </c>
      <c r="D337" s="1" t="s">
        <v>1271</v>
      </c>
      <c r="E337" s="1" t="s">
        <v>65</v>
      </c>
      <c r="F337" s="1" t="s">
        <v>109</v>
      </c>
      <c r="G337" s="1" t="s">
        <v>355</v>
      </c>
      <c r="H337" s="1" t="s">
        <v>96</v>
      </c>
      <c r="I337" s="1" t="s">
        <v>107</v>
      </c>
      <c r="J337" s="1"/>
      <c r="K337" s="1" t="b">
        <v>0</v>
      </c>
      <c r="L337" s="1" t="b">
        <v>0</v>
      </c>
      <c r="M337" s="19">
        <v>2500.0</v>
      </c>
      <c r="N337" s="20">
        <v>2.1</v>
      </c>
      <c r="O337" s="20">
        <v>1190.48</v>
      </c>
      <c r="P337" s="21"/>
      <c r="Q337" s="1" t="s">
        <v>117</v>
      </c>
      <c r="R337" s="1" t="s">
        <v>97</v>
      </c>
      <c r="S337" s="1" t="s">
        <v>198</v>
      </c>
      <c r="T337" s="1" t="s">
        <v>81</v>
      </c>
      <c r="U337" s="1"/>
      <c r="V337" s="1" t="s">
        <v>471</v>
      </c>
      <c r="W337" s="22" t="s">
        <v>202</v>
      </c>
      <c r="X337" s="20">
        <v>460.15999999999997</v>
      </c>
      <c r="Y337" s="1" t="s">
        <v>0</v>
      </c>
      <c r="Z337" s="1" t="s">
        <v>0</v>
      </c>
      <c r="AA337" s="23" t="s">
        <v>1394</v>
      </c>
      <c r="AB337" s="1">
        <v>800.0</v>
      </c>
      <c r="AC337" s="1">
        <v>100.0</v>
      </c>
      <c r="AD337" s="1" t="s">
        <v>1270</v>
      </c>
      <c r="AE337" s="1">
        <v>2.0</v>
      </c>
      <c r="AF337" s="5" t="s">
        <v>86</v>
      </c>
      <c r="AG337" s="5" t="s">
        <v>512</v>
      </c>
      <c r="AH337" s="32" t="s">
        <v>122</v>
      </c>
      <c r="AI337" s="5" t="s">
        <v>355</v>
      </c>
      <c r="AJ337" s="5" t="s">
        <v>161</v>
      </c>
      <c r="AK337" s="5" t="s">
        <v>539</v>
      </c>
      <c r="AL337" s="5" t="s">
        <v>131</v>
      </c>
    </row>
    <row r="338" ht="16.5" customHeight="1">
      <c r="A338" s="5" t="s">
        <v>60</v>
      </c>
      <c r="B338" s="1" t="b">
        <v>1</v>
      </c>
      <c r="C338" s="1" t="s">
        <v>1453</v>
      </c>
      <c r="D338" s="1" t="s">
        <v>1454</v>
      </c>
      <c r="E338" s="1" t="s">
        <v>65</v>
      </c>
      <c r="F338" s="1" t="s">
        <v>66</v>
      </c>
      <c r="G338" s="1" t="s">
        <v>68</v>
      </c>
      <c r="H338" s="1" t="s">
        <v>96</v>
      </c>
      <c r="I338" s="1" t="s">
        <v>70</v>
      </c>
      <c r="J338" s="1"/>
      <c r="K338" s="1" t="b">
        <v>0</v>
      </c>
      <c r="L338" s="1" t="b">
        <v>0</v>
      </c>
      <c r="M338" s="19">
        <v>1300.0</v>
      </c>
      <c r="N338" s="20">
        <v>2.1</v>
      </c>
      <c r="O338" s="20">
        <v>619.05</v>
      </c>
      <c r="P338" s="21"/>
      <c r="Q338" s="1" t="s">
        <v>117</v>
      </c>
      <c r="R338" s="1" t="s">
        <v>97</v>
      </c>
      <c r="S338" s="1" t="s">
        <v>81</v>
      </c>
      <c r="T338" s="1" t="s">
        <v>81</v>
      </c>
      <c r="U338" s="1"/>
      <c r="V338" s="1" t="s">
        <v>471</v>
      </c>
      <c r="W338" s="22" t="s">
        <v>202</v>
      </c>
      <c r="X338" s="20">
        <v>222.73000000000002</v>
      </c>
      <c r="Y338" s="1" t="s">
        <v>0</v>
      </c>
      <c r="Z338" s="1" t="s">
        <v>0</v>
      </c>
      <c r="AA338" s="23" t="s">
        <v>1394</v>
      </c>
      <c r="AB338" s="1">
        <v>1000.0</v>
      </c>
      <c r="AC338" s="1">
        <v>300.0</v>
      </c>
      <c r="AD338" s="1" t="s">
        <v>1453</v>
      </c>
      <c r="AE338" s="1">
        <v>4.0</v>
      </c>
      <c r="AF338" s="5" t="s">
        <v>86</v>
      </c>
      <c r="AG338" s="5" t="s">
        <v>87</v>
      </c>
      <c r="AH338" s="32" t="s">
        <v>379</v>
      </c>
      <c r="AI338" s="5" t="s">
        <v>126</v>
      </c>
      <c r="AJ338" s="5" t="s">
        <v>161</v>
      </c>
      <c r="AK338" s="5" t="s">
        <v>616</v>
      </c>
      <c r="AL338" s="5" t="s">
        <v>131</v>
      </c>
    </row>
    <row r="339" ht="16.5" customHeight="1">
      <c r="A339" s="5" t="s">
        <v>60</v>
      </c>
      <c r="B339" s="1" t="b">
        <v>1</v>
      </c>
      <c r="C339" s="1" t="s">
        <v>1457</v>
      </c>
      <c r="D339" s="1" t="s">
        <v>1458</v>
      </c>
      <c r="E339" s="1" t="s">
        <v>65</v>
      </c>
      <c r="F339" s="1" t="s">
        <v>66</v>
      </c>
      <c r="G339" s="1" t="s">
        <v>68</v>
      </c>
      <c r="H339" s="1" t="s">
        <v>96</v>
      </c>
      <c r="I339" s="1" t="s">
        <v>107</v>
      </c>
      <c r="J339" s="1"/>
      <c r="K339" s="1" t="b">
        <v>0</v>
      </c>
      <c r="L339" s="1" t="b">
        <v>0</v>
      </c>
      <c r="M339" s="19">
        <v>1300.0</v>
      </c>
      <c r="N339" s="20">
        <v>2.1</v>
      </c>
      <c r="O339" s="20">
        <v>619.05</v>
      </c>
      <c r="P339" s="21"/>
      <c r="Q339" s="1" t="s">
        <v>117</v>
      </c>
      <c r="R339" s="1" t="s">
        <v>97</v>
      </c>
      <c r="S339" s="1" t="s">
        <v>81</v>
      </c>
      <c r="T339" s="1" t="s">
        <v>81</v>
      </c>
      <c r="U339" s="1"/>
      <c r="V339" s="1" t="s">
        <v>471</v>
      </c>
      <c r="W339" s="22" t="s">
        <v>202</v>
      </c>
      <c r="X339" s="20">
        <v>212.36</v>
      </c>
      <c r="Y339" s="1" t="s">
        <v>0</v>
      </c>
      <c r="Z339" s="1" t="s">
        <v>0</v>
      </c>
      <c r="AA339" s="23" t="s">
        <v>1394</v>
      </c>
      <c r="AB339" s="1">
        <v>1000.0</v>
      </c>
      <c r="AC339" s="1">
        <v>300.0</v>
      </c>
      <c r="AD339" s="1" t="s">
        <v>1457</v>
      </c>
      <c r="AE339" s="1">
        <v>4.0</v>
      </c>
      <c r="AF339" s="5" t="s">
        <v>86</v>
      </c>
      <c r="AG339" s="5" t="s">
        <v>87</v>
      </c>
      <c r="AH339" s="32" t="s">
        <v>379</v>
      </c>
      <c r="AI339" s="5" t="s">
        <v>126</v>
      </c>
      <c r="AJ339" s="5" t="s">
        <v>161</v>
      </c>
      <c r="AK339" s="5" t="s">
        <v>616</v>
      </c>
      <c r="AL339" s="5" t="s">
        <v>131</v>
      </c>
    </row>
    <row r="340" ht="16.5" customHeight="1">
      <c r="A340" s="5" t="s">
        <v>60</v>
      </c>
      <c r="B340" s="1" t="b">
        <v>1</v>
      </c>
      <c r="C340" s="1" t="s">
        <v>1460</v>
      </c>
      <c r="D340" s="1" t="s">
        <v>1461</v>
      </c>
      <c r="E340" s="1" t="s">
        <v>65</v>
      </c>
      <c r="F340" s="1" t="s">
        <v>66</v>
      </c>
      <c r="G340" s="1" t="s">
        <v>126</v>
      </c>
      <c r="H340" s="1" t="s">
        <v>96</v>
      </c>
      <c r="I340" s="1" t="s">
        <v>70</v>
      </c>
      <c r="J340" s="1"/>
      <c r="K340" s="1" t="b">
        <v>0</v>
      </c>
      <c r="L340" s="1" t="b">
        <v>0</v>
      </c>
      <c r="M340" s="19">
        <v>2000.0</v>
      </c>
      <c r="N340" s="20">
        <v>2.1</v>
      </c>
      <c r="O340" s="20">
        <v>952.38</v>
      </c>
      <c r="P340" s="21"/>
      <c r="Q340" s="1" t="s">
        <v>117</v>
      </c>
      <c r="R340" s="1" t="s">
        <v>97</v>
      </c>
      <c r="S340" s="1" t="s">
        <v>81</v>
      </c>
      <c r="T340" s="1" t="s">
        <v>81</v>
      </c>
      <c r="U340" s="1"/>
      <c r="V340" s="1" t="s">
        <v>471</v>
      </c>
      <c r="W340" s="22" t="s">
        <v>202</v>
      </c>
      <c r="X340" s="20">
        <v>395.83</v>
      </c>
      <c r="Y340" s="1" t="s">
        <v>0</v>
      </c>
      <c r="Z340" s="1" t="s">
        <v>0</v>
      </c>
      <c r="AA340" s="23" t="s">
        <v>1394</v>
      </c>
      <c r="AB340" s="1">
        <v>800.0</v>
      </c>
      <c r="AC340" s="1">
        <v>500.0</v>
      </c>
      <c r="AD340" s="1" t="s">
        <v>1460</v>
      </c>
      <c r="AE340" s="1">
        <v>4.0</v>
      </c>
      <c r="AF340" s="5" t="s">
        <v>125</v>
      </c>
      <c r="AG340" s="5" t="s">
        <v>127</v>
      </c>
      <c r="AH340" s="32" t="s">
        <v>264</v>
      </c>
      <c r="AI340" s="5" t="s">
        <v>126</v>
      </c>
      <c r="AJ340" s="5" t="s">
        <v>161</v>
      </c>
      <c r="AK340" s="5" t="s">
        <v>130</v>
      </c>
      <c r="AL340" s="5" t="s">
        <v>131</v>
      </c>
    </row>
    <row r="341" ht="16.5" customHeight="1">
      <c r="A341" s="5" t="s">
        <v>60</v>
      </c>
      <c r="B341" s="1" t="b">
        <v>1</v>
      </c>
      <c r="C341" s="1" t="s">
        <v>1462</v>
      </c>
      <c r="D341" s="1" t="s">
        <v>1463</v>
      </c>
      <c r="E341" s="1" t="s">
        <v>65</v>
      </c>
      <c r="F341" s="1" t="s">
        <v>66</v>
      </c>
      <c r="G341" s="1" t="s">
        <v>126</v>
      </c>
      <c r="H341" s="1" t="s">
        <v>96</v>
      </c>
      <c r="I341" s="1" t="s">
        <v>107</v>
      </c>
      <c r="J341" s="1"/>
      <c r="K341" s="1" t="b">
        <v>0</v>
      </c>
      <c r="L341" s="1" t="b">
        <v>0</v>
      </c>
      <c r="M341" s="19">
        <v>2000.0</v>
      </c>
      <c r="N341" s="20">
        <v>2.1</v>
      </c>
      <c r="O341" s="20">
        <v>952.38</v>
      </c>
      <c r="P341" s="21"/>
      <c r="Q341" s="1" t="s">
        <v>117</v>
      </c>
      <c r="R341" s="1" t="s">
        <v>97</v>
      </c>
      <c r="S341" s="1" t="s">
        <v>81</v>
      </c>
      <c r="T341" s="1" t="s">
        <v>81</v>
      </c>
      <c r="U341" s="1"/>
      <c r="V341" s="1" t="s">
        <v>471</v>
      </c>
      <c r="W341" s="22" t="s">
        <v>202</v>
      </c>
      <c r="X341" s="20">
        <v>364.57</v>
      </c>
      <c r="Y341" s="1" t="s">
        <v>0</v>
      </c>
      <c r="Z341" s="1" t="s">
        <v>0</v>
      </c>
      <c r="AA341" s="23" t="s">
        <v>1394</v>
      </c>
      <c r="AB341" s="1">
        <v>800.0</v>
      </c>
      <c r="AC341" s="1">
        <v>500.0</v>
      </c>
      <c r="AD341" s="1" t="s">
        <v>1462</v>
      </c>
      <c r="AE341" s="1">
        <v>3.0</v>
      </c>
      <c r="AF341" s="5" t="s">
        <v>125</v>
      </c>
      <c r="AG341" s="5" t="s">
        <v>127</v>
      </c>
      <c r="AH341" s="32" t="s">
        <v>264</v>
      </c>
      <c r="AI341" s="5" t="s">
        <v>126</v>
      </c>
      <c r="AJ341" s="5" t="s">
        <v>161</v>
      </c>
      <c r="AK341" s="5" t="s">
        <v>130</v>
      </c>
      <c r="AL341" s="5" t="s">
        <v>131</v>
      </c>
    </row>
    <row r="342" ht="16.5" customHeight="1">
      <c r="A342" s="5" t="s">
        <v>60</v>
      </c>
      <c r="B342" s="1" t="b">
        <v>1</v>
      </c>
      <c r="C342" s="1" t="s">
        <v>1466</v>
      </c>
      <c r="D342" s="1" t="s">
        <v>1467</v>
      </c>
      <c r="E342" s="1" t="s">
        <v>65</v>
      </c>
      <c r="F342" s="1" t="s">
        <v>66</v>
      </c>
      <c r="G342" s="1" t="s">
        <v>270</v>
      </c>
      <c r="H342" s="1" t="s">
        <v>96</v>
      </c>
      <c r="I342" s="1" t="s">
        <v>70</v>
      </c>
      <c r="J342" s="1"/>
      <c r="K342" s="1" t="b">
        <v>0</v>
      </c>
      <c r="L342" s="1" t="b">
        <v>0</v>
      </c>
      <c r="M342" s="19">
        <v>1700.0</v>
      </c>
      <c r="N342" s="20">
        <v>2.1</v>
      </c>
      <c r="O342" s="20">
        <v>809.52</v>
      </c>
      <c r="P342" s="21"/>
      <c r="Q342" s="1" t="s">
        <v>117</v>
      </c>
      <c r="R342" s="1" t="s">
        <v>97</v>
      </c>
      <c r="S342" s="1" t="s">
        <v>81</v>
      </c>
      <c r="T342" s="1" t="s">
        <v>81</v>
      </c>
      <c r="U342" s="1"/>
      <c r="V342" s="1" t="s">
        <v>471</v>
      </c>
      <c r="W342" s="22" t="s">
        <v>202</v>
      </c>
      <c r="X342" s="20">
        <v>300.65000000000003</v>
      </c>
      <c r="Y342" s="1" t="s">
        <v>0</v>
      </c>
      <c r="Z342" s="1" t="s">
        <v>0</v>
      </c>
      <c r="AA342" s="23" t="s">
        <v>1394</v>
      </c>
      <c r="AB342" s="1">
        <v>1000.0</v>
      </c>
      <c r="AC342" s="1">
        <v>300.0</v>
      </c>
      <c r="AD342" s="1" t="s">
        <v>1466</v>
      </c>
      <c r="AE342" s="1">
        <v>1.0</v>
      </c>
      <c r="AF342" s="5" t="s">
        <v>125</v>
      </c>
      <c r="AG342" s="5" t="s">
        <v>174</v>
      </c>
      <c r="AH342" s="5" t="s">
        <v>237</v>
      </c>
      <c r="AI342" s="5" t="s">
        <v>276</v>
      </c>
      <c r="AJ342" s="5" t="s">
        <v>161</v>
      </c>
      <c r="AK342" s="5" t="s">
        <v>277</v>
      </c>
      <c r="AL342" s="5" t="s">
        <v>131</v>
      </c>
    </row>
    <row r="343" ht="16.5" customHeight="1">
      <c r="A343" s="5" t="s">
        <v>60</v>
      </c>
      <c r="B343" s="1" t="b">
        <v>1</v>
      </c>
      <c r="C343" s="1" t="s">
        <v>1469</v>
      </c>
      <c r="D343" s="1" t="s">
        <v>1470</v>
      </c>
      <c r="E343" s="1" t="s">
        <v>65</v>
      </c>
      <c r="F343" s="1" t="s">
        <v>66</v>
      </c>
      <c r="G343" s="1" t="s">
        <v>270</v>
      </c>
      <c r="H343" s="1" t="s">
        <v>96</v>
      </c>
      <c r="I343" s="1" t="s">
        <v>107</v>
      </c>
      <c r="J343" s="1"/>
      <c r="K343" s="1" t="b">
        <v>0</v>
      </c>
      <c r="L343" s="1" t="b">
        <v>0</v>
      </c>
      <c r="M343" s="19">
        <v>1700.0</v>
      </c>
      <c r="N343" s="20">
        <v>2.1</v>
      </c>
      <c r="O343" s="20">
        <v>809.52</v>
      </c>
      <c r="P343" s="21"/>
      <c r="Q343" s="1" t="s">
        <v>117</v>
      </c>
      <c r="R343" s="1" t="s">
        <v>97</v>
      </c>
      <c r="S343" s="1" t="s">
        <v>81</v>
      </c>
      <c r="T343" s="1" t="s">
        <v>81</v>
      </c>
      <c r="U343" s="1"/>
      <c r="V343" s="1" t="s">
        <v>471</v>
      </c>
      <c r="W343" s="22" t="s">
        <v>202</v>
      </c>
      <c r="X343" s="20">
        <v>272.33</v>
      </c>
      <c r="Y343" s="1" t="s">
        <v>0</v>
      </c>
      <c r="Z343" s="1" t="s">
        <v>0</v>
      </c>
      <c r="AA343" s="23" t="s">
        <v>1394</v>
      </c>
      <c r="AB343" s="1">
        <v>1000.0</v>
      </c>
      <c r="AC343" s="1">
        <v>300.0</v>
      </c>
      <c r="AD343" s="1" t="s">
        <v>1469</v>
      </c>
      <c r="AE343" s="1">
        <v>1.0</v>
      </c>
      <c r="AF343" s="5" t="s">
        <v>125</v>
      </c>
      <c r="AG343" s="5" t="s">
        <v>174</v>
      </c>
      <c r="AH343" s="5" t="s">
        <v>237</v>
      </c>
      <c r="AI343" s="5" t="s">
        <v>276</v>
      </c>
      <c r="AJ343" s="5" t="s">
        <v>161</v>
      </c>
      <c r="AK343" s="5" t="s">
        <v>277</v>
      </c>
      <c r="AL343" s="5" t="s">
        <v>131</v>
      </c>
    </row>
    <row r="344" ht="16.5" customHeight="1">
      <c r="A344" s="5" t="s">
        <v>60</v>
      </c>
      <c r="B344" s="1" t="b">
        <v>1</v>
      </c>
      <c r="C344" s="1" t="s">
        <v>1473</v>
      </c>
      <c r="D344" s="1" t="s">
        <v>1474</v>
      </c>
      <c r="E344" s="1" t="s">
        <v>65</v>
      </c>
      <c r="F344" s="1" t="s">
        <v>66</v>
      </c>
      <c r="G344" s="1" t="s">
        <v>270</v>
      </c>
      <c r="H344" s="1" t="s">
        <v>96</v>
      </c>
      <c r="I344" s="1" t="s">
        <v>70</v>
      </c>
      <c r="J344" s="1"/>
      <c r="K344" s="1" t="b">
        <v>0</v>
      </c>
      <c r="L344" s="1" t="b">
        <v>0</v>
      </c>
      <c r="M344" s="19">
        <v>1500.0</v>
      </c>
      <c r="N344" s="20">
        <v>2.1</v>
      </c>
      <c r="O344" s="20">
        <v>714.29</v>
      </c>
      <c r="P344" s="21"/>
      <c r="Q344" s="1" t="s">
        <v>117</v>
      </c>
      <c r="R344" s="1" t="s">
        <v>97</v>
      </c>
      <c r="S344" s="1" t="s">
        <v>81</v>
      </c>
      <c r="T344" s="1" t="s">
        <v>81</v>
      </c>
      <c r="U344" s="1"/>
      <c r="V344" s="1" t="s">
        <v>471</v>
      </c>
      <c r="W344" s="22" t="s">
        <v>202</v>
      </c>
      <c r="X344" s="20">
        <v>271.21000000000004</v>
      </c>
      <c r="Y344" s="1" t="s">
        <v>0</v>
      </c>
      <c r="Z344" s="1" t="s">
        <v>0</v>
      </c>
      <c r="AA344" s="23" t="s">
        <v>1394</v>
      </c>
      <c r="AB344" s="1">
        <v>1000.0</v>
      </c>
      <c r="AC344" s="1">
        <v>300.0</v>
      </c>
      <c r="AD344" s="1" t="s">
        <v>1473</v>
      </c>
      <c r="AE344" s="1">
        <v>1.0</v>
      </c>
      <c r="AF344" s="5" t="s">
        <v>125</v>
      </c>
      <c r="AG344" s="5" t="s">
        <v>174</v>
      </c>
      <c r="AH344" s="5" t="s">
        <v>237</v>
      </c>
      <c r="AI344" s="5" t="s">
        <v>276</v>
      </c>
      <c r="AJ344" s="5" t="s">
        <v>89</v>
      </c>
      <c r="AK344" s="5" t="s">
        <v>277</v>
      </c>
      <c r="AL344" s="5" t="s">
        <v>131</v>
      </c>
    </row>
    <row r="345" ht="16.5" customHeight="1">
      <c r="A345" s="5" t="s">
        <v>60</v>
      </c>
      <c r="B345" s="1" t="b">
        <v>1</v>
      </c>
      <c r="C345" s="1" t="s">
        <v>1475</v>
      </c>
      <c r="D345" s="1" t="s">
        <v>1476</v>
      </c>
      <c r="E345" s="1" t="s">
        <v>65</v>
      </c>
      <c r="F345" s="1" t="s">
        <v>66</v>
      </c>
      <c r="G345" s="1" t="s">
        <v>270</v>
      </c>
      <c r="H345" s="1" t="s">
        <v>96</v>
      </c>
      <c r="I345" s="1" t="s">
        <v>107</v>
      </c>
      <c r="J345" s="1"/>
      <c r="K345" s="1" t="b">
        <v>0</v>
      </c>
      <c r="L345" s="1" t="b">
        <v>0</v>
      </c>
      <c r="M345" s="19">
        <v>1500.0</v>
      </c>
      <c r="N345" s="20">
        <v>2.1</v>
      </c>
      <c r="O345" s="20">
        <v>714.29</v>
      </c>
      <c r="P345" s="21"/>
      <c r="Q345" s="1" t="s">
        <v>117</v>
      </c>
      <c r="R345" s="1" t="s">
        <v>97</v>
      </c>
      <c r="S345" s="1" t="s">
        <v>81</v>
      </c>
      <c r="T345" s="1" t="s">
        <v>81</v>
      </c>
      <c r="U345" s="1"/>
      <c r="V345" s="1" t="s">
        <v>471</v>
      </c>
      <c r="W345" s="22" t="s">
        <v>202</v>
      </c>
      <c r="X345" s="20">
        <v>245.26999999999998</v>
      </c>
      <c r="Y345" s="1" t="s">
        <v>0</v>
      </c>
      <c r="Z345" s="1" t="s">
        <v>0</v>
      </c>
      <c r="AA345" s="23" t="s">
        <v>1394</v>
      </c>
      <c r="AB345" s="1">
        <v>1000.0</v>
      </c>
      <c r="AC345" s="1">
        <v>300.0</v>
      </c>
      <c r="AD345" s="1" t="s">
        <v>1475</v>
      </c>
      <c r="AE345" s="1">
        <v>1.0</v>
      </c>
      <c r="AF345" s="5" t="s">
        <v>125</v>
      </c>
      <c r="AG345" s="5" t="s">
        <v>174</v>
      </c>
      <c r="AH345" s="5" t="s">
        <v>237</v>
      </c>
      <c r="AI345" s="5" t="s">
        <v>276</v>
      </c>
      <c r="AJ345" s="5" t="s">
        <v>89</v>
      </c>
      <c r="AK345" s="5" t="s">
        <v>277</v>
      </c>
      <c r="AL345" s="5" t="s">
        <v>131</v>
      </c>
    </row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AP$345">
    <filterColumn colId="1">
      <filters>
        <filter val="TRUE"/>
      </filters>
    </filterColumn>
  </autoFilter>
  <conditionalFormatting sqref="B322:AC345">
    <cfRule type="expression" dxfId="0" priority="1">
      <formula>$V322="CANCELED"</formula>
    </cfRule>
  </conditionalFormatting>
  <conditionalFormatting sqref="B3:AD345">
    <cfRule type="expression" dxfId="0" priority="2">
      <formula>AND($A3&lt;&gt;"",$A3=FALSE)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6.89"/>
    <col customWidth="1" min="3" max="3" width="21.0"/>
    <col customWidth="1" min="4" max="6" width="6.11"/>
    <col customWidth="1" min="7" max="7" width="5.89"/>
    <col customWidth="1" min="8" max="8" width="2.56"/>
    <col customWidth="1" min="9" max="9" width="7.67"/>
    <col customWidth="1" min="10" max="10" width="4.33"/>
    <col customWidth="1" min="11" max="11" width="6.67"/>
    <col customWidth="1" min="12" max="12" width="5.89"/>
    <col customWidth="1" min="13" max="13" width="8.0"/>
    <col customWidth="1" min="14" max="15" width="6.44"/>
    <col customWidth="1" min="16" max="24" width="8.67"/>
    <col customWidth="1" min="25" max="25" width="8.0"/>
    <col customWidth="1" min="26" max="26" width="14.89"/>
    <col customWidth="1" min="27" max="27" width="7.0"/>
    <col customWidth="1" min="28" max="28" width="5.78"/>
    <col customWidth="1" min="29" max="29" width="2.56"/>
    <col customWidth="1" min="30" max="30" width="8.67"/>
    <col customWidth="1" min="31" max="31" width="8.89"/>
    <col customWidth="1" min="32" max="32" width="10.11"/>
    <col customWidth="1" min="33" max="33" width="4.11"/>
    <col customWidth="1" min="34" max="34" width="3.67"/>
    <col customWidth="1" min="35" max="35" width="19.89"/>
    <col customWidth="1" min="36" max="36" width="25.11"/>
    <col customWidth="1" min="37" max="37" width="22.33"/>
    <col customWidth="1" min="38" max="38" width="8.67"/>
    <col customWidth="1" min="39" max="39" width="14.44"/>
    <col customWidth="1" min="40" max="40" width="14.67"/>
    <col customWidth="1" min="41" max="41" width="14.44"/>
    <col customWidth="1" min="42" max="42" width="10.44"/>
    <col customWidth="1" min="43" max="43" width="8.89"/>
    <col customWidth="1" min="44" max="44" width="35.22"/>
    <col customWidth="1" min="45" max="46" width="15.11"/>
    <col customWidth="1" min="47" max="47" width="17.11"/>
    <col customWidth="1" min="48" max="48" width="8.67"/>
    <col customWidth="1" min="49" max="50" width="13.78"/>
    <col customWidth="1" min="51" max="52" width="8.67"/>
    <col customWidth="1" min="53" max="53" width="25.11"/>
    <col customWidth="1" min="54" max="56" width="8.67"/>
  </cols>
  <sheetData>
    <row r="1" ht="55.5" customHeight="1">
      <c r="A1" s="1"/>
      <c r="B1" s="1">
        <f t="shared" ref="B1:D1" si="1">COLUMN()-1</f>
        <v>1</v>
      </c>
      <c r="C1" s="1">
        <f t="shared" si="1"/>
        <v>2</v>
      </c>
      <c r="D1" s="1">
        <f t="shared" si="1"/>
        <v>3</v>
      </c>
      <c r="E1" s="1"/>
      <c r="F1" s="1"/>
      <c r="G1" s="1">
        <f>COLUMN()-1</f>
        <v>6</v>
      </c>
      <c r="H1" s="1"/>
      <c r="I1" s="1">
        <f t="shared" ref="I1:AE1" si="2">COLUMN()-1</f>
        <v>8</v>
      </c>
      <c r="J1" s="1">
        <f t="shared" si="2"/>
        <v>9</v>
      </c>
      <c r="K1" s="1">
        <f t="shared" si="2"/>
        <v>10</v>
      </c>
      <c r="L1" s="1">
        <f t="shared" si="2"/>
        <v>11</v>
      </c>
      <c r="M1" s="1">
        <f t="shared" si="2"/>
        <v>12</v>
      </c>
      <c r="N1" s="1">
        <f t="shared" si="2"/>
        <v>13</v>
      </c>
      <c r="O1" s="1">
        <f t="shared" si="2"/>
        <v>14</v>
      </c>
      <c r="P1" s="1">
        <f t="shared" si="2"/>
        <v>15</v>
      </c>
      <c r="Q1" s="1">
        <f t="shared" si="2"/>
        <v>16</v>
      </c>
      <c r="R1" s="1">
        <f t="shared" si="2"/>
        <v>17</v>
      </c>
      <c r="S1" s="1">
        <f t="shared" si="2"/>
        <v>18</v>
      </c>
      <c r="T1" s="1">
        <f t="shared" si="2"/>
        <v>19</v>
      </c>
      <c r="U1" s="1">
        <f t="shared" si="2"/>
        <v>20</v>
      </c>
      <c r="V1" s="1">
        <f t="shared" si="2"/>
        <v>21</v>
      </c>
      <c r="W1" s="1">
        <f t="shared" si="2"/>
        <v>22</v>
      </c>
      <c r="X1" s="1">
        <f t="shared" si="2"/>
        <v>23</v>
      </c>
      <c r="Y1" s="1">
        <f t="shared" si="2"/>
        <v>24</v>
      </c>
      <c r="Z1" s="1">
        <f t="shared" si="2"/>
        <v>25</v>
      </c>
      <c r="AA1" s="1">
        <f t="shared" si="2"/>
        <v>26</v>
      </c>
      <c r="AB1" s="1">
        <f t="shared" si="2"/>
        <v>27</v>
      </c>
      <c r="AC1" s="1">
        <f t="shared" si="2"/>
        <v>28</v>
      </c>
      <c r="AD1" s="1">
        <f t="shared" si="2"/>
        <v>29</v>
      </c>
      <c r="AE1" s="1">
        <f t="shared" si="2"/>
        <v>30</v>
      </c>
      <c r="AF1" s="3"/>
      <c r="AG1" s="3" t="s">
        <v>0</v>
      </c>
      <c r="AH1" s="3"/>
      <c r="AI1" s="8"/>
      <c r="AJ1" s="8"/>
      <c r="AK1" s="10" t="s">
        <v>32</v>
      </c>
      <c r="AL1" s="11"/>
      <c r="AM1" s="12" t="s">
        <v>42</v>
      </c>
      <c r="AN1" s="12" t="s">
        <v>42</v>
      </c>
      <c r="AO1" s="14" t="s">
        <v>49</v>
      </c>
      <c r="AP1" s="14" t="s">
        <v>49</v>
      </c>
      <c r="AQ1" s="16" t="s">
        <v>49</v>
      </c>
      <c r="AR1" s="14"/>
      <c r="AS1" s="2"/>
      <c r="AT1" s="2"/>
      <c r="AU1" s="2"/>
      <c r="AV1" s="2"/>
      <c r="AW1" s="2"/>
      <c r="AX1" s="2"/>
      <c r="AY1" s="2"/>
      <c r="AZ1" s="3"/>
      <c r="BA1" s="18" t="s">
        <v>72</v>
      </c>
      <c r="BB1" s="3"/>
      <c r="BC1" s="3"/>
      <c r="BD1" s="3"/>
    </row>
    <row r="2" ht="53.25" customHeight="1">
      <c r="A2" s="6" t="s">
        <v>3</v>
      </c>
      <c r="B2" s="6" t="s">
        <v>4</v>
      </c>
      <c r="C2" s="6" t="s">
        <v>5</v>
      </c>
      <c r="D2" s="6" t="s">
        <v>7</v>
      </c>
      <c r="E2" s="6"/>
      <c r="F2" s="6"/>
      <c r="G2" s="6" t="s">
        <v>8</v>
      </c>
      <c r="H2" s="6"/>
      <c r="I2" s="6" t="s">
        <v>9</v>
      </c>
      <c r="J2" s="6" t="s">
        <v>11</v>
      </c>
      <c r="K2" s="6" t="s">
        <v>12</v>
      </c>
      <c r="L2" s="7" t="s">
        <v>14</v>
      </c>
      <c r="M2" s="6" t="s">
        <v>16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9" t="s">
        <v>30</v>
      </c>
      <c r="Z2" s="9" t="s">
        <v>33</v>
      </c>
      <c r="AA2" s="9" t="s">
        <v>35</v>
      </c>
      <c r="AB2" s="9" t="s">
        <v>37</v>
      </c>
      <c r="AC2" s="9" t="s">
        <v>39</v>
      </c>
      <c r="AD2" s="9" t="s">
        <v>40</v>
      </c>
      <c r="AE2" s="9" t="s">
        <v>43</v>
      </c>
      <c r="AF2" s="13" t="s">
        <v>44</v>
      </c>
      <c r="AG2" s="3" t="s">
        <v>45</v>
      </c>
      <c r="AH2" s="3" t="s">
        <v>114</v>
      </c>
      <c r="AI2" s="29" t="s">
        <v>115</v>
      </c>
      <c r="AJ2" s="31" t="s">
        <v>118</v>
      </c>
      <c r="AK2" s="10" t="s">
        <v>119</v>
      </c>
      <c r="AL2" s="11" t="s">
        <v>120</v>
      </c>
      <c r="AM2" s="12" t="s">
        <v>47</v>
      </c>
      <c r="AN2" s="12" t="s">
        <v>48</v>
      </c>
      <c r="AO2" s="14" t="s">
        <v>123</v>
      </c>
      <c r="AP2" s="14" t="s">
        <v>129</v>
      </c>
      <c r="AQ2" s="16" t="s">
        <v>133</v>
      </c>
      <c r="AR2" s="33" t="s">
        <v>136</v>
      </c>
      <c r="AS2" s="3" t="s">
        <v>52</v>
      </c>
      <c r="AT2" s="3" t="s">
        <v>53</v>
      </c>
      <c r="AU2" s="3" t="s">
        <v>54</v>
      </c>
      <c r="AV2" s="3" t="s">
        <v>56</v>
      </c>
      <c r="AW2" s="3" t="s">
        <v>57</v>
      </c>
      <c r="AX2" s="3" t="s">
        <v>58</v>
      </c>
      <c r="AY2" s="3" t="s">
        <v>99</v>
      </c>
      <c r="AZ2" s="3"/>
      <c r="BA2" s="18" t="s">
        <v>119</v>
      </c>
      <c r="BB2" s="3" t="s">
        <v>120</v>
      </c>
      <c r="BC2" s="3" t="s">
        <v>138</v>
      </c>
      <c r="BD2" s="3"/>
    </row>
    <row r="3" ht="11.25" customHeight="1">
      <c r="A3" s="1" t="b">
        <v>1</v>
      </c>
      <c r="B3" s="1" t="s">
        <v>139</v>
      </c>
      <c r="C3" s="1" t="s">
        <v>140</v>
      </c>
      <c r="D3" s="1" t="s">
        <v>65</v>
      </c>
      <c r="E3" s="1"/>
      <c r="F3" s="1"/>
      <c r="G3" s="1" t="s">
        <v>66</v>
      </c>
      <c r="H3" s="1"/>
      <c r="I3" s="1" t="s">
        <v>126</v>
      </c>
      <c r="J3" s="34" t="s">
        <v>141</v>
      </c>
      <c r="K3" s="1" t="s">
        <v>70</v>
      </c>
      <c r="L3" s="1" t="s">
        <v>0</v>
      </c>
      <c r="M3" s="1" t="b">
        <v>1</v>
      </c>
      <c r="N3" s="1" t="b">
        <v>0</v>
      </c>
      <c r="O3" s="19">
        <v>1800.0</v>
      </c>
      <c r="P3" s="20">
        <v>2.1</v>
      </c>
      <c r="Q3" s="20">
        <v>857.14</v>
      </c>
      <c r="R3" s="21">
        <v>0.7227640758802529</v>
      </c>
      <c r="S3" s="1" t="s">
        <v>78</v>
      </c>
      <c r="T3" s="1" t="s">
        <v>0</v>
      </c>
      <c r="U3" s="1" t="s">
        <v>81</v>
      </c>
      <c r="V3" s="1" t="s">
        <v>81</v>
      </c>
      <c r="W3" s="1" t="s">
        <v>0</v>
      </c>
      <c r="X3" s="1" t="s">
        <v>146</v>
      </c>
      <c r="Y3" s="22" t="str">
        <f t="shared" ref="Y3:Y394" si="3">IF(M3=TRUE,"CO",IF(N3=TRUE,"UPDATE","NEW"))</f>
        <v>CO</v>
      </c>
      <c r="Z3" s="20" t="str">
        <f>_xlfn.XLOOKUP($B3,[1]F27!$C:$C,[1]F27!$BV:$BV)</f>
        <v>#ERROR!</v>
      </c>
      <c r="AA3" s="1"/>
      <c r="AB3" s="1"/>
      <c r="AC3" s="23"/>
      <c r="AD3" s="1" t="str">
        <f>_xlfn.XLOOKUP($B3,[1]F27!$C:$C,[1]F27!$Y:$Y)</f>
        <v>#ERROR!</v>
      </c>
      <c r="AE3" s="1" t="str">
        <f>_xlfn.XLOOKUP($B3,[1]F27!$C:$C,[1]F27!$Z:$Z)</f>
        <v>#ERROR!</v>
      </c>
      <c r="AF3" s="1" t="str">
        <f>_xlfn.XLOOKUP($B3,[2]PRICING!$B:$B,[2]PRICING!$B:$B,"MISSING")</f>
        <v>#ERROR!</v>
      </c>
      <c r="AG3" s="1" t="str">
        <f>COUNTIFS([2]ACTIVE_SCO!$B:$B,$B3,[2]ACTIVE_SCO!$P:$P,"Y")</f>
        <v>#ERROR!</v>
      </c>
      <c r="AH3" s="1"/>
      <c r="AI3" s="37" t="s">
        <v>157</v>
      </c>
      <c r="AJ3" s="38" t="s">
        <v>160</v>
      </c>
      <c r="AK3" s="39" t="s">
        <v>60</v>
      </c>
      <c r="AL3" s="39" t="s">
        <v>0</v>
      </c>
      <c r="AM3" s="1" t="s">
        <v>86</v>
      </c>
      <c r="AN3" s="40" t="s">
        <v>87</v>
      </c>
      <c r="AO3" s="41" t="s">
        <v>86</v>
      </c>
      <c r="AP3" s="41" t="s">
        <v>165</v>
      </c>
      <c r="AQ3" s="40" t="s">
        <v>0</v>
      </c>
      <c r="AR3" s="39"/>
      <c r="AS3" s="1" t="s">
        <v>126</v>
      </c>
      <c r="AT3" s="1" t="s">
        <v>161</v>
      </c>
      <c r="AU3" s="1" t="s">
        <v>130</v>
      </c>
      <c r="AV3" s="1" t="s">
        <v>131</v>
      </c>
      <c r="AW3" s="1"/>
      <c r="AX3" s="1"/>
      <c r="AY3" s="1"/>
      <c r="AZ3" s="1"/>
      <c r="BA3" s="1" t="s">
        <v>60</v>
      </c>
      <c r="BB3" s="1" t="s">
        <v>0</v>
      </c>
      <c r="BC3" s="1"/>
      <c r="BD3" s="1"/>
    </row>
    <row r="4" ht="11.25" customHeight="1">
      <c r="A4" s="1" t="b">
        <v>1</v>
      </c>
      <c r="B4" s="1" t="s">
        <v>167</v>
      </c>
      <c r="C4" s="1" t="s">
        <v>168</v>
      </c>
      <c r="D4" s="1" t="s">
        <v>65</v>
      </c>
      <c r="E4" s="1"/>
      <c r="F4" s="1"/>
      <c r="G4" s="1" t="s">
        <v>66</v>
      </c>
      <c r="H4" s="1"/>
      <c r="I4" s="1" t="s">
        <v>126</v>
      </c>
      <c r="J4" s="34" t="s">
        <v>141</v>
      </c>
      <c r="K4" s="1" t="s">
        <v>107</v>
      </c>
      <c r="L4" s="1" t="s">
        <v>0</v>
      </c>
      <c r="M4" s="1" t="b">
        <v>1</v>
      </c>
      <c r="N4" s="1" t="b">
        <v>0</v>
      </c>
      <c r="O4" s="19">
        <v>1800.0</v>
      </c>
      <c r="P4" s="20">
        <v>2.1</v>
      </c>
      <c r="Q4" s="20">
        <v>857.14</v>
      </c>
      <c r="R4" s="21">
        <v>0.7422008073360244</v>
      </c>
      <c r="S4" s="1" t="s">
        <v>78</v>
      </c>
      <c r="T4" s="1" t="s">
        <v>0</v>
      </c>
      <c r="U4" s="1" t="s">
        <v>81</v>
      </c>
      <c r="V4" s="1" t="s">
        <v>81</v>
      </c>
      <c r="W4" s="1" t="s">
        <v>0</v>
      </c>
      <c r="X4" s="1" t="s">
        <v>146</v>
      </c>
      <c r="Y4" s="22" t="str">
        <f t="shared" si="3"/>
        <v>CO</v>
      </c>
      <c r="Z4" s="20" t="str">
        <f>_xlfn.XLOOKUP($B4,[1]F27!$C:$C,[1]F27!$BV:$BV)</f>
        <v>#ERROR!</v>
      </c>
      <c r="AA4" s="1"/>
      <c r="AB4" s="1"/>
      <c r="AC4" s="23"/>
      <c r="AD4" s="1" t="str">
        <f>_xlfn.XLOOKUP($B4,[1]F27!$C:$C,[1]F27!$Y:$Y)</f>
        <v>#ERROR!</v>
      </c>
      <c r="AE4" s="1" t="str">
        <f>_xlfn.XLOOKUP($B4,[1]F27!$C:$C,[1]F27!$Z:$Z)</f>
        <v>#ERROR!</v>
      </c>
      <c r="AF4" s="1" t="str">
        <f>_xlfn.XLOOKUP($B4,[2]PRICING!$B:$B,[2]PRICING!$B:$B,"MISSING")</f>
        <v>#ERROR!</v>
      </c>
      <c r="AG4" s="1" t="str">
        <f>COUNTIFS([2]ACTIVE_SCO!$B:$B,$B4,[2]ACTIVE_SCO!$P:$P,"Y")</f>
        <v>#ERROR!</v>
      </c>
      <c r="AH4" s="1"/>
      <c r="AI4" s="37" t="s">
        <v>157</v>
      </c>
      <c r="AJ4" s="38" t="s">
        <v>189</v>
      </c>
      <c r="AK4" s="39" t="s">
        <v>60</v>
      </c>
      <c r="AL4" s="39" t="s">
        <v>0</v>
      </c>
      <c r="AM4" s="1" t="s">
        <v>86</v>
      </c>
      <c r="AN4" s="40" t="s">
        <v>87</v>
      </c>
      <c r="AO4" s="41" t="s">
        <v>86</v>
      </c>
      <c r="AP4" s="41" t="s">
        <v>169</v>
      </c>
      <c r="AQ4" s="40" t="s">
        <v>0</v>
      </c>
      <c r="AR4" s="39"/>
      <c r="AS4" s="1" t="s">
        <v>126</v>
      </c>
      <c r="AT4" s="1" t="s">
        <v>161</v>
      </c>
      <c r="AU4" s="1" t="s">
        <v>130</v>
      </c>
      <c r="AV4" s="1" t="s">
        <v>131</v>
      </c>
      <c r="AW4" s="1"/>
      <c r="AX4" s="1"/>
      <c r="AY4" s="1"/>
      <c r="AZ4" s="1"/>
      <c r="BA4" s="1" t="s">
        <v>60</v>
      </c>
      <c r="BB4" s="1" t="s">
        <v>0</v>
      </c>
      <c r="BC4" s="1"/>
      <c r="BD4" s="1"/>
    </row>
    <row r="5" ht="11.25" customHeight="1">
      <c r="A5" s="1" t="b">
        <v>1</v>
      </c>
      <c r="B5" s="1" t="s">
        <v>193</v>
      </c>
      <c r="C5" s="1" t="s">
        <v>194</v>
      </c>
      <c r="D5" s="1" t="s">
        <v>65</v>
      </c>
      <c r="E5" s="1"/>
      <c r="F5" s="1"/>
      <c r="G5" s="1" t="s">
        <v>66</v>
      </c>
      <c r="H5" s="1"/>
      <c r="I5" s="1" t="s">
        <v>68</v>
      </c>
      <c r="J5" s="34" t="s">
        <v>141</v>
      </c>
      <c r="K5" s="1" t="s">
        <v>70</v>
      </c>
      <c r="L5" s="1" t="s">
        <v>0</v>
      </c>
      <c r="M5" s="1" t="b">
        <v>1</v>
      </c>
      <c r="N5" s="1" t="b">
        <v>0</v>
      </c>
      <c r="O5" s="19">
        <v>2500.0</v>
      </c>
      <c r="P5" s="20">
        <v>2.1</v>
      </c>
      <c r="Q5" s="20">
        <v>1190.48</v>
      </c>
      <c r="R5" s="21">
        <v>0.6562395000335999</v>
      </c>
      <c r="S5" s="1" t="s">
        <v>78</v>
      </c>
      <c r="T5" s="1" t="s">
        <v>0</v>
      </c>
      <c r="U5" s="1" t="s">
        <v>166</v>
      </c>
      <c r="V5" s="1" t="s">
        <v>198</v>
      </c>
      <c r="W5" s="1" t="s">
        <v>0</v>
      </c>
      <c r="X5" s="1" t="s">
        <v>146</v>
      </c>
      <c r="Y5" s="22" t="str">
        <f t="shared" si="3"/>
        <v>CO</v>
      </c>
      <c r="Z5" s="20" t="str">
        <f>_xlfn.XLOOKUP($B5,[1]F27!$C:$C,[1]F27!$BV:$BV)</f>
        <v>#ERROR!</v>
      </c>
      <c r="AA5" s="1"/>
      <c r="AB5" s="1"/>
      <c r="AC5" s="23"/>
      <c r="AD5" s="1" t="str">
        <f>_xlfn.XLOOKUP($B5,[1]F27!$C:$C,[1]F27!$Y:$Y)</f>
        <v>#ERROR!</v>
      </c>
      <c r="AE5" s="1" t="str">
        <f>_xlfn.XLOOKUP($B5,[1]F27!$C:$C,[1]F27!$Z:$Z)</f>
        <v>#ERROR!</v>
      </c>
      <c r="AF5" s="1" t="str">
        <f>_xlfn.XLOOKUP($B5,[2]PRICING!$B:$B,[2]PRICING!$B:$B,"MISSING")</f>
        <v>#ERROR!</v>
      </c>
      <c r="AG5" s="1" t="str">
        <f>COUNTIFS([2]ACTIVE_SCO!$B:$B,$B5,[2]ACTIVE_SCO!$P:$P,"Y")</f>
        <v>#ERROR!</v>
      </c>
      <c r="AH5" s="1"/>
      <c r="AI5" s="37" t="s">
        <v>157</v>
      </c>
      <c r="AJ5" s="38" t="s">
        <v>203</v>
      </c>
      <c r="AK5" s="39" t="s">
        <v>204</v>
      </c>
      <c r="AL5" s="39" t="s">
        <v>0</v>
      </c>
      <c r="AM5" s="1" t="s">
        <v>125</v>
      </c>
      <c r="AN5" s="40" t="s">
        <v>127</v>
      </c>
      <c r="AO5" s="41" t="s">
        <v>125</v>
      </c>
      <c r="AP5" s="39"/>
      <c r="AQ5" s="40" t="s">
        <v>0</v>
      </c>
      <c r="AR5" s="39"/>
      <c r="AS5" s="1" t="s">
        <v>68</v>
      </c>
      <c r="AT5" s="1" t="s">
        <v>89</v>
      </c>
      <c r="AU5" s="1" t="s">
        <v>206</v>
      </c>
      <c r="AV5" s="1" t="s">
        <v>91</v>
      </c>
      <c r="AW5" s="1"/>
      <c r="AX5" s="1"/>
      <c r="AY5" s="1"/>
      <c r="AZ5" s="1"/>
      <c r="BA5" s="1" t="s">
        <v>204</v>
      </c>
      <c r="BB5" s="1" t="s">
        <v>0</v>
      </c>
      <c r="BC5" s="1"/>
      <c r="BD5" s="1"/>
    </row>
    <row r="6" ht="11.25" customHeight="1">
      <c r="A6" s="1" t="b">
        <v>1</v>
      </c>
      <c r="B6" s="1" t="s">
        <v>208</v>
      </c>
      <c r="C6" s="1" t="s">
        <v>209</v>
      </c>
      <c r="D6" s="1" t="s">
        <v>65</v>
      </c>
      <c r="E6" s="1"/>
      <c r="F6" s="1"/>
      <c r="G6" s="1" t="s">
        <v>66</v>
      </c>
      <c r="H6" s="1"/>
      <c r="I6" s="1" t="s">
        <v>68</v>
      </c>
      <c r="J6" s="34" t="s">
        <v>141</v>
      </c>
      <c r="K6" s="1" t="s">
        <v>107</v>
      </c>
      <c r="L6" s="1" t="s">
        <v>0</v>
      </c>
      <c r="M6" s="1" t="b">
        <v>1</v>
      </c>
      <c r="N6" s="1" t="b">
        <v>0</v>
      </c>
      <c r="O6" s="19">
        <v>2500.0</v>
      </c>
      <c r="P6" s="20">
        <v>2.1</v>
      </c>
      <c r="Q6" s="20">
        <v>1190.48</v>
      </c>
      <c r="R6" s="21">
        <v>0.6808094214098515</v>
      </c>
      <c r="S6" s="1" t="s">
        <v>78</v>
      </c>
      <c r="T6" s="1" t="s">
        <v>0</v>
      </c>
      <c r="U6" s="1" t="s">
        <v>166</v>
      </c>
      <c r="V6" s="1" t="s">
        <v>198</v>
      </c>
      <c r="W6" s="1" t="s">
        <v>0</v>
      </c>
      <c r="X6" s="1" t="s">
        <v>146</v>
      </c>
      <c r="Y6" s="22" t="str">
        <f t="shared" si="3"/>
        <v>CO</v>
      </c>
      <c r="Z6" s="20" t="str">
        <f>_xlfn.XLOOKUP($B6,[1]F27!$C:$C,[1]F27!$BV:$BV)</f>
        <v>#ERROR!</v>
      </c>
      <c r="AA6" s="1"/>
      <c r="AB6" s="1"/>
      <c r="AC6" s="23"/>
      <c r="AD6" s="1" t="str">
        <f>_xlfn.XLOOKUP($B6,[1]F27!$C:$C,[1]F27!$Y:$Y)</f>
        <v>#ERROR!</v>
      </c>
      <c r="AE6" s="1" t="str">
        <f>_xlfn.XLOOKUP($B6,[1]F27!$C:$C,[1]F27!$Z:$Z)</f>
        <v>#ERROR!</v>
      </c>
      <c r="AF6" s="1" t="str">
        <f>_xlfn.XLOOKUP($B6,[2]PRICING!$B:$B,[2]PRICING!$B:$B,"MISSING")</f>
        <v>#ERROR!</v>
      </c>
      <c r="AG6" s="1" t="str">
        <f>COUNTIFS([2]ACTIVE_SCO!$B:$B,$B6,[2]ACTIVE_SCO!$P:$P,"Y")</f>
        <v>#ERROR!</v>
      </c>
      <c r="AH6" s="1"/>
      <c r="AI6" s="37" t="s">
        <v>157</v>
      </c>
      <c r="AJ6" s="38" t="s">
        <v>225</v>
      </c>
      <c r="AK6" s="39" t="s">
        <v>204</v>
      </c>
      <c r="AL6" s="39" t="s">
        <v>0</v>
      </c>
      <c r="AM6" s="1" t="s">
        <v>125</v>
      </c>
      <c r="AN6" s="40" t="s">
        <v>127</v>
      </c>
      <c r="AO6" s="41" t="s">
        <v>125</v>
      </c>
      <c r="AP6" s="39"/>
      <c r="AQ6" s="40" t="s">
        <v>0</v>
      </c>
      <c r="AR6" s="39"/>
      <c r="AS6" s="1" t="s">
        <v>68</v>
      </c>
      <c r="AT6" s="1" t="s">
        <v>89</v>
      </c>
      <c r="AU6" s="1" t="s">
        <v>206</v>
      </c>
      <c r="AV6" s="1" t="s">
        <v>91</v>
      </c>
      <c r="AW6" s="1"/>
      <c r="AX6" s="1"/>
      <c r="AY6" s="1"/>
      <c r="AZ6" s="1"/>
      <c r="BA6" s="1" t="s">
        <v>204</v>
      </c>
      <c r="BB6" s="1" t="s">
        <v>0</v>
      </c>
      <c r="BC6" s="1"/>
      <c r="BD6" s="1"/>
    </row>
    <row r="7" ht="11.25" customHeight="1">
      <c r="A7" s="1" t="b">
        <v>1</v>
      </c>
      <c r="B7" s="1" t="s">
        <v>235</v>
      </c>
      <c r="C7" s="1" t="s">
        <v>236</v>
      </c>
      <c r="D7" s="1" t="s">
        <v>65</v>
      </c>
      <c r="E7" s="1"/>
      <c r="F7" s="1"/>
      <c r="G7" s="1" t="s">
        <v>66</v>
      </c>
      <c r="H7" s="1"/>
      <c r="I7" s="1" t="s">
        <v>68</v>
      </c>
      <c r="J7" s="34" t="s">
        <v>141</v>
      </c>
      <c r="K7" s="1" t="s">
        <v>70</v>
      </c>
      <c r="L7" s="1" t="s">
        <v>0</v>
      </c>
      <c r="M7" s="1" t="b">
        <v>1</v>
      </c>
      <c r="N7" s="1" t="b">
        <v>0</v>
      </c>
      <c r="O7" s="19">
        <v>2000.0</v>
      </c>
      <c r="P7" s="20">
        <v>2.1</v>
      </c>
      <c r="Q7" s="20">
        <v>952.38</v>
      </c>
      <c r="R7" s="21">
        <v>0.7045822045822046</v>
      </c>
      <c r="S7" s="1" t="s">
        <v>78</v>
      </c>
      <c r="T7" s="1" t="s">
        <v>0</v>
      </c>
      <c r="U7" s="1" t="s">
        <v>166</v>
      </c>
      <c r="V7" s="1" t="s">
        <v>198</v>
      </c>
      <c r="W7" s="1" t="s">
        <v>0</v>
      </c>
      <c r="X7" s="1" t="s">
        <v>146</v>
      </c>
      <c r="Y7" s="22" t="str">
        <f t="shared" si="3"/>
        <v>CO</v>
      </c>
      <c r="Z7" s="20" t="str">
        <f>_xlfn.XLOOKUP($B7,[1]F27!$C:$C,[1]F27!$BV:$BV)</f>
        <v>#ERROR!</v>
      </c>
      <c r="AA7" s="1"/>
      <c r="AB7" s="1"/>
      <c r="AC7" s="23"/>
      <c r="AD7" s="1" t="str">
        <f>_xlfn.XLOOKUP($B7,[1]F27!$C:$C,[1]F27!$Y:$Y)</f>
        <v>#ERROR!</v>
      </c>
      <c r="AE7" s="1" t="str">
        <f>_xlfn.XLOOKUP($B7,[1]F27!$C:$C,[1]F27!$Z:$Z)</f>
        <v>#ERROR!</v>
      </c>
      <c r="AF7" s="1" t="str">
        <f>_xlfn.XLOOKUP($B7,[2]PRICING!$B:$B,[2]PRICING!$B:$B,"MISSING")</f>
        <v>#ERROR!</v>
      </c>
      <c r="AG7" s="1" t="str">
        <f>COUNTIFS([2]ACTIVE_SCO!$B:$B,$B7,[2]ACTIVE_SCO!$P:$P,"Y")</f>
        <v>#ERROR!</v>
      </c>
      <c r="AH7" s="1"/>
      <c r="AI7" s="37" t="s">
        <v>157</v>
      </c>
      <c r="AJ7" s="38" t="s">
        <v>255</v>
      </c>
      <c r="AK7" s="39" t="s">
        <v>204</v>
      </c>
      <c r="AL7" s="39" t="s">
        <v>0</v>
      </c>
      <c r="AM7" s="1" t="s">
        <v>125</v>
      </c>
      <c r="AN7" s="40" t="s">
        <v>127</v>
      </c>
      <c r="AO7" s="41" t="s">
        <v>125</v>
      </c>
      <c r="AP7" s="39"/>
      <c r="AQ7" s="40" t="s">
        <v>0</v>
      </c>
      <c r="AR7" s="39"/>
      <c r="AS7" s="1" t="s">
        <v>68</v>
      </c>
      <c r="AT7" s="1" t="s">
        <v>128</v>
      </c>
      <c r="AU7" s="1" t="s">
        <v>206</v>
      </c>
      <c r="AV7" s="1" t="s">
        <v>91</v>
      </c>
      <c r="AW7" s="1"/>
      <c r="AX7" s="1"/>
      <c r="AY7" s="1"/>
      <c r="AZ7" s="1"/>
      <c r="BA7" s="1" t="s">
        <v>204</v>
      </c>
      <c r="BB7" s="1" t="s">
        <v>0</v>
      </c>
      <c r="BC7" s="1"/>
      <c r="BD7" s="1"/>
    </row>
    <row r="8" ht="11.25" customHeight="1">
      <c r="A8" s="1" t="b">
        <v>1</v>
      </c>
      <c r="B8" s="1" t="s">
        <v>262</v>
      </c>
      <c r="C8" s="1" t="s">
        <v>263</v>
      </c>
      <c r="D8" s="1" t="s">
        <v>65</v>
      </c>
      <c r="E8" s="1"/>
      <c r="F8" s="1"/>
      <c r="G8" s="1" t="s">
        <v>66</v>
      </c>
      <c r="H8" s="1"/>
      <c r="I8" s="1" t="s">
        <v>68</v>
      </c>
      <c r="J8" s="34" t="s">
        <v>141</v>
      </c>
      <c r="K8" s="1" t="s">
        <v>107</v>
      </c>
      <c r="L8" s="1" t="s">
        <v>0</v>
      </c>
      <c r="M8" s="1" t="b">
        <v>1</v>
      </c>
      <c r="N8" s="1" t="b">
        <v>0</v>
      </c>
      <c r="O8" s="19">
        <v>2000.0</v>
      </c>
      <c r="P8" s="20">
        <v>2.1</v>
      </c>
      <c r="Q8" s="20">
        <v>952.38</v>
      </c>
      <c r="R8" s="21">
        <v>0.7127512127512128</v>
      </c>
      <c r="S8" s="1" t="s">
        <v>78</v>
      </c>
      <c r="T8" s="1" t="s">
        <v>0</v>
      </c>
      <c r="U8" s="1" t="s">
        <v>166</v>
      </c>
      <c r="V8" s="1" t="s">
        <v>198</v>
      </c>
      <c r="W8" s="1" t="s">
        <v>0</v>
      </c>
      <c r="X8" s="1" t="s">
        <v>146</v>
      </c>
      <c r="Y8" s="22" t="str">
        <f t="shared" si="3"/>
        <v>CO</v>
      </c>
      <c r="Z8" s="20" t="str">
        <f>_xlfn.XLOOKUP($B8,[1]F27!$C:$C,[1]F27!$BV:$BV)</f>
        <v>#ERROR!</v>
      </c>
      <c r="AA8" s="1"/>
      <c r="AB8" s="1"/>
      <c r="AC8" s="23"/>
      <c r="AD8" s="1" t="str">
        <f>_xlfn.XLOOKUP($B8,[1]F27!$C:$C,[1]F27!$Y:$Y)</f>
        <v>#ERROR!</v>
      </c>
      <c r="AE8" s="1" t="str">
        <f>_xlfn.XLOOKUP($B8,[1]F27!$C:$C,[1]F27!$Z:$Z)</f>
        <v>#ERROR!</v>
      </c>
      <c r="AF8" s="1" t="str">
        <f>_xlfn.XLOOKUP($B8,[2]PRICING!$B:$B,[2]PRICING!$B:$B,"MISSING")</f>
        <v>#ERROR!</v>
      </c>
      <c r="AG8" s="1" t="str">
        <f>COUNTIFS([2]ACTIVE_SCO!$B:$B,$B8,[2]ACTIVE_SCO!$P:$P,"Y")</f>
        <v>#ERROR!</v>
      </c>
      <c r="AH8" s="1"/>
      <c r="AI8" s="37" t="s">
        <v>157</v>
      </c>
      <c r="AJ8" s="38" t="s">
        <v>280</v>
      </c>
      <c r="AK8" s="39" t="s">
        <v>204</v>
      </c>
      <c r="AL8" s="39" t="s">
        <v>0</v>
      </c>
      <c r="AM8" s="1" t="s">
        <v>125</v>
      </c>
      <c r="AN8" s="40" t="s">
        <v>127</v>
      </c>
      <c r="AO8" s="41" t="s">
        <v>125</v>
      </c>
      <c r="AP8" s="39"/>
      <c r="AQ8" s="40" t="s">
        <v>0</v>
      </c>
      <c r="AR8" s="39"/>
      <c r="AS8" s="1" t="s">
        <v>68</v>
      </c>
      <c r="AT8" s="1" t="s">
        <v>128</v>
      </c>
      <c r="AU8" s="1" t="s">
        <v>206</v>
      </c>
      <c r="AV8" s="1" t="s">
        <v>91</v>
      </c>
      <c r="AW8" s="1"/>
      <c r="AX8" s="1"/>
      <c r="AY8" s="1"/>
      <c r="AZ8" s="1"/>
      <c r="BA8" s="1" t="s">
        <v>204</v>
      </c>
      <c r="BB8" s="1" t="s">
        <v>0</v>
      </c>
      <c r="BC8" s="1"/>
      <c r="BD8" s="1"/>
    </row>
    <row r="9" ht="11.25" customHeight="1">
      <c r="A9" s="1" t="b">
        <v>1</v>
      </c>
      <c r="B9" s="1" t="s">
        <v>176</v>
      </c>
      <c r="C9" s="1" t="s">
        <v>177</v>
      </c>
      <c r="D9" s="1" t="s">
        <v>65</v>
      </c>
      <c r="E9" s="1"/>
      <c r="F9" s="1"/>
      <c r="G9" s="1" t="s">
        <v>66</v>
      </c>
      <c r="H9" s="1"/>
      <c r="I9" s="1" t="s">
        <v>68</v>
      </c>
      <c r="J9" s="34" t="s">
        <v>141</v>
      </c>
      <c r="K9" s="1" t="s">
        <v>70</v>
      </c>
      <c r="L9" s="1" t="s">
        <v>0</v>
      </c>
      <c r="M9" s="1" t="b">
        <v>1</v>
      </c>
      <c r="N9" s="1" t="b">
        <v>0</v>
      </c>
      <c r="O9" s="19">
        <v>2200.0</v>
      </c>
      <c r="P9" s="20">
        <v>2.1</v>
      </c>
      <c r="Q9" s="20">
        <v>1047.62</v>
      </c>
      <c r="R9" s="21">
        <v>0.6760943853687406</v>
      </c>
      <c r="S9" s="1" t="s">
        <v>78</v>
      </c>
      <c r="T9" s="1" t="s">
        <v>0</v>
      </c>
      <c r="U9" s="1" t="s">
        <v>166</v>
      </c>
      <c r="V9" s="1" t="s">
        <v>81</v>
      </c>
      <c r="W9" s="1" t="s">
        <v>0</v>
      </c>
      <c r="X9" s="1" t="s">
        <v>146</v>
      </c>
      <c r="Y9" s="22" t="str">
        <f t="shared" si="3"/>
        <v>CO</v>
      </c>
      <c r="Z9" s="20" t="str">
        <f>_xlfn.XLOOKUP($B9,[1]F27!$C:$C,[1]F27!$BV:$BV)</f>
        <v>#ERROR!</v>
      </c>
      <c r="AA9" s="1"/>
      <c r="AB9" s="1"/>
      <c r="AC9" s="23"/>
      <c r="AD9" s="1" t="str">
        <f>_xlfn.XLOOKUP($B9,[1]F27!$C:$C,[1]F27!$Y:$Y)</f>
        <v>#ERROR!</v>
      </c>
      <c r="AE9" s="1" t="str">
        <f>_xlfn.XLOOKUP($B9,[1]F27!$C:$C,[1]F27!$Z:$Z)</f>
        <v>#ERROR!</v>
      </c>
      <c r="AF9" s="1" t="str">
        <f>_xlfn.XLOOKUP($B9,[2]PRICING!$B:$B,[2]PRICING!$B:$B,"MISSING")</f>
        <v>#ERROR!</v>
      </c>
      <c r="AG9" s="1" t="str">
        <f>COUNTIFS([2]ACTIVE_SCO!$B:$B,$B9,[2]ACTIVE_SCO!$P:$P,"Y")</f>
        <v>#ERROR!</v>
      </c>
      <c r="AH9" s="1"/>
      <c r="AI9" s="37" t="s">
        <v>157</v>
      </c>
      <c r="AJ9" s="38" t="s">
        <v>293</v>
      </c>
      <c r="AK9" s="39" t="s">
        <v>294</v>
      </c>
      <c r="AL9" s="39" t="s">
        <v>0</v>
      </c>
      <c r="AM9" s="1" t="s">
        <v>125</v>
      </c>
      <c r="AN9" s="40" t="s">
        <v>127</v>
      </c>
      <c r="AO9" s="41" t="s">
        <v>125</v>
      </c>
      <c r="AP9" s="39"/>
      <c r="AQ9" s="40" t="s">
        <v>0</v>
      </c>
      <c r="AR9" s="39"/>
      <c r="AS9" s="1" t="s">
        <v>68</v>
      </c>
      <c r="AT9" s="1" t="s">
        <v>89</v>
      </c>
      <c r="AU9" s="1" t="s">
        <v>90</v>
      </c>
      <c r="AV9" s="1" t="s">
        <v>91</v>
      </c>
      <c r="AW9" s="1"/>
      <c r="AX9" s="1"/>
      <c r="AY9" s="1"/>
      <c r="AZ9" s="1"/>
      <c r="BA9" s="1" t="s">
        <v>294</v>
      </c>
      <c r="BB9" s="1" t="s">
        <v>0</v>
      </c>
      <c r="BC9" s="1"/>
      <c r="BD9" s="1"/>
    </row>
    <row r="10" ht="11.25" customHeight="1">
      <c r="A10" s="1" t="b">
        <v>1</v>
      </c>
      <c r="B10" s="1" t="s">
        <v>187</v>
      </c>
      <c r="C10" s="1" t="s">
        <v>188</v>
      </c>
      <c r="D10" s="1" t="s">
        <v>65</v>
      </c>
      <c r="E10" s="1"/>
      <c r="F10" s="1"/>
      <c r="G10" s="1" t="s">
        <v>66</v>
      </c>
      <c r="H10" s="1"/>
      <c r="I10" s="1" t="s">
        <v>68</v>
      </c>
      <c r="J10" s="34" t="s">
        <v>141</v>
      </c>
      <c r="K10" s="1" t="s">
        <v>107</v>
      </c>
      <c r="L10" s="1" t="s">
        <v>0</v>
      </c>
      <c r="M10" s="1" t="b">
        <v>1</v>
      </c>
      <c r="N10" s="1" t="b">
        <v>0</v>
      </c>
      <c r="O10" s="19">
        <v>2200.0</v>
      </c>
      <c r="P10" s="20">
        <v>2.1</v>
      </c>
      <c r="Q10" s="20">
        <v>1047.62</v>
      </c>
      <c r="R10" s="21">
        <v>0.6981730016609076</v>
      </c>
      <c r="S10" s="1" t="s">
        <v>78</v>
      </c>
      <c r="T10" s="1" t="s">
        <v>0</v>
      </c>
      <c r="U10" s="1" t="s">
        <v>166</v>
      </c>
      <c r="V10" s="1" t="s">
        <v>81</v>
      </c>
      <c r="W10" s="1" t="s">
        <v>0</v>
      </c>
      <c r="X10" s="1" t="s">
        <v>146</v>
      </c>
      <c r="Y10" s="22" t="str">
        <f t="shared" si="3"/>
        <v>CO</v>
      </c>
      <c r="Z10" s="20" t="str">
        <f>_xlfn.XLOOKUP($B10,[1]F27!$C:$C,[1]F27!$BV:$BV)</f>
        <v>#ERROR!</v>
      </c>
      <c r="AA10" s="1"/>
      <c r="AB10" s="1"/>
      <c r="AC10" s="23"/>
      <c r="AD10" s="1" t="str">
        <f>_xlfn.XLOOKUP($B10,[1]F27!$C:$C,[1]F27!$Y:$Y)</f>
        <v>#ERROR!</v>
      </c>
      <c r="AE10" s="1" t="str">
        <f>_xlfn.XLOOKUP($B10,[1]F27!$C:$C,[1]F27!$Z:$Z)</f>
        <v>#ERROR!</v>
      </c>
      <c r="AF10" s="1" t="str">
        <f>_xlfn.XLOOKUP($B10,[2]PRICING!$B:$B,[2]PRICING!$B:$B,"MISSING")</f>
        <v>#ERROR!</v>
      </c>
      <c r="AG10" s="1" t="str">
        <f>COUNTIFS([2]ACTIVE_SCO!$B:$B,$B10,[2]ACTIVE_SCO!$P:$P,"Y")</f>
        <v>#ERROR!</v>
      </c>
      <c r="AH10" s="1"/>
      <c r="AI10" s="37" t="s">
        <v>157</v>
      </c>
      <c r="AJ10" s="38" t="s">
        <v>305</v>
      </c>
      <c r="AK10" s="39" t="s">
        <v>294</v>
      </c>
      <c r="AL10" s="39" t="s">
        <v>0</v>
      </c>
      <c r="AM10" s="1" t="s">
        <v>125</v>
      </c>
      <c r="AN10" s="40" t="s">
        <v>127</v>
      </c>
      <c r="AO10" s="41" t="s">
        <v>125</v>
      </c>
      <c r="AP10" s="39"/>
      <c r="AQ10" s="40" t="s">
        <v>0</v>
      </c>
      <c r="AR10" s="39"/>
      <c r="AS10" s="1" t="s">
        <v>68</v>
      </c>
      <c r="AT10" s="1" t="s">
        <v>89</v>
      </c>
      <c r="AU10" s="1" t="s">
        <v>90</v>
      </c>
      <c r="AV10" s="1" t="s">
        <v>91</v>
      </c>
      <c r="AW10" s="1"/>
      <c r="AX10" s="1"/>
      <c r="AY10" s="1"/>
      <c r="AZ10" s="1"/>
      <c r="BA10" s="1" t="s">
        <v>294</v>
      </c>
      <c r="BB10" s="1" t="s">
        <v>0</v>
      </c>
      <c r="BC10" s="1"/>
      <c r="BD10" s="1"/>
    </row>
    <row r="11" ht="11.25" customHeight="1">
      <c r="A11" s="1" t="b">
        <v>1</v>
      </c>
      <c r="B11" s="1" t="s">
        <v>191</v>
      </c>
      <c r="C11" s="1" t="s">
        <v>192</v>
      </c>
      <c r="D11" s="1" t="s">
        <v>65</v>
      </c>
      <c r="E11" s="1"/>
      <c r="F11" s="1"/>
      <c r="G11" s="1" t="s">
        <v>66</v>
      </c>
      <c r="H11" s="1"/>
      <c r="I11" s="1" t="s">
        <v>68</v>
      </c>
      <c r="J11" s="34" t="s">
        <v>141</v>
      </c>
      <c r="K11" s="1" t="s">
        <v>70</v>
      </c>
      <c r="L11" s="1" t="s">
        <v>0</v>
      </c>
      <c r="M11" s="1" t="b">
        <v>1</v>
      </c>
      <c r="N11" s="1" t="b">
        <v>0</v>
      </c>
      <c r="O11" s="19">
        <v>1700.0</v>
      </c>
      <c r="P11" s="20">
        <v>2.1</v>
      </c>
      <c r="Q11" s="20">
        <v>809.52</v>
      </c>
      <c r="R11" s="21">
        <v>0.6728925783180155</v>
      </c>
      <c r="S11" s="1" t="s">
        <v>78</v>
      </c>
      <c r="T11" s="1" t="s">
        <v>0</v>
      </c>
      <c r="U11" s="1" t="s">
        <v>166</v>
      </c>
      <c r="V11" s="1" t="s">
        <v>81</v>
      </c>
      <c r="W11" s="1" t="s">
        <v>0</v>
      </c>
      <c r="X11" s="1" t="s">
        <v>146</v>
      </c>
      <c r="Y11" s="22" t="str">
        <f t="shared" si="3"/>
        <v>CO</v>
      </c>
      <c r="Z11" s="20" t="str">
        <f>_xlfn.XLOOKUP($B11,[1]F27!$C:$C,[1]F27!$BV:$BV)</f>
        <v>#ERROR!</v>
      </c>
      <c r="AA11" s="1"/>
      <c r="AB11" s="1"/>
      <c r="AC11" s="23"/>
      <c r="AD11" s="1" t="str">
        <f>_xlfn.XLOOKUP($B11,[1]F27!$C:$C,[1]F27!$Y:$Y)</f>
        <v>#ERROR!</v>
      </c>
      <c r="AE11" s="1" t="str">
        <f>_xlfn.XLOOKUP($B11,[1]F27!$C:$C,[1]F27!$Z:$Z)</f>
        <v>#ERROR!</v>
      </c>
      <c r="AF11" s="1" t="str">
        <f>_xlfn.XLOOKUP($B11,[2]PRICING!$B:$B,[2]PRICING!$B:$B,"MISSING")</f>
        <v>#ERROR!</v>
      </c>
      <c r="AG11" s="1" t="str">
        <f>COUNTIFS([2]ACTIVE_SCO!$B:$B,$B11,[2]ACTIVE_SCO!$P:$P,"Y")</f>
        <v>#ERROR!</v>
      </c>
      <c r="AH11" s="1"/>
      <c r="AI11" s="37" t="s">
        <v>157</v>
      </c>
      <c r="AJ11" s="38" t="s">
        <v>319</v>
      </c>
      <c r="AK11" s="39" t="s">
        <v>294</v>
      </c>
      <c r="AL11" s="39" t="s">
        <v>0</v>
      </c>
      <c r="AM11" s="1" t="s">
        <v>125</v>
      </c>
      <c r="AN11" s="40" t="s">
        <v>127</v>
      </c>
      <c r="AO11" s="41" t="s">
        <v>125</v>
      </c>
      <c r="AP11" s="39"/>
      <c r="AQ11" s="40" t="s">
        <v>0</v>
      </c>
      <c r="AR11" s="39"/>
      <c r="AS11" s="1" t="s">
        <v>68</v>
      </c>
      <c r="AT11" s="1" t="s">
        <v>128</v>
      </c>
      <c r="AU11" s="1" t="s">
        <v>90</v>
      </c>
      <c r="AV11" s="1" t="s">
        <v>91</v>
      </c>
      <c r="AW11" s="1"/>
      <c r="AX11" s="1"/>
      <c r="AY11" s="1"/>
      <c r="AZ11" s="1"/>
      <c r="BA11" s="1" t="s">
        <v>294</v>
      </c>
      <c r="BB11" s="1" t="s">
        <v>0</v>
      </c>
      <c r="BC11" s="1"/>
      <c r="BD11" s="1"/>
    </row>
    <row r="12" ht="11.25" customHeight="1">
      <c r="A12" s="1" t="b">
        <v>1</v>
      </c>
      <c r="B12" s="1" t="s">
        <v>195</v>
      </c>
      <c r="C12" s="1" t="s">
        <v>196</v>
      </c>
      <c r="D12" s="1" t="s">
        <v>65</v>
      </c>
      <c r="E12" s="1"/>
      <c r="F12" s="1"/>
      <c r="G12" s="1" t="s">
        <v>66</v>
      </c>
      <c r="H12" s="1"/>
      <c r="I12" s="1" t="s">
        <v>68</v>
      </c>
      <c r="J12" s="34" t="s">
        <v>141</v>
      </c>
      <c r="K12" s="1" t="s">
        <v>107</v>
      </c>
      <c r="L12" s="1" t="s">
        <v>0</v>
      </c>
      <c r="M12" s="1" t="b">
        <v>1</v>
      </c>
      <c r="N12" s="1" t="b">
        <v>0</v>
      </c>
      <c r="O12" s="19">
        <v>1700.0</v>
      </c>
      <c r="P12" s="20">
        <v>2.1</v>
      </c>
      <c r="Q12" s="20">
        <v>809.52</v>
      </c>
      <c r="R12" s="21">
        <v>0.6800573179167901</v>
      </c>
      <c r="S12" s="1" t="s">
        <v>78</v>
      </c>
      <c r="T12" s="1" t="s">
        <v>0</v>
      </c>
      <c r="U12" s="1" t="s">
        <v>166</v>
      </c>
      <c r="V12" s="1" t="s">
        <v>81</v>
      </c>
      <c r="W12" s="1" t="s">
        <v>0</v>
      </c>
      <c r="X12" s="1" t="s">
        <v>146</v>
      </c>
      <c r="Y12" s="22" t="str">
        <f t="shared" si="3"/>
        <v>CO</v>
      </c>
      <c r="Z12" s="20" t="str">
        <f>_xlfn.XLOOKUP($B12,[1]F27!$C:$C,[1]F27!$BV:$BV)</f>
        <v>#ERROR!</v>
      </c>
      <c r="AA12" s="1"/>
      <c r="AB12" s="1"/>
      <c r="AC12" s="23"/>
      <c r="AD12" s="1" t="str">
        <f>_xlfn.XLOOKUP($B12,[1]F27!$C:$C,[1]F27!$Y:$Y)</f>
        <v>#ERROR!</v>
      </c>
      <c r="AE12" s="1" t="str">
        <f>_xlfn.XLOOKUP($B12,[1]F27!$C:$C,[1]F27!$Z:$Z)</f>
        <v>#ERROR!</v>
      </c>
      <c r="AF12" s="1" t="str">
        <f>_xlfn.XLOOKUP($B12,[2]PRICING!$B:$B,[2]PRICING!$B:$B,"MISSING")</f>
        <v>#ERROR!</v>
      </c>
      <c r="AG12" s="1" t="str">
        <f>COUNTIFS([2]ACTIVE_SCO!$B:$B,$B12,[2]ACTIVE_SCO!$P:$P,"Y")</f>
        <v>#ERROR!</v>
      </c>
      <c r="AH12" s="1"/>
      <c r="AI12" s="37" t="s">
        <v>157</v>
      </c>
      <c r="AJ12" s="38" t="s">
        <v>329</v>
      </c>
      <c r="AK12" s="39" t="s">
        <v>294</v>
      </c>
      <c r="AL12" s="39" t="s">
        <v>0</v>
      </c>
      <c r="AM12" s="1" t="s">
        <v>125</v>
      </c>
      <c r="AN12" s="40" t="s">
        <v>127</v>
      </c>
      <c r="AO12" s="41" t="s">
        <v>125</v>
      </c>
      <c r="AP12" s="39"/>
      <c r="AQ12" s="40" t="s">
        <v>0</v>
      </c>
      <c r="AR12" s="39"/>
      <c r="AS12" s="1" t="s">
        <v>68</v>
      </c>
      <c r="AT12" s="1" t="s">
        <v>128</v>
      </c>
      <c r="AU12" s="1" t="s">
        <v>90</v>
      </c>
      <c r="AV12" s="1" t="s">
        <v>91</v>
      </c>
      <c r="AW12" s="1"/>
      <c r="AX12" s="1"/>
      <c r="AY12" s="1"/>
      <c r="AZ12" s="1"/>
      <c r="BA12" s="1" t="s">
        <v>294</v>
      </c>
      <c r="BB12" s="1" t="s">
        <v>0</v>
      </c>
      <c r="BC12" s="1"/>
      <c r="BD12" s="1"/>
    </row>
    <row r="13" ht="11.25" customHeight="1">
      <c r="A13" s="1" t="b">
        <v>0</v>
      </c>
      <c r="B13" s="1" t="s">
        <v>152</v>
      </c>
      <c r="C13" s="1" t="s">
        <v>153</v>
      </c>
      <c r="D13" s="1" t="s">
        <v>65</v>
      </c>
      <c r="E13" s="1"/>
      <c r="F13" s="1"/>
      <c r="G13" s="1" t="s">
        <v>66</v>
      </c>
      <c r="H13" s="1"/>
      <c r="I13" s="1" t="s">
        <v>126</v>
      </c>
      <c r="J13" s="1" t="s">
        <v>69</v>
      </c>
      <c r="K13" s="1" t="s">
        <v>70</v>
      </c>
      <c r="L13" s="1" t="s">
        <v>0</v>
      </c>
      <c r="M13" s="1" t="b">
        <v>1</v>
      </c>
      <c r="N13" s="1" t="b">
        <v>0</v>
      </c>
      <c r="O13" s="19">
        <v>2200.0</v>
      </c>
      <c r="P13" s="20">
        <v>2.1</v>
      </c>
      <c r="Q13" s="20">
        <v>1047.62</v>
      </c>
      <c r="R13" s="21">
        <v>0.6795116549894045</v>
      </c>
      <c r="S13" s="1" t="s">
        <v>117</v>
      </c>
      <c r="T13" s="1" t="s">
        <v>0</v>
      </c>
      <c r="U13" s="1" t="s">
        <v>81</v>
      </c>
      <c r="V13" s="1" t="s">
        <v>81</v>
      </c>
      <c r="W13" s="1" t="s">
        <v>0</v>
      </c>
      <c r="X13" s="1" t="s">
        <v>156</v>
      </c>
      <c r="Y13" s="22" t="str">
        <f t="shared" si="3"/>
        <v>CO</v>
      </c>
      <c r="Z13" s="20" t="str">
        <f>_xlfn.XLOOKUP($B13,[1]F27!$C:$C,[1]F27!$BV:$BV)</f>
        <v>#ERROR!</v>
      </c>
      <c r="AA13" s="1"/>
      <c r="AB13" s="1"/>
      <c r="AC13" s="23"/>
      <c r="AD13" s="1" t="str">
        <f>_xlfn.XLOOKUP($B13,[1]F27!$C:$C,[1]F27!$Y:$Y)</f>
        <v>#ERROR!</v>
      </c>
      <c r="AE13" s="1" t="str">
        <f>_xlfn.XLOOKUP($B13,[1]F27!$C:$C,[1]F27!$Z:$Z)</f>
        <v>#ERROR!</v>
      </c>
      <c r="AF13" s="1" t="str">
        <f>_xlfn.XLOOKUP($B13,[2]PRICING!$B:$B,[2]PRICING!$B:$B,"MISSING")</f>
        <v>#ERROR!</v>
      </c>
      <c r="AG13" s="1" t="str">
        <f>COUNTIFS([2]ACTIVE_SCO!$B:$B,$B13,[2]ACTIVE_SCO!$P:$P,"Y")</f>
        <v>#ERROR!</v>
      </c>
      <c r="AH13" s="1"/>
      <c r="AI13" s="1" t="s">
        <v>341</v>
      </c>
      <c r="AJ13" s="1"/>
      <c r="AK13" s="1"/>
      <c r="AL13" s="1"/>
      <c r="AM13" s="1"/>
      <c r="AN13" s="1"/>
      <c r="AO13" s="1"/>
      <c r="AP13" s="1"/>
      <c r="AQ13" s="40" t="s">
        <v>0</v>
      </c>
      <c r="AR13" s="39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ht="11.25" customHeight="1">
      <c r="A14" s="1" t="b">
        <v>0</v>
      </c>
      <c r="B14" s="1" t="s">
        <v>162</v>
      </c>
      <c r="C14" s="1" t="s">
        <v>163</v>
      </c>
      <c r="D14" s="1" t="s">
        <v>65</v>
      </c>
      <c r="E14" s="1"/>
      <c r="F14" s="1"/>
      <c r="G14" s="1" t="s">
        <v>66</v>
      </c>
      <c r="H14" s="1"/>
      <c r="I14" s="1" t="s">
        <v>126</v>
      </c>
      <c r="J14" s="1" t="s">
        <v>69</v>
      </c>
      <c r="K14" s="1" t="s">
        <v>107</v>
      </c>
      <c r="L14" s="1" t="s">
        <v>0</v>
      </c>
      <c r="M14" s="1" t="b">
        <v>1</v>
      </c>
      <c r="N14" s="1" t="b">
        <v>0</v>
      </c>
      <c r="O14" s="19">
        <v>2200.0</v>
      </c>
      <c r="P14" s="20">
        <v>2.1</v>
      </c>
      <c r="Q14" s="20">
        <v>1047.62</v>
      </c>
      <c r="R14" s="21">
        <v>0.700931635516695</v>
      </c>
      <c r="S14" s="1" t="s">
        <v>117</v>
      </c>
      <c r="T14" s="1" t="s">
        <v>0</v>
      </c>
      <c r="U14" s="1" t="s">
        <v>81</v>
      </c>
      <c r="V14" s="1" t="s">
        <v>81</v>
      </c>
      <c r="W14" s="1" t="s">
        <v>0</v>
      </c>
      <c r="X14" s="1" t="s">
        <v>156</v>
      </c>
      <c r="Y14" s="22" t="str">
        <f t="shared" si="3"/>
        <v>CO</v>
      </c>
      <c r="Z14" s="20" t="str">
        <f>_xlfn.XLOOKUP($B14,[1]F27!$C:$C,[1]F27!$BV:$BV)</f>
        <v>#ERROR!</v>
      </c>
      <c r="AA14" s="1"/>
      <c r="AB14" s="1"/>
      <c r="AC14" s="23"/>
      <c r="AD14" s="1" t="str">
        <f>_xlfn.XLOOKUP($B14,[1]F27!$C:$C,[1]F27!$Y:$Y)</f>
        <v>#ERROR!</v>
      </c>
      <c r="AE14" s="1" t="str">
        <f>_xlfn.XLOOKUP($B14,[1]F27!$C:$C,[1]F27!$Z:$Z)</f>
        <v>#ERROR!</v>
      </c>
      <c r="AF14" s="1" t="str">
        <f>_xlfn.XLOOKUP($B14,[2]PRICING!$B:$B,[2]PRICING!$B:$B,"MISSING")</f>
        <v>#ERROR!</v>
      </c>
      <c r="AG14" s="1" t="str">
        <f>COUNTIFS([2]ACTIVE_SCO!$B:$B,$B14,[2]ACTIVE_SCO!$P:$P,"Y")</f>
        <v>#ERROR!</v>
      </c>
      <c r="AH14" s="1"/>
      <c r="AI14" s="1" t="s">
        <v>341</v>
      </c>
      <c r="AJ14" s="1"/>
      <c r="AK14" s="1"/>
      <c r="AL14" s="1"/>
      <c r="AM14" s="1"/>
      <c r="AN14" s="1"/>
      <c r="AO14" s="1"/>
      <c r="AP14" s="1"/>
      <c r="AQ14" s="40" t="s">
        <v>0</v>
      </c>
      <c r="AR14" s="39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ht="11.25" customHeight="1">
      <c r="A15" s="1" t="b">
        <v>1</v>
      </c>
      <c r="B15" s="1" t="s">
        <v>353</v>
      </c>
      <c r="C15" s="1" t="s">
        <v>354</v>
      </c>
      <c r="D15" s="1" t="s">
        <v>65</v>
      </c>
      <c r="E15" s="1"/>
      <c r="F15" s="1"/>
      <c r="G15" s="1" t="s">
        <v>66</v>
      </c>
      <c r="H15" s="1"/>
      <c r="I15" s="1" t="s">
        <v>355</v>
      </c>
      <c r="J15" s="34" t="s">
        <v>141</v>
      </c>
      <c r="K15" s="1" t="s">
        <v>70</v>
      </c>
      <c r="L15" s="1" t="s">
        <v>0</v>
      </c>
      <c r="M15" s="1" t="b">
        <v>1</v>
      </c>
      <c r="N15" s="1" t="b">
        <v>0</v>
      </c>
      <c r="O15" s="19">
        <v>2200.0</v>
      </c>
      <c r="P15" s="20">
        <v>2.1</v>
      </c>
      <c r="Q15" s="20">
        <v>1047.62</v>
      </c>
      <c r="R15" s="21">
        <v>0.7257020675435749</v>
      </c>
      <c r="S15" s="1" t="s">
        <v>78</v>
      </c>
      <c r="T15" s="1" t="s">
        <v>0</v>
      </c>
      <c r="U15" s="1" t="s">
        <v>198</v>
      </c>
      <c r="V15" s="1" t="s">
        <v>81</v>
      </c>
      <c r="W15" s="1" t="s">
        <v>0</v>
      </c>
      <c r="X15" s="1" t="s">
        <v>156</v>
      </c>
      <c r="Y15" s="22" t="str">
        <f t="shared" si="3"/>
        <v>CO</v>
      </c>
      <c r="Z15" s="20" t="str">
        <f>_xlfn.XLOOKUP($B15,[1]F27!$C:$C,[1]F27!$BV:$BV)</f>
        <v>#ERROR!</v>
      </c>
      <c r="AA15" s="1"/>
      <c r="AB15" s="1"/>
      <c r="AC15" s="23"/>
      <c r="AD15" s="1" t="str">
        <f>_xlfn.XLOOKUP($B15,[1]F27!$C:$C,[1]F27!$Y:$Y)</f>
        <v>#ERROR!</v>
      </c>
      <c r="AE15" s="1" t="str">
        <f>_xlfn.XLOOKUP($B15,[1]F27!$C:$C,[1]F27!$Z:$Z)</f>
        <v>#ERROR!</v>
      </c>
      <c r="AF15" s="1" t="str">
        <f>_xlfn.XLOOKUP($B15,[2]PRICING!$B:$B,[2]PRICING!$B:$B,"MISSING")</f>
        <v>#ERROR!</v>
      </c>
      <c r="AG15" s="1" t="str">
        <f>COUNTIFS([2]ACTIVE_SCO!$B:$B,$B15,[2]ACTIVE_SCO!$P:$P,"Y")</f>
        <v>#ERROR!</v>
      </c>
      <c r="AH15" s="1"/>
      <c r="AI15" s="37" t="s">
        <v>157</v>
      </c>
      <c r="AJ15" s="38" t="s">
        <v>364</v>
      </c>
      <c r="AK15" s="49" t="s">
        <v>365</v>
      </c>
      <c r="AL15" s="39" t="s">
        <v>366</v>
      </c>
      <c r="AM15" s="1" t="s">
        <v>125</v>
      </c>
      <c r="AN15" s="40" t="s">
        <v>127</v>
      </c>
      <c r="AO15" s="41" t="s">
        <v>125</v>
      </c>
      <c r="AP15" s="39"/>
      <c r="AQ15" s="40" t="s">
        <v>0</v>
      </c>
      <c r="AR15" s="39"/>
      <c r="AS15" s="1" t="s">
        <v>355</v>
      </c>
      <c r="AT15" s="1" t="s">
        <v>161</v>
      </c>
      <c r="AU15" s="1" t="s">
        <v>367</v>
      </c>
      <c r="AV15" s="1" t="s">
        <v>131</v>
      </c>
      <c r="AW15" s="1"/>
      <c r="AX15" s="1"/>
      <c r="AY15" s="1"/>
      <c r="AZ15" s="1"/>
      <c r="BA15" s="50" t="s">
        <v>365</v>
      </c>
      <c r="BB15" s="1" t="s">
        <v>366</v>
      </c>
      <c r="BC15" s="1"/>
      <c r="BD15" s="1"/>
    </row>
    <row r="16" ht="11.25" customHeight="1">
      <c r="A16" s="1" t="b">
        <v>1</v>
      </c>
      <c r="B16" s="1" t="s">
        <v>370</v>
      </c>
      <c r="C16" s="1" t="s">
        <v>371</v>
      </c>
      <c r="D16" s="1" t="s">
        <v>65</v>
      </c>
      <c r="E16" s="1"/>
      <c r="F16" s="1"/>
      <c r="G16" s="1" t="s">
        <v>66</v>
      </c>
      <c r="H16" s="1"/>
      <c r="I16" s="1" t="s">
        <v>355</v>
      </c>
      <c r="J16" s="34" t="s">
        <v>141</v>
      </c>
      <c r="K16" s="1" t="s">
        <v>107</v>
      </c>
      <c r="L16" s="1" t="s">
        <v>0</v>
      </c>
      <c r="M16" s="1" t="b">
        <v>1</v>
      </c>
      <c r="N16" s="1" t="b">
        <v>0</v>
      </c>
      <c r="O16" s="19">
        <v>2200.0</v>
      </c>
      <c r="P16" s="20">
        <v>2.1</v>
      </c>
      <c r="Q16" s="20">
        <v>1047.62</v>
      </c>
      <c r="R16" s="21">
        <v>0.7372902388270557</v>
      </c>
      <c r="S16" s="1" t="s">
        <v>78</v>
      </c>
      <c r="T16" s="1" t="s">
        <v>0</v>
      </c>
      <c r="U16" s="1" t="s">
        <v>198</v>
      </c>
      <c r="V16" s="1" t="s">
        <v>81</v>
      </c>
      <c r="W16" s="1" t="s">
        <v>0</v>
      </c>
      <c r="X16" s="1" t="s">
        <v>156</v>
      </c>
      <c r="Y16" s="22" t="str">
        <f t="shared" si="3"/>
        <v>CO</v>
      </c>
      <c r="Z16" s="20" t="str">
        <f>_xlfn.XLOOKUP($B16,[1]F27!$C:$C,[1]F27!$BV:$BV)</f>
        <v>#ERROR!</v>
      </c>
      <c r="AA16" s="1"/>
      <c r="AB16" s="1"/>
      <c r="AC16" s="23"/>
      <c r="AD16" s="1" t="str">
        <f>_xlfn.XLOOKUP($B16,[1]F27!$C:$C,[1]F27!$Y:$Y)</f>
        <v>#ERROR!</v>
      </c>
      <c r="AE16" s="1" t="str">
        <f>_xlfn.XLOOKUP($B16,[1]F27!$C:$C,[1]F27!$Z:$Z)</f>
        <v>#ERROR!</v>
      </c>
      <c r="AF16" s="1" t="str">
        <f>_xlfn.XLOOKUP($B16,[2]PRICING!$B:$B,[2]PRICING!$B:$B,"MISSING")</f>
        <v>#ERROR!</v>
      </c>
      <c r="AG16" s="1" t="str">
        <f>COUNTIFS([2]ACTIVE_SCO!$B:$B,$B16,[2]ACTIVE_SCO!$P:$P,"Y")</f>
        <v>#ERROR!</v>
      </c>
      <c r="AH16" s="1"/>
      <c r="AI16" s="37" t="s">
        <v>157</v>
      </c>
      <c r="AJ16" s="38" t="s">
        <v>378</v>
      </c>
      <c r="AK16" s="49" t="s">
        <v>365</v>
      </c>
      <c r="AL16" s="39" t="s">
        <v>366</v>
      </c>
      <c r="AM16" s="1" t="s">
        <v>125</v>
      </c>
      <c r="AN16" s="40" t="s">
        <v>127</v>
      </c>
      <c r="AO16" s="41" t="s">
        <v>125</v>
      </c>
      <c r="AP16" s="39"/>
      <c r="AQ16" s="40" t="s">
        <v>0</v>
      </c>
      <c r="AR16" s="39"/>
      <c r="AS16" s="51" t="s">
        <v>355</v>
      </c>
      <c r="AT16" s="1" t="s">
        <v>161</v>
      </c>
      <c r="AU16" s="1" t="s">
        <v>367</v>
      </c>
      <c r="AV16" s="1" t="s">
        <v>131</v>
      </c>
      <c r="AW16" s="1"/>
      <c r="AX16" s="1"/>
      <c r="AY16" s="1"/>
      <c r="AZ16" s="1"/>
      <c r="BA16" s="50" t="s">
        <v>365</v>
      </c>
      <c r="BB16" s="1" t="s">
        <v>366</v>
      </c>
      <c r="BC16" s="1"/>
      <c r="BD16" s="1"/>
    </row>
    <row r="17" ht="11.25" customHeight="1">
      <c r="A17" s="1" t="b">
        <v>1</v>
      </c>
      <c r="B17" s="1" t="s">
        <v>382</v>
      </c>
      <c r="C17" s="1" t="s">
        <v>383</v>
      </c>
      <c r="D17" s="1" t="s">
        <v>65</v>
      </c>
      <c r="E17" s="1"/>
      <c r="F17" s="1"/>
      <c r="G17" s="1" t="s">
        <v>66</v>
      </c>
      <c r="H17" s="1"/>
      <c r="I17" s="1" t="s">
        <v>355</v>
      </c>
      <c r="J17" s="34" t="s">
        <v>141</v>
      </c>
      <c r="K17" s="1" t="s">
        <v>70</v>
      </c>
      <c r="L17" s="1" t="s">
        <v>0</v>
      </c>
      <c r="M17" s="1" t="b">
        <v>1</v>
      </c>
      <c r="N17" s="1" t="b">
        <v>0</v>
      </c>
      <c r="O17" s="19">
        <v>2000.0</v>
      </c>
      <c r="P17" s="20">
        <v>2.1</v>
      </c>
      <c r="Q17" s="20">
        <v>952.38</v>
      </c>
      <c r="R17" s="21">
        <v>0.7211302211302211</v>
      </c>
      <c r="S17" s="1" t="s">
        <v>78</v>
      </c>
      <c r="T17" s="1" t="s">
        <v>0</v>
      </c>
      <c r="U17" s="1" t="s">
        <v>198</v>
      </c>
      <c r="V17" s="1" t="s">
        <v>81</v>
      </c>
      <c r="W17" s="1" t="s">
        <v>0</v>
      </c>
      <c r="X17" s="1" t="s">
        <v>156</v>
      </c>
      <c r="Y17" s="22" t="str">
        <f t="shared" si="3"/>
        <v>CO</v>
      </c>
      <c r="Z17" s="20" t="str">
        <f>_xlfn.XLOOKUP($B17,[1]F27!$C:$C,[1]F27!$BV:$BV)</f>
        <v>#ERROR!</v>
      </c>
      <c r="AA17" s="1"/>
      <c r="AB17" s="1"/>
      <c r="AC17" s="23"/>
      <c r="AD17" s="1" t="str">
        <f>_xlfn.XLOOKUP($B17,[1]F27!$C:$C,[1]F27!$Y:$Y)</f>
        <v>#ERROR!</v>
      </c>
      <c r="AE17" s="1" t="str">
        <f>_xlfn.XLOOKUP($B17,[1]F27!$C:$C,[1]F27!$Z:$Z)</f>
        <v>#ERROR!</v>
      </c>
      <c r="AF17" s="1" t="str">
        <f>_xlfn.XLOOKUP($B17,[2]PRICING!$B:$B,[2]PRICING!$B:$B,"MISSING")</f>
        <v>#ERROR!</v>
      </c>
      <c r="AG17" s="1" t="str">
        <f>COUNTIFS([2]ACTIVE_SCO!$B:$B,$B17,[2]ACTIVE_SCO!$P:$P,"Y")</f>
        <v>#ERROR!</v>
      </c>
      <c r="AH17" s="1"/>
      <c r="AI17" s="37" t="s">
        <v>157</v>
      </c>
      <c r="AJ17" s="38" t="s">
        <v>390</v>
      </c>
      <c r="AK17" s="49" t="s">
        <v>365</v>
      </c>
      <c r="AL17" s="39" t="s">
        <v>366</v>
      </c>
      <c r="AM17" s="1" t="s">
        <v>125</v>
      </c>
      <c r="AN17" s="40" t="s">
        <v>127</v>
      </c>
      <c r="AO17" s="41" t="s">
        <v>125</v>
      </c>
      <c r="AP17" s="39"/>
      <c r="AQ17" s="40" t="s">
        <v>0</v>
      </c>
      <c r="AR17" s="39"/>
      <c r="AS17" s="1" t="s">
        <v>355</v>
      </c>
      <c r="AT17" s="1" t="s">
        <v>89</v>
      </c>
      <c r="AU17" s="1" t="s">
        <v>367</v>
      </c>
      <c r="AV17" s="1" t="s">
        <v>131</v>
      </c>
      <c r="AW17" s="1"/>
      <c r="AX17" s="1"/>
      <c r="AY17" s="1"/>
      <c r="AZ17" s="1"/>
      <c r="BA17" s="50" t="s">
        <v>365</v>
      </c>
      <c r="BB17" s="1" t="s">
        <v>366</v>
      </c>
      <c r="BC17" s="1"/>
      <c r="BD17" s="1"/>
    </row>
    <row r="18" ht="11.25" customHeight="1">
      <c r="A18" s="1" t="b">
        <v>1</v>
      </c>
      <c r="B18" s="1" t="s">
        <v>394</v>
      </c>
      <c r="C18" s="1" t="s">
        <v>395</v>
      </c>
      <c r="D18" s="1" t="s">
        <v>65</v>
      </c>
      <c r="E18" s="1"/>
      <c r="F18" s="1"/>
      <c r="G18" s="1" t="s">
        <v>66</v>
      </c>
      <c r="H18" s="1"/>
      <c r="I18" s="1" t="s">
        <v>355</v>
      </c>
      <c r="J18" s="34" t="s">
        <v>141</v>
      </c>
      <c r="K18" s="1" t="s">
        <v>107</v>
      </c>
      <c r="L18" s="1" t="s">
        <v>0</v>
      </c>
      <c r="M18" s="1" t="b">
        <v>1</v>
      </c>
      <c r="N18" s="1" t="b">
        <v>0</v>
      </c>
      <c r="O18" s="19">
        <v>2000.0</v>
      </c>
      <c r="P18" s="20">
        <v>2.1</v>
      </c>
      <c r="Q18" s="20">
        <v>952.38</v>
      </c>
      <c r="R18" s="21">
        <v>0.7275982275982276</v>
      </c>
      <c r="S18" s="1" t="s">
        <v>78</v>
      </c>
      <c r="T18" s="1" t="s">
        <v>0</v>
      </c>
      <c r="U18" s="1" t="s">
        <v>198</v>
      </c>
      <c r="V18" s="1" t="s">
        <v>81</v>
      </c>
      <c r="W18" s="1" t="s">
        <v>0</v>
      </c>
      <c r="X18" s="1" t="s">
        <v>156</v>
      </c>
      <c r="Y18" s="22" t="str">
        <f t="shared" si="3"/>
        <v>CO</v>
      </c>
      <c r="Z18" s="20" t="str">
        <f>_xlfn.XLOOKUP($B18,[1]F27!$C:$C,[1]F27!$BV:$BV)</f>
        <v>#ERROR!</v>
      </c>
      <c r="AA18" s="1"/>
      <c r="AB18" s="1"/>
      <c r="AC18" s="23"/>
      <c r="AD18" s="1" t="str">
        <f>_xlfn.XLOOKUP($B18,[1]F27!$C:$C,[1]F27!$Y:$Y)</f>
        <v>#ERROR!</v>
      </c>
      <c r="AE18" s="1" t="str">
        <f>_xlfn.XLOOKUP($B18,[1]F27!$C:$C,[1]F27!$Z:$Z)</f>
        <v>#ERROR!</v>
      </c>
      <c r="AF18" s="1" t="str">
        <f>_xlfn.XLOOKUP($B18,[2]PRICING!$B:$B,[2]PRICING!$B:$B,"MISSING")</f>
        <v>#ERROR!</v>
      </c>
      <c r="AG18" s="1" t="str">
        <f>COUNTIFS([2]ACTIVE_SCO!$B:$B,$B18,[2]ACTIVE_SCO!$P:$P,"Y")</f>
        <v>#ERROR!</v>
      </c>
      <c r="AH18" s="1"/>
      <c r="AI18" s="37" t="s">
        <v>157</v>
      </c>
      <c r="AJ18" s="38" t="s">
        <v>402</v>
      </c>
      <c r="AK18" s="49" t="s">
        <v>365</v>
      </c>
      <c r="AL18" s="39" t="s">
        <v>366</v>
      </c>
      <c r="AM18" s="1" t="s">
        <v>125</v>
      </c>
      <c r="AN18" s="40" t="s">
        <v>127</v>
      </c>
      <c r="AO18" s="41" t="s">
        <v>125</v>
      </c>
      <c r="AP18" s="39"/>
      <c r="AQ18" s="40" t="s">
        <v>0</v>
      </c>
      <c r="AR18" s="39"/>
      <c r="AS18" s="1" t="s">
        <v>355</v>
      </c>
      <c r="AT18" s="1" t="s">
        <v>89</v>
      </c>
      <c r="AU18" s="1" t="s">
        <v>367</v>
      </c>
      <c r="AV18" s="1" t="s">
        <v>131</v>
      </c>
      <c r="AW18" s="1"/>
      <c r="AX18" s="1"/>
      <c r="AY18" s="1"/>
      <c r="AZ18" s="1"/>
      <c r="BA18" s="50" t="s">
        <v>365</v>
      </c>
      <c r="BB18" s="1" t="s">
        <v>366</v>
      </c>
      <c r="BC18" s="1"/>
      <c r="BD18" s="1"/>
    </row>
    <row r="19" ht="11.25" customHeight="1">
      <c r="A19" s="1" t="b">
        <v>1</v>
      </c>
      <c r="B19" s="1" t="s">
        <v>285</v>
      </c>
      <c r="C19" s="1" t="s">
        <v>286</v>
      </c>
      <c r="D19" s="1" t="s">
        <v>65</v>
      </c>
      <c r="E19" s="1"/>
      <c r="F19" s="1"/>
      <c r="G19" s="1" t="s">
        <v>66</v>
      </c>
      <c r="H19" s="1"/>
      <c r="I19" s="1" t="s">
        <v>68</v>
      </c>
      <c r="J19" s="34" t="s">
        <v>141</v>
      </c>
      <c r="K19" s="1" t="s">
        <v>70</v>
      </c>
      <c r="L19" s="1" t="s">
        <v>0</v>
      </c>
      <c r="M19" s="1" t="b">
        <v>1</v>
      </c>
      <c r="N19" s="1" t="b">
        <v>0</v>
      </c>
      <c r="O19" s="19">
        <v>3500.0</v>
      </c>
      <c r="P19" s="20">
        <v>2.1</v>
      </c>
      <c r="Q19" s="20">
        <v>1666.67</v>
      </c>
      <c r="R19" s="21">
        <v>0.6787846424307151</v>
      </c>
      <c r="S19" s="1" t="s">
        <v>78</v>
      </c>
      <c r="T19" s="1" t="s">
        <v>0</v>
      </c>
      <c r="U19" s="1" t="s">
        <v>80</v>
      </c>
      <c r="V19" s="1" t="s">
        <v>81</v>
      </c>
      <c r="W19" s="1" t="s">
        <v>0</v>
      </c>
      <c r="X19" s="1" t="s">
        <v>146</v>
      </c>
      <c r="Y19" s="22" t="str">
        <f t="shared" si="3"/>
        <v>CO</v>
      </c>
      <c r="Z19" s="20" t="str">
        <f>_xlfn.XLOOKUP($B19,[1]F27!$C:$C,[1]F27!$BV:$BV)</f>
        <v>#ERROR!</v>
      </c>
      <c r="AA19" s="1"/>
      <c r="AB19" s="1"/>
      <c r="AC19" s="23"/>
      <c r="AD19" s="1" t="str">
        <f>_xlfn.XLOOKUP($B19,[1]F27!$C:$C,[1]F27!$Y:$Y)</f>
        <v>#ERROR!</v>
      </c>
      <c r="AE19" s="1" t="str">
        <f>_xlfn.XLOOKUP($B19,[1]F27!$C:$C,[1]F27!$Z:$Z)</f>
        <v>#ERROR!</v>
      </c>
      <c r="AF19" s="1" t="str">
        <f>_xlfn.XLOOKUP($B19,[2]PRICING!$B:$B,[2]PRICING!$B:$B,"MISSING")</f>
        <v>#ERROR!</v>
      </c>
      <c r="AG19" s="1" t="str">
        <f>COUNTIFS([2]ACTIVE_SCO!$B:$B,$B19,[2]ACTIVE_SCO!$P:$P,"Y")</f>
        <v>#ERROR!</v>
      </c>
      <c r="AH19" s="1"/>
      <c r="AI19" s="37" t="s">
        <v>157</v>
      </c>
      <c r="AJ19" s="38" t="s">
        <v>414</v>
      </c>
      <c r="AK19" s="49" t="s">
        <v>365</v>
      </c>
      <c r="AL19" s="39" t="s">
        <v>417</v>
      </c>
      <c r="AM19" s="1" t="s">
        <v>86</v>
      </c>
      <c r="AN19" s="40" t="s">
        <v>127</v>
      </c>
      <c r="AO19" s="41" t="s">
        <v>125</v>
      </c>
      <c r="AP19" s="39"/>
      <c r="AQ19" s="40" t="s">
        <v>0</v>
      </c>
      <c r="AR19" s="39"/>
      <c r="AS19" s="1" t="s">
        <v>68</v>
      </c>
      <c r="AT19" s="1" t="s">
        <v>89</v>
      </c>
      <c r="AU19" s="1" t="s">
        <v>90</v>
      </c>
      <c r="AV19" s="1" t="s">
        <v>91</v>
      </c>
      <c r="AW19" s="1"/>
      <c r="AX19" s="1"/>
      <c r="AY19" s="1"/>
      <c r="AZ19" s="1"/>
      <c r="BA19" s="50" t="s">
        <v>365</v>
      </c>
      <c r="BB19" s="1" t="s">
        <v>417</v>
      </c>
      <c r="BC19" s="1"/>
      <c r="BD19" s="1"/>
    </row>
    <row r="20" ht="11.25" customHeight="1">
      <c r="A20" s="1" t="b">
        <v>1</v>
      </c>
      <c r="B20" s="1" t="s">
        <v>289</v>
      </c>
      <c r="C20" s="1" t="s">
        <v>290</v>
      </c>
      <c r="D20" s="1" t="s">
        <v>65</v>
      </c>
      <c r="E20" s="1"/>
      <c r="F20" s="1"/>
      <c r="G20" s="1" t="s">
        <v>66</v>
      </c>
      <c r="H20" s="1"/>
      <c r="I20" s="1" t="s">
        <v>68</v>
      </c>
      <c r="J20" s="34" t="s">
        <v>141</v>
      </c>
      <c r="K20" s="1" t="s">
        <v>107</v>
      </c>
      <c r="L20" s="1" t="s">
        <v>0</v>
      </c>
      <c r="M20" s="1" t="b">
        <v>1</v>
      </c>
      <c r="N20" s="1" t="b">
        <v>0</v>
      </c>
      <c r="O20" s="19">
        <v>3500.0</v>
      </c>
      <c r="P20" s="20">
        <v>2.1</v>
      </c>
      <c r="Q20" s="20">
        <v>1666.67</v>
      </c>
      <c r="R20" s="21">
        <v>0.6968146063707873</v>
      </c>
      <c r="S20" s="1" t="s">
        <v>78</v>
      </c>
      <c r="T20" s="1" t="s">
        <v>0</v>
      </c>
      <c r="U20" s="1" t="s">
        <v>80</v>
      </c>
      <c r="V20" s="1" t="s">
        <v>81</v>
      </c>
      <c r="W20" s="1" t="s">
        <v>0</v>
      </c>
      <c r="X20" s="1" t="s">
        <v>146</v>
      </c>
      <c r="Y20" s="22" t="str">
        <f t="shared" si="3"/>
        <v>CO</v>
      </c>
      <c r="Z20" s="20" t="str">
        <f>_xlfn.XLOOKUP($B20,[1]F27!$C:$C,[1]F27!$BV:$BV)</f>
        <v>#ERROR!</v>
      </c>
      <c r="AA20" s="1"/>
      <c r="AB20" s="1"/>
      <c r="AC20" s="23"/>
      <c r="AD20" s="1" t="str">
        <f>_xlfn.XLOOKUP($B20,[1]F27!$C:$C,[1]F27!$Y:$Y)</f>
        <v>#ERROR!</v>
      </c>
      <c r="AE20" s="1" t="str">
        <f>_xlfn.XLOOKUP($B20,[1]F27!$C:$C,[1]F27!$Z:$Z)</f>
        <v>#ERROR!</v>
      </c>
      <c r="AF20" s="1" t="str">
        <f>_xlfn.XLOOKUP($B20,[2]PRICING!$B:$B,[2]PRICING!$B:$B,"MISSING")</f>
        <v>#ERROR!</v>
      </c>
      <c r="AG20" s="1" t="str">
        <f>COUNTIFS([2]ACTIVE_SCO!$B:$B,$B20,[2]ACTIVE_SCO!$P:$P,"Y")</f>
        <v>#ERROR!</v>
      </c>
      <c r="AH20" s="1"/>
      <c r="AI20" s="37" t="s">
        <v>157</v>
      </c>
      <c r="AJ20" s="38" t="s">
        <v>432</v>
      </c>
      <c r="AK20" s="49" t="s">
        <v>365</v>
      </c>
      <c r="AL20" s="39" t="s">
        <v>417</v>
      </c>
      <c r="AM20" s="1" t="s">
        <v>86</v>
      </c>
      <c r="AN20" s="40" t="s">
        <v>127</v>
      </c>
      <c r="AO20" s="41" t="s">
        <v>125</v>
      </c>
      <c r="AP20" s="39"/>
      <c r="AQ20" s="40" t="s">
        <v>0</v>
      </c>
      <c r="AR20" s="39"/>
      <c r="AS20" s="1" t="s">
        <v>68</v>
      </c>
      <c r="AT20" s="1" t="s">
        <v>89</v>
      </c>
      <c r="AU20" s="1" t="s">
        <v>90</v>
      </c>
      <c r="AV20" s="1" t="s">
        <v>91</v>
      </c>
      <c r="AW20" s="1"/>
      <c r="AX20" s="1"/>
      <c r="AY20" s="1"/>
      <c r="AZ20" s="1"/>
      <c r="BA20" s="50" t="s">
        <v>365</v>
      </c>
      <c r="BB20" s="1" t="s">
        <v>417</v>
      </c>
      <c r="BC20" s="1"/>
      <c r="BD20" s="1"/>
    </row>
    <row r="21" ht="11.25" customHeight="1">
      <c r="A21" s="1" t="b">
        <v>1</v>
      </c>
      <c r="B21" s="1" t="s">
        <v>436</v>
      </c>
      <c r="C21" s="1" t="s">
        <v>437</v>
      </c>
      <c r="D21" s="1" t="s">
        <v>65</v>
      </c>
      <c r="E21" s="1"/>
      <c r="F21" s="1"/>
      <c r="G21" s="1" t="s">
        <v>66</v>
      </c>
      <c r="H21" s="1"/>
      <c r="I21" s="1" t="s">
        <v>355</v>
      </c>
      <c r="J21" s="34" t="s">
        <v>141</v>
      </c>
      <c r="K21" s="1" t="s">
        <v>70</v>
      </c>
      <c r="L21" s="1" t="s">
        <v>0</v>
      </c>
      <c r="M21" s="1" t="b">
        <v>1</v>
      </c>
      <c r="N21" s="1" t="b">
        <v>0</v>
      </c>
      <c r="O21" s="19">
        <v>3400.0</v>
      </c>
      <c r="P21" s="20">
        <v>2.1</v>
      </c>
      <c r="Q21" s="20">
        <v>1619.05</v>
      </c>
      <c r="R21" s="21">
        <v>0.5954417714091597</v>
      </c>
      <c r="S21" s="1" t="s">
        <v>117</v>
      </c>
      <c r="T21" s="1" t="s">
        <v>0</v>
      </c>
      <c r="U21" s="1" t="s">
        <v>359</v>
      </c>
      <c r="V21" s="1" t="s">
        <v>81</v>
      </c>
      <c r="W21" s="1" t="s">
        <v>0</v>
      </c>
      <c r="X21" s="1" t="s">
        <v>146</v>
      </c>
      <c r="Y21" s="22" t="str">
        <f t="shared" si="3"/>
        <v>CO</v>
      </c>
      <c r="Z21" s="20" t="str">
        <f>_xlfn.XLOOKUP($B21,[1]F27!$C:$C,[1]F27!$BV:$BV)</f>
        <v>#ERROR!</v>
      </c>
      <c r="AA21" s="1"/>
      <c r="AB21" s="1"/>
      <c r="AC21" s="23"/>
      <c r="AD21" s="1" t="str">
        <f>_xlfn.XLOOKUP($B21,[1]F27!$C:$C,[1]F27!$Y:$Y)</f>
        <v>#ERROR!</v>
      </c>
      <c r="AE21" s="1" t="str">
        <f>_xlfn.XLOOKUP($B21,[1]F27!$C:$C,[1]F27!$Z:$Z)</f>
        <v>#ERROR!</v>
      </c>
      <c r="AF21" s="1" t="str">
        <f>_xlfn.XLOOKUP($B21,[2]PRICING!$B:$B,[2]PRICING!$B:$B,"MISSING")</f>
        <v>#ERROR!</v>
      </c>
      <c r="AG21" s="1" t="str">
        <f>COUNTIFS([2]ACTIVE_SCO!$B:$B,$B21,[2]ACTIVE_SCO!$P:$P,"Y")</f>
        <v>#ERROR!</v>
      </c>
      <c r="AH21" s="1"/>
      <c r="AI21" s="37" t="s">
        <v>157</v>
      </c>
      <c r="AJ21" s="38" t="s">
        <v>443</v>
      </c>
      <c r="AK21" s="49" t="s">
        <v>365</v>
      </c>
      <c r="AL21" s="39" t="s">
        <v>0</v>
      </c>
      <c r="AM21" s="1" t="s">
        <v>125</v>
      </c>
      <c r="AN21" s="40" t="s">
        <v>127</v>
      </c>
      <c r="AO21" s="41" t="s">
        <v>125</v>
      </c>
      <c r="AP21" s="39"/>
      <c r="AQ21" s="40" t="s">
        <v>0</v>
      </c>
      <c r="AR21" s="39"/>
      <c r="AS21" s="1" t="s">
        <v>355</v>
      </c>
      <c r="AT21" s="1" t="s">
        <v>161</v>
      </c>
      <c r="AU21" s="1" t="s">
        <v>448</v>
      </c>
      <c r="AV21" s="1" t="s">
        <v>131</v>
      </c>
      <c r="AW21" s="1"/>
      <c r="AX21" s="1"/>
      <c r="AY21" s="1"/>
      <c r="AZ21" s="1"/>
      <c r="BA21" s="50" t="s">
        <v>365</v>
      </c>
      <c r="BB21" s="1" t="s">
        <v>0</v>
      </c>
      <c r="BC21" s="1"/>
      <c r="BD21" s="1"/>
    </row>
    <row r="22" ht="11.25" customHeight="1">
      <c r="A22" s="1" t="b">
        <v>1</v>
      </c>
      <c r="B22" s="1" t="s">
        <v>449</v>
      </c>
      <c r="C22" s="1" t="s">
        <v>450</v>
      </c>
      <c r="D22" s="1" t="s">
        <v>65</v>
      </c>
      <c r="E22" s="1"/>
      <c r="F22" s="1"/>
      <c r="G22" s="1" t="s">
        <v>66</v>
      </c>
      <c r="H22" s="1"/>
      <c r="I22" s="1" t="s">
        <v>355</v>
      </c>
      <c r="J22" s="34" t="s">
        <v>141</v>
      </c>
      <c r="K22" s="1" t="s">
        <v>70</v>
      </c>
      <c r="L22" s="1" t="s">
        <v>0</v>
      </c>
      <c r="M22" s="1" t="b">
        <v>1</v>
      </c>
      <c r="N22" s="1" t="b">
        <v>0</v>
      </c>
      <c r="O22" s="19">
        <v>2800.0</v>
      </c>
      <c r="P22" s="20">
        <v>2.1</v>
      </c>
      <c r="Q22" s="20">
        <v>1333.33</v>
      </c>
      <c r="R22" s="21">
        <v>0.6507841269603174</v>
      </c>
      <c r="S22" s="1" t="s">
        <v>117</v>
      </c>
      <c r="T22" s="1" t="s">
        <v>0</v>
      </c>
      <c r="U22" s="1" t="s">
        <v>359</v>
      </c>
      <c r="V22" s="1" t="s">
        <v>81</v>
      </c>
      <c r="W22" s="1" t="s">
        <v>0</v>
      </c>
      <c r="X22" s="1" t="s">
        <v>146</v>
      </c>
      <c r="Y22" s="22" t="str">
        <f t="shared" si="3"/>
        <v>CO</v>
      </c>
      <c r="Z22" s="20" t="str">
        <f>_xlfn.XLOOKUP($B22,[1]F27!$C:$C,[1]F27!$BV:$BV)</f>
        <v>#ERROR!</v>
      </c>
      <c r="AA22" s="1"/>
      <c r="AB22" s="1"/>
      <c r="AC22" s="23"/>
      <c r="AD22" s="1" t="str">
        <f>_xlfn.XLOOKUP($B22,[1]F27!$C:$C,[1]F27!$Y:$Y)</f>
        <v>#ERROR!</v>
      </c>
      <c r="AE22" s="1" t="str">
        <f>_xlfn.XLOOKUP($B22,[1]F27!$C:$C,[1]F27!$Z:$Z)</f>
        <v>#ERROR!</v>
      </c>
      <c r="AF22" s="1" t="str">
        <f>_xlfn.XLOOKUP($B22,[2]PRICING!$B:$B,[2]PRICING!$B:$B,"MISSING")</f>
        <v>#ERROR!</v>
      </c>
      <c r="AG22" s="1" t="str">
        <f>COUNTIFS([2]ACTIVE_SCO!$B:$B,$B22,[2]ACTIVE_SCO!$P:$P,"Y")</f>
        <v>#ERROR!</v>
      </c>
      <c r="AH22" s="1"/>
      <c r="AI22" s="37" t="s">
        <v>157</v>
      </c>
      <c r="AJ22" s="38" t="s">
        <v>461</v>
      </c>
      <c r="AK22" s="49" t="s">
        <v>365</v>
      </c>
      <c r="AL22" s="39" t="s">
        <v>366</v>
      </c>
      <c r="AM22" s="1" t="s">
        <v>125</v>
      </c>
      <c r="AN22" s="40" t="s">
        <v>127</v>
      </c>
      <c r="AO22" s="41" t="s">
        <v>125</v>
      </c>
      <c r="AP22" s="39"/>
      <c r="AQ22" s="40" t="s">
        <v>0</v>
      </c>
      <c r="AR22" s="39"/>
      <c r="AS22" s="1" t="s">
        <v>355</v>
      </c>
      <c r="AT22" s="1" t="s">
        <v>161</v>
      </c>
      <c r="AU22" s="1" t="s">
        <v>448</v>
      </c>
      <c r="AV22" s="1" t="s">
        <v>131</v>
      </c>
      <c r="AW22" s="1"/>
      <c r="AX22" s="1"/>
      <c r="AY22" s="1"/>
      <c r="AZ22" s="1"/>
      <c r="BA22" s="50" t="s">
        <v>365</v>
      </c>
      <c r="BB22" s="1" t="s">
        <v>366</v>
      </c>
      <c r="BC22" s="1"/>
      <c r="BD22" s="1"/>
    </row>
    <row r="23" ht="11.25" customHeight="1">
      <c r="A23" s="1" t="b">
        <v>1</v>
      </c>
      <c r="B23" s="1" t="s">
        <v>212</v>
      </c>
      <c r="C23" s="1" t="s">
        <v>213</v>
      </c>
      <c r="D23" s="1" t="s">
        <v>65</v>
      </c>
      <c r="E23" s="1"/>
      <c r="F23" s="1"/>
      <c r="G23" s="1" t="s">
        <v>66</v>
      </c>
      <c r="H23" s="1"/>
      <c r="I23" s="1" t="s">
        <v>126</v>
      </c>
      <c r="J23" s="34" t="s">
        <v>141</v>
      </c>
      <c r="K23" s="1" t="s">
        <v>70</v>
      </c>
      <c r="L23" s="1" t="s">
        <v>0</v>
      </c>
      <c r="M23" s="1" t="b">
        <v>1</v>
      </c>
      <c r="N23" s="1" t="b">
        <v>0</v>
      </c>
      <c r="O23" s="19">
        <v>1400.0</v>
      </c>
      <c r="P23" s="20">
        <v>2.1</v>
      </c>
      <c r="Q23" s="20">
        <v>666.67</v>
      </c>
      <c r="R23" s="21">
        <v>0.7048314758426208</v>
      </c>
      <c r="S23" s="1" t="s">
        <v>78</v>
      </c>
      <c r="T23" s="1" t="s">
        <v>0</v>
      </c>
      <c r="U23" s="1" t="s">
        <v>81</v>
      </c>
      <c r="V23" s="1" t="s">
        <v>81</v>
      </c>
      <c r="W23" s="1" t="s">
        <v>0</v>
      </c>
      <c r="X23" s="1" t="s">
        <v>146</v>
      </c>
      <c r="Y23" s="22" t="str">
        <f t="shared" si="3"/>
        <v>CO</v>
      </c>
      <c r="Z23" s="20" t="str">
        <f>_xlfn.XLOOKUP($B23,[1]F27!$C:$C,[1]F27!$BV:$BV)</f>
        <v>#ERROR!</v>
      </c>
      <c r="AA23" s="1"/>
      <c r="AB23" s="1"/>
      <c r="AC23" s="23"/>
      <c r="AD23" s="1" t="str">
        <f>_xlfn.XLOOKUP($B23,[1]F27!$C:$C,[1]F27!$Y:$Y)</f>
        <v>#ERROR!</v>
      </c>
      <c r="AE23" s="1" t="str">
        <f>_xlfn.XLOOKUP($B23,[1]F27!$C:$C,[1]F27!$Z:$Z)</f>
        <v>#ERROR!</v>
      </c>
      <c r="AF23" s="1" t="str">
        <f>_xlfn.XLOOKUP($B23,[2]PRICING!$B:$B,[2]PRICING!$B:$B,"MISSING")</f>
        <v>#ERROR!</v>
      </c>
      <c r="AG23" s="1" t="str">
        <f>COUNTIFS([2]ACTIVE_SCO!$B:$B,$B23,[2]ACTIVE_SCO!$P:$P,"Y")</f>
        <v>#ERROR!</v>
      </c>
      <c r="AH23" s="1"/>
      <c r="AI23" s="37" t="s">
        <v>157</v>
      </c>
      <c r="AJ23" s="38" t="s">
        <v>474</v>
      </c>
      <c r="AK23" s="39" t="s">
        <v>60</v>
      </c>
      <c r="AL23" s="39" t="s">
        <v>0</v>
      </c>
      <c r="AM23" s="1" t="s">
        <v>86</v>
      </c>
      <c r="AN23" s="40" t="s">
        <v>87</v>
      </c>
      <c r="AO23" s="41" t="s">
        <v>86</v>
      </c>
      <c r="AP23" s="41" t="s">
        <v>169</v>
      </c>
      <c r="AQ23" s="40" t="s">
        <v>0</v>
      </c>
      <c r="AR23" s="39"/>
      <c r="AS23" s="1" t="s">
        <v>126</v>
      </c>
      <c r="AT23" s="1" t="s">
        <v>128</v>
      </c>
      <c r="AU23" s="1" t="s">
        <v>130</v>
      </c>
      <c r="AV23" s="1" t="s">
        <v>131</v>
      </c>
      <c r="AW23" s="1"/>
      <c r="AX23" s="1"/>
      <c r="AY23" s="1" t="s">
        <v>475</v>
      </c>
      <c r="AZ23" s="1"/>
      <c r="BA23" s="1" t="s">
        <v>60</v>
      </c>
      <c r="BB23" s="1" t="s">
        <v>0</v>
      </c>
      <c r="BC23" s="1"/>
      <c r="BD23" s="1"/>
    </row>
    <row r="24" ht="11.25" customHeight="1">
      <c r="A24" s="1" t="b">
        <v>1</v>
      </c>
      <c r="B24" s="1" t="s">
        <v>221</v>
      </c>
      <c r="C24" s="1" t="s">
        <v>222</v>
      </c>
      <c r="D24" s="1" t="s">
        <v>65</v>
      </c>
      <c r="E24" s="1"/>
      <c r="F24" s="1"/>
      <c r="G24" s="1" t="s">
        <v>66</v>
      </c>
      <c r="H24" s="1"/>
      <c r="I24" s="1" t="s">
        <v>126</v>
      </c>
      <c r="J24" s="34" t="s">
        <v>141</v>
      </c>
      <c r="K24" s="1" t="s">
        <v>107</v>
      </c>
      <c r="L24" s="1" t="s">
        <v>0</v>
      </c>
      <c r="M24" s="1" t="b">
        <v>1</v>
      </c>
      <c r="N24" s="1" t="b">
        <v>0</v>
      </c>
      <c r="O24" s="19">
        <v>1400.0</v>
      </c>
      <c r="P24" s="20">
        <v>2.1</v>
      </c>
      <c r="Q24" s="20">
        <v>666.67</v>
      </c>
      <c r="R24" s="21">
        <v>0.7102164489177554</v>
      </c>
      <c r="S24" s="1" t="s">
        <v>78</v>
      </c>
      <c r="T24" s="1" t="s">
        <v>0</v>
      </c>
      <c r="U24" s="1" t="s">
        <v>81</v>
      </c>
      <c r="V24" s="1" t="s">
        <v>81</v>
      </c>
      <c r="W24" s="1" t="s">
        <v>0</v>
      </c>
      <c r="X24" s="1" t="s">
        <v>146</v>
      </c>
      <c r="Y24" s="22" t="str">
        <f t="shared" si="3"/>
        <v>CO</v>
      </c>
      <c r="Z24" s="20" t="str">
        <f>_xlfn.XLOOKUP($B24,[1]F27!$C:$C,[1]F27!$BV:$BV)</f>
        <v>#ERROR!</v>
      </c>
      <c r="AA24" s="1"/>
      <c r="AB24" s="1"/>
      <c r="AC24" s="23"/>
      <c r="AD24" s="1" t="str">
        <f>_xlfn.XLOOKUP($B24,[1]F27!$C:$C,[1]F27!$Y:$Y)</f>
        <v>#ERROR!</v>
      </c>
      <c r="AE24" s="1" t="str">
        <f>_xlfn.XLOOKUP($B24,[1]F27!$C:$C,[1]F27!$Z:$Z)</f>
        <v>#ERROR!</v>
      </c>
      <c r="AF24" s="1" t="str">
        <f>_xlfn.XLOOKUP($B24,[2]PRICING!$B:$B,[2]PRICING!$B:$B,"MISSING")</f>
        <v>#ERROR!</v>
      </c>
      <c r="AG24" s="1" t="str">
        <f>COUNTIFS([2]ACTIVE_SCO!$B:$B,$B24,[2]ACTIVE_SCO!$P:$P,"Y")</f>
        <v>#ERROR!</v>
      </c>
      <c r="AH24" s="1"/>
      <c r="AI24" s="37" t="s">
        <v>157</v>
      </c>
      <c r="AJ24" s="38" t="s">
        <v>485</v>
      </c>
      <c r="AK24" s="39" t="s">
        <v>60</v>
      </c>
      <c r="AL24" s="39" t="s">
        <v>0</v>
      </c>
      <c r="AM24" s="1" t="s">
        <v>86</v>
      </c>
      <c r="AN24" s="40" t="s">
        <v>87</v>
      </c>
      <c r="AO24" s="41" t="s">
        <v>86</v>
      </c>
      <c r="AP24" s="41" t="s">
        <v>169</v>
      </c>
      <c r="AQ24" s="40" t="s">
        <v>0</v>
      </c>
      <c r="AR24" s="39"/>
      <c r="AS24" s="1" t="s">
        <v>126</v>
      </c>
      <c r="AT24" s="1" t="s">
        <v>128</v>
      </c>
      <c r="AU24" s="1" t="s">
        <v>130</v>
      </c>
      <c r="AV24" s="1" t="s">
        <v>131</v>
      </c>
      <c r="AW24" s="1"/>
      <c r="AX24" s="1"/>
      <c r="AY24" s="1" t="s">
        <v>475</v>
      </c>
      <c r="AZ24" s="1"/>
      <c r="BA24" s="1" t="s">
        <v>60</v>
      </c>
      <c r="BB24" s="1" t="s">
        <v>0</v>
      </c>
      <c r="BC24" s="1"/>
      <c r="BD24" s="1"/>
    </row>
    <row r="25" ht="11.25" customHeight="1">
      <c r="A25" s="1" t="b">
        <v>1</v>
      </c>
      <c r="B25" s="1" t="s">
        <v>488</v>
      </c>
      <c r="C25" s="1" t="s">
        <v>489</v>
      </c>
      <c r="D25" s="1" t="s">
        <v>65</v>
      </c>
      <c r="E25" s="1"/>
      <c r="F25" s="1"/>
      <c r="G25" s="1" t="s">
        <v>66</v>
      </c>
      <c r="H25" s="1"/>
      <c r="I25" s="1" t="s">
        <v>270</v>
      </c>
      <c r="J25" s="34" t="s">
        <v>141</v>
      </c>
      <c r="K25" s="1" t="s">
        <v>70</v>
      </c>
      <c r="L25" s="1" t="s">
        <v>0</v>
      </c>
      <c r="M25" s="1" t="b">
        <v>1</v>
      </c>
      <c r="N25" s="1" t="b">
        <v>0</v>
      </c>
      <c r="O25" s="19">
        <v>800.0</v>
      </c>
      <c r="P25" s="20">
        <v>2.1</v>
      </c>
      <c r="Q25" s="20">
        <v>380.95</v>
      </c>
      <c r="R25" s="21">
        <v>0.5957474734217089</v>
      </c>
      <c r="S25" s="1" t="s">
        <v>78</v>
      </c>
      <c r="T25" s="1" t="s">
        <v>0</v>
      </c>
      <c r="U25" s="1" t="s">
        <v>273</v>
      </c>
      <c r="V25" s="1" t="s">
        <v>81</v>
      </c>
      <c r="W25" s="1" t="s">
        <v>0</v>
      </c>
      <c r="X25" s="1" t="s">
        <v>156</v>
      </c>
      <c r="Y25" s="22" t="str">
        <f t="shared" si="3"/>
        <v>CO</v>
      </c>
      <c r="Z25" s="20" t="str">
        <f>_xlfn.XLOOKUP($B25,[1]F27!$C:$C,[1]F27!$BV:$BV)</f>
        <v>#ERROR!</v>
      </c>
      <c r="AA25" s="1"/>
      <c r="AB25" s="1"/>
      <c r="AC25" s="23"/>
      <c r="AD25" s="1" t="str">
        <f>_xlfn.XLOOKUP($B25,[1]F27!$C:$C,[1]F27!$Y:$Y)</f>
        <v>#ERROR!</v>
      </c>
      <c r="AE25" s="1" t="str">
        <f>_xlfn.XLOOKUP($B25,[1]F27!$C:$C,[1]F27!$Z:$Z)</f>
        <v>#ERROR!</v>
      </c>
      <c r="AF25" s="1" t="str">
        <f>_xlfn.XLOOKUP($B25,[2]PRICING!$B:$B,[2]PRICING!$B:$B,"MISSING")</f>
        <v>#ERROR!</v>
      </c>
      <c r="AG25" s="1" t="str">
        <f>COUNTIFS([2]ACTIVE_SCO!$B:$B,$B25,[2]ACTIVE_SCO!$P:$P,"Y")</f>
        <v>#ERROR!</v>
      </c>
      <c r="AH25" s="1"/>
      <c r="AI25" s="37" t="s">
        <v>496</v>
      </c>
      <c r="AJ25" s="53" t="s">
        <v>497</v>
      </c>
      <c r="AK25" s="49" t="s">
        <v>365</v>
      </c>
      <c r="AL25" s="39" t="s">
        <v>204</v>
      </c>
      <c r="AM25" s="1" t="s">
        <v>125</v>
      </c>
      <c r="AN25" s="40" t="s">
        <v>127</v>
      </c>
      <c r="AO25" s="41" t="s">
        <v>125</v>
      </c>
      <c r="AP25" s="39"/>
      <c r="AQ25" s="40" t="s">
        <v>0</v>
      </c>
      <c r="AR25" s="54"/>
      <c r="AS25" s="1" t="s">
        <v>276</v>
      </c>
      <c r="AT25" s="1" t="s">
        <v>457</v>
      </c>
      <c r="AU25" s="1" t="s">
        <v>501</v>
      </c>
      <c r="AV25" s="1" t="s">
        <v>131</v>
      </c>
      <c r="AW25" s="1"/>
      <c r="AX25" s="1"/>
      <c r="AY25" s="1"/>
      <c r="AZ25" s="1"/>
      <c r="BA25" s="50" t="s">
        <v>365</v>
      </c>
      <c r="BB25" s="1" t="s">
        <v>204</v>
      </c>
      <c r="BC25" s="1"/>
      <c r="BD25" s="1"/>
    </row>
    <row r="26" ht="11.25" customHeight="1">
      <c r="A26" s="1" t="b">
        <v>1</v>
      </c>
      <c r="B26" s="1" t="s">
        <v>503</v>
      </c>
      <c r="C26" s="1" t="s">
        <v>504</v>
      </c>
      <c r="D26" s="1" t="s">
        <v>65</v>
      </c>
      <c r="E26" s="1"/>
      <c r="F26" s="1"/>
      <c r="G26" s="1" t="s">
        <v>66</v>
      </c>
      <c r="H26" s="1"/>
      <c r="I26" s="1" t="s">
        <v>270</v>
      </c>
      <c r="J26" s="34" t="s">
        <v>141</v>
      </c>
      <c r="K26" s="1" t="s">
        <v>107</v>
      </c>
      <c r="L26" s="1" t="s">
        <v>0</v>
      </c>
      <c r="M26" s="1" t="b">
        <v>1</v>
      </c>
      <c r="N26" s="1" t="b">
        <v>0</v>
      </c>
      <c r="O26" s="19">
        <v>800.0</v>
      </c>
      <c r="P26" s="20">
        <v>2.1</v>
      </c>
      <c r="Q26" s="20">
        <v>380.95</v>
      </c>
      <c r="R26" s="21">
        <v>0.6295576847355296</v>
      </c>
      <c r="S26" s="1" t="s">
        <v>78</v>
      </c>
      <c r="T26" s="1" t="s">
        <v>0</v>
      </c>
      <c r="U26" s="1" t="s">
        <v>273</v>
      </c>
      <c r="V26" s="1" t="s">
        <v>81</v>
      </c>
      <c r="W26" s="1" t="s">
        <v>0</v>
      </c>
      <c r="X26" s="1" t="s">
        <v>156</v>
      </c>
      <c r="Y26" s="22" t="str">
        <f t="shared" si="3"/>
        <v>CO</v>
      </c>
      <c r="Z26" s="20" t="str">
        <f>_xlfn.XLOOKUP($B26,[1]F27!$C:$C,[1]F27!$BV:$BV)</f>
        <v>#ERROR!</v>
      </c>
      <c r="AA26" s="1"/>
      <c r="AB26" s="1"/>
      <c r="AC26" s="23"/>
      <c r="AD26" s="1" t="str">
        <f>_xlfn.XLOOKUP($B26,[1]F27!$C:$C,[1]F27!$Y:$Y)</f>
        <v>#ERROR!</v>
      </c>
      <c r="AE26" s="1" t="str">
        <f>_xlfn.XLOOKUP($B26,[1]F27!$C:$C,[1]F27!$Z:$Z)</f>
        <v>#ERROR!</v>
      </c>
      <c r="AF26" s="1" t="str">
        <f>_xlfn.XLOOKUP($B26,[2]PRICING!$B:$B,[2]PRICING!$B:$B,"MISSING")</f>
        <v>#ERROR!</v>
      </c>
      <c r="AG26" s="1" t="str">
        <f>COUNTIFS([2]ACTIVE_SCO!$B:$B,$B26,[2]ACTIVE_SCO!$P:$P,"Y")</f>
        <v>#ERROR!</v>
      </c>
      <c r="AH26" s="1"/>
      <c r="AI26" s="37" t="s">
        <v>157</v>
      </c>
      <c r="AJ26" s="53" t="s">
        <v>497</v>
      </c>
      <c r="AK26" s="49" t="s">
        <v>365</v>
      </c>
      <c r="AL26" s="39" t="s">
        <v>204</v>
      </c>
      <c r="AM26" s="1" t="s">
        <v>125</v>
      </c>
      <c r="AN26" s="40" t="s">
        <v>127</v>
      </c>
      <c r="AO26" s="41" t="s">
        <v>125</v>
      </c>
      <c r="AP26" s="39"/>
      <c r="AQ26" s="40" t="s">
        <v>0</v>
      </c>
      <c r="AR26" s="54"/>
      <c r="AS26" s="1" t="s">
        <v>276</v>
      </c>
      <c r="AT26" s="1" t="s">
        <v>457</v>
      </c>
      <c r="AU26" s="1" t="s">
        <v>501</v>
      </c>
      <c r="AV26" s="1" t="s">
        <v>131</v>
      </c>
      <c r="AW26" s="1"/>
      <c r="AX26" s="1"/>
      <c r="AY26" s="1"/>
      <c r="AZ26" s="1"/>
      <c r="BA26" s="50" t="s">
        <v>365</v>
      </c>
      <c r="BB26" s="1" t="s">
        <v>204</v>
      </c>
      <c r="BC26" s="1"/>
      <c r="BD26" s="1"/>
    </row>
    <row r="27" ht="11.25" customHeight="1">
      <c r="A27" s="1" t="b">
        <v>1</v>
      </c>
      <c r="B27" s="1" t="s">
        <v>517</v>
      </c>
      <c r="C27" s="1" t="s">
        <v>518</v>
      </c>
      <c r="D27" s="1" t="s">
        <v>65</v>
      </c>
      <c r="E27" s="1"/>
      <c r="F27" s="1"/>
      <c r="G27" s="1" t="s">
        <v>66</v>
      </c>
      <c r="H27" s="1"/>
      <c r="I27" s="1" t="s">
        <v>68</v>
      </c>
      <c r="J27" s="34" t="s">
        <v>141</v>
      </c>
      <c r="K27" s="1" t="s">
        <v>70</v>
      </c>
      <c r="L27" s="19" t="s">
        <v>0</v>
      </c>
      <c r="M27" s="1" t="b">
        <v>0</v>
      </c>
      <c r="N27" s="1" t="b">
        <v>0</v>
      </c>
      <c r="O27" s="19">
        <v>2500.0</v>
      </c>
      <c r="P27" s="20">
        <v>2.1</v>
      </c>
      <c r="Q27" s="20">
        <v>1190.48</v>
      </c>
      <c r="R27" s="21">
        <v>0.7047073449364962</v>
      </c>
      <c r="S27" s="1" t="s">
        <v>78</v>
      </c>
      <c r="T27" s="1" t="s">
        <v>0</v>
      </c>
      <c r="U27" s="1" t="s">
        <v>166</v>
      </c>
      <c r="V27" s="1" t="s">
        <v>81</v>
      </c>
      <c r="W27" s="1" t="s">
        <v>0</v>
      </c>
      <c r="X27" s="1" t="s">
        <v>0</v>
      </c>
      <c r="Y27" s="22" t="str">
        <f t="shared" si="3"/>
        <v>NEW</v>
      </c>
      <c r="Z27" s="20" t="str">
        <f>_xlfn.XLOOKUP($B27,[1]F27!$C:$C,[1]F27!$BV:$BV)</f>
        <v>#ERROR!</v>
      </c>
      <c r="AA27" s="1"/>
      <c r="AB27" s="1"/>
      <c r="AC27" s="23"/>
      <c r="AD27" s="1" t="str">
        <f>_xlfn.XLOOKUP($B27,[1]F27!$C:$C,[1]F27!$Y:$Y)</f>
        <v>#ERROR!</v>
      </c>
      <c r="AE27" s="1" t="str">
        <f>_xlfn.XLOOKUP($B27,[1]F27!$C:$C,[1]F27!$Z:$Z)</f>
        <v>#ERROR!</v>
      </c>
      <c r="AF27" s="1" t="str">
        <f>_xlfn.XLOOKUP($B27,[2]PRICING!$B:$B,[2]PRICING!$B:$B,"MISSING")</f>
        <v>#ERROR!</v>
      </c>
      <c r="AG27" s="1" t="str">
        <f>COUNTIFS([2]ACTIVE_SCO!$B:$B,$B27,[2]ACTIVE_SCO!$P:$P,"Y")</f>
        <v>#ERROR!</v>
      </c>
      <c r="AH27" s="1"/>
      <c r="AI27" s="37" t="s">
        <v>157</v>
      </c>
      <c r="AJ27" s="38" t="s">
        <v>523</v>
      </c>
      <c r="AK27" s="39" t="s">
        <v>60</v>
      </c>
      <c r="AL27" s="39" t="s">
        <v>0</v>
      </c>
      <c r="AM27" s="1" t="s">
        <v>125</v>
      </c>
      <c r="AN27" s="40" t="s">
        <v>127</v>
      </c>
      <c r="AO27" s="41" t="s">
        <v>125</v>
      </c>
      <c r="AP27" s="39"/>
      <c r="AQ27" s="40" t="s">
        <v>0</v>
      </c>
      <c r="AR27" s="39"/>
      <c r="AS27" s="1" t="s">
        <v>68</v>
      </c>
      <c r="AT27" s="1" t="s">
        <v>89</v>
      </c>
      <c r="AU27" s="1" t="s">
        <v>90</v>
      </c>
      <c r="AV27" s="1" t="s">
        <v>91</v>
      </c>
      <c r="AW27" s="1"/>
      <c r="AX27" s="1"/>
      <c r="AY27" s="1"/>
      <c r="AZ27" s="1"/>
      <c r="BA27" s="1" t="s">
        <v>60</v>
      </c>
      <c r="BB27" s="1" t="s">
        <v>0</v>
      </c>
      <c r="BC27" s="1"/>
      <c r="BD27" s="1"/>
    </row>
    <row r="28" ht="11.25" customHeight="1">
      <c r="A28" s="1" t="b">
        <v>1</v>
      </c>
      <c r="B28" s="1" t="s">
        <v>527</v>
      </c>
      <c r="C28" s="1" t="s">
        <v>528</v>
      </c>
      <c r="D28" s="1" t="s">
        <v>65</v>
      </c>
      <c r="E28" s="1"/>
      <c r="F28" s="1"/>
      <c r="G28" s="1" t="s">
        <v>66</v>
      </c>
      <c r="H28" s="1"/>
      <c r="I28" s="1" t="s">
        <v>68</v>
      </c>
      <c r="J28" s="34" t="s">
        <v>141</v>
      </c>
      <c r="K28" s="1" t="s">
        <v>107</v>
      </c>
      <c r="L28" s="19" t="s">
        <v>0</v>
      </c>
      <c r="M28" s="1" t="b">
        <v>0</v>
      </c>
      <c r="N28" s="1" t="b">
        <v>0</v>
      </c>
      <c r="O28" s="19">
        <v>2500.0</v>
      </c>
      <c r="P28" s="20">
        <v>2.1</v>
      </c>
      <c r="Q28" s="20">
        <v>1190.48</v>
      </c>
      <c r="R28" s="21">
        <v>0.7213224917680263</v>
      </c>
      <c r="S28" s="1" t="s">
        <v>78</v>
      </c>
      <c r="T28" s="1" t="s">
        <v>0</v>
      </c>
      <c r="U28" s="1" t="s">
        <v>166</v>
      </c>
      <c r="V28" s="1" t="s">
        <v>81</v>
      </c>
      <c r="W28" s="1" t="s">
        <v>0</v>
      </c>
      <c r="X28" s="1" t="s">
        <v>0</v>
      </c>
      <c r="Y28" s="22" t="str">
        <f t="shared" si="3"/>
        <v>NEW</v>
      </c>
      <c r="Z28" s="20" t="str">
        <f>_xlfn.XLOOKUP($B28,[1]F27!$C:$C,[1]F27!$BV:$BV)</f>
        <v>#ERROR!</v>
      </c>
      <c r="AA28" s="1"/>
      <c r="AB28" s="1"/>
      <c r="AC28" s="23"/>
      <c r="AD28" s="1" t="str">
        <f>_xlfn.XLOOKUP($B28,[1]F27!$C:$C,[1]F27!$Y:$Y)</f>
        <v>#ERROR!</v>
      </c>
      <c r="AE28" s="1" t="str">
        <f>_xlfn.XLOOKUP($B28,[1]F27!$C:$C,[1]F27!$Z:$Z)</f>
        <v>#ERROR!</v>
      </c>
      <c r="AF28" s="1" t="str">
        <f>_xlfn.XLOOKUP($B28,[2]PRICING!$B:$B,[2]PRICING!$B:$B,"MISSING")</f>
        <v>#ERROR!</v>
      </c>
      <c r="AG28" s="1" t="str">
        <f>COUNTIFS([2]ACTIVE_SCO!$B:$B,$B28,[2]ACTIVE_SCO!$P:$P,"Y")</f>
        <v>#ERROR!</v>
      </c>
      <c r="AH28" s="1"/>
      <c r="AI28" s="37" t="s">
        <v>157</v>
      </c>
      <c r="AJ28" s="38" t="s">
        <v>538</v>
      </c>
      <c r="AK28" s="39" t="s">
        <v>60</v>
      </c>
      <c r="AL28" s="39" t="s">
        <v>0</v>
      </c>
      <c r="AM28" s="1" t="s">
        <v>125</v>
      </c>
      <c r="AN28" s="40" t="s">
        <v>127</v>
      </c>
      <c r="AO28" s="41" t="s">
        <v>125</v>
      </c>
      <c r="AP28" s="39"/>
      <c r="AQ28" s="40" t="s">
        <v>0</v>
      </c>
      <c r="AR28" s="39"/>
      <c r="AS28" s="1" t="s">
        <v>68</v>
      </c>
      <c r="AT28" s="1" t="s">
        <v>89</v>
      </c>
      <c r="AU28" s="1" t="s">
        <v>90</v>
      </c>
      <c r="AV28" s="1" t="s">
        <v>91</v>
      </c>
      <c r="AW28" s="1"/>
      <c r="AX28" s="1"/>
      <c r="AY28" s="1"/>
      <c r="AZ28" s="1"/>
      <c r="BA28" s="1" t="s">
        <v>60</v>
      </c>
      <c r="BB28" s="1" t="s">
        <v>0</v>
      </c>
      <c r="BC28" s="1"/>
      <c r="BD28" s="1"/>
    </row>
    <row r="29" ht="11.25" customHeight="1">
      <c r="A29" s="1" t="b">
        <v>1</v>
      </c>
      <c r="B29" s="1" t="s">
        <v>542</v>
      </c>
      <c r="C29" s="1" t="s">
        <v>543</v>
      </c>
      <c r="D29" s="1" t="s">
        <v>65</v>
      </c>
      <c r="E29" s="1"/>
      <c r="F29" s="1"/>
      <c r="G29" s="1" t="s">
        <v>66</v>
      </c>
      <c r="H29" s="1"/>
      <c r="I29" s="1" t="s">
        <v>334</v>
      </c>
      <c r="J29" s="34" t="s">
        <v>141</v>
      </c>
      <c r="K29" s="1" t="s">
        <v>70</v>
      </c>
      <c r="L29" s="1" t="s">
        <v>0</v>
      </c>
      <c r="M29" s="1" t="b">
        <v>1</v>
      </c>
      <c r="N29" s="1" t="b">
        <v>0</v>
      </c>
      <c r="O29" s="19">
        <v>700.0</v>
      </c>
      <c r="P29" s="20">
        <v>2.1</v>
      </c>
      <c r="Q29" s="20">
        <v>333.33</v>
      </c>
      <c r="R29" s="21">
        <v>0.7437374373743737</v>
      </c>
      <c r="S29" s="1" t="s">
        <v>78</v>
      </c>
      <c r="T29" s="1" t="s">
        <v>0</v>
      </c>
      <c r="U29" s="1" t="s">
        <v>81</v>
      </c>
      <c r="V29" s="1" t="s">
        <v>81</v>
      </c>
      <c r="W29" s="1" t="s">
        <v>0</v>
      </c>
      <c r="X29" s="1" t="s">
        <v>0</v>
      </c>
      <c r="Y29" s="22" t="str">
        <f t="shared" si="3"/>
        <v>CO</v>
      </c>
      <c r="Z29" s="20" t="str">
        <f>_xlfn.XLOOKUP($B29,[1]F27!$C:$C,[1]F27!$BV:$BV)</f>
        <v>#ERROR!</v>
      </c>
      <c r="AA29" s="1"/>
      <c r="AB29" s="1"/>
      <c r="AC29" s="23"/>
      <c r="AD29" s="1" t="str">
        <f>_xlfn.XLOOKUP($B29,[1]F27!$C:$C,[1]F27!$Y:$Y)</f>
        <v>#ERROR!</v>
      </c>
      <c r="AE29" s="1" t="str">
        <f>_xlfn.XLOOKUP($B29,[1]F27!$C:$C,[1]F27!$Z:$Z)</f>
        <v>#ERROR!</v>
      </c>
      <c r="AF29" s="1" t="str">
        <f>_xlfn.XLOOKUP($B29,[2]PRICING!$B:$B,[2]PRICING!$B:$B,"MISSING")</f>
        <v>#ERROR!</v>
      </c>
      <c r="AG29" s="1" t="str">
        <f>COUNTIFS([2]ACTIVE_SCO!$B:$B,$B29,[2]ACTIVE_SCO!$P:$P,"Y")</f>
        <v>#ERROR!</v>
      </c>
      <c r="AH29" s="1"/>
      <c r="AI29" s="37" t="s">
        <v>551</v>
      </c>
      <c r="AJ29" s="55" t="s">
        <v>552</v>
      </c>
      <c r="AK29" s="49" t="s">
        <v>365</v>
      </c>
      <c r="AL29" s="39" t="s">
        <v>417</v>
      </c>
      <c r="AM29" s="1" t="s">
        <v>125</v>
      </c>
      <c r="AN29" s="40" t="s">
        <v>127</v>
      </c>
      <c r="AO29" s="41" t="s">
        <v>125</v>
      </c>
      <c r="AP29" s="39"/>
      <c r="AQ29" s="40" t="s">
        <v>125</v>
      </c>
      <c r="AR29" s="39"/>
      <c r="AS29" s="1" t="s">
        <v>334</v>
      </c>
      <c r="AT29" s="1" t="s">
        <v>348</v>
      </c>
      <c r="AU29" s="1" t="s">
        <v>553</v>
      </c>
      <c r="AV29" s="1" t="s">
        <v>131</v>
      </c>
      <c r="AW29" s="1"/>
      <c r="AX29" s="1"/>
      <c r="AY29" s="1"/>
      <c r="AZ29" s="1"/>
      <c r="BA29" s="50" t="s">
        <v>365</v>
      </c>
      <c r="BB29" s="1" t="s">
        <v>417</v>
      </c>
      <c r="BC29" s="1"/>
      <c r="BD29" s="1"/>
    </row>
    <row r="30" ht="11.25" customHeight="1">
      <c r="A30" s="1" t="b">
        <v>1</v>
      </c>
      <c r="B30" s="1" t="s">
        <v>556</v>
      </c>
      <c r="C30" s="1" t="s">
        <v>557</v>
      </c>
      <c r="D30" s="1" t="s">
        <v>65</v>
      </c>
      <c r="E30" s="1"/>
      <c r="F30" s="1"/>
      <c r="G30" s="1" t="s">
        <v>66</v>
      </c>
      <c r="H30" s="1"/>
      <c r="I30" s="1" t="s">
        <v>334</v>
      </c>
      <c r="J30" s="34" t="s">
        <v>141</v>
      </c>
      <c r="K30" s="1" t="s">
        <v>107</v>
      </c>
      <c r="L30" s="1" t="s">
        <v>0</v>
      </c>
      <c r="M30" s="1" t="b">
        <v>1</v>
      </c>
      <c r="N30" s="1" t="b">
        <v>0</v>
      </c>
      <c r="O30" s="19">
        <v>700.0</v>
      </c>
      <c r="P30" s="20">
        <v>2.1</v>
      </c>
      <c r="Q30" s="20">
        <v>333.33</v>
      </c>
      <c r="R30" s="21">
        <v>0.7682476824768247</v>
      </c>
      <c r="S30" s="1" t="s">
        <v>78</v>
      </c>
      <c r="T30" s="1" t="s">
        <v>0</v>
      </c>
      <c r="U30" s="1" t="s">
        <v>81</v>
      </c>
      <c r="V30" s="1" t="s">
        <v>81</v>
      </c>
      <c r="W30" s="1" t="s">
        <v>0</v>
      </c>
      <c r="X30" s="1" t="s">
        <v>0</v>
      </c>
      <c r="Y30" s="22" t="str">
        <f t="shared" si="3"/>
        <v>CO</v>
      </c>
      <c r="Z30" s="20" t="str">
        <f>_xlfn.XLOOKUP($B30,[1]F27!$C:$C,[1]F27!$BV:$BV)</f>
        <v>#ERROR!</v>
      </c>
      <c r="AA30" s="1"/>
      <c r="AB30" s="1"/>
      <c r="AC30" s="23"/>
      <c r="AD30" s="1" t="str">
        <f>_xlfn.XLOOKUP($B30,[1]F27!$C:$C,[1]F27!$Y:$Y)</f>
        <v>#ERROR!</v>
      </c>
      <c r="AE30" s="1" t="str">
        <f>_xlfn.XLOOKUP($B30,[1]F27!$C:$C,[1]F27!$Z:$Z)</f>
        <v>#ERROR!</v>
      </c>
      <c r="AF30" s="1" t="str">
        <f>_xlfn.XLOOKUP($B30,[2]PRICING!$B:$B,[2]PRICING!$B:$B,"MISSING")</f>
        <v>#ERROR!</v>
      </c>
      <c r="AG30" s="1" t="str">
        <f>COUNTIFS([2]ACTIVE_SCO!$B:$B,$B30,[2]ACTIVE_SCO!$P:$P,"Y")</f>
        <v>#ERROR!</v>
      </c>
      <c r="AH30" s="1"/>
      <c r="AI30" s="37" t="s">
        <v>551</v>
      </c>
      <c r="AJ30" s="55" t="s">
        <v>565</v>
      </c>
      <c r="AK30" s="49" t="s">
        <v>365</v>
      </c>
      <c r="AL30" s="39" t="s">
        <v>417</v>
      </c>
      <c r="AM30" s="1" t="s">
        <v>125</v>
      </c>
      <c r="AN30" s="40" t="s">
        <v>127</v>
      </c>
      <c r="AO30" s="41" t="s">
        <v>125</v>
      </c>
      <c r="AP30" s="39"/>
      <c r="AQ30" s="40" t="s">
        <v>125</v>
      </c>
      <c r="AR30" s="39"/>
      <c r="AS30" s="1" t="s">
        <v>334</v>
      </c>
      <c r="AT30" s="1" t="s">
        <v>348</v>
      </c>
      <c r="AU30" s="1" t="s">
        <v>553</v>
      </c>
      <c r="AV30" s="1" t="s">
        <v>131</v>
      </c>
      <c r="AW30" s="1"/>
      <c r="AX30" s="1"/>
      <c r="AY30" s="1"/>
      <c r="AZ30" s="1"/>
      <c r="BA30" s="50" t="s">
        <v>365</v>
      </c>
      <c r="BB30" s="1" t="s">
        <v>417</v>
      </c>
      <c r="BC30" s="1"/>
      <c r="BD30" s="1"/>
    </row>
    <row r="31" ht="11.25" customHeight="1">
      <c r="A31" s="1" t="b">
        <v>1</v>
      </c>
      <c r="B31" s="1" t="s">
        <v>568</v>
      </c>
      <c r="C31" s="1" t="s">
        <v>569</v>
      </c>
      <c r="D31" s="1" t="s">
        <v>65</v>
      </c>
      <c r="E31" s="1"/>
      <c r="F31" s="1"/>
      <c r="G31" s="1" t="s">
        <v>66</v>
      </c>
      <c r="H31" s="1"/>
      <c r="I31" s="1" t="s">
        <v>334</v>
      </c>
      <c r="J31" s="34" t="s">
        <v>141</v>
      </c>
      <c r="K31" s="1" t="s">
        <v>70</v>
      </c>
      <c r="L31" s="1" t="s">
        <v>0</v>
      </c>
      <c r="M31" s="1" t="b">
        <v>1</v>
      </c>
      <c r="N31" s="1" t="b">
        <v>0</v>
      </c>
      <c r="O31" s="19">
        <v>500.0</v>
      </c>
      <c r="P31" s="20">
        <v>2.1</v>
      </c>
      <c r="Q31" s="20">
        <v>238.1</v>
      </c>
      <c r="R31" s="21">
        <v>0.6925241495170097</v>
      </c>
      <c r="S31" s="1" t="s">
        <v>78</v>
      </c>
      <c r="T31" s="1" t="s">
        <v>0</v>
      </c>
      <c r="U31" s="1" t="s">
        <v>81</v>
      </c>
      <c r="V31" s="1" t="s">
        <v>81</v>
      </c>
      <c r="W31" s="1" t="s">
        <v>0</v>
      </c>
      <c r="X31" s="1" t="s">
        <v>0</v>
      </c>
      <c r="Y31" s="22" t="str">
        <f t="shared" si="3"/>
        <v>CO</v>
      </c>
      <c r="Z31" s="20" t="str">
        <f>_xlfn.XLOOKUP($B31,[1]F27!$C:$C,[1]F27!$BV:$BV)</f>
        <v>#ERROR!</v>
      </c>
      <c r="AA31" s="1"/>
      <c r="AB31" s="1"/>
      <c r="AC31" s="23"/>
      <c r="AD31" s="1" t="str">
        <f>_xlfn.XLOOKUP($B31,[1]F27!$C:$C,[1]F27!$Y:$Y)</f>
        <v>#ERROR!</v>
      </c>
      <c r="AE31" s="1" t="str">
        <f>_xlfn.XLOOKUP($B31,[1]F27!$C:$C,[1]F27!$Z:$Z)</f>
        <v>#ERROR!</v>
      </c>
      <c r="AF31" s="1" t="str">
        <f>_xlfn.XLOOKUP($B31,[2]PRICING!$B:$B,[2]PRICING!$B:$B,"MISSING")</f>
        <v>#ERROR!</v>
      </c>
      <c r="AG31" s="1" t="str">
        <f>COUNTIFS([2]ACTIVE_SCO!$B:$B,$B31,[2]ACTIVE_SCO!$P:$P,"Y")</f>
        <v>#ERROR!</v>
      </c>
      <c r="AH31" s="1"/>
      <c r="AI31" s="37" t="s">
        <v>551</v>
      </c>
      <c r="AJ31" s="55" t="s">
        <v>575</v>
      </c>
      <c r="AK31" s="49" t="s">
        <v>365</v>
      </c>
      <c r="AL31" s="39" t="s">
        <v>417</v>
      </c>
      <c r="AM31" s="1" t="s">
        <v>125</v>
      </c>
      <c r="AN31" s="40" t="s">
        <v>127</v>
      </c>
      <c r="AO31" s="41" t="s">
        <v>125</v>
      </c>
      <c r="AP31" s="39"/>
      <c r="AQ31" s="40" t="s">
        <v>125</v>
      </c>
      <c r="AR31" s="39"/>
      <c r="AS31" s="1" t="s">
        <v>334</v>
      </c>
      <c r="AT31" s="1" t="s">
        <v>348</v>
      </c>
      <c r="AU31" s="1" t="s">
        <v>553</v>
      </c>
      <c r="AV31" s="1" t="s">
        <v>131</v>
      </c>
      <c r="AW31" s="1"/>
      <c r="AX31" s="1"/>
      <c r="AY31" s="1"/>
      <c r="AZ31" s="1"/>
      <c r="BA31" s="50" t="s">
        <v>365</v>
      </c>
      <c r="BB31" s="1" t="s">
        <v>417</v>
      </c>
      <c r="BC31" s="1"/>
      <c r="BD31" s="1"/>
    </row>
    <row r="32" ht="11.25" customHeight="1">
      <c r="A32" s="1" t="b">
        <v>1</v>
      </c>
      <c r="B32" s="1" t="s">
        <v>579</v>
      </c>
      <c r="C32" s="1" t="s">
        <v>580</v>
      </c>
      <c r="D32" s="1" t="s">
        <v>65</v>
      </c>
      <c r="E32" s="1"/>
      <c r="F32" s="1"/>
      <c r="G32" s="1" t="s">
        <v>66</v>
      </c>
      <c r="H32" s="1"/>
      <c r="I32" s="1" t="s">
        <v>334</v>
      </c>
      <c r="J32" s="34" t="s">
        <v>141</v>
      </c>
      <c r="K32" s="1" t="s">
        <v>107</v>
      </c>
      <c r="L32" s="1" t="s">
        <v>0</v>
      </c>
      <c r="M32" s="1" t="b">
        <v>1</v>
      </c>
      <c r="N32" s="1" t="b">
        <v>0</v>
      </c>
      <c r="O32" s="19">
        <v>500.0</v>
      </c>
      <c r="P32" s="20">
        <v>2.1</v>
      </c>
      <c r="Q32" s="20">
        <v>238.1</v>
      </c>
      <c r="R32" s="21">
        <v>0.7094918101637967</v>
      </c>
      <c r="S32" s="1" t="s">
        <v>78</v>
      </c>
      <c r="T32" s="1" t="s">
        <v>0</v>
      </c>
      <c r="U32" s="1" t="s">
        <v>81</v>
      </c>
      <c r="V32" s="1" t="s">
        <v>81</v>
      </c>
      <c r="W32" s="1" t="s">
        <v>0</v>
      </c>
      <c r="X32" s="1" t="s">
        <v>0</v>
      </c>
      <c r="Y32" s="22" t="str">
        <f t="shared" si="3"/>
        <v>CO</v>
      </c>
      <c r="Z32" s="20" t="str">
        <f>_xlfn.XLOOKUP($B32,[1]F27!$C:$C,[1]F27!$BV:$BV)</f>
        <v>#ERROR!</v>
      </c>
      <c r="AA32" s="1"/>
      <c r="AB32" s="1"/>
      <c r="AC32" s="23"/>
      <c r="AD32" s="1" t="str">
        <f>_xlfn.XLOOKUP($B32,[1]F27!$C:$C,[1]F27!$Y:$Y)</f>
        <v>#ERROR!</v>
      </c>
      <c r="AE32" s="1" t="str">
        <f>_xlfn.XLOOKUP($B32,[1]F27!$C:$C,[1]F27!$Z:$Z)</f>
        <v>#ERROR!</v>
      </c>
      <c r="AF32" s="1" t="str">
        <f>_xlfn.XLOOKUP($B32,[2]PRICING!$B:$B,[2]PRICING!$B:$B,"MISSING")</f>
        <v>#ERROR!</v>
      </c>
      <c r="AG32" s="1" t="str">
        <f>COUNTIFS([2]ACTIVE_SCO!$B:$B,$B32,[2]ACTIVE_SCO!$P:$P,"Y")</f>
        <v>#ERROR!</v>
      </c>
      <c r="AH32" s="1"/>
      <c r="AI32" s="37" t="s">
        <v>551</v>
      </c>
      <c r="AJ32" s="55" t="s">
        <v>587</v>
      </c>
      <c r="AK32" s="49" t="s">
        <v>365</v>
      </c>
      <c r="AL32" s="39" t="s">
        <v>417</v>
      </c>
      <c r="AM32" s="1" t="s">
        <v>125</v>
      </c>
      <c r="AN32" s="40" t="s">
        <v>127</v>
      </c>
      <c r="AO32" s="41" t="s">
        <v>125</v>
      </c>
      <c r="AP32" s="39"/>
      <c r="AQ32" s="40" t="s">
        <v>125</v>
      </c>
      <c r="AR32" s="39"/>
      <c r="AS32" s="1" t="s">
        <v>334</v>
      </c>
      <c r="AT32" s="1" t="s">
        <v>348</v>
      </c>
      <c r="AU32" s="1" t="s">
        <v>553</v>
      </c>
      <c r="AV32" s="1" t="s">
        <v>131</v>
      </c>
      <c r="AW32" s="1"/>
      <c r="AX32" s="1"/>
      <c r="AY32" s="1"/>
      <c r="AZ32" s="1"/>
      <c r="BA32" s="50" t="s">
        <v>365</v>
      </c>
      <c r="BB32" s="1" t="s">
        <v>417</v>
      </c>
      <c r="BC32" s="1"/>
      <c r="BD32" s="1"/>
    </row>
    <row r="33" ht="11.25" customHeight="1">
      <c r="A33" s="1" t="b">
        <v>1</v>
      </c>
      <c r="B33" s="1" t="s">
        <v>590</v>
      </c>
      <c r="C33" s="1" t="s">
        <v>591</v>
      </c>
      <c r="D33" s="1" t="s">
        <v>65</v>
      </c>
      <c r="E33" s="1"/>
      <c r="F33" s="1"/>
      <c r="G33" s="1" t="s">
        <v>66</v>
      </c>
      <c r="H33" s="1"/>
      <c r="I33" s="1" t="s">
        <v>68</v>
      </c>
      <c r="J33" s="34" t="s">
        <v>141</v>
      </c>
      <c r="K33" s="1" t="s">
        <v>70</v>
      </c>
      <c r="L33" s="19" t="s">
        <v>0</v>
      </c>
      <c r="M33" s="1" t="b">
        <v>0</v>
      </c>
      <c r="N33" s="1" t="b">
        <v>0</v>
      </c>
      <c r="O33" s="19">
        <v>4000.0</v>
      </c>
      <c r="P33" s="20">
        <v>2.1</v>
      </c>
      <c r="Q33" s="20">
        <v>1904.76</v>
      </c>
      <c r="R33" s="21">
        <v>0.5685230685230684</v>
      </c>
      <c r="S33" s="1" t="s">
        <v>117</v>
      </c>
      <c r="T33" s="1" t="s">
        <v>0</v>
      </c>
      <c r="U33" s="1" t="s">
        <v>80</v>
      </c>
      <c r="V33" s="1" t="s">
        <v>81</v>
      </c>
      <c r="W33" s="1" t="s">
        <v>0</v>
      </c>
      <c r="X33" s="1" t="s">
        <v>0</v>
      </c>
      <c r="Y33" s="22" t="str">
        <f t="shared" si="3"/>
        <v>NEW</v>
      </c>
      <c r="Z33" s="20" t="str">
        <f>_xlfn.XLOOKUP($B33,[1]F27!$C:$C,[1]F27!$BV:$BV)</f>
        <v>#ERROR!</v>
      </c>
      <c r="AA33" s="1"/>
      <c r="AB33" s="1"/>
      <c r="AC33" s="23"/>
      <c r="AD33" s="1" t="str">
        <f>_xlfn.XLOOKUP($B33,[1]F27!$C:$C,[1]F27!$Y:$Y)</f>
        <v>#ERROR!</v>
      </c>
      <c r="AE33" s="1" t="str">
        <f>_xlfn.XLOOKUP($B33,[1]F27!$C:$C,[1]F27!$Z:$Z)</f>
        <v>#ERROR!</v>
      </c>
      <c r="AF33" s="1" t="str">
        <f>_xlfn.XLOOKUP($B33,[2]PRICING!$B:$B,[2]PRICING!$B:$B,"MISSING")</f>
        <v>#ERROR!</v>
      </c>
      <c r="AG33" s="1" t="str">
        <f>COUNTIFS([2]ACTIVE_SCO!$B:$B,$B33,[2]ACTIVE_SCO!$P:$P,"Y")</f>
        <v>#ERROR!</v>
      </c>
      <c r="AH33" s="1"/>
      <c r="AI33" s="37" t="s">
        <v>157</v>
      </c>
      <c r="AJ33" s="38" t="s">
        <v>599</v>
      </c>
      <c r="AK33" s="39" t="s">
        <v>60</v>
      </c>
      <c r="AL33" s="39" t="s">
        <v>0</v>
      </c>
      <c r="AM33" s="1" t="s">
        <v>125</v>
      </c>
      <c r="AN33" s="40" t="s">
        <v>127</v>
      </c>
      <c r="AO33" s="41" t="s">
        <v>125</v>
      </c>
      <c r="AP33" s="39"/>
      <c r="AQ33" s="40" t="s">
        <v>0</v>
      </c>
      <c r="AR33" s="39"/>
      <c r="AS33" s="1" t="s">
        <v>68</v>
      </c>
      <c r="AT33" s="1" t="s">
        <v>89</v>
      </c>
      <c r="AU33" s="1" t="s">
        <v>90</v>
      </c>
      <c r="AV33" s="1" t="s">
        <v>91</v>
      </c>
      <c r="AW33" s="1"/>
      <c r="AX33" s="1"/>
      <c r="AY33" s="1"/>
      <c r="AZ33" s="1"/>
      <c r="BA33" s="1" t="s">
        <v>60</v>
      </c>
      <c r="BB33" s="1" t="s">
        <v>0</v>
      </c>
      <c r="BC33" s="1"/>
      <c r="BD33" s="1"/>
    </row>
    <row r="34" ht="11.25" customHeight="1">
      <c r="A34" s="1" t="b">
        <v>1</v>
      </c>
      <c r="B34" s="1" t="s">
        <v>604</v>
      </c>
      <c r="C34" s="1" t="s">
        <v>605</v>
      </c>
      <c r="D34" s="1" t="s">
        <v>65</v>
      </c>
      <c r="E34" s="1"/>
      <c r="F34" s="1"/>
      <c r="G34" s="1" t="s">
        <v>66</v>
      </c>
      <c r="H34" s="1"/>
      <c r="I34" s="1" t="s">
        <v>68</v>
      </c>
      <c r="J34" s="34" t="s">
        <v>141</v>
      </c>
      <c r="K34" s="1" t="s">
        <v>107</v>
      </c>
      <c r="L34" s="19" t="s">
        <v>0</v>
      </c>
      <c r="M34" s="1" t="b">
        <v>0</v>
      </c>
      <c r="N34" s="1" t="b">
        <v>0</v>
      </c>
      <c r="O34" s="19">
        <v>4000.0</v>
      </c>
      <c r="P34" s="20">
        <v>2.1</v>
      </c>
      <c r="Q34" s="20">
        <v>1904.76</v>
      </c>
      <c r="R34" s="21">
        <v>0.5949935949935949</v>
      </c>
      <c r="S34" s="1" t="s">
        <v>117</v>
      </c>
      <c r="T34" s="1" t="s">
        <v>0</v>
      </c>
      <c r="U34" s="1" t="s">
        <v>80</v>
      </c>
      <c r="V34" s="1" t="s">
        <v>81</v>
      </c>
      <c r="W34" s="1" t="s">
        <v>0</v>
      </c>
      <c r="X34" s="1" t="s">
        <v>0</v>
      </c>
      <c r="Y34" s="22" t="str">
        <f t="shared" si="3"/>
        <v>NEW</v>
      </c>
      <c r="Z34" s="20" t="str">
        <f>_xlfn.XLOOKUP($B34,[1]F27!$C:$C,[1]F27!$BV:$BV)</f>
        <v>#ERROR!</v>
      </c>
      <c r="AA34" s="1"/>
      <c r="AB34" s="1"/>
      <c r="AC34" s="23"/>
      <c r="AD34" s="1" t="str">
        <f>_xlfn.XLOOKUP($B34,[1]F27!$C:$C,[1]F27!$Y:$Y)</f>
        <v>#ERROR!</v>
      </c>
      <c r="AE34" s="1" t="str">
        <f>_xlfn.XLOOKUP($B34,[1]F27!$C:$C,[1]F27!$Z:$Z)</f>
        <v>#ERROR!</v>
      </c>
      <c r="AF34" s="1" t="str">
        <f>_xlfn.XLOOKUP($B34,[2]PRICING!$B:$B,[2]PRICING!$B:$B,"MISSING")</f>
        <v>#ERROR!</v>
      </c>
      <c r="AG34" s="1" t="str">
        <f>COUNTIFS([2]ACTIVE_SCO!$B:$B,$B34,[2]ACTIVE_SCO!$P:$P,"Y")</f>
        <v>#ERROR!</v>
      </c>
      <c r="AH34" s="1"/>
      <c r="AI34" s="37" t="s">
        <v>157</v>
      </c>
      <c r="AJ34" s="38" t="s">
        <v>611</v>
      </c>
      <c r="AK34" s="39" t="s">
        <v>60</v>
      </c>
      <c r="AL34" s="39" t="s">
        <v>0</v>
      </c>
      <c r="AM34" s="1" t="s">
        <v>125</v>
      </c>
      <c r="AN34" s="40" t="s">
        <v>127</v>
      </c>
      <c r="AO34" s="41" t="s">
        <v>125</v>
      </c>
      <c r="AP34" s="39"/>
      <c r="AQ34" s="40" t="s">
        <v>0</v>
      </c>
      <c r="AR34" s="39"/>
      <c r="AS34" s="1" t="s">
        <v>68</v>
      </c>
      <c r="AT34" s="1" t="s">
        <v>89</v>
      </c>
      <c r="AU34" s="1" t="s">
        <v>90</v>
      </c>
      <c r="AV34" s="1" t="s">
        <v>91</v>
      </c>
      <c r="AW34" s="1"/>
      <c r="AX34" s="1"/>
      <c r="AY34" s="1"/>
      <c r="AZ34" s="1"/>
      <c r="BA34" s="1" t="s">
        <v>60</v>
      </c>
      <c r="BB34" s="1" t="s">
        <v>0</v>
      </c>
      <c r="BC34" s="1"/>
      <c r="BD34" s="1"/>
    </row>
    <row r="35" ht="11.25" customHeight="1">
      <c r="A35" s="1" t="b">
        <v>0</v>
      </c>
      <c r="B35" s="1" t="s">
        <v>614</v>
      </c>
      <c r="C35" s="1" t="s">
        <v>615</v>
      </c>
      <c r="D35" s="1" t="s">
        <v>65</v>
      </c>
      <c r="E35" s="1"/>
      <c r="F35" s="1"/>
      <c r="G35" s="1" t="s">
        <v>66</v>
      </c>
      <c r="H35" s="1"/>
      <c r="I35" s="1" t="s">
        <v>355</v>
      </c>
      <c r="J35" s="1" t="s">
        <v>141</v>
      </c>
      <c r="K35" s="1" t="s">
        <v>70</v>
      </c>
      <c r="L35" s="1" t="s">
        <v>0</v>
      </c>
      <c r="M35" s="1" t="b">
        <v>1</v>
      </c>
      <c r="N35" s="1" t="b">
        <v>0</v>
      </c>
      <c r="O35" s="19">
        <v>2700.0</v>
      </c>
      <c r="P35" s="20">
        <v>2.1</v>
      </c>
      <c r="Q35" s="20">
        <v>1285.71</v>
      </c>
      <c r="R35" s="21">
        <v>0.6403854679515598</v>
      </c>
      <c r="S35" s="1" t="s">
        <v>117</v>
      </c>
      <c r="T35" s="1" t="s">
        <v>0</v>
      </c>
      <c r="U35" s="1" t="s">
        <v>359</v>
      </c>
      <c r="V35" s="1" t="s">
        <v>81</v>
      </c>
      <c r="W35" s="1" t="s">
        <v>0</v>
      </c>
      <c r="X35" s="1" t="s">
        <v>156</v>
      </c>
      <c r="Y35" s="22" t="str">
        <f t="shared" si="3"/>
        <v>CO</v>
      </c>
      <c r="Z35" s="20" t="str">
        <f>_xlfn.XLOOKUP($B35,[1]F27!$C:$C,[1]F27!$BV:$BV)</f>
        <v>#ERROR!</v>
      </c>
      <c r="AA35" s="1"/>
      <c r="AB35" s="1"/>
      <c r="AC35" s="23"/>
      <c r="AD35" s="1" t="str">
        <f>_xlfn.XLOOKUP($B35,[1]F27!$C:$C,[1]F27!$Y:$Y)</f>
        <v>#ERROR!</v>
      </c>
      <c r="AE35" s="1" t="str">
        <f>_xlfn.XLOOKUP($B35,[1]F27!$C:$C,[1]F27!$Z:$Z)</f>
        <v>#ERROR!</v>
      </c>
      <c r="AF35" s="1" t="str">
        <f>_xlfn.XLOOKUP($B35,[2]PRICING!$B:$B,[2]PRICING!$B:$B,"MISSING")</f>
        <v>#ERROR!</v>
      </c>
      <c r="AG35" s="1" t="str">
        <f>COUNTIFS([2]ACTIVE_SCO!$B:$B,$B35,[2]ACTIVE_SCO!$P:$P,"Y")</f>
        <v>#ERROR!</v>
      </c>
      <c r="AH35" s="1"/>
      <c r="AI35" s="1" t="s">
        <v>341</v>
      </c>
      <c r="AJ35" s="1"/>
      <c r="AK35" s="1"/>
      <c r="AL35" s="1"/>
      <c r="AM35" s="1"/>
      <c r="AN35" s="1"/>
      <c r="AO35" s="1"/>
      <c r="AP35" s="1"/>
      <c r="AQ35" s="40" t="s">
        <v>0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ht="11.25" customHeight="1">
      <c r="A36" s="1" t="b">
        <v>0</v>
      </c>
      <c r="B36" s="1" t="s">
        <v>626</v>
      </c>
      <c r="C36" s="1" t="s">
        <v>627</v>
      </c>
      <c r="D36" s="1" t="s">
        <v>65</v>
      </c>
      <c r="E36" s="1"/>
      <c r="F36" s="1"/>
      <c r="G36" s="1" t="s">
        <v>66</v>
      </c>
      <c r="H36" s="1"/>
      <c r="I36" s="1" t="s">
        <v>355</v>
      </c>
      <c r="J36" s="1" t="s">
        <v>141</v>
      </c>
      <c r="K36" s="1" t="s">
        <v>107</v>
      </c>
      <c r="L36" s="1" t="s">
        <v>0</v>
      </c>
      <c r="M36" s="1" t="b">
        <v>1</v>
      </c>
      <c r="N36" s="1" t="b">
        <v>0</v>
      </c>
      <c r="O36" s="19">
        <v>2700.0</v>
      </c>
      <c r="P36" s="20">
        <v>2.1</v>
      </c>
      <c r="Q36" s="20">
        <v>1285.71</v>
      </c>
      <c r="R36" s="21">
        <v>0.6798655995519985</v>
      </c>
      <c r="S36" s="1" t="s">
        <v>117</v>
      </c>
      <c r="T36" s="1" t="s">
        <v>0</v>
      </c>
      <c r="U36" s="1" t="s">
        <v>359</v>
      </c>
      <c r="V36" s="1" t="s">
        <v>81</v>
      </c>
      <c r="W36" s="1" t="s">
        <v>0</v>
      </c>
      <c r="X36" s="1" t="s">
        <v>156</v>
      </c>
      <c r="Y36" s="22" t="str">
        <f t="shared" si="3"/>
        <v>CO</v>
      </c>
      <c r="Z36" s="20" t="str">
        <f>_xlfn.XLOOKUP($B36,[1]F27!$C:$C,[1]F27!$BV:$BV)</f>
        <v>#ERROR!</v>
      </c>
      <c r="AA36" s="1"/>
      <c r="AB36" s="1"/>
      <c r="AC36" s="23"/>
      <c r="AD36" s="1" t="str">
        <f>_xlfn.XLOOKUP($B36,[1]F27!$C:$C,[1]F27!$Y:$Y)</f>
        <v>#ERROR!</v>
      </c>
      <c r="AE36" s="1" t="str">
        <f>_xlfn.XLOOKUP($B36,[1]F27!$C:$C,[1]F27!$Z:$Z)</f>
        <v>#ERROR!</v>
      </c>
      <c r="AF36" s="1" t="str">
        <f>_xlfn.XLOOKUP($B36,[2]PRICING!$B:$B,[2]PRICING!$B:$B,"MISSING")</f>
        <v>#ERROR!</v>
      </c>
      <c r="AG36" s="1" t="str">
        <f>COUNTIFS([2]ACTIVE_SCO!$B:$B,$B36,[2]ACTIVE_SCO!$P:$P,"Y")</f>
        <v>#ERROR!</v>
      </c>
      <c r="AH36" s="1"/>
      <c r="AI36" s="1" t="s">
        <v>341</v>
      </c>
      <c r="AJ36" s="1"/>
      <c r="AK36" s="1"/>
      <c r="AL36" s="1"/>
      <c r="AM36" s="1"/>
      <c r="AN36" s="1"/>
      <c r="AO36" s="1"/>
      <c r="AP36" s="1"/>
      <c r="AQ36" s="40" t="s">
        <v>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ht="11.25" customHeight="1">
      <c r="A37" s="1" t="b">
        <v>1</v>
      </c>
      <c r="B37" s="1" t="s">
        <v>637</v>
      </c>
      <c r="C37" s="1" t="s">
        <v>638</v>
      </c>
      <c r="D37" s="1" t="s">
        <v>65</v>
      </c>
      <c r="E37" s="1"/>
      <c r="F37" s="1"/>
      <c r="G37" s="1" t="s">
        <v>66</v>
      </c>
      <c r="H37" s="1"/>
      <c r="I37" s="1" t="s">
        <v>113</v>
      </c>
      <c r="J37" s="34" t="s">
        <v>141</v>
      </c>
      <c r="K37" s="1" t="s">
        <v>70</v>
      </c>
      <c r="L37" s="19" t="s">
        <v>0</v>
      </c>
      <c r="M37" s="1" t="b">
        <v>0</v>
      </c>
      <c r="N37" s="1" t="b">
        <v>0</v>
      </c>
      <c r="O37" s="19">
        <v>2000.0</v>
      </c>
      <c r="P37" s="20">
        <v>2.1</v>
      </c>
      <c r="Q37" s="20">
        <v>952.38</v>
      </c>
      <c r="R37" s="21">
        <v>0.6956991956991957</v>
      </c>
      <c r="S37" s="1" t="s">
        <v>117</v>
      </c>
      <c r="T37" s="1" t="s">
        <v>0</v>
      </c>
      <c r="U37" s="1" t="s">
        <v>81</v>
      </c>
      <c r="V37" s="1" t="s">
        <v>81</v>
      </c>
      <c r="W37" s="1" t="s">
        <v>0</v>
      </c>
      <c r="X37" s="1" t="s">
        <v>0</v>
      </c>
      <c r="Y37" s="22" t="str">
        <f t="shared" si="3"/>
        <v>NEW</v>
      </c>
      <c r="Z37" s="20" t="str">
        <f>_xlfn.XLOOKUP($B37,[1]F27!$C:$C,[1]F27!$BV:$BV)</f>
        <v>#ERROR!</v>
      </c>
      <c r="AA37" s="1"/>
      <c r="AB37" s="1"/>
      <c r="AC37" s="23"/>
      <c r="AD37" s="1" t="str">
        <f>_xlfn.XLOOKUP($B37,[1]F27!$C:$C,[1]F27!$Y:$Y)</f>
        <v>#ERROR!</v>
      </c>
      <c r="AE37" s="1" t="str">
        <f>_xlfn.XLOOKUP($B37,[1]F27!$C:$C,[1]F27!$Z:$Z)</f>
        <v>#ERROR!</v>
      </c>
      <c r="AF37" s="1" t="str">
        <f>_xlfn.XLOOKUP($B37,[2]PRICING!$B:$B,[2]PRICING!$B:$B,"MISSING")</f>
        <v>#ERROR!</v>
      </c>
      <c r="AG37" s="1" t="str">
        <f>COUNTIFS([2]ACTIVE_SCO!$B:$B,$B37,[2]ACTIVE_SCO!$P:$P,"Y")</f>
        <v>#ERROR!</v>
      </c>
      <c r="AH37" s="1"/>
      <c r="AI37" s="37" t="s">
        <v>157</v>
      </c>
      <c r="AJ37" s="38" t="s">
        <v>644</v>
      </c>
      <c r="AK37" s="39" t="s">
        <v>60</v>
      </c>
      <c r="AL37" s="39" t="s">
        <v>0</v>
      </c>
      <c r="AM37" s="1" t="s">
        <v>86</v>
      </c>
      <c r="AN37" s="40" t="s">
        <v>87</v>
      </c>
      <c r="AO37" s="41" t="s">
        <v>86</v>
      </c>
      <c r="AP37" s="41" t="s">
        <v>169</v>
      </c>
      <c r="AQ37" s="40" t="s">
        <v>0</v>
      </c>
      <c r="AR37" s="39"/>
      <c r="AS37" s="1" t="s">
        <v>113</v>
      </c>
      <c r="AT37" s="1" t="s">
        <v>128</v>
      </c>
      <c r="AU37" s="1" t="s">
        <v>130</v>
      </c>
      <c r="AV37" s="1" t="s">
        <v>131</v>
      </c>
      <c r="AW37" s="1"/>
      <c r="AX37" s="1"/>
      <c r="AY37" s="1"/>
      <c r="AZ37" s="1"/>
      <c r="BA37" s="1" t="s">
        <v>60</v>
      </c>
      <c r="BB37" s="1" t="s">
        <v>0</v>
      </c>
      <c r="BC37" s="1"/>
      <c r="BD37" s="1"/>
    </row>
    <row r="38" ht="11.25" customHeight="1">
      <c r="A38" s="1" t="b">
        <v>1</v>
      </c>
      <c r="B38" s="1" t="s">
        <v>650</v>
      </c>
      <c r="C38" s="1" t="s">
        <v>651</v>
      </c>
      <c r="D38" s="1" t="s">
        <v>65</v>
      </c>
      <c r="E38" s="1"/>
      <c r="F38" s="1"/>
      <c r="G38" s="1" t="s">
        <v>66</v>
      </c>
      <c r="H38" s="1"/>
      <c r="I38" s="1" t="s">
        <v>113</v>
      </c>
      <c r="J38" s="34" t="s">
        <v>141</v>
      </c>
      <c r="K38" s="1" t="s">
        <v>107</v>
      </c>
      <c r="L38" s="19" t="s">
        <v>0</v>
      </c>
      <c r="M38" s="1" t="b">
        <v>0</v>
      </c>
      <c r="N38" s="1" t="b">
        <v>0</v>
      </c>
      <c r="O38" s="19">
        <v>2000.0</v>
      </c>
      <c r="P38" s="20">
        <v>2.1</v>
      </c>
      <c r="Q38" s="20">
        <v>952.38</v>
      </c>
      <c r="R38" s="21">
        <v>0.6973791973791974</v>
      </c>
      <c r="S38" s="1" t="s">
        <v>117</v>
      </c>
      <c r="T38" s="1" t="s">
        <v>0</v>
      </c>
      <c r="U38" s="1" t="s">
        <v>81</v>
      </c>
      <c r="V38" s="1" t="s">
        <v>81</v>
      </c>
      <c r="W38" s="1" t="s">
        <v>0</v>
      </c>
      <c r="X38" s="1" t="s">
        <v>0</v>
      </c>
      <c r="Y38" s="22" t="str">
        <f t="shared" si="3"/>
        <v>NEW</v>
      </c>
      <c r="Z38" s="20" t="str">
        <f>_xlfn.XLOOKUP($B38,[1]F27!$C:$C,[1]F27!$BV:$BV)</f>
        <v>#ERROR!</v>
      </c>
      <c r="AA38" s="1"/>
      <c r="AB38" s="1"/>
      <c r="AC38" s="23"/>
      <c r="AD38" s="1" t="str">
        <f>_xlfn.XLOOKUP($B38,[1]F27!$C:$C,[1]F27!$Y:$Y)</f>
        <v>#ERROR!</v>
      </c>
      <c r="AE38" s="1" t="str">
        <f>_xlfn.XLOOKUP($B38,[1]F27!$C:$C,[1]F27!$Z:$Z)</f>
        <v>#ERROR!</v>
      </c>
      <c r="AF38" s="1" t="str">
        <f>_xlfn.XLOOKUP($B38,[2]PRICING!$B:$B,[2]PRICING!$B:$B,"MISSING")</f>
        <v>#ERROR!</v>
      </c>
      <c r="AG38" s="1" t="str">
        <f>COUNTIFS([2]ACTIVE_SCO!$B:$B,$B38,[2]ACTIVE_SCO!$P:$P,"Y")</f>
        <v>#ERROR!</v>
      </c>
      <c r="AH38" s="1"/>
      <c r="AI38" s="37" t="s">
        <v>157</v>
      </c>
      <c r="AJ38" s="38" t="s">
        <v>660</v>
      </c>
      <c r="AK38" s="39" t="s">
        <v>60</v>
      </c>
      <c r="AL38" s="39" t="s">
        <v>0</v>
      </c>
      <c r="AM38" s="1" t="s">
        <v>86</v>
      </c>
      <c r="AN38" s="40" t="s">
        <v>87</v>
      </c>
      <c r="AO38" s="41" t="s">
        <v>86</v>
      </c>
      <c r="AP38" s="41" t="s">
        <v>169</v>
      </c>
      <c r="AQ38" s="40" t="s">
        <v>0</v>
      </c>
      <c r="AR38" s="39"/>
      <c r="AS38" s="1" t="s">
        <v>113</v>
      </c>
      <c r="AT38" s="1" t="s">
        <v>128</v>
      </c>
      <c r="AU38" s="1" t="s">
        <v>130</v>
      </c>
      <c r="AV38" s="1" t="s">
        <v>131</v>
      </c>
      <c r="AW38" s="1"/>
      <c r="AX38" s="1"/>
      <c r="AY38" s="1"/>
      <c r="AZ38" s="1"/>
      <c r="BA38" s="1" t="s">
        <v>60</v>
      </c>
      <c r="BB38" s="1" t="s">
        <v>0</v>
      </c>
      <c r="BC38" s="1"/>
      <c r="BD38" s="1"/>
    </row>
    <row r="39" ht="11.25" customHeight="1">
      <c r="A39" s="1" t="b">
        <v>1</v>
      </c>
      <c r="B39" s="1" t="s">
        <v>663</v>
      </c>
      <c r="C39" s="1" t="s">
        <v>664</v>
      </c>
      <c r="D39" s="1" t="s">
        <v>65</v>
      </c>
      <c r="E39" s="1"/>
      <c r="F39" s="1"/>
      <c r="G39" s="1" t="s">
        <v>66</v>
      </c>
      <c r="H39" s="1"/>
      <c r="I39" s="1" t="s">
        <v>270</v>
      </c>
      <c r="J39" s="34" t="s">
        <v>141</v>
      </c>
      <c r="K39" s="1" t="s">
        <v>70</v>
      </c>
      <c r="L39" s="1" t="s">
        <v>0</v>
      </c>
      <c r="M39" s="1" t="b">
        <v>1</v>
      </c>
      <c r="N39" s="1" t="b">
        <v>0</v>
      </c>
      <c r="O39" s="19">
        <v>1300.0</v>
      </c>
      <c r="P39" s="20">
        <v>2.1</v>
      </c>
      <c r="Q39" s="20">
        <v>619.05</v>
      </c>
      <c r="R39" s="21">
        <v>0.627622970680882</v>
      </c>
      <c r="S39" s="1" t="s">
        <v>78</v>
      </c>
      <c r="T39" s="1" t="s">
        <v>0</v>
      </c>
      <c r="U39" s="1" t="s">
        <v>81</v>
      </c>
      <c r="V39" s="1" t="s">
        <v>81</v>
      </c>
      <c r="W39" s="1" t="s">
        <v>0</v>
      </c>
      <c r="X39" s="1" t="s">
        <v>156</v>
      </c>
      <c r="Y39" s="22" t="str">
        <f t="shared" si="3"/>
        <v>CO</v>
      </c>
      <c r="Z39" s="20" t="str">
        <f>_xlfn.XLOOKUP($B39,[1]F27!$C:$C,[1]F27!$BV:$BV)</f>
        <v>#ERROR!</v>
      </c>
      <c r="AA39" s="1"/>
      <c r="AB39" s="1"/>
      <c r="AC39" s="23"/>
      <c r="AD39" s="1" t="str">
        <f>_xlfn.XLOOKUP($B39,[1]F27!$C:$C,[1]F27!$Y:$Y)</f>
        <v>#ERROR!</v>
      </c>
      <c r="AE39" s="1" t="str">
        <f>_xlfn.XLOOKUP($B39,[1]F27!$C:$C,[1]F27!$Z:$Z)</f>
        <v>#ERROR!</v>
      </c>
      <c r="AF39" s="1" t="str">
        <f>_xlfn.XLOOKUP($B39,[2]PRICING!$B:$B,[2]PRICING!$B:$B,"MISSING")</f>
        <v>#ERROR!</v>
      </c>
      <c r="AG39" s="1" t="str">
        <f>COUNTIFS([2]ACTIVE_SCO!$B:$B,$B39,[2]ACTIVE_SCO!$P:$P,"Y")</f>
        <v>#ERROR!</v>
      </c>
      <c r="AH39" s="1"/>
      <c r="AI39" s="59" t="s">
        <v>157</v>
      </c>
      <c r="AJ39" s="60" t="s">
        <v>673</v>
      </c>
      <c r="AK39" s="39" t="s">
        <v>417</v>
      </c>
      <c r="AL39" s="39" t="s">
        <v>60</v>
      </c>
      <c r="AM39" s="1" t="s">
        <v>125</v>
      </c>
      <c r="AN39" s="40" t="s">
        <v>127</v>
      </c>
      <c r="AO39" s="41" t="s">
        <v>125</v>
      </c>
      <c r="AP39" s="61"/>
      <c r="AQ39" s="62" t="s">
        <v>0</v>
      </c>
      <c r="AR39" s="63"/>
      <c r="AS39" s="1" t="s">
        <v>276</v>
      </c>
      <c r="AT39" s="1" t="s">
        <v>89</v>
      </c>
      <c r="AU39" s="1" t="s">
        <v>277</v>
      </c>
      <c r="AV39" s="1" t="s">
        <v>131</v>
      </c>
      <c r="AW39" s="1"/>
      <c r="AX39" s="1"/>
      <c r="AY39" s="1"/>
      <c r="AZ39" s="1"/>
      <c r="BA39" s="1" t="s">
        <v>417</v>
      </c>
      <c r="BB39" s="1" t="s">
        <v>60</v>
      </c>
      <c r="BC39" s="1"/>
      <c r="BD39" s="1"/>
    </row>
    <row r="40" ht="11.25" customHeight="1">
      <c r="A40" s="1" t="b">
        <v>1</v>
      </c>
      <c r="B40" s="1" t="s">
        <v>676</v>
      </c>
      <c r="C40" s="1" t="s">
        <v>677</v>
      </c>
      <c r="D40" s="1" t="s">
        <v>65</v>
      </c>
      <c r="E40" s="1"/>
      <c r="F40" s="1"/>
      <c r="G40" s="1" t="s">
        <v>66</v>
      </c>
      <c r="H40" s="1"/>
      <c r="I40" s="1" t="s">
        <v>270</v>
      </c>
      <c r="J40" s="34" t="s">
        <v>141</v>
      </c>
      <c r="K40" s="1" t="s">
        <v>107</v>
      </c>
      <c r="L40" s="1" t="s">
        <v>0</v>
      </c>
      <c r="M40" s="1" t="b">
        <v>1</v>
      </c>
      <c r="N40" s="1" t="b">
        <v>0</v>
      </c>
      <c r="O40" s="19">
        <v>1300.0</v>
      </c>
      <c r="P40" s="20">
        <v>2.1</v>
      </c>
      <c r="Q40" s="20">
        <v>619.05</v>
      </c>
      <c r="R40" s="21">
        <v>0.6518213391486956</v>
      </c>
      <c r="S40" s="1" t="s">
        <v>78</v>
      </c>
      <c r="T40" s="1" t="s">
        <v>0</v>
      </c>
      <c r="U40" s="1" t="s">
        <v>81</v>
      </c>
      <c r="V40" s="1" t="s">
        <v>81</v>
      </c>
      <c r="W40" s="1" t="s">
        <v>0</v>
      </c>
      <c r="X40" s="1" t="s">
        <v>156</v>
      </c>
      <c r="Y40" s="22" t="str">
        <f t="shared" si="3"/>
        <v>CO</v>
      </c>
      <c r="Z40" s="20" t="str">
        <f>_xlfn.XLOOKUP($B40,[1]F27!$C:$C,[1]F27!$BV:$BV)</f>
        <v>#ERROR!</v>
      </c>
      <c r="AA40" s="1"/>
      <c r="AB40" s="1"/>
      <c r="AC40" s="23"/>
      <c r="AD40" s="1" t="str">
        <f>_xlfn.XLOOKUP($B40,[1]F27!$C:$C,[1]F27!$Y:$Y)</f>
        <v>#ERROR!</v>
      </c>
      <c r="AE40" s="1" t="str">
        <f>_xlfn.XLOOKUP($B40,[1]F27!$C:$C,[1]F27!$Z:$Z)</f>
        <v>#ERROR!</v>
      </c>
      <c r="AF40" s="1" t="str">
        <f>_xlfn.XLOOKUP($B40,[2]PRICING!$B:$B,[2]PRICING!$B:$B,"MISSING")</f>
        <v>#ERROR!</v>
      </c>
      <c r="AG40" s="1" t="str">
        <f>COUNTIFS([2]ACTIVE_SCO!$B:$B,$B40,[2]ACTIVE_SCO!$P:$P,"Y")</f>
        <v>#ERROR!</v>
      </c>
      <c r="AH40" s="1"/>
      <c r="AI40" s="59" t="s">
        <v>157</v>
      </c>
      <c r="AJ40" s="60" t="s">
        <v>673</v>
      </c>
      <c r="AK40" s="39" t="s">
        <v>417</v>
      </c>
      <c r="AL40" s="39" t="s">
        <v>60</v>
      </c>
      <c r="AM40" s="1" t="s">
        <v>125</v>
      </c>
      <c r="AN40" s="40" t="s">
        <v>127</v>
      </c>
      <c r="AO40" s="41" t="s">
        <v>125</v>
      </c>
      <c r="AP40" s="61"/>
      <c r="AQ40" s="62" t="s">
        <v>0</v>
      </c>
      <c r="AR40" s="63"/>
      <c r="AS40" s="1" t="s">
        <v>276</v>
      </c>
      <c r="AT40" s="1" t="s">
        <v>89</v>
      </c>
      <c r="AU40" s="1" t="s">
        <v>277</v>
      </c>
      <c r="AV40" s="1" t="s">
        <v>131</v>
      </c>
      <c r="AW40" s="1"/>
      <c r="AX40" s="1"/>
      <c r="AY40" s="1"/>
      <c r="AZ40" s="1"/>
      <c r="BA40" s="1" t="s">
        <v>417</v>
      </c>
      <c r="BB40" s="1" t="s">
        <v>60</v>
      </c>
      <c r="BC40" s="1"/>
      <c r="BD40" s="1"/>
    </row>
    <row r="41" ht="11.25" customHeight="1">
      <c r="A41" s="1" t="b">
        <v>1</v>
      </c>
      <c r="B41" s="1" t="s">
        <v>686</v>
      </c>
      <c r="C41" s="1" t="s">
        <v>688</v>
      </c>
      <c r="D41" s="1" t="s">
        <v>65</v>
      </c>
      <c r="E41" s="1"/>
      <c r="F41" s="1"/>
      <c r="G41" s="1" t="s">
        <v>66</v>
      </c>
      <c r="H41" s="1"/>
      <c r="I41" s="1" t="s">
        <v>248</v>
      </c>
      <c r="J41" s="64" t="s">
        <v>96</v>
      </c>
      <c r="K41" s="1" t="s">
        <v>249</v>
      </c>
      <c r="L41" s="1" t="s">
        <v>0</v>
      </c>
      <c r="M41" s="1" t="b">
        <v>0</v>
      </c>
      <c r="N41" s="1" t="b">
        <v>0</v>
      </c>
      <c r="O41" s="19">
        <v>500.0</v>
      </c>
      <c r="P41" s="20">
        <v>2.1</v>
      </c>
      <c r="Q41" s="20">
        <v>238.1</v>
      </c>
      <c r="R41" s="21">
        <v>0.6965560688786224</v>
      </c>
      <c r="S41" s="1" t="s">
        <v>78</v>
      </c>
      <c r="T41" s="1" t="s">
        <v>0</v>
      </c>
      <c r="U41" s="1" t="s">
        <v>81</v>
      </c>
      <c r="V41" s="1" t="s">
        <v>81</v>
      </c>
      <c r="W41" s="1" t="s">
        <v>0</v>
      </c>
      <c r="X41" s="1" t="s">
        <v>386</v>
      </c>
      <c r="Y41" s="22" t="str">
        <f t="shared" si="3"/>
        <v>NEW</v>
      </c>
      <c r="Z41" s="20" t="str">
        <f>_xlfn.XLOOKUP($B41,[1]F27!$C:$C,[1]F27!$BV:$BV)</f>
        <v>#ERROR!</v>
      </c>
      <c r="AA41" s="1"/>
      <c r="AB41" s="1"/>
      <c r="AC41" s="23"/>
      <c r="AD41" s="1" t="str">
        <f>_xlfn.XLOOKUP($B41,[1]F27!$C:$C,[1]F27!$Y:$Y)</f>
        <v>#ERROR!</v>
      </c>
      <c r="AE41" s="1" t="str">
        <f>_xlfn.XLOOKUP($B41,[1]F27!$C:$C,[1]F27!$Z:$Z)</f>
        <v>#ERROR!</v>
      </c>
      <c r="AF41" s="1" t="str">
        <f>_xlfn.XLOOKUP($B41,[2]PRICING!$B:$B,[2]PRICING!$B:$B,"MISSING")</f>
        <v>#ERROR!</v>
      </c>
      <c r="AG41" s="1" t="str">
        <f>COUNTIFS([2]ACTIVE_SCO!$B:$B,$B41,[2]ACTIVE_SCO!$P:$P,"Y")</f>
        <v>#ERROR!</v>
      </c>
      <c r="AH41" s="1"/>
      <c r="AI41" s="37" t="s">
        <v>551</v>
      </c>
      <c r="AJ41" s="55"/>
      <c r="AK41" s="39"/>
      <c r="AL41" s="39"/>
      <c r="AM41" s="1" t="s">
        <v>125</v>
      </c>
      <c r="AN41" s="40" t="s">
        <v>127</v>
      </c>
      <c r="AO41" s="41" t="s">
        <v>125</v>
      </c>
      <c r="AP41" s="39"/>
      <c r="AQ41" s="40" t="s">
        <v>125</v>
      </c>
      <c r="AR41" s="39"/>
      <c r="AS41" s="1" t="s">
        <v>248</v>
      </c>
      <c r="AT41" s="1" t="s">
        <v>253</v>
      </c>
      <c r="AU41" s="1" t="s">
        <v>291</v>
      </c>
      <c r="AV41" s="1" t="s">
        <v>131</v>
      </c>
      <c r="AW41" s="1"/>
      <c r="AX41" s="1"/>
      <c r="AY41" s="1"/>
      <c r="AZ41" s="1"/>
      <c r="BA41" s="1"/>
      <c r="BB41" s="1"/>
      <c r="BC41" s="1"/>
      <c r="BD41" s="1"/>
    </row>
    <row r="42" ht="11.25" customHeight="1">
      <c r="A42" s="1" t="b">
        <v>1</v>
      </c>
      <c r="B42" s="1" t="s">
        <v>698</v>
      </c>
      <c r="C42" s="1" t="s">
        <v>699</v>
      </c>
      <c r="D42" s="1" t="s">
        <v>65</v>
      </c>
      <c r="E42" s="1"/>
      <c r="F42" s="1"/>
      <c r="G42" s="1" t="s">
        <v>109</v>
      </c>
      <c r="H42" s="1"/>
      <c r="I42" s="1" t="s">
        <v>334</v>
      </c>
      <c r="J42" s="64" t="s">
        <v>96</v>
      </c>
      <c r="K42" s="1" t="s">
        <v>70</v>
      </c>
      <c r="L42" s="1" t="s">
        <v>0</v>
      </c>
      <c r="M42" s="1" t="b">
        <v>0</v>
      </c>
      <c r="N42" s="1" t="b">
        <v>0</v>
      </c>
      <c r="O42" s="19">
        <v>0.0</v>
      </c>
      <c r="P42" s="20">
        <v>2.1</v>
      </c>
      <c r="Q42" s="20">
        <v>0.0</v>
      </c>
      <c r="R42" s="21" t="e">
        <v>#DIV/0!</v>
      </c>
      <c r="S42" s="1" t="s">
        <v>0</v>
      </c>
      <c r="T42" s="1" t="s">
        <v>0</v>
      </c>
      <c r="U42" s="1" t="s">
        <v>81</v>
      </c>
      <c r="V42" s="1" t="s">
        <v>0</v>
      </c>
      <c r="W42" s="1" t="s">
        <v>0</v>
      </c>
      <c r="X42" s="1" t="s">
        <v>116</v>
      </c>
      <c r="Y42" s="22" t="str">
        <f t="shared" si="3"/>
        <v>NEW</v>
      </c>
      <c r="Z42" s="20" t="str">
        <f>_xlfn.XLOOKUP($B42,[1]F27!$C:$C,[1]F27!$BV:$BV)</f>
        <v>#ERROR!</v>
      </c>
      <c r="AA42" s="1"/>
      <c r="AB42" s="1"/>
      <c r="AC42" s="23"/>
      <c r="AD42" s="1" t="str">
        <f>_xlfn.XLOOKUP($B42,[1]F27!$C:$C,[1]F27!$Y:$Y)</f>
        <v>#ERROR!</v>
      </c>
      <c r="AE42" s="1" t="str">
        <f>_xlfn.XLOOKUP($B42,[1]F27!$C:$C,[1]F27!$Z:$Z)</f>
        <v>#ERROR!</v>
      </c>
      <c r="AF42" s="1" t="str">
        <f>_xlfn.XLOOKUP($B42,[2]PRICING!$B:$B,[2]PRICING!$B:$B,"MISSING")</f>
        <v>#ERROR!</v>
      </c>
      <c r="AG42" s="1" t="str">
        <f>COUNTIFS([2]ACTIVE_SCO!$B:$B,$B42,[2]ACTIVE_SCO!$P:$P,"Y")</f>
        <v>#ERROR!</v>
      </c>
      <c r="AH42" s="1"/>
      <c r="AI42" s="37" t="s">
        <v>551</v>
      </c>
      <c r="AJ42" s="55"/>
      <c r="AK42" s="39"/>
      <c r="AL42" s="39"/>
      <c r="AM42" s="1" t="s">
        <v>125</v>
      </c>
      <c r="AN42" s="40" t="s">
        <v>127</v>
      </c>
      <c r="AO42" s="41" t="s">
        <v>125</v>
      </c>
      <c r="AP42" s="39"/>
      <c r="AQ42" s="40" t="s">
        <v>0</v>
      </c>
      <c r="AR42" s="39"/>
      <c r="AS42" s="1" t="s">
        <v>334</v>
      </c>
      <c r="AT42" s="1" t="s">
        <v>161</v>
      </c>
      <c r="AU42" s="1" t="s">
        <v>338</v>
      </c>
      <c r="AV42" s="1" t="s">
        <v>131</v>
      </c>
      <c r="AW42" s="1"/>
      <c r="AX42" s="1"/>
      <c r="AY42" s="1"/>
      <c r="AZ42" s="1"/>
      <c r="BA42" s="1"/>
      <c r="BB42" s="1"/>
      <c r="BC42" s="1"/>
      <c r="BD42" s="1"/>
    </row>
    <row r="43" ht="11.25" customHeight="1">
      <c r="A43" s="1" t="b">
        <v>1</v>
      </c>
      <c r="B43" s="1" t="s">
        <v>709</v>
      </c>
      <c r="C43" s="1" t="s">
        <v>711</v>
      </c>
      <c r="D43" s="1" t="s">
        <v>65</v>
      </c>
      <c r="E43" s="1"/>
      <c r="F43" s="1"/>
      <c r="G43" s="1" t="s">
        <v>66</v>
      </c>
      <c r="H43" s="1"/>
      <c r="I43" s="1" t="s">
        <v>248</v>
      </c>
      <c r="J43" s="1" t="s">
        <v>96</v>
      </c>
      <c r="K43" s="1" t="s">
        <v>249</v>
      </c>
      <c r="L43" s="1" t="s">
        <v>0</v>
      </c>
      <c r="M43" s="1" t="b">
        <v>0</v>
      </c>
      <c r="N43" s="1" t="b">
        <v>1</v>
      </c>
      <c r="O43" s="19">
        <v>800.0</v>
      </c>
      <c r="P43" s="20">
        <v>2.1</v>
      </c>
      <c r="Q43" s="20">
        <v>380.95</v>
      </c>
      <c r="R43" s="21">
        <v>0.53938837117732</v>
      </c>
      <c r="S43" s="1" t="s">
        <v>0</v>
      </c>
      <c r="T43" s="1" t="s">
        <v>0</v>
      </c>
      <c r="U43" s="1" t="s">
        <v>713</v>
      </c>
      <c r="V43" s="1" t="s">
        <v>511</v>
      </c>
      <c r="W43" s="1" t="s">
        <v>0</v>
      </c>
      <c r="X43" s="1" t="s">
        <v>386</v>
      </c>
      <c r="Y43" s="22" t="str">
        <f t="shared" si="3"/>
        <v>UPDATE</v>
      </c>
      <c r="Z43" s="20" t="str">
        <f>_xlfn.XLOOKUP($B43,[1]F27!$C:$C,[1]F27!$BV:$BV)</f>
        <v>#ERROR!</v>
      </c>
      <c r="AA43" s="1"/>
      <c r="AB43" s="1"/>
      <c r="AC43" s="23"/>
      <c r="AD43" s="1" t="str">
        <f>_xlfn.XLOOKUP($B43,[1]F27!$C:$C,[1]F27!$Y:$Y)</f>
        <v>#ERROR!</v>
      </c>
      <c r="AE43" s="1" t="str">
        <f>_xlfn.XLOOKUP($B43,[1]F27!$C:$C,[1]F27!$Z:$Z)</f>
        <v>#ERROR!</v>
      </c>
      <c r="AF43" s="1" t="str">
        <f>_xlfn.XLOOKUP($B43,[2]PRICING!$B:$B,[2]PRICING!$B:$B,"MISSING")</f>
        <v>#ERROR!</v>
      </c>
      <c r="AG43" s="1" t="str">
        <f>COUNTIFS([2]ACTIVE_SCO!$B:$B,$B43,[2]ACTIVE_SCO!$P:$P,"Y")</f>
        <v>#ERROR!</v>
      </c>
      <c r="AH43" s="1"/>
      <c r="AI43" s="37" t="s">
        <v>157</v>
      </c>
      <c r="AJ43" s="38" t="s">
        <v>720</v>
      </c>
      <c r="AK43" s="39"/>
      <c r="AL43" s="39"/>
      <c r="AM43" s="1" t="s">
        <v>125</v>
      </c>
      <c r="AN43" s="40" t="s">
        <v>127</v>
      </c>
      <c r="AO43" s="41" t="s">
        <v>226</v>
      </c>
      <c r="AP43" s="41" t="s">
        <v>227</v>
      </c>
      <c r="AQ43" s="40" t="s">
        <v>0</v>
      </c>
      <c r="AR43" s="65" t="s">
        <v>721</v>
      </c>
      <c r="AS43" s="1" t="s">
        <v>248</v>
      </c>
      <c r="AT43" s="1" t="s">
        <v>723</v>
      </c>
      <c r="AU43" s="1"/>
      <c r="AV43" s="1" t="s">
        <v>131</v>
      </c>
      <c r="AW43" s="1"/>
      <c r="AX43" s="1"/>
      <c r="AY43" s="1"/>
      <c r="AZ43" s="1"/>
      <c r="BA43" s="1"/>
      <c r="BB43" s="1"/>
      <c r="BC43" s="1"/>
      <c r="BD43" s="1"/>
    </row>
    <row r="44" ht="11.25" customHeight="1">
      <c r="A44" s="1" t="b">
        <v>1</v>
      </c>
      <c r="B44" s="1" t="s">
        <v>287</v>
      </c>
      <c r="C44" s="1" t="s">
        <v>288</v>
      </c>
      <c r="D44" s="1" t="s">
        <v>65</v>
      </c>
      <c r="E44" s="1"/>
      <c r="F44" s="1"/>
      <c r="G44" s="1" t="s">
        <v>66</v>
      </c>
      <c r="H44" s="1"/>
      <c r="I44" s="1" t="s">
        <v>248</v>
      </c>
      <c r="J44" s="1" t="s">
        <v>69</v>
      </c>
      <c r="K44" s="1" t="s">
        <v>249</v>
      </c>
      <c r="L44" s="1" t="s">
        <v>0</v>
      </c>
      <c r="M44" s="1" t="b">
        <v>0</v>
      </c>
      <c r="N44" s="1" t="b">
        <v>0</v>
      </c>
      <c r="O44" s="19">
        <v>450.0</v>
      </c>
      <c r="P44" s="20">
        <v>2.1</v>
      </c>
      <c r="Q44" s="20">
        <v>214.29</v>
      </c>
      <c r="R44" s="21">
        <v>0.6860796117410985</v>
      </c>
      <c r="S44" s="1" t="s">
        <v>78</v>
      </c>
      <c r="T44" s="1" t="s">
        <v>0</v>
      </c>
      <c r="U44" s="1" t="s">
        <v>81</v>
      </c>
      <c r="V44" s="1" t="s">
        <v>81</v>
      </c>
      <c r="W44" s="1" t="s">
        <v>0</v>
      </c>
      <c r="X44" s="1" t="s">
        <v>0</v>
      </c>
      <c r="Y44" s="22" t="str">
        <f t="shared" si="3"/>
        <v>NEW</v>
      </c>
      <c r="Z44" s="20" t="str">
        <f>_xlfn.XLOOKUP($B44,[1]F27!$C:$C,[1]F27!$BV:$BV)</f>
        <v>#ERROR!</v>
      </c>
      <c r="AA44" s="1"/>
      <c r="AB44" s="1"/>
      <c r="AC44" s="23"/>
      <c r="AD44" s="1" t="str">
        <f>_xlfn.XLOOKUP($B44,[1]F27!$C:$C,[1]F27!$Y:$Y)</f>
        <v>#ERROR!</v>
      </c>
      <c r="AE44" s="1" t="str">
        <f>_xlfn.XLOOKUP($B44,[1]F27!$C:$C,[1]F27!$Z:$Z)</f>
        <v>#ERROR!</v>
      </c>
      <c r="AF44" s="1" t="str">
        <f>_xlfn.XLOOKUP($B44,[2]PRICING!$B:$B,[2]PRICING!$B:$B,"MISSING")</f>
        <v>#ERROR!</v>
      </c>
      <c r="AG44" s="1" t="str">
        <f>COUNTIFS([2]ACTIVE_SCO!$B:$B,$B44,[2]ACTIVE_SCO!$P:$P,"Y")</f>
        <v>#ERROR!</v>
      </c>
      <c r="AH44" s="1"/>
      <c r="AI44" s="37" t="s">
        <v>157</v>
      </c>
      <c r="AJ44" s="38" t="s">
        <v>731</v>
      </c>
      <c r="AK44" s="39"/>
      <c r="AL44" s="39"/>
      <c r="AM44" s="1" t="s">
        <v>125</v>
      </c>
      <c r="AN44" s="40" t="s">
        <v>127</v>
      </c>
      <c r="AO44" s="41" t="s">
        <v>125</v>
      </c>
      <c r="AP44" s="39"/>
      <c r="AQ44" s="40" t="s">
        <v>125</v>
      </c>
      <c r="AR44" s="39"/>
      <c r="AS44" s="1" t="s">
        <v>248</v>
      </c>
      <c r="AT44" s="1" t="s">
        <v>253</v>
      </c>
      <c r="AU44" s="1" t="s">
        <v>291</v>
      </c>
      <c r="AV44" s="1" t="s">
        <v>131</v>
      </c>
      <c r="AW44" s="1"/>
      <c r="AX44" s="1"/>
      <c r="AY44" s="1"/>
      <c r="AZ44" s="1"/>
      <c r="BA44" s="1"/>
      <c r="BB44" s="1"/>
      <c r="BC44" s="1"/>
      <c r="BD44" s="1"/>
    </row>
    <row r="45" ht="11.25" customHeight="1">
      <c r="A45" s="1" t="b">
        <v>1</v>
      </c>
      <c r="B45" s="1" t="s">
        <v>734</v>
      </c>
      <c r="C45" s="1" t="s">
        <v>735</v>
      </c>
      <c r="D45" s="1" t="s">
        <v>65</v>
      </c>
      <c r="E45" s="1"/>
      <c r="F45" s="1"/>
      <c r="G45" s="1" t="s">
        <v>66</v>
      </c>
      <c r="H45" s="1"/>
      <c r="I45" s="1" t="s">
        <v>68</v>
      </c>
      <c r="J45" s="34" t="s">
        <v>141</v>
      </c>
      <c r="K45" s="1" t="s">
        <v>70</v>
      </c>
      <c r="L45" s="19" t="s">
        <v>0</v>
      </c>
      <c r="M45" s="1" t="b">
        <v>0</v>
      </c>
      <c r="N45" s="1" t="b">
        <v>0</v>
      </c>
      <c r="O45" s="19">
        <v>2500.0</v>
      </c>
      <c r="P45" s="20">
        <v>2.1</v>
      </c>
      <c r="Q45" s="20">
        <v>1190.48</v>
      </c>
      <c r="R45" s="21">
        <v>0.6235384046771051</v>
      </c>
      <c r="S45" s="1" t="s">
        <v>78</v>
      </c>
      <c r="T45" s="1" t="s">
        <v>0</v>
      </c>
      <c r="U45" s="1" t="s">
        <v>166</v>
      </c>
      <c r="V45" s="1" t="s">
        <v>81</v>
      </c>
      <c r="W45" s="1" t="s">
        <v>0</v>
      </c>
      <c r="X45" s="1" t="s">
        <v>0</v>
      </c>
      <c r="Y45" s="22" t="str">
        <f t="shared" si="3"/>
        <v>NEW</v>
      </c>
      <c r="Z45" s="20" t="str">
        <f>_xlfn.XLOOKUP($B45,[1]F27!$C:$C,[1]F27!$BV:$BV)</f>
        <v>#ERROR!</v>
      </c>
      <c r="AA45" s="1"/>
      <c r="AB45" s="1"/>
      <c r="AC45" s="23"/>
      <c r="AD45" s="1" t="str">
        <f>_xlfn.XLOOKUP($B45,[1]F27!$C:$C,[1]F27!$Y:$Y)</f>
        <v>#ERROR!</v>
      </c>
      <c r="AE45" s="1" t="str">
        <f>_xlfn.XLOOKUP($B45,[1]F27!$C:$C,[1]F27!$Z:$Z)</f>
        <v>#ERROR!</v>
      </c>
      <c r="AF45" s="1" t="str">
        <f>_xlfn.XLOOKUP($B45,[2]PRICING!$B:$B,[2]PRICING!$B:$B,"MISSING")</f>
        <v>#ERROR!</v>
      </c>
      <c r="AG45" s="1" t="str">
        <f>COUNTIFS([2]ACTIVE_SCO!$B:$B,$B45,[2]ACTIVE_SCO!$P:$P,"Y")</f>
        <v>#ERROR!</v>
      </c>
      <c r="AH45" s="1"/>
      <c r="AI45" s="37" t="s">
        <v>157</v>
      </c>
      <c r="AJ45" s="38" t="s">
        <v>738</v>
      </c>
      <c r="AK45" s="39" t="s">
        <v>60</v>
      </c>
      <c r="AL45" s="39" t="s">
        <v>0</v>
      </c>
      <c r="AM45" s="1" t="s">
        <v>125</v>
      </c>
      <c r="AN45" s="40" t="s">
        <v>127</v>
      </c>
      <c r="AO45" s="41" t="s">
        <v>125</v>
      </c>
      <c r="AP45" s="39"/>
      <c r="AQ45" s="40" t="s">
        <v>0</v>
      </c>
      <c r="AR45" s="39"/>
      <c r="AS45" s="1" t="s">
        <v>68</v>
      </c>
      <c r="AT45" s="1" t="s">
        <v>89</v>
      </c>
      <c r="AU45" s="1" t="s">
        <v>178</v>
      </c>
      <c r="AV45" s="1" t="s">
        <v>91</v>
      </c>
      <c r="AW45" s="1"/>
      <c r="AX45" s="1"/>
      <c r="AY45" s="1"/>
      <c r="AZ45" s="1"/>
      <c r="BA45" s="1" t="s">
        <v>60</v>
      </c>
      <c r="BB45" s="1" t="s">
        <v>0</v>
      </c>
      <c r="BC45" s="1"/>
      <c r="BD45" s="1"/>
    </row>
    <row r="46" ht="11.25" customHeight="1">
      <c r="A46" s="1" t="b">
        <v>1</v>
      </c>
      <c r="B46" s="1" t="s">
        <v>741</v>
      </c>
      <c r="C46" s="1" t="s">
        <v>742</v>
      </c>
      <c r="D46" s="1" t="s">
        <v>65</v>
      </c>
      <c r="E46" s="1"/>
      <c r="F46" s="1"/>
      <c r="G46" s="1" t="s">
        <v>66</v>
      </c>
      <c r="H46" s="1"/>
      <c r="I46" s="1" t="s">
        <v>68</v>
      </c>
      <c r="J46" s="34" t="s">
        <v>141</v>
      </c>
      <c r="K46" s="1" t="s">
        <v>107</v>
      </c>
      <c r="L46" s="19" t="s">
        <v>0</v>
      </c>
      <c r="M46" s="1" t="b">
        <v>0</v>
      </c>
      <c r="N46" s="1" t="b">
        <v>0</v>
      </c>
      <c r="O46" s="19">
        <v>2500.0</v>
      </c>
      <c r="P46" s="20">
        <v>2.1</v>
      </c>
      <c r="Q46" s="20">
        <v>1190.48</v>
      </c>
      <c r="R46" s="21">
        <v>0.6486879241986425</v>
      </c>
      <c r="S46" s="1" t="s">
        <v>78</v>
      </c>
      <c r="T46" s="1" t="s">
        <v>0</v>
      </c>
      <c r="U46" s="1" t="s">
        <v>166</v>
      </c>
      <c r="V46" s="1" t="s">
        <v>81</v>
      </c>
      <c r="W46" s="1" t="s">
        <v>0</v>
      </c>
      <c r="X46" s="1" t="s">
        <v>0</v>
      </c>
      <c r="Y46" s="22" t="str">
        <f t="shared" si="3"/>
        <v>NEW</v>
      </c>
      <c r="Z46" s="20" t="str">
        <f>_xlfn.XLOOKUP($B46,[1]F27!$C:$C,[1]F27!$BV:$BV)</f>
        <v>#ERROR!</v>
      </c>
      <c r="AA46" s="1"/>
      <c r="AB46" s="1"/>
      <c r="AC46" s="23"/>
      <c r="AD46" s="1" t="str">
        <f>_xlfn.XLOOKUP($B46,[1]F27!$C:$C,[1]F27!$Y:$Y)</f>
        <v>#ERROR!</v>
      </c>
      <c r="AE46" s="1" t="str">
        <f>_xlfn.XLOOKUP($B46,[1]F27!$C:$C,[1]F27!$Z:$Z)</f>
        <v>#ERROR!</v>
      </c>
      <c r="AF46" s="1" t="str">
        <f>_xlfn.XLOOKUP($B46,[2]PRICING!$B:$B,[2]PRICING!$B:$B,"MISSING")</f>
        <v>#ERROR!</v>
      </c>
      <c r="AG46" s="1" t="str">
        <f>COUNTIFS([2]ACTIVE_SCO!$B:$B,$B46,[2]ACTIVE_SCO!$P:$P,"Y")</f>
        <v>#ERROR!</v>
      </c>
      <c r="AH46" s="1"/>
      <c r="AI46" s="37" t="s">
        <v>157</v>
      </c>
      <c r="AJ46" s="38" t="s">
        <v>750</v>
      </c>
      <c r="AK46" s="39" t="s">
        <v>60</v>
      </c>
      <c r="AL46" s="39" t="s">
        <v>0</v>
      </c>
      <c r="AM46" s="1" t="s">
        <v>125</v>
      </c>
      <c r="AN46" s="40" t="s">
        <v>127</v>
      </c>
      <c r="AO46" s="41" t="s">
        <v>125</v>
      </c>
      <c r="AP46" s="39"/>
      <c r="AQ46" s="40" t="s">
        <v>0</v>
      </c>
      <c r="AR46" s="39"/>
      <c r="AS46" s="1" t="s">
        <v>68</v>
      </c>
      <c r="AT46" s="1" t="s">
        <v>89</v>
      </c>
      <c r="AU46" s="1" t="s">
        <v>178</v>
      </c>
      <c r="AV46" s="1" t="s">
        <v>91</v>
      </c>
      <c r="AW46" s="1"/>
      <c r="AX46" s="1"/>
      <c r="AY46" s="1"/>
      <c r="AZ46" s="1"/>
      <c r="BA46" s="1" t="s">
        <v>60</v>
      </c>
      <c r="BB46" s="1" t="s">
        <v>0</v>
      </c>
      <c r="BC46" s="1"/>
      <c r="BD46" s="1"/>
    </row>
    <row r="47" ht="11.25" customHeight="1">
      <c r="A47" s="1" t="b">
        <v>1</v>
      </c>
      <c r="B47" s="1" t="s">
        <v>102</v>
      </c>
      <c r="C47" s="1" t="s">
        <v>103</v>
      </c>
      <c r="D47" s="1" t="s">
        <v>65</v>
      </c>
      <c r="E47" s="1"/>
      <c r="F47" s="1"/>
      <c r="G47" s="1" t="s">
        <v>109</v>
      </c>
      <c r="H47" s="1"/>
      <c r="I47" s="1" t="s">
        <v>68</v>
      </c>
      <c r="J47" s="64" t="s">
        <v>96</v>
      </c>
      <c r="K47" s="1" t="s">
        <v>70</v>
      </c>
      <c r="L47" s="1" t="s">
        <v>0</v>
      </c>
      <c r="M47" s="1" t="b">
        <v>0</v>
      </c>
      <c r="N47" s="1" t="b">
        <v>0</v>
      </c>
      <c r="O47" s="19">
        <v>0.0</v>
      </c>
      <c r="P47" s="20">
        <v>2.1</v>
      </c>
      <c r="Q47" s="20">
        <v>0.0</v>
      </c>
      <c r="R47" s="21" t="e">
        <v>#DIV/0!</v>
      </c>
      <c r="S47" s="1" t="s">
        <v>0</v>
      </c>
      <c r="T47" s="1" t="s">
        <v>0</v>
      </c>
      <c r="U47" s="1" t="s">
        <v>80</v>
      </c>
      <c r="V47" s="1" t="s">
        <v>0</v>
      </c>
      <c r="W47" s="1" t="s">
        <v>0</v>
      </c>
      <c r="X47" s="1" t="s">
        <v>116</v>
      </c>
      <c r="Y47" s="22" t="str">
        <f t="shared" si="3"/>
        <v>NEW</v>
      </c>
      <c r="Z47" s="20" t="str">
        <f>_xlfn.XLOOKUP($B47,[1]F27!$C:$C,[1]F27!$BV:$BV)</f>
        <v>#ERROR!</v>
      </c>
      <c r="AA47" s="1" t="str">
        <f>TEXT(IF(_xlfn.XLOOKUP($B47,[2]STYLE_LINK!L:L,[2]STYLE_LINK!J:J,"")=$B47,"",_xlfn.XLOOKUP($B47,[2]STYLE_LINK!L:L,[2]STYLE_LINK!J:J,"")),0)</f>
        <v>#ERROR!</v>
      </c>
      <c r="AB47" s="1" t="str">
        <f>_xlfn.XLOOKUP(AA47,[2]STYLE_LINK!J:J,[2]STYLE_LINK!K:K,"")</f>
        <v>#ERROR!</v>
      </c>
      <c r="AC47" s="23"/>
      <c r="AD47" s="1" t="str">
        <f>_xlfn.XLOOKUP($B47,[1]F27!$C:$C,[1]F27!$Y:$Y)</f>
        <v>#ERROR!</v>
      </c>
      <c r="AE47" s="1" t="str">
        <f>_xlfn.XLOOKUP($B47,[1]F27!$C:$C,[1]F27!$Z:$Z)</f>
        <v>#ERROR!</v>
      </c>
      <c r="AF47" s="1" t="str">
        <f>_xlfn.XLOOKUP($B47,[2]PRICING!$B:$B,[2]PRICING!$B:$B,"MISSING")</f>
        <v>#ERROR!</v>
      </c>
      <c r="AG47" s="1" t="str">
        <f>COUNTIFS([2]ACTIVE_SCO!$B:$B,$B47,[2]ACTIVE_SCO!$P:$P,"Y")</f>
        <v>#ERROR!</v>
      </c>
      <c r="AH47" s="1"/>
      <c r="AI47" s="37" t="s">
        <v>551</v>
      </c>
      <c r="AJ47" s="23"/>
      <c r="AK47" s="39" t="s">
        <v>551</v>
      </c>
      <c r="AL47" s="39" t="s">
        <v>0</v>
      </c>
      <c r="AM47" s="1" t="s">
        <v>125</v>
      </c>
      <c r="AN47" s="40" t="s">
        <v>127</v>
      </c>
      <c r="AO47" s="41" t="s">
        <v>125</v>
      </c>
      <c r="AP47" s="39"/>
      <c r="AQ47" s="40" t="s">
        <v>0</v>
      </c>
      <c r="AR47" s="39"/>
      <c r="AS47" s="1" t="s">
        <v>68</v>
      </c>
      <c r="AT47" s="1" t="s">
        <v>89</v>
      </c>
      <c r="AU47" s="1" t="s">
        <v>132</v>
      </c>
      <c r="AV47" s="1" t="s">
        <v>91</v>
      </c>
      <c r="AW47" s="1"/>
      <c r="AX47" s="1"/>
      <c r="AY47" s="1"/>
      <c r="AZ47" s="1"/>
      <c r="BA47" s="1" t="s">
        <v>551</v>
      </c>
      <c r="BB47" s="1" t="s">
        <v>0</v>
      </c>
      <c r="BC47" s="1"/>
      <c r="BD47" s="1"/>
    </row>
    <row r="48" ht="11.25" customHeight="1">
      <c r="A48" s="1" t="b">
        <v>1</v>
      </c>
      <c r="B48" s="1" t="s">
        <v>94</v>
      </c>
      <c r="C48" s="1" t="s">
        <v>95</v>
      </c>
      <c r="D48" s="1" t="s">
        <v>65</v>
      </c>
      <c r="E48" s="1"/>
      <c r="F48" s="1"/>
      <c r="G48" s="1" t="s">
        <v>66</v>
      </c>
      <c r="H48" s="1"/>
      <c r="I48" s="1" t="s">
        <v>68</v>
      </c>
      <c r="J48" s="1" t="s">
        <v>96</v>
      </c>
      <c r="K48" s="1" t="s">
        <v>70</v>
      </c>
      <c r="L48" s="1" t="s">
        <v>0</v>
      </c>
      <c r="M48" s="1" t="b">
        <v>1</v>
      </c>
      <c r="N48" s="1" t="b">
        <v>0</v>
      </c>
      <c r="O48" s="19">
        <v>3800.0</v>
      </c>
      <c r="P48" s="20">
        <v>2.1</v>
      </c>
      <c r="Q48" s="20">
        <v>1809.52</v>
      </c>
      <c r="R48" s="21">
        <v>0.6223694681462487</v>
      </c>
      <c r="S48" s="1" t="s">
        <v>78</v>
      </c>
      <c r="T48" s="1" t="s">
        <v>0</v>
      </c>
      <c r="U48" s="1" t="s">
        <v>80</v>
      </c>
      <c r="V48" s="1" t="s">
        <v>81</v>
      </c>
      <c r="W48" s="1" t="s">
        <v>0</v>
      </c>
      <c r="X48" s="1" t="s">
        <v>97</v>
      </c>
      <c r="Y48" s="22" t="str">
        <f t="shared" si="3"/>
        <v>CO</v>
      </c>
      <c r="Z48" s="20" t="str">
        <f>_xlfn.XLOOKUP($B48,[1]F27!$C:$C,[1]F27!$BV:$BV)</f>
        <v>#ERROR!</v>
      </c>
      <c r="AA48" s="1"/>
      <c r="AB48" s="1"/>
      <c r="AC48" s="23"/>
      <c r="AD48" s="1" t="str">
        <f>_xlfn.XLOOKUP($B48,[1]F27!$C:$C,[1]F27!$Y:$Y)</f>
        <v>#ERROR!</v>
      </c>
      <c r="AE48" s="1" t="str">
        <f>_xlfn.XLOOKUP($B48,[1]F27!$C:$C,[1]F27!$Z:$Z)</f>
        <v>#ERROR!</v>
      </c>
      <c r="AF48" s="1" t="str">
        <f>_xlfn.XLOOKUP($B48,[2]PRICING!$B:$B,[2]PRICING!$B:$B,"MISSING")</f>
        <v>#ERROR!</v>
      </c>
      <c r="AG48" s="1" t="str">
        <f>COUNTIFS([2]ACTIVE_SCO!$B:$B,$B48,[2]ACTIVE_SCO!$P:$P,"Y")</f>
        <v>#ERROR!</v>
      </c>
      <c r="AH48" s="1"/>
      <c r="AI48" s="37" t="s">
        <v>157</v>
      </c>
      <c r="AJ48" s="38" t="s">
        <v>767</v>
      </c>
      <c r="AK48" s="39" t="s">
        <v>294</v>
      </c>
      <c r="AL48" s="39" t="s">
        <v>0</v>
      </c>
      <c r="AM48" s="1" t="s">
        <v>86</v>
      </c>
      <c r="AN48" s="40" t="s">
        <v>87</v>
      </c>
      <c r="AO48" s="41" t="s">
        <v>86</v>
      </c>
      <c r="AP48" s="41" t="s">
        <v>169</v>
      </c>
      <c r="AQ48" s="40" t="s">
        <v>125</v>
      </c>
      <c r="AR48" s="39"/>
      <c r="AS48" s="1" t="s">
        <v>68</v>
      </c>
      <c r="AT48" s="1" t="s">
        <v>89</v>
      </c>
      <c r="AU48" s="1" t="s">
        <v>90</v>
      </c>
      <c r="AV48" s="1" t="s">
        <v>91</v>
      </c>
      <c r="AW48" s="1"/>
      <c r="AX48" s="1"/>
      <c r="AY48" s="1"/>
      <c r="AZ48" s="1"/>
      <c r="BA48" s="1" t="s">
        <v>294</v>
      </c>
      <c r="BB48" s="1" t="s">
        <v>0</v>
      </c>
      <c r="BC48" s="1"/>
      <c r="BD48" s="1"/>
    </row>
    <row r="49" ht="11.25" customHeight="1">
      <c r="A49" s="1" t="b">
        <v>1</v>
      </c>
      <c r="B49" s="1" t="s">
        <v>769</v>
      </c>
      <c r="C49" s="1" t="s">
        <v>770</v>
      </c>
      <c r="D49" s="1" t="s">
        <v>65</v>
      </c>
      <c r="E49" s="1"/>
      <c r="F49" s="1"/>
      <c r="G49" s="1" t="s">
        <v>247</v>
      </c>
      <c r="H49" s="1"/>
      <c r="I49" s="1" t="s">
        <v>355</v>
      </c>
      <c r="J49" s="64" t="s">
        <v>96</v>
      </c>
      <c r="K49" s="1" t="s">
        <v>70</v>
      </c>
      <c r="L49" s="1" t="s">
        <v>0</v>
      </c>
      <c r="M49" s="1" t="b">
        <v>0</v>
      </c>
      <c r="N49" s="1" t="b">
        <v>0</v>
      </c>
      <c r="O49" s="19">
        <v>0.0</v>
      </c>
      <c r="P49" s="20">
        <v>2.1</v>
      </c>
      <c r="Q49" s="20">
        <v>0.0</v>
      </c>
      <c r="R49" s="21" t="e">
        <v>#DIV/0!</v>
      </c>
      <c r="S49" s="1" t="s">
        <v>0</v>
      </c>
      <c r="T49" s="1" t="s">
        <v>0</v>
      </c>
      <c r="U49" s="1" t="s">
        <v>359</v>
      </c>
      <c r="V49" s="1" t="s">
        <v>0</v>
      </c>
      <c r="W49" s="1" t="s">
        <v>0</v>
      </c>
      <c r="X49" s="1" t="s">
        <v>116</v>
      </c>
      <c r="Y49" s="22" t="str">
        <f t="shared" si="3"/>
        <v>NEW</v>
      </c>
      <c r="Z49" s="20" t="str">
        <f>_xlfn.XLOOKUP($B49,[1]F27!$C:$C,[1]F27!$BV:$BV)</f>
        <v>#ERROR!</v>
      </c>
      <c r="AA49" s="1"/>
      <c r="AB49" s="1"/>
      <c r="AC49" s="23"/>
      <c r="AD49" s="1" t="str">
        <f>_xlfn.XLOOKUP($B49,[1]F27!$C:$C,[1]F27!$Y:$Y)</f>
        <v>#ERROR!</v>
      </c>
      <c r="AE49" s="1" t="str">
        <f>_xlfn.XLOOKUP($B49,[1]F27!$C:$C,[1]F27!$Z:$Z)</f>
        <v>#ERROR!</v>
      </c>
      <c r="AF49" s="1" t="str">
        <f>_xlfn.XLOOKUP($B49,[2]PRICING!$B:$B,[2]PRICING!$B:$B,"MISSING")</f>
        <v>#ERROR!</v>
      </c>
      <c r="AG49" s="1" t="str">
        <f>COUNTIFS([2]ACTIVE_SCO!$B:$B,$B49,[2]ACTIVE_SCO!$P:$P,"Y")</f>
        <v>#ERROR!</v>
      </c>
      <c r="AH49" s="1"/>
      <c r="AI49" s="37" t="s">
        <v>551</v>
      </c>
      <c r="AJ49" s="66"/>
      <c r="AK49" s="39" t="s">
        <v>551</v>
      </c>
      <c r="AL49" s="39" t="s">
        <v>0</v>
      </c>
      <c r="AM49" s="1" t="s">
        <v>125</v>
      </c>
      <c r="AN49" s="40" t="s">
        <v>127</v>
      </c>
      <c r="AO49" s="41" t="s">
        <v>776</v>
      </c>
      <c r="AP49" s="41" t="s">
        <v>777</v>
      </c>
      <c r="AQ49" s="40" t="s">
        <v>0</v>
      </c>
      <c r="AR49" s="54"/>
      <c r="AS49" s="1" t="s">
        <v>355</v>
      </c>
      <c r="AT49" s="1" t="s">
        <v>161</v>
      </c>
      <c r="AU49" s="1" t="s">
        <v>360</v>
      </c>
      <c r="AV49" s="1" t="s">
        <v>131</v>
      </c>
      <c r="AW49" s="1"/>
      <c r="AX49" s="1"/>
      <c r="AY49" s="1"/>
      <c r="AZ49" s="1"/>
      <c r="BA49" s="1" t="s">
        <v>551</v>
      </c>
      <c r="BB49" s="1" t="s">
        <v>0</v>
      </c>
      <c r="BC49" s="1"/>
      <c r="BD49" s="1"/>
    </row>
    <row r="50" ht="11.25" customHeight="1">
      <c r="A50" s="1" t="b">
        <v>1</v>
      </c>
      <c r="B50" s="1" t="s">
        <v>430</v>
      </c>
      <c r="C50" s="1" t="s">
        <v>431</v>
      </c>
      <c r="D50" s="1" t="s">
        <v>65</v>
      </c>
      <c r="E50" s="1"/>
      <c r="F50" s="1"/>
      <c r="G50" s="1" t="s">
        <v>66</v>
      </c>
      <c r="H50" s="1"/>
      <c r="I50" s="1" t="s">
        <v>113</v>
      </c>
      <c r="J50" s="1" t="s">
        <v>96</v>
      </c>
      <c r="K50" s="1" t="s">
        <v>70</v>
      </c>
      <c r="L50" s="1" t="s">
        <v>0</v>
      </c>
      <c r="M50" s="1" t="b">
        <v>1</v>
      </c>
      <c r="N50" s="1" t="b">
        <v>0</v>
      </c>
      <c r="O50" s="19">
        <v>1300.0</v>
      </c>
      <c r="P50" s="20">
        <v>2.1</v>
      </c>
      <c r="Q50" s="20">
        <v>619.05</v>
      </c>
      <c r="R50" s="21">
        <v>0.6708504967288587</v>
      </c>
      <c r="S50" s="1" t="s">
        <v>78</v>
      </c>
      <c r="T50" s="1" t="s">
        <v>0</v>
      </c>
      <c r="U50" s="1" t="s">
        <v>81</v>
      </c>
      <c r="V50" s="1" t="s">
        <v>81</v>
      </c>
      <c r="W50" s="1" t="s">
        <v>0</v>
      </c>
      <c r="X50" s="1" t="s">
        <v>97</v>
      </c>
      <c r="Y50" s="22" t="str">
        <f t="shared" si="3"/>
        <v>CO</v>
      </c>
      <c r="Z50" s="20" t="str">
        <f>_xlfn.XLOOKUP($B50,[1]F27!$C:$C,[1]F27!$BV:$BV)</f>
        <v>#ERROR!</v>
      </c>
      <c r="AA50" s="1"/>
      <c r="AB50" s="1"/>
      <c r="AC50" s="23"/>
      <c r="AD50" s="1" t="str">
        <f>_xlfn.XLOOKUP($B50,[1]F27!$C:$C,[1]F27!$Y:$Y)</f>
        <v>#ERROR!</v>
      </c>
      <c r="AE50" s="1" t="str">
        <f>_xlfn.XLOOKUP($B50,[1]F27!$C:$C,[1]F27!$Z:$Z)</f>
        <v>#ERROR!</v>
      </c>
      <c r="AF50" s="1" t="str">
        <f>_xlfn.XLOOKUP($B50,[2]PRICING!$B:$B,[2]PRICING!$B:$B,"MISSING")</f>
        <v>#ERROR!</v>
      </c>
      <c r="AG50" s="1" t="str">
        <f>COUNTIFS([2]ACTIVE_SCO!$B:$B,$B50,[2]ACTIVE_SCO!$P:$P,"Y")</f>
        <v>#ERROR!</v>
      </c>
      <c r="AH50" s="1"/>
      <c r="AI50" s="37" t="s">
        <v>157</v>
      </c>
      <c r="AJ50" s="38" t="s">
        <v>783</v>
      </c>
      <c r="AK50" s="39" t="s">
        <v>294</v>
      </c>
      <c r="AL50" s="39" t="s">
        <v>0</v>
      </c>
      <c r="AM50" s="1" t="s">
        <v>86</v>
      </c>
      <c r="AN50" s="40" t="s">
        <v>87</v>
      </c>
      <c r="AO50" s="41" t="s">
        <v>86</v>
      </c>
      <c r="AP50" s="41" t="s">
        <v>169</v>
      </c>
      <c r="AQ50" s="40" t="s">
        <v>0</v>
      </c>
      <c r="AR50" s="54"/>
      <c r="AS50" s="1" t="s">
        <v>126</v>
      </c>
      <c r="AT50" s="1" t="s">
        <v>128</v>
      </c>
      <c r="AU50" s="1" t="s">
        <v>130</v>
      </c>
      <c r="AV50" s="1" t="s">
        <v>131</v>
      </c>
      <c r="AW50" s="1"/>
      <c r="AX50" s="1"/>
      <c r="AY50" s="1"/>
      <c r="AZ50" s="1"/>
      <c r="BA50" s="1" t="s">
        <v>294</v>
      </c>
      <c r="BB50" s="1" t="s">
        <v>0</v>
      </c>
      <c r="BC50" s="1"/>
      <c r="BD50" s="1"/>
    </row>
    <row r="51" ht="11.25" customHeight="1">
      <c r="A51" s="1" t="b">
        <v>1</v>
      </c>
      <c r="B51" s="1" t="s">
        <v>787</v>
      </c>
      <c r="C51" s="1" t="s">
        <v>788</v>
      </c>
      <c r="D51" s="1" t="s">
        <v>65</v>
      </c>
      <c r="E51" s="1"/>
      <c r="F51" s="1"/>
      <c r="G51" s="1" t="s">
        <v>66</v>
      </c>
      <c r="H51" s="1"/>
      <c r="I51" s="1" t="s">
        <v>113</v>
      </c>
      <c r="J51" s="64" t="s">
        <v>96</v>
      </c>
      <c r="K51" s="1" t="s">
        <v>70</v>
      </c>
      <c r="L51" s="1" t="s">
        <v>0</v>
      </c>
      <c r="M51" s="1" t="b">
        <v>0</v>
      </c>
      <c r="N51" s="1" t="b">
        <v>0</v>
      </c>
      <c r="O51" s="19">
        <v>0.0</v>
      </c>
      <c r="P51" s="20">
        <v>2.1</v>
      </c>
      <c r="Q51" s="20">
        <v>0.0</v>
      </c>
      <c r="R51" s="21" t="e">
        <v>#DIV/0!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116</v>
      </c>
      <c r="Y51" s="22" t="str">
        <f t="shared" si="3"/>
        <v>NEW</v>
      </c>
      <c r="Z51" s="20" t="str">
        <f>_xlfn.XLOOKUP($B51,[1]F27!$C:$C,[1]F27!$BV:$BV)</f>
        <v>#ERROR!</v>
      </c>
      <c r="AA51" s="1"/>
      <c r="AB51" s="1"/>
      <c r="AC51" s="23"/>
      <c r="AD51" s="1" t="str">
        <f>_xlfn.XLOOKUP($B51,[1]F27!$C:$C,[1]F27!$Y:$Y)</f>
        <v>#ERROR!</v>
      </c>
      <c r="AE51" s="1" t="str">
        <f>_xlfn.XLOOKUP($B51,[1]F27!$C:$C,[1]F27!$Z:$Z)</f>
        <v>#ERROR!</v>
      </c>
      <c r="AF51" s="1" t="str">
        <f>_xlfn.XLOOKUP($B51,[2]PRICING!$B:$B,[2]PRICING!$B:$B,"MISSING")</f>
        <v>#ERROR!</v>
      </c>
      <c r="AG51" s="1" t="str">
        <f>COUNTIFS([2]ACTIVE_SCO!$B:$B,$B51,[2]ACTIVE_SCO!$P:$P,"Y")</f>
        <v>#ERROR!</v>
      </c>
      <c r="AH51" s="1"/>
      <c r="AI51" s="37" t="s">
        <v>100</v>
      </c>
      <c r="AJ51" s="67"/>
      <c r="AK51" s="39" t="s">
        <v>551</v>
      </c>
      <c r="AL51" s="39" t="s">
        <v>0</v>
      </c>
      <c r="AM51" s="1" t="s">
        <v>86</v>
      </c>
      <c r="AN51" s="40" t="s">
        <v>121</v>
      </c>
      <c r="AO51" s="41" t="s">
        <v>86</v>
      </c>
      <c r="AP51" s="41" t="s">
        <v>169</v>
      </c>
      <c r="AQ51" s="40" t="s">
        <v>0</v>
      </c>
      <c r="AR51" s="54"/>
      <c r="AS51" s="1" t="s">
        <v>126</v>
      </c>
      <c r="AT51" s="1" t="s">
        <v>128</v>
      </c>
      <c r="AU51" s="1" t="s">
        <v>130</v>
      </c>
      <c r="AV51" s="1" t="s">
        <v>131</v>
      </c>
      <c r="AW51" s="1"/>
      <c r="AX51" s="1"/>
      <c r="AY51" s="1"/>
      <c r="AZ51" s="1"/>
      <c r="BA51" s="1" t="s">
        <v>551</v>
      </c>
      <c r="BB51" s="1" t="s">
        <v>0</v>
      </c>
      <c r="BC51" s="1"/>
      <c r="BD51" s="1"/>
    </row>
    <row r="52" ht="11.25" customHeight="1">
      <c r="A52" s="1" t="b">
        <v>1</v>
      </c>
      <c r="B52" s="1" t="s">
        <v>762</v>
      </c>
      <c r="C52" s="1" t="s">
        <v>763</v>
      </c>
      <c r="D52" s="1" t="s">
        <v>65</v>
      </c>
      <c r="E52" s="1"/>
      <c r="F52" s="1"/>
      <c r="G52" s="1" t="s">
        <v>66</v>
      </c>
      <c r="H52" s="1"/>
      <c r="I52" s="1" t="s">
        <v>68</v>
      </c>
      <c r="J52" s="1" t="s">
        <v>96</v>
      </c>
      <c r="K52" s="1" t="s">
        <v>70</v>
      </c>
      <c r="L52" s="1" t="s">
        <v>0</v>
      </c>
      <c r="M52" s="1" t="b">
        <v>1</v>
      </c>
      <c r="N52" s="1" t="b">
        <v>0</v>
      </c>
      <c r="O52" s="19">
        <v>3000.0</v>
      </c>
      <c r="P52" s="20">
        <v>2.1</v>
      </c>
      <c r="Q52" s="20">
        <v>1428.57</v>
      </c>
      <c r="R52" s="21">
        <v>0.641025641025641</v>
      </c>
      <c r="S52" s="1" t="s">
        <v>117</v>
      </c>
      <c r="T52" s="1" t="s">
        <v>0</v>
      </c>
      <c r="U52" s="1" t="s">
        <v>166</v>
      </c>
      <c r="V52" s="1" t="s">
        <v>81</v>
      </c>
      <c r="W52" s="1" t="s">
        <v>0</v>
      </c>
      <c r="X52" s="1" t="s">
        <v>97</v>
      </c>
      <c r="Y52" s="22" t="str">
        <f t="shared" si="3"/>
        <v>CO</v>
      </c>
      <c r="Z52" s="20" t="str">
        <f>_xlfn.XLOOKUP($B52,[1]F27!$C:$C,[1]F27!$BV:$BV)</f>
        <v>#ERROR!</v>
      </c>
      <c r="AA52" s="1"/>
      <c r="AB52" s="1"/>
      <c r="AC52" s="23"/>
      <c r="AD52" s="1" t="str">
        <f>_xlfn.XLOOKUP($B52,[1]F27!$C:$C,[1]F27!$Y:$Y)</f>
        <v>#ERROR!</v>
      </c>
      <c r="AE52" s="1" t="str">
        <f>_xlfn.XLOOKUP($B52,[1]F27!$C:$C,[1]F27!$Z:$Z)</f>
        <v>#ERROR!</v>
      </c>
      <c r="AF52" s="1" t="str">
        <f>_xlfn.XLOOKUP($B52,[2]PRICING!$B:$B,[2]PRICING!$B:$B,"MISSING")</f>
        <v>#ERROR!</v>
      </c>
      <c r="AG52" s="1" t="str">
        <f>COUNTIFS([2]ACTIVE_SCO!$B:$B,$B52,[2]ACTIVE_SCO!$P:$P,"Y")</f>
        <v>#ERROR!</v>
      </c>
      <c r="AH52" s="1"/>
      <c r="AI52" s="37" t="s">
        <v>157</v>
      </c>
      <c r="AJ52" s="67" t="s">
        <v>804</v>
      </c>
      <c r="AK52" s="39" t="s">
        <v>294</v>
      </c>
      <c r="AL52" s="39" t="s">
        <v>0</v>
      </c>
      <c r="AM52" s="1" t="s">
        <v>86</v>
      </c>
      <c r="AN52" s="40" t="s">
        <v>169</v>
      </c>
      <c r="AO52" s="41" t="s">
        <v>86</v>
      </c>
      <c r="AP52" s="41" t="s">
        <v>169</v>
      </c>
      <c r="AQ52" s="40" t="s">
        <v>0</v>
      </c>
      <c r="AR52" s="39"/>
      <c r="AS52" s="1" t="s">
        <v>68</v>
      </c>
      <c r="AT52" s="1" t="s">
        <v>89</v>
      </c>
      <c r="AU52" s="1" t="s">
        <v>90</v>
      </c>
      <c r="AV52" s="1" t="s">
        <v>91</v>
      </c>
      <c r="AW52" s="1"/>
      <c r="AX52" s="1"/>
      <c r="AY52" s="1"/>
      <c r="AZ52" s="1"/>
      <c r="BA52" s="1" t="s">
        <v>294</v>
      </c>
      <c r="BB52" s="1" t="s">
        <v>0</v>
      </c>
      <c r="BC52" s="1"/>
      <c r="BD52" s="1"/>
    </row>
    <row r="53" ht="11.25" customHeight="1">
      <c r="A53" s="1" t="b">
        <v>1</v>
      </c>
      <c r="B53" s="1" t="s">
        <v>400</v>
      </c>
      <c r="C53" s="1" t="s">
        <v>401</v>
      </c>
      <c r="D53" s="1" t="s">
        <v>65</v>
      </c>
      <c r="E53" s="1"/>
      <c r="F53" s="1"/>
      <c r="G53" s="1" t="s">
        <v>66</v>
      </c>
      <c r="H53" s="1"/>
      <c r="I53" s="1" t="s">
        <v>248</v>
      </c>
      <c r="J53" s="1" t="s">
        <v>69</v>
      </c>
      <c r="K53" s="1" t="s">
        <v>249</v>
      </c>
      <c r="L53" s="1" t="s">
        <v>0</v>
      </c>
      <c r="M53" s="1" t="b">
        <v>0</v>
      </c>
      <c r="N53" s="1" t="b">
        <v>1</v>
      </c>
      <c r="O53" s="19">
        <v>300.0</v>
      </c>
      <c r="P53" s="20">
        <v>2.1</v>
      </c>
      <c r="Q53" s="20">
        <v>142.86</v>
      </c>
      <c r="R53" s="21">
        <v>0.5639787204255916</v>
      </c>
      <c r="S53" s="1" t="s">
        <v>78</v>
      </c>
      <c r="T53" s="1" t="s">
        <v>0</v>
      </c>
      <c r="U53" s="1" t="s">
        <v>81</v>
      </c>
      <c r="V53" s="1" t="s">
        <v>81</v>
      </c>
      <c r="W53" s="1" t="s">
        <v>0</v>
      </c>
      <c r="X53" s="1" t="s">
        <v>0</v>
      </c>
      <c r="Y53" s="22" t="str">
        <f t="shared" si="3"/>
        <v>UPDATE</v>
      </c>
      <c r="Z53" s="20" t="str">
        <f>_xlfn.XLOOKUP($B53,[1]F27!$C:$C,[1]F27!$BV:$BV)</f>
        <v>#ERROR!</v>
      </c>
      <c r="AA53" s="1"/>
      <c r="AB53" s="1"/>
      <c r="AC53" s="23"/>
      <c r="AD53" s="1" t="str">
        <f>_xlfn.XLOOKUP($B53,[1]F27!$C:$C,[1]F27!$Y:$Y)</f>
        <v>#ERROR!</v>
      </c>
      <c r="AE53" s="1" t="str">
        <f>_xlfn.XLOOKUP($B53,[1]F27!$C:$C,[1]F27!$Z:$Z)</f>
        <v>#ERROR!</v>
      </c>
      <c r="AF53" s="1" t="str">
        <f>_xlfn.XLOOKUP($B53,[2]PRICING!$B:$B,[2]PRICING!$B:$B,"MISSING")</f>
        <v>#ERROR!</v>
      </c>
      <c r="AG53" s="1" t="str">
        <f>COUNTIFS([2]ACTIVE_SCO!$B:$B,$B53,[2]ACTIVE_SCO!$P:$P,"Y")</f>
        <v>#ERROR!</v>
      </c>
      <c r="AH53" s="1"/>
      <c r="AI53" s="37" t="s">
        <v>157</v>
      </c>
      <c r="AJ53" s="55" t="s">
        <v>814</v>
      </c>
      <c r="AK53" s="39" t="s">
        <v>551</v>
      </c>
      <c r="AL53" s="39" t="s">
        <v>0</v>
      </c>
      <c r="AM53" s="1" t="s">
        <v>125</v>
      </c>
      <c r="AN53" s="40" t="s">
        <v>127</v>
      </c>
      <c r="AO53" s="41" t="s">
        <v>125</v>
      </c>
      <c r="AP53" s="39"/>
      <c r="AQ53" s="40" t="s">
        <v>125</v>
      </c>
      <c r="AR53" s="39"/>
      <c r="AS53" s="1" t="s">
        <v>248</v>
      </c>
      <c r="AT53" s="1" t="s">
        <v>253</v>
      </c>
      <c r="AU53" s="1" t="s">
        <v>291</v>
      </c>
      <c r="AV53" s="1" t="s">
        <v>131</v>
      </c>
      <c r="AW53" s="1"/>
      <c r="AX53" s="1"/>
      <c r="AY53" s="1"/>
      <c r="AZ53" s="1"/>
      <c r="BA53" s="1" t="s">
        <v>551</v>
      </c>
      <c r="BB53" s="1" t="s">
        <v>0</v>
      </c>
      <c r="BC53" s="1"/>
      <c r="BD53" s="1"/>
    </row>
    <row r="54" ht="11.25" customHeight="1">
      <c r="A54" s="1" t="b">
        <v>1</v>
      </c>
      <c r="B54" s="1" t="s">
        <v>818</v>
      </c>
      <c r="C54" s="1" t="s">
        <v>819</v>
      </c>
      <c r="D54" s="1" t="s">
        <v>65</v>
      </c>
      <c r="E54" s="1"/>
      <c r="F54" s="1"/>
      <c r="G54" s="1" t="s">
        <v>66</v>
      </c>
      <c r="H54" s="1"/>
      <c r="I54" s="1" t="s">
        <v>334</v>
      </c>
      <c r="J54" s="64" t="s">
        <v>96</v>
      </c>
      <c r="K54" s="1" t="s">
        <v>70</v>
      </c>
      <c r="L54" s="1" t="s">
        <v>0</v>
      </c>
      <c r="M54" s="1" t="b">
        <v>0</v>
      </c>
      <c r="N54" s="1" t="b">
        <v>0</v>
      </c>
      <c r="O54" s="19">
        <v>450.0</v>
      </c>
      <c r="P54" s="20">
        <v>2.1</v>
      </c>
      <c r="Q54" s="20">
        <v>214.29</v>
      </c>
      <c r="R54" s="21">
        <v>0.622240888515563</v>
      </c>
      <c r="S54" s="1" t="s">
        <v>117</v>
      </c>
      <c r="T54" s="1" t="s">
        <v>0</v>
      </c>
      <c r="U54" s="1" t="s">
        <v>81</v>
      </c>
      <c r="V54" s="1" t="s">
        <v>81</v>
      </c>
      <c r="W54" s="1" t="s">
        <v>0</v>
      </c>
      <c r="X54" s="1" t="s">
        <v>386</v>
      </c>
      <c r="Y54" s="22" t="str">
        <f t="shared" si="3"/>
        <v>NEW</v>
      </c>
      <c r="Z54" s="20" t="str">
        <f>_xlfn.XLOOKUP($B54,[1]F27!$C:$C,[1]F27!$BV:$BV)</f>
        <v>#ERROR!</v>
      </c>
      <c r="AA54" s="1"/>
      <c r="AB54" s="1"/>
      <c r="AC54" s="23"/>
      <c r="AD54" s="1" t="str">
        <f>_xlfn.XLOOKUP($B54,[1]F27!$C:$C,[1]F27!$Y:$Y)</f>
        <v>#ERROR!</v>
      </c>
      <c r="AE54" s="1" t="str">
        <f>_xlfn.XLOOKUP($B54,[1]F27!$C:$C,[1]F27!$Z:$Z)</f>
        <v>#ERROR!</v>
      </c>
      <c r="AF54" s="1" t="str">
        <f>_xlfn.XLOOKUP($B54,[2]PRICING!$B:$B,[2]PRICING!$B:$B,"MISSING")</f>
        <v>#ERROR!</v>
      </c>
      <c r="AG54" s="1" t="str">
        <f>COUNTIFS([2]ACTIVE_SCO!$B:$B,$B54,[2]ACTIVE_SCO!$P:$P,"Y")</f>
        <v>#ERROR!</v>
      </c>
      <c r="AH54" s="1"/>
      <c r="AI54" s="37" t="s">
        <v>551</v>
      </c>
      <c r="AJ54" s="55"/>
      <c r="AK54" s="39" t="s">
        <v>551</v>
      </c>
      <c r="AL54" s="39" t="s">
        <v>0</v>
      </c>
      <c r="AM54" s="1" t="s">
        <v>125</v>
      </c>
      <c r="AN54" s="40" t="s">
        <v>174</v>
      </c>
      <c r="AO54" s="41" t="s">
        <v>776</v>
      </c>
      <c r="AP54" s="41" t="s">
        <v>777</v>
      </c>
      <c r="AQ54" s="1"/>
      <c r="AR54" s="70"/>
      <c r="AS54" s="1" t="s">
        <v>334</v>
      </c>
      <c r="AT54" s="1" t="s">
        <v>348</v>
      </c>
      <c r="AU54" s="1" t="s">
        <v>338</v>
      </c>
      <c r="AV54" s="1" t="s">
        <v>131</v>
      </c>
      <c r="AW54" s="1"/>
      <c r="AX54" s="1"/>
      <c r="AY54" s="1"/>
      <c r="AZ54" s="1"/>
      <c r="BA54" s="1" t="s">
        <v>551</v>
      </c>
      <c r="BB54" s="1" t="s">
        <v>0</v>
      </c>
      <c r="BC54" s="1"/>
      <c r="BD54" s="1"/>
    </row>
    <row r="55" ht="11.25" customHeight="1">
      <c r="A55" s="1" t="b">
        <v>1</v>
      </c>
      <c r="B55" s="1" t="s">
        <v>824</v>
      </c>
      <c r="C55" s="1" t="s">
        <v>825</v>
      </c>
      <c r="D55" s="1" t="s">
        <v>65</v>
      </c>
      <c r="E55" s="1"/>
      <c r="F55" s="1"/>
      <c r="G55" s="1" t="s">
        <v>66</v>
      </c>
      <c r="H55" s="1"/>
      <c r="I55" s="1" t="s">
        <v>334</v>
      </c>
      <c r="J55" s="64" t="s">
        <v>96</v>
      </c>
      <c r="K55" s="1" t="s">
        <v>107</v>
      </c>
      <c r="L55" s="1" t="s">
        <v>0</v>
      </c>
      <c r="M55" s="1" t="b">
        <v>0</v>
      </c>
      <c r="N55" s="1" t="b">
        <v>0</v>
      </c>
      <c r="O55" s="19">
        <v>450.0</v>
      </c>
      <c r="P55" s="20">
        <v>2.1</v>
      </c>
      <c r="Q55" s="20">
        <v>214.29</v>
      </c>
      <c r="R55" s="21">
        <v>0.6421671566568667</v>
      </c>
      <c r="S55" s="1" t="s">
        <v>117</v>
      </c>
      <c r="T55" s="1" t="s">
        <v>0</v>
      </c>
      <c r="U55" s="1" t="s">
        <v>81</v>
      </c>
      <c r="V55" s="1" t="s">
        <v>81</v>
      </c>
      <c r="W55" s="1" t="s">
        <v>0</v>
      </c>
      <c r="X55" s="1" t="s">
        <v>386</v>
      </c>
      <c r="Y55" s="22" t="str">
        <f t="shared" si="3"/>
        <v>NEW</v>
      </c>
      <c r="Z55" s="20" t="str">
        <f>_xlfn.XLOOKUP($B55,[1]F27!$C:$C,[1]F27!$BV:$BV)</f>
        <v>#ERROR!</v>
      </c>
      <c r="AA55" s="1"/>
      <c r="AB55" s="1"/>
      <c r="AC55" s="23"/>
      <c r="AD55" s="1" t="str">
        <f>_xlfn.XLOOKUP($B55,[1]F27!$C:$C,[1]F27!$Y:$Y)</f>
        <v>#ERROR!</v>
      </c>
      <c r="AE55" s="1" t="str">
        <f>_xlfn.XLOOKUP($B55,[1]F27!$C:$C,[1]F27!$Z:$Z)</f>
        <v>#ERROR!</v>
      </c>
      <c r="AF55" s="1" t="str">
        <f>_xlfn.XLOOKUP($B55,[2]PRICING!$B:$B,[2]PRICING!$B:$B,"MISSING")</f>
        <v>#ERROR!</v>
      </c>
      <c r="AG55" s="1" t="str">
        <f>COUNTIFS([2]ACTIVE_SCO!$B:$B,$B55,[2]ACTIVE_SCO!$P:$P,"Y")</f>
        <v>#ERROR!</v>
      </c>
      <c r="AH55" s="1"/>
      <c r="AI55" s="37" t="s">
        <v>551</v>
      </c>
      <c r="AJ55" s="55"/>
      <c r="AK55" s="39" t="s">
        <v>551</v>
      </c>
      <c r="AL55" s="39" t="s">
        <v>0</v>
      </c>
      <c r="AM55" s="1" t="s">
        <v>125</v>
      </c>
      <c r="AN55" s="40" t="s">
        <v>174</v>
      </c>
      <c r="AO55" s="41" t="s">
        <v>776</v>
      </c>
      <c r="AP55" s="41" t="s">
        <v>777</v>
      </c>
      <c r="AQ55" s="1"/>
      <c r="AR55" s="70"/>
      <c r="AS55" s="1" t="s">
        <v>334</v>
      </c>
      <c r="AT55" s="1" t="s">
        <v>348</v>
      </c>
      <c r="AU55" s="1" t="s">
        <v>338</v>
      </c>
      <c r="AV55" s="1" t="s">
        <v>131</v>
      </c>
      <c r="AW55" s="1"/>
      <c r="AX55" s="1"/>
      <c r="AY55" s="1"/>
      <c r="AZ55" s="1"/>
      <c r="BA55" s="1" t="s">
        <v>551</v>
      </c>
      <c r="BB55" s="1" t="s">
        <v>0</v>
      </c>
      <c r="BC55" s="1"/>
      <c r="BD55" s="1"/>
    </row>
    <row r="56" ht="11.25" customHeight="1">
      <c r="A56" s="1" t="b">
        <v>1</v>
      </c>
      <c r="B56" s="1" t="s">
        <v>838</v>
      </c>
      <c r="C56" s="1" t="s">
        <v>840</v>
      </c>
      <c r="D56" s="1" t="s">
        <v>65</v>
      </c>
      <c r="E56" s="1"/>
      <c r="F56" s="1"/>
      <c r="G56" s="1" t="s">
        <v>220</v>
      </c>
      <c r="H56" s="1"/>
      <c r="I56" s="1" t="s">
        <v>68</v>
      </c>
      <c r="J56" s="64" t="s">
        <v>96</v>
      </c>
      <c r="K56" s="1" t="s">
        <v>70</v>
      </c>
      <c r="L56" s="1" t="s">
        <v>0</v>
      </c>
      <c r="M56" s="1" t="b">
        <v>0</v>
      </c>
      <c r="N56" s="1" t="b">
        <v>0</v>
      </c>
      <c r="O56" s="19">
        <v>3500.0</v>
      </c>
      <c r="P56" s="20">
        <v>2.1</v>
      </c>
      <c r="Q56" s="20">
        <v>1666.67</v>
      </c>
      <c r="R56" s="21">
        <v>0.689770620458759</v>
      </c>
      <c r="S56" s="1" t="s">
        <v>78</v>
      </c>
      <c r="T56" s="1" t="s">
        <v>0</v>
      </c>
      <c r="U56" s="1" t="s">
        <v>166</v>
      </c>
      <c r="V56" s="1" t="s">
        <v>81</v>
      </c>
      <c r="W56" s="1" t="s">
        <v>0</v>
      </c>
      <c r="X56" s="1" t="s">
        <v>386</v>
      </c>
      <c r="Y56" s="22" t="str">
        <f t="shared" si="3"/>
        <v>NEW</v>
      </c>
      <c r="Z56" s="20" t="str">
        <f>_xlfn.XLOOKUP($B56,[1]F27!$C:$C,[1]F27!$BV:$BV)</f>
        <v>#ERROR!</v>
      </c>
      <c r="AA56" s="1"/>
      <c r="AB56" s="1"/>
      <c r="AC56" s="23"/>
      <c r="AD56" s="1" t="str">
        <f>_xlfn.XLOOKUP($B56,[1]F27!$C:$C,[1]F27!$Y:$Y)</f>
        <v>#ERROR!</v>
      </c>
      <c r="AE56" s="1" t="str">
        <f>_xlfn.XLOOKUP($B56,[1]F27!$C:$C,[1]F27!$Z:$Z)</f>
        <v>#ERROR!</v>
      </c>
      <c r="AF56" s="1" t="str">
        <f>_xlfn.XLOOKUP($B56,[2]PRICING!$B:$B,[2]PRICING!$B:$B,"MISSING")</f>
        <v>#ERROR!</v>
      </c>
      <c r="AG56" s="1" t="str">
        <f>COUNTIFS([2]ACTIVE_SCO!$B:$B,$B56,[2]ACTIVE_SCO!$P:$P,"Y")</f>
        <v>#ERROR!</v>
      </c>
      <c r="AH56" s="1"/>
      <c r="AI56" s="37" t="s">
        <v>551</v>
      </c>
      <c r="AJ56" s="37"/>
      <c r="AK56" s="39" t="s">
        <v>551</v>
      </c>
      <c r="AL56" s="39" t="s">
        <v>0</v>
      </c>
      <c r="AM56" s="1" t="s">
        <v>226</v>
      </c>
      <c r="AN56" s="40" t="s">
        <v>227</v>
      </c>
      <c r="AO56" s="41" t="s">
        <v>226</v>
      </c>
      <c r="AP56" s="41" t="s">
        <v>227</v>
      </c>
      <c r="AQ56" s="40" t="s">
        <v>0</v>
      </c>
      <c r="AR56" s="39"/>
      <c r="AS56" s="1" t="s">
        <v>68</v>
      </c>
      <c r="AT56" s="1" t="s">
        <v>89</v>
      </c>
      <c r="AU56" s="1" t="s">
        <v>132</v>
      </c>
      <c r="AV56" s="1" t="s">
        <v>91</v>
      </c>
      <c r="AW56" s="1"/>
      <c r="AX56" s="1"/>
      <c r="AY56" s="1"/>
      <c r="AZ56" s="1"/>
      <c r="BA56" s="1" t="s">
        <v>551</v>
      </c>
      <c r="BB56" s="1" t="s">
        <v>0</v>
      </c>
      <c r="BC56" s="1"/>
      <c r="BD56" s="1"/>
    </row>
    <row r="57" ht="11.25" customHeight="1">
      <c r="A57" s="1" t="b">
        <v>1</v>
      </c>
      <c r="B57" s="1" t="s">
        <v>856</v>
      </c>
      <c r="C57" s="1" t="s">
        <v>857</v>
      </c>
      <c r="D57" s="1" t="s">
        <v>65</v>
      </c>
      <c r="E57" s="1"/>
      <c r="F57" s="1"/>
      <c r="G57" s="1" t="s">
        <v>220</v>
      </c>
      <c r="H57" s="1"/>
      <c r="I57" s="1" t="s">
        <v>68</v>
      </c>
      <c r="J57" s="64" t="s">
        <v>96</v>
      </c>
      <c r="K57" s="1" t="s">
        <v>107</v>
      </c>
      <c r="L57" s="1" t="s">
        <v>0</v>
      </c>
      <c r="M57" s="1" t="b">
        <v>0</v>
      </c>
      <c r="N57" s="1" t="b">
        <v>0</v>
      </c>
      <c r="O57" s="19">
        <v>3500.0</v>
      </c>
      <c r="P57" s="20">
        <v>2.1</v>
      </c>
      <c r="Q57" s="20">
        <v>1666.67</v>
      </c>
      <c r="R57" s="21">
        <v>0.7095405809188382</v>
      </c>
      <c r="S57" s="1" t="s">
        <v>78</v>
      </c>
      <c r="T57" s="1" t="s">
        <v>0</v>
      </c>
      <c r="U57" s="1" t="s">
        <v>166</v>
      </c>
      <c r="V57" s="1" t="s">
        <v>81</v>
      </c>
      <c r="W57" s="1" t="s">
        <v>0</v>
      </c>
      <c r="X57" s="1" t="s">
        <v>386</v>
      </c>
      <c r="Y57" s="22" t="str">
        <f t="shared" si="3"/>
        <v>NEW</v>
      </c>
      <c r="Z57" s="20" t="str">
        <f>_xlfn.XLOOKUP($B57,[1]F27!$C:$C,[1]F27!$BV:$BV)</f>
        <v>#ERROR!</v>
      </c>
      <c r="AA57" s="1"/>
      <c r="AB57" s="1"/>
      <c r="AC57" s="23"/>
      <c r="AD57" s="1" t="str">
        <f>_xlfn.XLOOKUP($B57,[1]F27!$C:$C,[1]F27!$Y:$Y)</f>
        <v>#ERROR!</v>
      </c>
      <c r="AE57" s="1" t="str">
        <f>_xlfn.XLOOKUP($B57,[1]F27!$C:$C,[1]F27!$Z:$Z)</f>
        <v>#ERROR!</v>
      </c>
      <c r="AF57" s="1" t="str">
        <f>_xlfn.XLOOKUP($B57,[2]PRICING!$B:$B,[2]PRICING!$B:$B,"MISSING")</f>
        <v>#ERROR!</v>
      </c>
      <c r="AG57" s="1" t="str">
        <f>COUNTIFS([2]ACTIVE_SCO!$B:$B,$B57,[2]ACTIVE_SCO!$P:$P,"Y")</f>
        <v>#ERROR!</v>
      </c>
      <c r="AH57" s="1"/>
      <c r="AI57" s="37" t="s">
        <v>551</v>
      </c>
      <c r="AJ57" s="37"/>
      <c r="AK57" s="39" t="s">
        <v>551</v>
      </c>
      <c r="AL57" s="39" t="s">
        <v>0</v>
      </c>
      <c r="AM57" s="1" t="s">
        <v>226</v>
      </c>
      <c r="AN57" s="40" t="s">
        <v>227</v>
      </c>
      <c r="AO57" s="41" t="s">
        <v>226</v>
      </c>
      <c r="AP57" s="41" t="s">
        <v>227</v>
      </c>
      <c r="AQ57" s="40" t="s">
        <v>0</v>
      </c>
      <c r="AR57" s="39"/>
      <c r="AS57" s="1" t="s">
        <v>68</v>
      </c>
      <c r="AT57" s="1" t="s">
        <v>89</v>
      </c>
      <c r="AU57" s="1" t="s">
        <v>132</v>
      </c>
      <c r="AV57" s="1" t="s">
        <v>91</v>
      </c>
      <c r="AW57" s="1"/>
      <c r="AX57" s="1"/>
      <c r="AY57" s="1"/>
      <c r="AZ57" s="1"/>
      <c r="BA57" s="1" t="s">
        <v>551</v>
      </c>
      <c r="BB57" s="1" t="s">
        <v>0</v>
      </c>
      <c r="BC57" s="1"/>
      <c r="BD57" s="1"/>
    </row>
    <row r="58" ht="11.25" customHeight="1">
      <c r="A58" s="1" t="b">
        <v>0</v>
      </c>
      <c r="B58" s="1" t="s">
        <v>310</v>
      </c>
      <c r="C58" s="1" t="s">
        <v>311</v>
      </c>
      <c r="D58" s="1" t="s">
        <v>65</v>
      </c>
      <c r="E58" s="1"/>
      <c r="F58" s="1"/>
      <c r="G58" s="1" t="s">
        <v>66</v>
      </c>
      <c r="H58" s="1"/>
      <c r="I58" s="1" t="s">
        <v>126</v>
      </c>
      <c r="J58" s="1" t="s">
        <v>141</v>
      </c>
      <c r="K58" s="1" t="s">
        <v>70</v>
      </c>
      <c r="L58" s="1" t="s">
        <v>0</v>
      </c>
      <c r="M58" s="1" t="b">
        <v>1</v>
      </c>
      <c r="N58" s="1" t="b">
        <v>0</v>
      </c>
      <c r="O58" s="19">
        <v>2200.0</v>
      </c>
      <c r="P58" s="20">
        <v>2.1</v>
      </c>
      <c r="Q58" s="20">
        <v>1047.62</v>
      </c>
      <c r="R58" s="21">
        <v>0.696827093793551</v>
      </c>
      <c r="S58" s="1" t="s">
        <v>117</v>
      </c>
      <c r="T58" s="1" t="s">
        <v>0</v>
      </c>
      <c r="U58" s="1" t="s">
        <v>81</v>
      </c>
      <c r="V58" s="1" t="s">
        <v>81</v>
      </c>
      <c r="W58" s="1" t="s">
        <v>0</v>
      </c>
      <c r="X58" s="1" t="s">
        <v>156</v>
      </c>
      <c r="Y58" s="22" t="str">
        <f t="shared" si="3"/>
        <v>CO</v>
      </c>
      <c r="Z58" s="20" t="str">
        <f>_xlfn.XLOOKUP($B58,[1]F27!$C:$C,[1]F27!$BV:$BV)</f>
        <v>#ERROR!</v>
      </c>
      <c r="AA58" s="1"/>
      <c r="AB58" s="1"/>
      <c r="AC58" s="23"/>
      <c r="AD58" s="1" t="str">
        <f>_xlfn.XLOOKUP($B58,[1]F27!$C:$C,[1]F27!$Y:$Y)</f>
        <v>#ERROR!</v>
      </c>
      <c r="AE58" s="1" t="str">
        <f>_xlfn.XLOOKUP($B58,[1]F27!$C:$C,[1]F27!$Z:$Z)</f>
        <v>#ERROR!</v>
      </c>
      <c r="AF58" s="1" t="str">
        <f>_xlfn.XLOOKUP($B58,[2]PRICING!$B:$B,[2]PRICING!$B:$B,"MISSING")</f>
        <v>#ERROR!</v>
      </c>
      <c r="AG58" s="1" t="str">
        <f>COUNTIFS([2]ACTIVE_SCO!$B:$B,$B58,[2]ACTIVE_SCO!$P:$P,"Y")</f>
        <v>#ERROR!</v>
      </c>
      <c r="AH58" s="1"/>
      <c r="AI58" s="1" t="s">
        <v>341</v>
      </c>
      <c r="AJ58" s="1"/>
      <c r="AK58" s="1"/>
      <c r="AL58" s="1"/>
      <c r="AM58" s="1"/>
      <c r="AN58" s="1"/>
      <c r="AO58" s="1"/>
      <c r="AP58" s="1"/>
      <c r="AQ58" s="40" t="s">
        <v>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ht="11.25" customHeight="1">
      <c r="A59" s="1" t="b">
        <v>0</v>
      </c>
      <c r="B59" s="1" t="s">
        <v>314</v>
      </c>
      <c r="C59" s="1" t="s">
        <v>315</v>
      </c>
      <c r="D59" s="1" t="s">
        <v>65</v>
      </c>
      <c r="E59" s="1"/>
      <c r="F59" s="1"/>
      <c r="G59" s="1" t="s">
        <v>66</v>
      </c>
      <c r="H59" s="1"/>
      <c r="I59" s="1" t="s">
        <v>126</v>
      </c>
      <c r="J59" s="1" t="s">
        <v>141</v>
      </c>
      <c r="K59" s="1" t="s">
        <v>107</v>
      </c>
      <c r="L59" s="1" t="s">
        <v>0</v>
      </c>
      <c r="M59" s="1" t="b">
        <v>1</v>
      </c>
      <c r="N59" s="1" t="b">
        <v>0</v>
      </c>
      <c r="O59" s="19">
        <v>2200.0</v>
      </c>
      <c r="P59" s="20">
        <v>2.1</v>
      </c>
      <c r="Q59" s="20">
        <v>1047.62</v>
      </c>
      <c r="R59" s="21">
        <v>0.7174357114220805</v>
      </c>
      <c r="S59" s="1" t="s">
        <v>117</v>
      </c>
      <c r="T59" s="1" t="s">
        <v>0</v>
      </c>
      <c r="U59" s="1" t="s">
        <v>81</v>
      </c>
      <c r="V59" s="1" t="s">
        <v>81</v>
      </c>
      <c r="W59" s="1" t="s">
        <v>0</v>
      </c>
      <c r="X59" s="1" t="s">
        <v>156</v>
      </c>
      <c r="Y59" s="22" t="str">
        <f t="shared" si="3"/>
        <v>CO</v>
      </c>
      <c r="Z59" s="20" t="str">
        <f>_xlfn.XLOOKUP($B59,[1]F27!$C:$C,[1]F27!$BV:$BV)</f>
        <v>#ERROR!</v>
      </c>
      <c r="AA59" s="1"/>
      <c r="AB59" s="1"/>
      <c r="AC59" s="23"/>
      <c r="AD59" s="1" t="str">
        <f>_xlfn.XLOOKUP($B59,[1]F27!$C:$C,[1]F27!$Y:$Y)</f>
        <v>#ERROR!</v>
      </c>
      <c r="AE59" s="1" t="str">
        <f>_xlfn.XLOOKUP($B59,[1]F27!$C:$C,[1]F27!$Z:$Z)</f>
        <v>#ERROR!</v>
      </c>
      <c r="AF59" s="1" t="str">
        <f>_xlfn.XLOOKUP($B59,[2]PRICING!$B:$B,[2]PRICING!$B:$B,"MISSING")</f>
        <v>#ERROR!</v>
      </c>
      <c r="AG59" s="1" t="str">
        <f>COUNTIFS([2]ACTIVE_SCO!$B:$B,$B59,[2]ACTIVE_SCO!$P:$P,"Y")</f>
        <v>#ERROR!</v>
      </c>
      <c r="AH59" s="1"/>
      <c r="AI59" s="1" t="s">
        <v>341</v>
      </c>
      <c r="AJ59" s="1"/>
      <c r="AK59" s="1"/>
      <c r="AL59" s="1"/>
      <c r="AM59" s="1"/>
      <c r="AN59" s="1"/>
      <c r="AO59" s="1"/>
      <c r="AP59" s="1"/>
      <c r="AQ59" s="40" t="s">
        <v>0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ht="11.25" customHeight="1">
      <c r="A60" s="1" t="b">
        <v>1</v>
      </c>
      <c r="B60" s="1" t="s">
        <v>881</v>
      </c>
      <c r="C60" s="1" t="s">
        <v>882</v>
      </c>
      <c r="D60" s="1" t="s">
        <v>65</v>
      </c>
      <c r="E60" s="1"/>
      <c r="F60" s="1"/>
      <c r="G60" s="1" t="s">
        <v>220</v>
      </c>
      <c r="H60" s="1"/>
      <c r="I60" s="1" t="s">
        <v>68</v>
      </c>
      <c r="J60" s="64" t="s">
        <v>96</v>
      </c>
      <c r="K60" s="1" t="s">
        <v>70</v>
      </c>
      <c r="L60" s="1" t="s">
        <v>0</v>
      </c>
      <c r="M60" s="1" t="b">
        <v>0</v>
      </c>
      <c r="N60" s="1" t="b">
        <v>0</v>
      </c>
      <c r="O60" s="19">
        <v>3100.0</v>
      </c>
      <c r="P60" s="20">
        <v>2.1</v>
      </c>
      <c r="Q60" s="20">
        <v>1476.19</v>
      </c>
      <c r="R60" s="21">
        <v>0.7431834655430534</v>
      </c>
      <c r="S60" s="1" t="s">
        <v>78</v>
      </c>
      <c r="T60" s="1" t="s">
        <v>0</v>
      </c>
      <c r="U60" s="1" t="s">
        <v>166</v>
      </c>
      <c r="V60" s="1" t="s">
        <v>81</v>
      </c>
      <c r="W60" s="1" t="s">
        <v>0</v>
      </c>
      <c r="X60" s="1" t="s">
        <v>386</v>
      </c>
      <c r="Y60" s="22" t="str">
        <f t="shared" si="3"/>
        <v>NEW</v>
      </c>
      <c r="Z60" s="20" t="str">
        <f>_xlfn.XLOOKUP($B60,[1]F27!$C:$C,[1]F27!$BV:$BV)</f>
        <v>#ERROR!</v>
      </c>
      <c r="AA60" s="1"/>
      <c r="AB60" s="1"/>
      <c r="AC60" s="23"/>
      <c r="AD60" s="1" t="str">
        <f>_xlfn.XLOOKUP($B60,[1]F27!$C:$C,[1]F27!$Y:$Y)</f>
        <v>#ERROR!</v>
      </c>
      <c r="AE60" s="1" t="str">
        <f>_xlfn.XLOOKUP($B60,[1]F27!$C:$C,[1]F27!$Z:$Z)</f>
        <v>#ERROR!</v>
      </c>
      <c r="AF60" s="1" t="str">
        <f>_xlfn.XLOOKUP($B60,[2]PRICING!$B:$B,[2]PRICING!$B:$B,"MISSING")</f>
        <v>#ERROR!</v>
      </c>
      <c r="AG60" s="1" t="str">
        <f>COUNTIFS([2]ACTIVE_SCO!$B:$B,$B60,[2]ACTIVE_SCO!$P:$P,"Y")</f>
        <v>#ERROR!</v>
      </c>
      <c r="AH60" s="1"/>
      <c r="AI60" s="37" t="s">
        <v>551</v>
      </c>
      <c r="AJ60" s="37"/>
      <c r="AK60" s="39" t="s">
        <v>551</v>
      </c>
      <c r="AL60" s="39" t="s">
        <v>0</v>
      </c>
      <c r="AM60" s="1" t="s">
        <v>226</v>
      </c>
      <c r="AN60" s="40" t="s">
        <v>227</v>
      </c>
      <c r="AO60" s="41" t="s">
        <v>226</v>
      </c>
      <c r="AP60" s="41" t="s">
        <v>227</v>
      </c>
      <c r="AQ60" s="40" t="s">
        <v>0</v>
      </c>
      <c r="AR60" s="39"/>
      <c r="AS60" s="1" t="s">
        <v>68</v>
      </c>
      <c r="AT60" s="1" t="s">
        <v>128</v>
      </c>
      <c r="AU60" s="1" t="s">
        <v>132</v>
      </c>
      <c r="AV60" s="1" t="s">
        <v>91</v>
      </c>
      <c r="AW60" s="1"/>
      <c r="AX60" s="1"/>
      <c r="AY60" s="1"/>
      <c r="AZ60" s="1"/>
      <c r="BA60" s="1" t="s">
        <v>551</v>
      </c>
      <c r="BB60" s="1" t="s">
        <v>0</v>
      </c>
      <c r="BC60" s="1"/>
      <c r="BD60" s="1"/>
    </row>
    <row r="61" ht="11.25" customHeight="1">
      <c r="A61" s="1" t="b">
        <v>1</v>
      </c>
      <c r="B61" s="1" t="s">
        <v>890</v>
      </c>
      <c r="C61" s="1" t="s">
        <v>891</v>
      </c>
      <c r="D61" s="1" t="s">
        <v>65</v>
      </c>
      <c r="E61" s="1"/>
      <c r="F61" s="1"/>
      <c r="G61" s="1" t="s">
        <v>220</v>
      </c>
      <c r="H61" s="1"/>
      <c r="I61" s="1" t="s">
        <v>68</v>
      </c>
      <c r="J61" s="64" t="s">
        <v>96</v>
      </c>
      <c r="K61" s="1" t="s">
        <v>107</v>
      </c>
      <c r="L61" s="1" t="s">
        <v>0</v>
      </c>
      <c r="M61" s="1" t="b">
        <v>0</v>
      </c>
      <c r="N61" s="1" t="b">
        <v>0</v>
      </c>
      <c r="O61" s="19">
        <v>3100.0</v>
      </c>
      <c r="P61" s="20">
        <v>2.1</v>
      </c>
      <c r="Q61" s="20">
        <v>1476.19</v>
      </c>
      <c r="R61" s="21">
        <v>0.755675082475833</v>
      </c>
      <c r="S61" s="1" t="s">
        <v>78</v>
      </c>
      <c r="T61" s="1" t="s">
        <v>0</v>
      </c>
      <c r="U61" s="1" t="s">
        <v>166</v>
      </c>
      <c r="V61" s="1" t="s">
        <v>81</v>
      </c>
      <c r="W61" s="1" t="s">
        <v>0</v>
      </c>
      <c r="X61" s="1" t="s">
        <v>386</v>
      </c>
      <c r="Y61" s="22" t="str">
        <f t="shared" si="3"/>
        <v>NEW</v>
      </c>
      <c r="Z61" s="20" t="str">
        <f>_xlfn.XLOOKUP($B61,[1]F27!$C:$C,[1]F27!$BV:$BV)</f>
        <v>#ERROR!</v>
      </c>
      <c r="AA61" s="1"/>
      <c r="AB61" s="1"/>
      <c r="AC61" s="23"/>
      <c r="AD61" s="1" t="str">
        <f>_xlfn.XLOOKUP($B61,[1]F27!$C:$C,[1]F27!$Y:$Y)</f>
        <v>#ERROR!</v>
      </c>
      <c r="AE61" s="1" t="str">
        <f>_xlfn.XLOOKUP($B61,[1]F27!$C:$C,[1]F27!$Z:$Z)</f>
        <v>#ERROR!</v>
      </c>
      <c r="AF61" s="1" t="str">
        <f>_xlfn.XLOOKUP($B61,[2]PRICING!$B:$B,[2]PRICING!$B:$B,"MISSING")</f>
        <v>#ERROR!</v>
      </c>
      <c r="AG61" s="1" t="str">
        <f>COUNTIFS([2]ACTIVE_SCO!$B:$B,$B61,[2]ACTIVE_SCO!$P:$P,"Y")</f>
        <v>#ERROR!</v>
      </c>
      <c r="AH61" s="1"/>
      <c r="AI61" s="37" t="s">
        <v>551</v>
      </c>
      <c r="AJ61" s="37"/>
      <c r="AK61" s="39" t="s">
        <v>551</v>
      </c>
      <c r="AL61" s="39" t="s">
        <v>0</v>
      </c>
      <c r="AM61" s="1" t="s">
        <v>226</v>
      </c>
      <c r="AN61" s="40" t="s">
        <v>227</v>
      </c>
      <c r="AO61" s="41" t="s">
        <v>226</v>
      </c>
      <c r="AP61" s="41" t="s">
        <v>227</v>
      </c>
      <c r="AQ61" s="40" t="s">
        <v>0</v>
      </c>
      <c r="AR61" s="39"/>
      <c r="AS61" s="1" t="s">
        <v>68</v>
      </c>
      <c r="AT61" s="1" t="s">
        <v>128</v>
      </c>
      <c r="AU61" s="1" t="s">
        <v>132</v>
      </c>
      <c r="AV61" s="1" t="s">
        <v>91</v>
      </c>
      <c r="AW61" s="1"/>
      <c r="AX61" s="1"/>
      <c r="AY61" s="1"/>
      <c r="AZ61" s="1"/>
      <c r="BA61" s="1" t="s">
        <v>551</v>
      </c>
      <c r="BB61" s="1" t="s">
        <v>0</v>
      </c>
      <c r="BC61" s="1"/>
      <c r="BD61" s="1"/>
    </row>
    <row r="62" ht="11.25" customHeight="1">
      <c r="A62" s="1" t="b">
        <v>1</v>
      </c>
      <c r="B62" s="1" t="s">
        <v>681</v>
      </c>
      <c r="C62" s="1" t="s">
        <v>682</v>
      </c>
      <c r="D62" s="1" t="s">
        <v>65</v>
      </c>
      <c r="E62" s="1"/>
      <c r="F62" s="1"/>
      <c r="G62" s="1" t="s">
        <v>66</v>
      </c>
      <c r="H62" s="1"/>
      <c r="I62" s="1" t="s">
        <v>113</v>
      </c>
      <c r="J62" s="1" t="s">
        <v>96</v>
      </c>
      <c r="K62" s="1" t="s">
        <v>70</v>
      </c>
      <c r="L62" s="1" t="s">
        <v>0</v>
      </c>
      <c r="M62" s="1" t="b">
        <v>1</v>
      </c>
      <c r="N62" s="1" t="b">
        <v>0</v>
      </c>
      <c r="O62" s="19">
        <v>1300.0</v>
      </c>
      <c r="P62" s="20">
        <v>2.1</v>
      </c>
      <c r="Q62" s="20">
        <v>619.05</v>
      </c>
      <c r="R62" s="21">
        <v>0.5590501574993942</v>
      </c>
      <c r="S62" s="1" t="s">
        <v>117</v>
      </c>
      <c r="T62" s="1" t="s">
        <v>0</v>
      </c>
      <c r="U62" s="1" t="s">
        <v>81</v>
      </c>
      <c r="V62" s="1" t="s">
        <v>81</v>
      </c>
      <c r="W62" s="1" t="s">
        <v>0</v>
      </c>
      <c r="X62" s="1" t="s">
        <v>97</v>
      </c>
      <c r="Y62" s="22" t="str">
        <f t="shared" si="3"/>
        <v>CO</v>
      </c>
      <c r="Z62" s="20" t="str">
        <f>_xlfn.XLOOKUP($B62,[1]F27!$C:$C,[1]F27!$BV:$BV)</f>
        <v>#ERROR!</v>
      </c>
      <c r="AA62" s="1"/>
      <c r="AB62" s="1"/>
      <c r="AC62" s="23"/>
      <c r="AD62" s="1" t="str">
        <f>_xlfn.XLOOKUP($B62,[1]F27!$C:$C,[1]F27!$Y:$Y)</f>
        <v>#ERROR!</v>
      </c>
      <c r="AE62" s="1" t="str">
        <f>_xlfn.XLOOKUP($B62,[1]F27!$C:$C,[1]F27!$Z:$Z)</f>
        <v>#ERROR!</v>
      </c>
      <c r="AF62" s="1" t="str">
        <f>_xlfn.XLOOKUP($B62,[2]PRICING!$B:$B,[2]PRICING!$B:$B,"MISSING")</f>
        <v>#ERROR!</v>
      </c>
      <c r="AG62" s="1" t="str">
        <f>COUNTIFS([2]ACTIVE_SCO!$B:$B,$B62,[2]ACTIVE_SCO!$P:$P,"Y")</f>
        <v>#ERROR!</v>
      </c>
      <c r="AH62" s="1"/>
      <c r="AI62" s="37" t="s">
        <v>157</v>
      </c>
      <c r="AJ62" s="38" t="s">
        <v>901</v>
      </c>
      <c r="AK62" s="49" t="s">
        <v>365</v>
      </c>
      <c r="AL62" s="39" t="s">
        <v>204</v>
      </c>
      <c r="AM62" s="1" t="s">
        <v>86</v>
      </c>
      <c r="AN62" s="40" t="s">
        <v>87</v>
      </c>
      <c r="AO62" s="41" t="s">
        <v>86</v>
      </c>
      <c r="AP62" s="41" t="s">
        <v>169</v>
      </c>
      <c r="AQ62" s="40" t="s">
        <v>0</v>
      </c>
      <c r="AR62" s="39"/>
      <c r="AS62" s="1" t="s">
        <v>126</v>
      </c>
      <c r="AT62" s="1" t="s">
        <v>128</v>
      </c>
      <c r="AU62" s="1" t="s">
        <v>130</v>
      </c>
      <c r="AV62" s="1" t="s">
        <v>131</v>
      </c>
      <c r="AW62" s="1"/>
      <c r="AX62" s="1"/>
      <c r="AY62" s="1"/>
      <c r="AZ62" s="1"/>
      <c r="BA62" s="50" t="s">
        <v>365</v>
      </c>
      <c r="BB62" s="1" t="s">
        <v>204</v>
      </c>
      <c r="BC62" s="1"/>
      <c r="BD62" s="1"/>
    </row>
    <row r="63" ht="11.25" customHeight="1">
      <c r="A63" s="1" t="b">
        <v>1</v>
      </c>
      <c r="B63" s="1" t="s">
        <v>684</v>
      </c>
      <c r="C63" s="1" t="s">
        <v>685</v>
      </c>
      <c r="D63" s="1" t="s">
        <v>65</v>
      </c>
      <c r="E63" s="1"/>
      <c r="F63" s="1"/>
      <c r="G63" s="1" t="s">
        <v>66</v>
      </c>
      <c r="H63" s="1"/>
      <c r="I63" s="1" t="s">
        <v>113</v>
      </c>
      <c r="J63" s="1" t="s">
        <v>96</v>
      </c>
      <c r="K63" s="1" t="s">
        <v>107</v>
      </c>
      <c r="L63" s="1" t="s">
        <v>0</v>
      </c>
      <c r="M63" s="1" t="b">
        <v>1</v>
      </c>
      <c r="N63" s="1" t="b">
        <v>0</v>
      </c>
      <c r="O63" s="19">
        <v>1300.0</v>
      </c>
      <c r="P63" s="20">
        <v>2.1</v>
      </c>
      <c r="Q63" s="20">
        <v>619.05</v>
      </c>
      <c r="R63" s="21">
        <v>0.5631693724254906</v>
      </c>
      <c r="S63" s="1" t="s">
        <v>117</v>
      </c>
      <c r="T63" s="1" t="s">
        <v>0</v>
      </c>
      <c r="U63" s="1" t="s">
        <v>546</v>
      </c>
      <c r="V63" s="1" t="s">
        <v>81</v>
      </c>
      <c r="W63" s="1" t="s">
        <v>0</v>
      </c>
      <c r="X63" s="1" t="s">
        <v>97</v>
      </c>
      <c r="Y63" s="22" t="str">
        <f t="shared" si="3"/>
        <v>CO</v>
      </c>
      <c r="Z63" s="20" t="str">
        <f>_xlfn.XLOOKUP($B63,[1]F27!$C:$C,[1]F27!$BV:$BV)</f>
        <v>#ERROR!</v>
      </c>
      <c r="AA63" s="1"/>
      <c r="AB63" s="1"/>
      <c r="AC63" s="23"/>
      <c r="AD63" s="1" t="str">
        <f>_xlfn.XLOOKUP($B63,[1]F27!$C:$C,[1]F27!$Y:$Y)</f>
        <v>#ERROR!</v>
      </c>
      <c r="AE63" s="1" t="str">
        <f>_xlfn.XLOOKUP($B63,[1]F27!$C:$C,[1]F27!$Z:$Z)</f>
        <v>#ERROR!</v>
      </c>
      <c r="AF63" s="1" t="str">
        <f>_xlfn.XLOOKUP($B63,[2]PRICING!$B:$B,[2]PRICING!$B:$B,"MISSING")</f>
        <v>#ERROR!</v>
      </c>
      <c r="AG63" s="1" t="str">
        <f>COUNTIFS([2]ACTIVE_SCO!$B:$B,$B63,[2]ACTIVE_SCO!$P:$P,"Y")</f>
        <v>#ERROR!</v>
      </c>
      <c r="AH63" s="1"/>
      <c r="AI63" s="37" t="s">
        <v>157</v>
      </c>
      <c r="AJ63" s="38" t="s">
        <v>907</v>
      </c>
      <c r="AK63" s="49" t="s">
        <v>365</v>
      </c>
      <c r="AL63" s="39" t="s">
        <v>204</v>
      </c>
      <c r="AM63" s="1" t="s">
        <v>86</v>
      </c>
      <c r="AN63" s="40" t="s">
        <v>87</v>
      </c>
      <c r="AO63" s="41" t="s">
        <v>86</v>
      </c>
      <c r="AP63" s="41" t="s">
        <v>169</v>
      </c>
      <c r="AQ63" s="40" t="s">
        <v>0</v>
      </c>
      <c r="AR63" s="39"/>
      <c r="AS63" s="1" t="s">
        <v>126</v>
      </c>
      <c r="AT63" s="1" t="s">
        <v>128</v>
      </c>
      <c r="AU63" s="1" t="s">
        <v>130</v>
      </c>
      <c r="AV63" s="1" t="s">
        <v>131</v>
      </c>
      <c r="AW63" s="1"/>
      <c r="AX63" s="1"/>
      <c r="AY63" s="1"/>
      <c r="AZ63" s="1"/>
      <c r="BA63" s="50" t="s">
        <v>365</v>
      </c>
      <c r="BB63" s="1" t="s">
        <v>204</v>
      </c>
      <c r="BC63" s="1"/>
      <c r="BD63" s="1"/>
    </row>
    <row r="64" ht="11.25" customHeight="1">
      <c r="A64" s="1" t="b">
        <v>1</v>
      </c>
      <c r="B64" s="1" t="s">
        <v>861</v>
      </c>
      <c r="C64" s="1" t="s">
        <v>862</v>
      </c>
      <c r="D64" s="1" t="s">
        <v>65</v>
      </c>
      <c r="E64" s="1"/>
      <c r="F64" s="1"/>
      <c r="G64" s="1" t="s">
        <v>66</v>
      </c>
      <c r="H64" s="1"/>
      <c r="I64" s="1" t="s">
        <v>113</v>
      </c>
      <c r="J64" s="1" t="s">
        <v>96</v>
      </c>
      <c r="K64" s="1" t="s">
        <v>70</v>
      </c>
      <c r="L64" s="1" t="s">
        <v>0</v>
      </c>
      <c r="M64" s="1" t="b">
        <v>1</v>
      </c>
      <c r="N64" s="1" t="b">
        <v>0</v>
      </c>
      <c r="O64" s="19">
        <v>2200.0</v>
      </c>
      <c r="P64" s="20">
        <v>2.1</v>
      </c>
      <c r="Q64" s="20">
        <v>1047.62</v>
      </c>
      <c r="R64" s="21">
        <v>0.6926366430575972</v>
      </c>
      <c r="S64" s="1" t="s">
        <v>242</v>
      </c>
      <c r="T64" s="1" t="s">
        <v>0</v>
      </c>
      <c r="U64" s="1" t="s">
        <v>546</v>
      </c>
      <c r="V64" s="1" t="s">
        <v>81</v>
      </c>
      <c r="W64" s="1" t="s">
        <v>0</v>
      </c>
      <c r="X64" s="1" t="s">
        <v>97</v>
      </c>
      <c r="Y64" s="22" t="str">
        <f t="shared" si="3"/>
        <v>CO</v>
      </c>
      <c r="Z64" s="20" t="str">
        <f>_xlfn.XLOOKUP($B64,[1]F27!$C:$C,[1]F27!$BV:$BV)</f>
        <v>#ERROR!</v>
      </c>
      <c r="AA64" s="1"/>
      <c r="AB64" s="1"/>
      <c r="AC64" s="23"/>
      <c r="AD64" s="1" t="str">
        <f>_xlfn.XLOOKUP($B64,[1]F27!$C:$C,[1]F27!$Y:$Y)</f>
        <v>#ERROR!</v>
      </c>
      <c r="AE64" s="1" t="str">
        <f>_xlfn.XLOOKUP($B64,[1]F27!$C:$C,[1]F27!$Z:$Z)</f>
        <v>#ERROR!</v>
      </c>
      <c r="AF64" s="1" t="str">
        <f>_xlfn.XLOOKUP($B64,[2]PRICING!$B:$B,[2]PRICING!$B:$B,"MISSING")</f>
        <v>#ERROR!</v>
      </c>
      <c r="AG64" s="1" t="str">
        <f>COUNTIFS([2]ACTIVE_SCO!$B:$B,$B64,[2]ACTIVE_SCO!$P:$P,"Y")</f>
        <v>#ERROR!</v>
      </c>
      <c r="AH64" s="1"/>
      <c r="AI64" s="37" t="s">
        <v>157</v>
      </c>
      <c r="AJ64" s="38" t="s">
        <v>913</v>
      </c>
      <c r="AK64" s="49" t="s">
        <v>365</v>
      </c>
      <c r="AL64" s="39" t="s">
        <v>204</v>
      </c>
      <c r="AM64" s="1" t="s">
        <v>86</v>
      </c>
      <c r="AN64" s="40" t="s">
        <v>121</v>
      </c>
      <c r="AO64" s="41" t="s">
        <v>86</v>
      </c>
      <c r="AP64" s="41" t="s">
        <v>169</v>
      </c>
      <c r="AQ64" s="40" t="s">
        <v>0</v>
      </c>
      <c r="AR64" s="54"/>
      <c r="AS64" s="1" t="s">
        <v>126</v>
      </c>
      <c r="AT64" s="1" t="s">
        <v>128</v>
      </c>
      <c r="AU64" s="1" t="s">
        <v>130</v>
      </c>
      <c r="AV64" s="1" t="s">
        <v>131</v>
      </c>
      <c r="AW64" s="1"/>
      <c r="AX64" s="1"/>
      <c r="AY64" s="1" t="s">
        <v>914</v>
      </c>
      <c r="AZ64" s="1"/>
      <c r="BA64" s="50" t="s">
        <v>365</v>
      </c>
      <c r="BB64" s="1" t="s">
        <v>204</v>
      </c>
      <c r="BC64" s="1"/>
      <c r="BD64" s="25" t="s">
        <v>915</v>
      </c>
    </row>
    <row r="65" ht="11.25" customHeight="1">
      <c r="A65" s="1" t="b">
        <v>1</v>
      </c>
      <c r="B65" s="1" t="s">
        <v>863</v>
      </c>
      <c r="C65" s="1" t="s">
        <v>864</v>
      </c>
      <c r="D65" s="1" t="s">
        <v>65</v>
      </c>
      <c r="E65" s="1"/>
      <c r="F65" s="1"/>
      <c r="G65" s="1" t="s">
        <v>66</v>
      </c>
      <c r="H65" s="1"/>
      <c r="I65" s="1" t="s">
        <v>113</v>
      </c>
      <c r="J65" s="1" t="s">
        <v>96</v>
      </c>
      <c r="K65" s="1" t="s">
        <v>107</v>
      </c>
      <c r="L65" s="1" t="s">
        <v>0</v>
      </c>
      <c r="M65" s="1" t="b">
        <v>1</v>
      </c>
      <c r="N65" s="1" t="b">
        <v>0</v>
      </c>
      <c r="O65" s="19">
        <v>2200.0</v>
      </c>
      <c r="P65" s="20">
        <v>2.1</v>
      </c>
      <c r="Q65" s="20">
        <v>1047.62</v>
      </c>
      <c r="R65" s="21">
        <v>0.6112903533724059</v>
      </c>
      <c r="S65" s="1" t="s">
        <v>242</v>
      </c>
      <c r="T65" s="1" t="s">
        <v>0</v>
      </c>
      <c r="U65" s="1" t="s">
        <v>81</v>
      </c>
      <c r="V65" s="1" t="s">
        <v>81</v>
      </c>
      <c r="W65" s="1" t="s">
        <v>0</v>
      </c>
      <c r="X65" s="1" t="s">
        <v>97</v>
      </c>
      <c r="Y65" s="22" t="str">
        <f t="shared" si="3"/>
        <v>CO</v>
      </c>
      <c r="Z65" s="20" t="str">
        <f>_xlfn.XLOOKUP($B65,[1]F27!$C:$C,[1]F27!$BV:$BV)</f>
        <v>#ERROR!</v>
      </c>
      <c r="AA65" s="1"/>
      <c r="AB65" s="1"/>
      <c r="AC65" s="23"/>
      <c r="AD65" s="1" t="str">
        <f>_xlfn.XLOOKUP($B65,[1]F27!$C:$C,[1]F27!$Y:$Y)</f>
        <v>#ERROR!</v>
      </c>
      <c r="AE65" s="1" t="str">
        <f>_xlfn.XLOOKUP($B65,[1]F27!$C:$C,[1]F27!$Z:$Z)</f>
        <v>#ERROR!</v>
      </c>
      <c r="AF65" s="1" t="str">
        <f>_xlfn.XLOOKUP($B65,[2]PRICING!$B:$B,[2]PRICING!$B:$B,"MISSING")</f>
        <v>#ERROR!</v>
      </c>
      <c r="AG65" s="1" t="str">
        <f>COUNTIFS([2]ACTIVE_SCO!$B:$B,$B65,[2]ACTIVE_SCO!$P:$P,"Y")</f>
        <v>#ERROR!</v>
      </c>
      <c r="AH65" s="1"/>
      <c r="AI65" s="37" t="s">
        <v>157</v>
      </c>
      <c r="AJ65" s="38" t="s">
        <v>924</v>
      </c>
      <c r="AK65" s="49" t="s">
        <v>365</v>
      </c>
      <c r="AL65" s="39" t="s">
        <v>204</v>
      </c>
      <c r="AM65" s="1" t="s">
        <v>86</v>
      </c>
      <c r="AN65" s="40" t="s">
        <v>121</v>
      </c>
      <c r="AO65" s="41" t="s">
        <v>86</v>
      </c>
      <c r="AP65" s="41" t="s">
        <v>169</v>
      </c>
      <c r="AQ65" s="40" t="s">
        <v>0</v>
      </c>
      <c r="AR65" s="54"/>
      <c r="AS65" s="1" t="s">
        <v>126</v>
      </c>
      <c r="AT65" s="1" t="s">
        <v>128</v>
      </c>
      <c r="AU65" s="1" t="s">
        <v>130</v>
      </c>
      <c r="AV65" s="1" t="s">
        <v>131</v>
      </c>
      <c r="AW65" s="1"/>
      <c r="AX65" s="1"/>
      <c r="AY65" s="1" t="s">
        <v>914</v>
      </c>
      <c r="AZ65" s="1"/>
      <c r="BA65" s="50" t="s">
        <v>365</v>
      </c>
      <c r="BB65" s="1" t="s">
        <v>204</v>
      </c>
      <c r="BC65" s="1"/>
      <c r="BD65" s="25" t="s">
        <v>915</v>
      </c>
    </row>
    <row r="66" ht="11.25" customHeight="1">
      <c r="A66" s="1" t="b">
        <v>1</v>
      </c>
      <c r="B66" s="1" t="s">
        <v>245</v>
      </c>
      <c r="C66" s="1" t="s">
        <v>246</v>
      </c>
      <c r="D66" s="1" t="s">
        <v>65</v>
      </c>
      <c r="E66" s="1"/>
      <c r="F66" s="1"/>
      <c r="G66" s="1" t="s">
        <v>247</v>
      </c>
      <c r="H66" s="1"/>
      <c r="I66" s="1" t="s">
        <v>248</v>
      </c>
      <c r="J66" s="1" t="s">
        <v>69</v>
      </c>
      <c r="K66" s="1" t="s">
        <v>249</v>
      </c>
      <c r="L66" s="1" t="s">
        <v>0</v>
      </c>
      <c r="M66" s="1" t="b">
        <v>1</v>
      </c>
      <c r="N66" s="1" t="b">
        <v>0</v>
      </c>
      <c r="O66" s="19">
        <v>450.0</v>
      </c>
      <c r="P66" s="20">
        <v>2.1</v>
      </c>
      <c r="Q66" s="20">
        <v>214.29</v>
      </c>
      <c r="R66" s="21">
        <v>0.6897195389425546</v>
      </c>
      <c r="S66" s="1" t="s">
        <v>117</v>
      </c>
      <c r="T66" s="1" t="s">
        <v>0</v>
      </c>
      <c r="U66" s="1" t="s">
        <v>81</v>
      </c>
      <c r="V66" s="1" t="s">
        <v>81</v>
      </c>
      <c r="W66" s="1" t="s">
        <v>0</v>
      </c>
      <c r="X66" s="1" t="s">
        <v>0</v>
      </c>
      <c r="Y66" s="22" t="str">
        <f t="shared" si="3"/>
        <v>CO</v>
      </c>
      <c r="Z66" s="20" t="str">
        <f>_xlfn.XLOOKUP($B66,[1]F27!$C:$C,[1]F27!$BV:$BV)</f>
        <v>#ERROR!</v>
      </c>
      <c r="AA66" s="1"/>
      <c r="AB66" s="1"/>
      <c r="AC66" s="23"/>
      <c r="AD66" s="1" t="str">
        <f>_xlfn.XLOOKUP($B66,[1]F27!$C:$C,[1]F27!$Y:$Y)</f>
        <v>#ERROR!</v>
      </c>
      <c r="AE66" s="1" t="str">
        <f>_xlfn.XLOOKUP($B66,[1]F27!$C:$C,[1]F27!$Z:$Z)</f>
        <v>#ERROR!</v>
      </c>
      <c r="AF66" s="1" t="str">
        <f>_xlfn.XLOOKUP($B66,[2]PRICING!$B:$B,[2]PRICING!$B:$B,"MISSING")</f>
        <v>#ERROR!</v>
      </c>
      <c r="AG66" s="1" t="str">
        <f>COUNTIFS([2]ACTIVE_SCO!$B:$B,$B66,[2]ACTIVE_SCO!$P:$P,"Y")</f>
        <v>#ERROR!</v>
      </c>
      <c r="AH66" s="1"/>
      <c r="AI66" s="37" t="s">
        <v>157</v>
      </c>
      <c r="AJ66" s="38" t="s">
        <v>935</v>
      </c>
      <c r="AK66" s="39" t="s">
        <v>551</v>
      </c>
      <c r="AL66" s="39" t="s">
        <v>0</v>
      </c>
      <c r="AM66" s="1" t="s">
        <v>125</v>
      </c>
      <c r="AN66" s="40" t="s">
        <v>127</v>
      </c>
      <c r="AO66" s="41" t="s">
        <v>776</v>
      </c>
      <c r="AP66" s="41" t="s">
        <v>777</v>
      </c>
      <c r="AQ66" s="40" t="s">
        <v>0</v>
      </c>
      <c r="AR66" s="54"/>
      <c r="AS66" s="1" t="s">
        <v>248</v>
      </c>
      <c r="AT66" s="1" t="s">
        <v>253</v>
      </c>
      <c r="AU66" s="1" t="s">
        <v>254</v>
      </c>
      <c r="AV66" s="1" t="s">
        <v>131</v>
      </c>
      <c r="AW66" s="1"/>
      <c r="AX66" s="1"/>
      <c r="AY66" s="1"/>
      <c r="AZ66" s="1"/>
      <c r="BA66" s="1" t="s">
        <v>551</v>
      </c>
      <c r="BB66" s="1" t="s">
        <v>0</v>
      </c>
      <c r="BC66" s="1"/>
      <c r="BD66" s="1"/>
    </row>
    <row r="67" ht="11.25" customHeight="1">
      <c r="A67" s="1" t="b">
        <v>1</v>
      </c>
      <c r="B67" s="1" t="s">
        <v>939</v>
      </c>
      <c r="C67" s="1" t="s">
        <v>940</v>
      </c>
      <c r="D67" s="1" t="s">
        <v>65</v>
      </c>
      <c r="E67" s="1"/>
      <c r="F67" s="1"/>
      <c r="G67" s="1" t="s">
        <v>220</v>
      </c>
      <c r="H67" s="1"/>
      <c r="I67" s="1" t="s">
        <v>942</v>
      </c>
      <c r="J67" s="1" t="s">
        <v>69</v>
      </c>
      <c r="K67" s="1" t="s">
        <v>70</v>
      </c>
      <c r="L67" s="1" t="s">
        <v>0</v>
      </c>
      <c r="M67" s="1" t="b">
        <v>1</v>
      </c>
      <c r="N67" s="1" t="b">
        <v>0</v>
      </c>
      <c r="O67" s="19">
        <v>900.0</v>
      </c>
      <c r="P67" s="20">
        <v>2.1</v>
      </c>
      <c r="Q67" s="20">
        <v>428.57</v>
      </c>
      <c r="R67" s="21">
        <v>0.597241990806636</v>
      </c>
      <c r="S67" s="1" t="s">
        <v>117</v>
      </c>
      <c r="T67" s="1" t="s">
        <v>0</v>
      </c>
      <c r="U67" s="1" t="s">
        <v>81</v>
      </c>
      <c r="V67" s="1" t="s">
        <v>81</v>
      </c>
      <c r="W67" s="1" t="s">
        <v>0</v>
      </c>
      <c r="X67" s="1" t="s">
        <v>0</v>
      </c>
      <c r="Y67" s="22" t="str">
        <f t="shared" si="3"/>
        <v>CO</v>
      </c>
      <c r="Z67" s="20" t="str">
        <f>_xlfn.XLOOKUP($B67,[1]F27!$C:$C,[1]F27!$BV:$BV)</f>
        <v>#ERROR!</v>
      </c>
      <c r="AA67" s="1"/>
      <c r="AB67" s="1"/>
      <c r="AC67" s="23"/>
      <c r="AD67" s="1" t="str">
        <f>_xlfn.XLOOKUP($B67,[1]F27!$C:$C,[1]F27!$Y:$Y)</f>
        <v>#ERROR!</v>
      </c>
      <c r="AE67" s="1" t="str">
        <f>_xlfn.XLOOKUP($B67,[1]F27!$C:$C,[1]F27!$Z:$Z)</f>
        <v>#ERROR!</v>
      </c>
      <c r="AF67" s="1" t="str">
        <f>_xlfn.XLOOKUP($B67,[2]PRICING!$B:$B,[2]PRICING!$B:$B,"MISSING")</f>
        <v>#ERROR!</v>
      </c>
      <c r="AG67" s="1" t="str">
        <f>COUNTIFS([2]ACTIVE_SCO!$B:$B,$B67,[2]ACTIVE_SCO!$P:$P,"Y")</f>
        <v>#ERROR!</v>
      </c>
      <c r="AH67" s="1"/>
      <c r="AI67" s="37" t="s">
        <v>551</v>
      </c>
      <c r="AJ67" s="73" t="s">
        <v>949</v>
      </c>
      <c r="AK67" s="39" t="s">
        <v>294</v>
      </c>
      <c r="AL67" s="39" t="s">
        <v>551</v>
      </c>
      <c r="AM67" s="1" t="s">
        <v>125</v>
      </c>
      <c r="AN67" s="40" t="s">
        <v>127</v>
      </c>
      <c r="AO67" s="41" t="s">
        <v>125</v>
      </c>
      <c r="AP67" s="39"/>
      <c r="AQ67" s="40" t="s">
        <v>125</v>
      </c>
      <c r="AR67" s="39"/>
      <c r="AS67" s="1" t="s">
        <v>942</v>
      </c>
      <c r="AT67" s="1" t="s">
        <v>128</v>
      </c>
      <c r="AU67" s="1" t="s">
        <v>951</v>
      </c>
      <c r="AV67" s="1" t="s">
        <v>131</v>
      </c>
      <c r="AW67" s="1"/>
      <c r="AX67" s="1"/>
      <c r="AY67" s="1"/>
      <c r="AZ67" s="1"/>
      <c r="BA67" s="1" t="s">
        <v>294</v>
      </c>
      <c r="BB67" s="1" t="s">
        <v>551</v>
      </c>
      <c r="BC67" s="1"/>
      <c r="BD67" s="1"/>
    </row>
    <row r="68" ht="11.25" customHeight="1">
      <c r="A68" s="1" t="b">
        <v>1</v>
      </c>
      <c r="B68" s="1" t="s">
        <v>743</v>
      </c>
      <c r="C68" s="1" t="s">
        <v>954</v>
      </c>
      <c r="D68" s="1" t="s">
        <v>65</v>
      </c>
      <c r="E68" s="1"/>
      <c r="F68" s="1"/>
      <c r="G68" s="1" t="s">
        <v>247</v>
      </c>
      <c r="H68" s="1"/>
      <c r="I68" s="1" t="s">
        <v>334</v>
      </c>
      <c r="J68" s="64" t="s">
        <v>96</v>
      </c>
      <c r="K68" s="1" t="s">
        <v>70</v>
      </c>
      <c r="L68" s="1" t="s">
        <v>0</v>
      </c>
      <c r="M68" s="1" t="b">
        <v>0</v>
      </c>
      <c r="N68" s="1" t="b">
        <v>0</v>
      </c>
      <c r="O68" s="19">
        <v>0.0</v>
      </c>
      <c r="P68" s="20">
        <v>2.1</v>
      </c>
      <c r="Q68" s="20">
        <v>0.0</v>
      </c>
      <c r="R68" s="21" t="e">
        <v>#DIV/0!</v>
      </c>
      <c r="S68" s="1" t="s">
        <v>0</v>
      </c>
      <c r="T68" s="1" t="s">
        <v>0</v>
      </c>
      <c r="U68" s="1" t="s">
        <v>273</v>
      </c>
      <c r="V68" s="1" t="s">
        <v>0</v>
      </c>
      <c r="W68" s="1" t="s">
        <v>0</v>
      </c>
      <c r="X68" s="1" t="s">
        <v>116</v>
      </c>
      <c r="Y68" s="22" t="str">
        <f t="shared" si="3"/>
        <v>NEW</v>
      </c>
      <c r="Z68" s="20" t="str">
        <f>_xlfn.XLOOKUP($B68,[1]F27!$C:$C,[1]F27!$BV:$BV)</f>
        <v>#ERROR!</v>
      </c>
      <c r="AA68" s="1"/>
      <c r="AB68" s="1"/>
      <c r="AC68" s="23"/>
      <c r="AD68" s="1" t="str">
        <f>_xlfn.XLOOKUP($B68,[1]F27!$C:$C,[1]F27!$Y:$Y)</f>
        <v>#ERROR!</v>
      </c>
      <c r="AE68" s="1" t="str">
        <f>_xlfn.XLOOKUP($B68,[1]F27!$C:$C,[1]F27!$Z:$Z)</f>
        <v>#ERROR!</v>
      </c>
      <c r="AF68" s="1" t="str">
        <f>_xlfn.XLOOKUP($B68,[2]PRICING!$B:$B,[2]PRICING!$B:$B,"MISSING")</f>
        <v>#ERROR!</v>
      </c>
      <c r="AG68" s="1" t="str">
        <f>COUNTIFS([2]ACTIVE_SCO!$B:$B,$B68,[2]ACTIVE_SCO!$P:$P,"Y")</f>
        <v>#ERROR!</v>
      </c>
      <c r="AH68" s="1"/>
      <c r="AI68" s="37" t="s">
        <v>551</v>
      </c>
      <c r="AJ68" s="74"/>
      <c r="AK68" s="39" t="s">
        <v>551</v>
      </c>
      <c r="AL68" s="39" t="s">
        <v>0</v>
      </c>
      <c r="AM68" s="1" t="s">
        <v>125</v>
      </c>
      <c r="AN68" s="40" t="s">
        <v>174</v>
      </c>
      <c r="AO68" s="39"/>
      <c r="AP68" s="39"/>
      <c r="AQ68" s="40" t="s">
        <v>0</v>
      </c>
      <c r="AR68" s="39"/>
      <c r="AS68" s="1" t="s">
        <v>334</v>
      </c>
      <c r="AT68" s="1" t="s">
        <v>751</v>
      </c>
      <c r="AU68" s="1" t="s">
        <v>338</v>
      </c>
      <c r="AV68" s="1" t="s">
        <v>131</v>
      </c>
      <c r="AW68" s="1"/>
      <c r="AX68" s="1"/>
      <c r="AY68" s="1"/>
      <c r="AZ68" s="1"/>
      <c r="BA68" s="1" t="s">
        <v>551</v>
      </c>
      <c r="BB68" s="1" t="s">
        <v>0</v>
      </c>
      <c r="BC68" s="1"/>
      <c r="BD68" s="1"/>
    </row>
    <row r="69" ht="11.25" customHeight="1">
      <c r="A69" s="1" t="b">
        <v>1</v>
      </c>
      <c r="B69" s="1" t="s">
        <v>961</v>
      </c>
      <c r="C69" s="1" t="s">
        <v>962</v>
      </c>
      <c r="D69" s="1" t="s">
        <v>65</v>
      </c>
      <c r="E69" s="1"/>
      <c r="F69" s="1"/>
      <c r="G69" s="1" t="s">
        <v>220</v>
      </c>
      <c r="H69" s="1"/>
      <c r="I69" s="1" t="s">
        <v>942</v>
      </c>
      <c r="J69" s="1" t="s">
        <v>69</v>
      </c>
      <c r="K69" s="1" t="s">
        <v>107</v>
      </c>
      <c r="L69" s="1" t="s">
        <v>0</v>
      </c>
      <c r="M69" s="1" t="b">
        <v>1</v>
      </c>
      <c r="N69" s="1" t="b">
        <v>0</v>
      </c>
      <c r="O69" s="19">
        <v>900.0</v>
      </c>
      <c r="P69" s="20">
        <v>2.1</v>
      </c>
      <c r="Q69" s="20">
        <v>428.57</v>
      </c>
      <c r="R69" s="21">
        <v>0.6050353501178338</v>
      </c>
      <c r="S69" s="1" t="s">
        <v>117</v>
      </c>
      <c r="T69" s="1" t="s">
        <v>0</v>
      </c>
      <c r="U69" s="1" t="s">
        <v>81</v>
      </c>
      <c r="V69" s="1" t="s">
        <v>81</v>
      </c>
      <c r="W69" s="1" t="s">
        <v>0</v>
      </c>
      <c r="X69" s="1" t="s">
        <v>0</v>
      </c>
      <c r="Y69" s="22" t="str">
        <f t="shared" si="3"/>
        <v>CO</v>
      </c>
      <c r="Z69" s="20" t="str">
        <f>_xlfn.XLOOKUP($B69,[1]F27!$C:$C,[1]F27!$BV:$BV)</f>
        <v>#ERROR!</v>
      </c>
      <c r="AA69" s="1"/>
      <c r="AB69" s="1"/>
      <c r="AC69" s="23"/>
      <c r="AD69" s="1" t="str">
        <f>_xlfn.XLOOKUP($B69,[1]F27!$C:$C,[1]F27!$Y:$Y)</f>
        <v>#ERROR!</v>
      </c>
      <c r="AE69" s="1" t="str">
        <f>_xlfn.XLOOKUP($B69,[1]F27!$C:$C,[1]F27!$Z:$Z)</f>
        <v>#ERROR!</v>
      </c>
      <c r="AF69" s="1" t="str">
        <f>_xlfn.XLOOKUP($B69,[2]PRICING!$B:$B,[2]PRICING!$B:$B,"MISSING")</f>
        <v>#ERROR!</v>
      </c>
      <c r="AG69" s="1" t="str">
        <f>COUNTIFS([2]ACTIVE_SCO!$B:$B,$B69,[2]ACTIVE_SCO!$P:$P,"Y")</f>
        <v>#ERROR!</v>
      </c>
      <c r="AH69" s="1"/>
      <c r="AI69" s="37" t="s">
        <v>551</v>
      </c>
      <c r="AJ69" s="73" t="s">
        <v>949</v>
      </c>
      <c r="AK69" s="39" t="s">
        <v>551</v>
      </c>
      <c r="AL69" s="39" t="s">
        <v>0</v>
      </c>
      <c r="AM69" s="1" t="s">
        <v>125</v>
      </c>
      <c r="AN69" s="40" t="s">
        <v>127</v>
      </c>
      <c r="AO69" s="41" t="s">
        <v>125</v>
      </c>
      <c r="AP69" s="39"/>
      <c r="AQ69" s="40" t="s">
        <v>125</v>
      </c>
      <c r="AR69" s="39"/>
      <c r="AS69" s="1" t="s">
        <v>942</v>
      </c>
      <c r="AT69" s="1" t="s">
        <v>128</v>
      </c>
      <c r="AU69" s="1" t="s">
        <v>951</v>
      </c>
      <c r="AV69" s="1" t="s">
        <v>131</v>
      </c>
      <c r="AW69" s="1"/>
      <c r="AX69" s="1"/>
      <c r="AY69" s="1"/>
      <c r="AZ69" s="1"/>
      <c r="BA69" s="1" t="s">
        <v>551</v>
      </c>
      <c r="BB69" s="1" t="s">
        <v>0</v>
      </c>
      <c r="BC69" s="1"/>
      <c r="BD69" s="1"/>
    </row>
    <row r="70" ht="11.25" customHeight="1">
      <c r="A70" s="1" t="b">
        <v>1</v>
      </c>
      <c r="B70" s="1" t="s">
        <v>62</v>
      </c>
      <c r="C70" s="1" t="s">
        <v>64</v>
      </c>
      <c r="D70" s="1" t="s">
        <v>65</v>
      </c>
      <c r="E70" s="1"/>
      <c r="F70" s="1"/>
      <c r="G70" s="1" t="s">
        <v>66</v>
      </c>
      <c r="H70" s="1"/>
      <c r="I70" s="1" t="s">
        <v>68</v>
      </c>
      <c r="J70" s="1" t="s">
        <v>69</v>
      </c>
      <c r="K70" s="1" t="s">
        <v>70</v>
      </c>
      <c r="L70" s="1" t="s">
        <v>0</v>
      </c>
      <c r="M70" s="1" t="b">
        <v>1</v>
      </c>
      <c r="N70" s="1" t="b">
        <v>0</v>
      </c>
      <c r="O70" s="19">
        <v>3800.0</v>
      </c>
      <c r="P70" s="20">
        <v>2.1</v>
      </c>
      <c r="Q70" s="20">
        <v>1809.52</v>
      </c>
      <c r="R70" s="21">
        <v>0.6126320792254298</v>
      </c>
      <c r="S70" s="1" t="s">
        <v>78</v>
      </c>
      <c r="T70" s="1" t="s">
        <v>0</v>
      </c>
      <c r="U70" s="1" t="s">
        <v>80</v>
      </c>
      <c r="V70" s="1" t="s">
        <v>81</v>
      </c>
      <c r="W70" s="1" t="s">
        <v>0</v>
      </c>
      <c r="X70" s="1" t="s">
        <v>0</v>
      </c>
      <c r="Y70" s="22" t="str">
        <f t="shared" si="3"/>
        <v>CO</v>
      </c>
      <c r="Z70" s="20" t="str">
        <f>_xlfn.XLOOKUP($B70,[1]F27!$C:$C,[1]F27!$BV:$BV)</f>
        <v>#ERROR!</v>
      </c>
      <c r="AA70" s="1"/>
      <c r="AB70" s="1"/>
      <c r="AC70" s="23"/>
      <c r="AD70" s="1" t="str">
        <f>_xlfn.XLOOKUP($B70,[1]F27!$C:$C,[1]F27!$Y:$Y)</f>
        <v>#ERROR!</v>
      </c>
      <c r="AE70" s="1" t="str">
        <f>_xlfn.XLOOKUP($B70,[1]F27!$C:$C,[1]F27!$Z:$Z)</f>
        <v>#ERROR!</v>
      </c>
      <c r="AF70" s="1" t="str">
        <f>_xlfn.XLOOKUP($B70,[2]PRICING!$B:$B,[2]PRICING!$B:$B,"MISSING")</f>
        <v>#ERROR!</v>
      </c>
      <c r="AG70" s="1" t="str">
        <f>COUNTIFS([2]ACTIVE_SCO!$B:$B,$B70,[2]ACTIVE_SCO!$P:$P,"Y")</f>
        <v>#ERROR!</v>
      </c>
      <c r="AH70" s="1"/>
      <c r="AI70" s="37" t="s">
        <v>157</v>
      </c>
      <c r="AJ70" s="38" t="s">
        <v>970</v>
      </c>
      <c r="AK70" s="75" t="s">
        <v>0</v>
      </c>
      <c r="AL70" s="39" t="s">
        <v>294</v>
      </c>
      <c r="AM70" s="1" t="s">
        <v>86</v>
      </c>
      <c r="AN70" s="40" t="s">
        <v>87</v>
      </c>
      <c r="AO70" s="41" t="s">
        <v>86</v>
      </c>
      <c r="AP70" s="41" t="s">
        <v>169</v>
      </c>
      <c r="AQ70" s="1"/>
      <c r="AR70" s="39"/>
      <c r="AS70" s="1" t="s">
        <v>68</v>
      </c>
      <c r="AT70" s="1" t="s">
        <v>89</v>
      </c>
      <c r="AU70" s="1" t="s">
        <v>90</v>
      </c>
      <c r="AV70" s="1" t="s">
        <v>91</v>
      </c>
      <c r="AW70" s="1"/>
      <c r="AX70" s="1"/>
      <c r="AY70" s="1"/>
      <c r="AZ70" s="1"/>
      <c r="BA70" s="76" t="s">
        <v>0</v>
      </c>
      <c r="BB70" s="1" t="s">
        <v>294</v>
      </c>
      <c r="BC70" s="1"/>
      <c r="BD70" s="1"/>
    </row>
    <row r="71" ht="11.25" customHeight="1">
      <c r="A71" s="1" t="b">
        <v>1</v>
      </c>
      <c r="B71" s="1" t="s">
        <v>104</v>
      </c>
      <c r="C71" s="1" t="s">
        <v>105</v>
      </c>
      <c r="D71" s="1" t="s">
        <v>65</v>
      </c>
      <c r="E71" s="1"/>
      <c r="F71" s="1"/>
      <c r="G71" s="1" t="s">
        <v>66</v>
      </c>
      <c r="H71" s="1"/>
      <c r="I71" s="1" t="s">
        <v>68</v>
      </c>
      <c r="J71" s="1" t="s">
        <v>69</v>
      </c>
      <c r="K71" s="1" t="s">
        <v>107</v>
      </c>
      <c r="L71" s="1" t="s">
        <v>0</v>
      </c>
      <c r="M71" s="1" t="b">
        <v>1</v>
      </c>
      <c r="N71" s="1" t="b">
        <v>0</v>
      </c>
      <c r="O71" s="19">
        <v>3800.0</v>
      </c>
      <c r="P71" s="20">
        <v>2.1</v>
      </c>
      <c r="Q71" s="20">
        <v>1809.52</v>
      </c>
      <c r="R71" s="21">
        <v>0.6582629647641364</v>
      </c>
      <c r="S71" s="1" t="s">
        <v>78</v>
      </c>
      <c r="T71" s="1" t="s">
        <v>0</v>
      </c>
      <c r="U71" s="1" t="s">
        <v>80</v>
      </c>
      <c r="V71" s="1" t="s">
        <v>81</v>
      </c>
      <c r="W71" s="1" t="s">
        <v>0</v>
      </c>
      <c r="X71" s="1" t="s">
        <v>0</v>
      </c>
      <c r="Y71" s="22" t="str">
        <f t="shared" si="3"/>
        <v>CO</v>
      </c>
      <c r="Z71" s="20" t="str">
        <f>_xlfn.XLOOKUP($B71,[1]F27!$C:$C,[1]F27!$BV:$BV)</f>
        <v>#ERROR!</v>
      </c>
      <c r="AA71" s="1"/>
      <c r="AB71" s="1"/>
      <c r="AC71" s="23"/>
      <c r="AD71" s="1" t="str">
        <f>_xlfn.XLOOKUP($B71,[1]F27!$C:$C,[1]F27!$Y:$Y)</f>
        <v>#ERROR!</v>
      </c>
      <c r="AE71" s="1" t="str">
        <f>_xlfn.XLOOKUP($B71,[1]F27!$C:$C,[1]F27!$Z:$Z)</f>
        <v>#ERROR!</v>
      </c>
      <c r="AF71" s="1" t="str">
        <f>_xlfn.XLOOKUP($B71,[2]PRICING!$B:$B,[2]PRICING!$B:$B,"MISSING")</f>
        <v>#ERROR!</v>
      </c>
      <c r="AG71" s="1" t="str">
        <f>COUNTIFS([2]ACTIVE_SCO!$B:$B,$B71,[2]ACTIVE_SCO!$P:$P,"Y")</f>
        <v>#ERROR!</v>
      </c>
      <c r="AH71" s="1"/>
      <c r="AI71" s="37" t="s">
        <v>157</v>
      </c>
      <c r="AJ71" s="38" t="s">
        <v>979</v>
      </c>
      <c r="AK71" s="75" t="s">
        <v>0</v>
      </c>
      <c r="AL71" s="39" t="s">
        <v>294</v>
      </c>
      <c r="AM71" s="1" t="s">
        <v>86</v>
      </c>
      <c r="AN71" s="40" t="s">
        <v>87</v>
      </c>
      <c r="AO71" s="41" t="s">
        <v>86</v>
      </c>
      <c r="AP71" s="41" t="s">
        <v>169</v>
      </c>
      <c r="AQ71" s="1"/>
      <c r="AR71" s="39"/>
      <c r="AS71" s="1" t="s">
        <v>68</v>
      </c>
      <c r="AT71" s="1" t="s">
        <v>89</v>
      </c>
      <c r="AU71" s="1" t="s">
        <v>90</v>
      </c>
      <c r="AV71" s="1" t="s">
        <v>91</v>
      </c>
      <c r="AW71" s="1"/>
      <c r="AX71" s="1"/>
      <c r="AY71" s="1"/>
      <c r="AZ71" s="1"/>
      <c r="BA71" s="76" t="s">
        <v>0</v>
      </c>
      <c r="BB71" s="1" t="s">
        <v>294</v>
      </c>
      <c r="BC71" s="1"/>
      <c r="BD71" s="1"/>
    </row>
    <row r="72" ht="11.25" customHeight="1">
      <c r="A72" s="1" t="b">
        <v>1</v>
      </c>
      <c r="B72" s="1" t="s">
        <v>216</v>
      </c>
      <c r="C72" s="1" t="s">
        <v>217</v>
      </c>
      <c r="D72" s="1" t="s">
        <v>65</v>
      </c>
      <c r="E72" s="1"/>
      <c r="F72" s="1"/>
      <c r="G72" s="1" t="s">
        <v>220</v>
      </c>
      <c r="H72" s="1"/>
      <c r="I72" s="1" t="s">
        <v>68</v>
      </c>
      <c r="J72" s="1" t="s">
        <v>69</v>
      </c>
      <c r="K72" s="1" t="s">
        <v>70</v>
      </c>
      <c r="L72" s="1" t="s">
        <v>0</v>
      </c>
      <c r="M72" s="1" t="b">
        <v>1</v>
      </c>
      <c r="N72" s="1" t="b">
        <v>0</v>
      </c>
      <c r="O72" s="19">
        <v>4000.0</v>
      </c>
      <c r="P72" s="20">
        <v>2.1</v>
      </c>
      <c r="Q72" s="20">
        <v>1904.76</v>
      </c>
      <c r="R72" s="21">
        <v>0.5588368088368088</v>
      </c>
      <c r="S72" s="1" t="s">
        <v>117</v>
      </c>
      <c r="T72" s="1" t="s">
        <v>0</v>
      </c>
      <c r="U72" s="1" t="s">
        <v>166</v>
      </c>
      <c r="V72" s="1" t="s">
        <v>81</v>
      </c>
      <c r="W72" s="1" t="s">
        <v>0</v>
      </c>
      <c r="X72" s="1" t="s">
        <v>0</v>
      </c>
      <c r="Y72" s="22" t="str">
        <f t="shared" si="3"/>
        <v>CO</v>
      </c>
      <c r="Z72" s="20" t="str">
        <f>_xlfn.XLOOKUP($B72,[1]F27!$C:$C,[1]F27!$BV:$BV)</f>
        <v>#ERROR!</v>
      </c>
      <c r="AA72" s="1"/>
      <c r="AB72" s="1"/>
      <c r="AC72" s="23"/>
      <c r="AD72" s="1" t="str">
        <f>_xlfn.XLOOKUP($B72,[1]F27!$C:$C,[1]F27!$Y:$Y)</f>
        <v>#ERROR!</v>
      </c>
      <c r="AE72" s="1" t="str">
        <f>_xlfn.XLOOKUP($B72,[1]F27!$C:$C,[1]F27!$Z:$Z)</f>
        <v>#ERROR!</v>
      </c>
      <c r="AF72" s="1" t="str">
        <f>_xlfn.XLOOKUP($B72,[2]PRICING!$B:$B,[2]PRICING!$B:$B,"MISSING")</f>
        <v>#ERROR!</v>
      </c>
      <c r="AG72" s="1" t="str">
        <f>COUNTIFS([2]ACTIVE_SCO!$B:$B,$B72,[2]ACTIVE_SCO!$P:$P,"Y")</f>
        <v>#ERROR!</v>
      </c>
      <c r="AH72" s="1"/>
      <c r="AI72" s="37" t="s">
        <v>157</v>
      </c>
      <c r="AJ72" s="55" t="s">
        <v>989</v>
      </c>
      <c r="AK72" s="39" t="s">
        <v>366</v>
      </c>
      <c r="AL72" s="39" t="s">
        <v>0</v>
      </c>
      <c r="AM72" s="1" t="s">
        <v>226</v>
      </c>
      <c r="AN72" s="40" t="s">
        <v>227</v>
      </c>
      <c r="AO72" s="41" t="s">
        <v>226</v>
      </c>
      <c r="AP72" s="41" t="s">
        <v>227</v>
      </c>
      <c r="AQ72" s="40" t="s">
        <v>0</v>
      </c>
      <c r="AR72" s="39"/>
      <c r="AS72" s="1" t="s">
        <v>68</v>
      </c>
      <c r="AT72" s="1" t="s">
        <v>89</v>
      </c>
      <c r="AU72" s="1" t="s">
        <v>132</v>
      </c>
      <c r="AV72" s="1" t="s">
        <v>91</v>
      </c>
      <c r="AW72" s="1"/>
      <c r="AX72" s="1"/>
      <c r="AY72" s="1"/>
      <c r="AZ72" s="1"/>
      <c r="BA72" s="1" t="s">
        <v>366</v>
      </c>
      <c r="BB72" s="1" t="s">
        <v>0</v>
      </c>
      <c r="BC72" s="1"/>
      <c r="BD72" s="1"/>
    </row>
    <row r="73" ht="11.25" customHeight="1">
      <c r="A73" s="1" t="b">
        <v>1</v>
      </c>
      <c r="B73" s="1" t="s">
        <v>232</v>
      </c>
      <c r="C73" s="1" t="s">
        <v>233</v>
      </c>
      <c r="D73" s="1" t="s">
        <v>65</v>
      </c>
      <c r="E73" s="1"/>
      <c r="F73" s="1"/>
      <c r="G73" s="1" t="s">
        <v>220</v>
      </c>
      <c r="H73" s="1"/>
      <c r="I73" s="1" t="s">
        <v>68</v>
      </c>
      <c r="J73" s="1" t="s">
        <v>69</v>
      </c>
      <c r="K73" s="1" t="s">
        <v>107</v>
      </c>
      <c r="L73" s="1" t="s">
        <v>0</v>
      </c>
      <c r="M73" s="1" t="b">
        <v>1</v>
      </c>
      <c r="N73" s="1" t="b">
        <v>0</v>
      </c>
      <c r="O73" s="19">
        <v>4000.0</v>
      </c>
      <c r="P73" s="20">
        <v>2.1</v>
      </c>
      <c r="Q73" s="20">
        <v>1904.76</v>
      </c>
      <c r="R73" s="21">
        <v>0.5822150822150822</v>
      </c>
      <c r="S73" s="1" t="s">
        <v>117</v>
      </c>
      <c r="T73" s="1" t="s">
        <v>0</v>
      </c>
      <c r="U73" s="1" t="s">
        <v>166</v>
      </c>
      <c r="V73" s="1" t="s">
        <v>81</v>
      </c>
      <c r="W73" s="1" t="s">
        <v>0</v>
      </c>
      <c r="X73" s="1" t="s">
        <v>0</v>
      </c>
      <c r="Y73" s="22" t="str">
        <f t="shared" si="3"/>
        <v>CO</v>
      </c>
      <c r="Z73" s="20" t="str">
        <f>_xlfn.XLOOKUP($B73,[1]F27!$C:$C,[1]F27!$BV:$BV)</f>
        <v>#ERROR!</v>
      </c>
      <c r="AA73" s="1"/>
      <c r="AB73" s="1"/>
      <c r="AC73" s="23"/>
      <c r="AD73" s="1" t="str">
        <f>_xlfn.XLOOKUP($B73,[1]F27!$C:$C,[1]F27!$Y:$Y)</f>
        <v>#ERROR!</v>
      </c>
      <c r="AE73" s="1" t="str">
        <f>_xlfn.XLOOKUP($B73,[1]F27!$C:$C,[1]F27!$Z:$Z)</f>
        <v>#ERROR!</v>
      </c>
      <c r="AF73" s="1" t="str">
        <f>_xlfn.XLOOKUP($B73,[2]PRICING!$B:$B,[2]PRICING!$B:$B,"MISSING")</f>
        <v>#ERROR!</v>
      </c>
      <c r="AG73" s="1" t="str">
        <f>COUNTIFS([2]ACTIVE_SCO!$B:$B,$B73,[2]ACTIVE_SCO!$P:$P,"Y")</f>
        <v>#ERROR!</v>
      </c>
      <c r="AH73" s="1"/>
      <c r="AI73" s="37" t="s">
        <v>157</v>
      </c>
      <c r="AJ73" s="55" t="s">
        <v>999</v>
      </c>
      <c r="AK73" s="39" t="s">
        <v>366</v>
      </c>
      <c r="AL73" s="39" t="s">
        <v>0</v>
      </c>
      <c r="AM73" s="1" t="s">
        <v>226</v>
      </c>
      <c r="AN73" s="40" t="s">
        <v>227</v>
      </c>
      <c r="AO73" s="41" t="s">
        <v>226</v>
      </c>
      <c r="AP73" s="41" t="s">
        <v>227</v>
      </c>
      <c r="AQ73" s="40" t="s">
        <v>0</v>
      </c>
      <c r="AR73" s="39"/>
      <c r="AS73" s="1" t="s">
        <v>68</v>
      </c>
      <c r="AT73" s="1" t="s">
        <v>89</v>
      </c>
      <c r="AU73" s="1" t="s">
        <v>132</v>
      </c>
      <c r="AV73" s="1" t="s">
        <v>91</v>
      </c>
      <c r="AW73" s="1"/>
      <c r="AX73" s="1"/>
      <c r="AY73" s="1"/>
      <c r="AZ73" s="1"/>
      <c r="BA73" s="1" t="s">
        <v>366</v>
      </c>
      <c r="BB73" s="1" t="s">
        <v>0</v>
      </c>
      <c r="BC73" s="1"/>
      <c r="BD73" s="1"/>
    </row>
    <row r="74" ht="11.25" customHeight="1">
      <c r="A74" s="1" t="b">
        <v>0</v>
      </c>
      <c r="B74" s="1" t="s">
        <v>398</v>
      </c>
      <c r="C74" s="1" t="s">
        <v>918</v>
      </c>
      <c r="D74" s="1" t="s">
        <v>65</v>
      </c>
      <c r="E74" s="1"/>
      <c r="F74" s="1"/>
      <c r="G74" s="1" t="s">
        <v>66</v>
      </c>
      <c r="H74" s="1"/>
      <c r="I74" s="1" t="s">
        <v>68</v>
      </c>
      <c r="J74" s="1" t="s">
        <v>69</v>
      </c>
      <c r="K74" s="1" t="s">
        <v>70</v>
      </c>
      <c r="L74" s="1" t="s">
        <v>0</v>
      </c>
      <c r="M74" s="1" t="b">
        <v>1</v>
      </c>
      <c r="N74" s="1" t="b">
        <v>0</v>
      </c>
      <c r="O74" s="19">
        <v>2500.0</v>
      </c>
      <c r="P74" s="20">
        <v>2.1</v>
      </c>
      <c r="Q74" s="20">
        <v>1190.48</v>
      </c>
      <c r="R74" s="21">
        <v>0.6254787984678449</v>
      </c>
      <c r="S74" s="1" t="s">
        <v>78</v>
      </c>
      <c r="T74" s="1" t="s">
        <v>0</v>
      </c>
      <c r="U74" s="1" t="s">
        <v>166</v>
      </c>
      <c r="V74" s="1" t="s">
        <v>81</v>
      </c>
      <c r="W74" s="1" t="s">
        <v>0</v>
      </c>
      <c r="X74" s="1" t="s">
        <v>156</v>
      </c>
      <c r="Y74" s="22" t="str">
        <f t="shared" si="3"/>
        <v>CO</v>
      </c>
      <c r="Z74" s="20" t="str">
        <f>_xlfn.XLOOKUP($B74,[1]F27!$C:$C,[1]F27!$BV:$BV)</f>
        <v>#ERROR!</v>
      </c>
      <c r="AA74" s="1"/>
      <c r="AB74" s="1"/>
      <c r="AC74" s="23"/>
      <c r="AD74" s="1" t="str">
        <f>_xlfn.XLOOKUP($B74,[1]F27!$C:$C,[1]F27!$Y:$Y)</f>
        <v>#ERROR!</v>
      </c>
      <c r="AE74" s="1" t="str">
        <f>_xlfn.XLOOKUP($B74,[1]F27!$C:$C,[1]F27!$Z:$Z)</f>
        <v>#ERROR!</v>
      </c>
      <c r="AF74" s="1" t="str">
        <f>_xlfn.XLOOKUP($B74,[2]PRICING!$B:$B,[2]PRICING!$B:$B,"MISSING")</f>
        <v>#ERROR!</v>
      </c>
      <c r="AG74" s="1" t="str">
        <f>COUNTIFS([2]ACTIVE_SCO!$B:$B,$B74,[2]ACTIVE_SCO!$P:$P,"Y")</f>
        <v>#ERROR!</v>
      </c>
      <c r="AH74" s="1"/>
      <c r="AI74" s="1" t="s">
        <v>341</v>
      </c>
      <c r="AJ74" s="1"/>
      <c r="AK74" s="1"/>
      <c r="AL74" s="1"/>
      <c r="AM74" s="1"/>
      <c r="AN74" s="1"/>
      <c r="AO74" s="1"/>
      <c r="AP74" s="1"/>
      <c r="AQ74" s="40" t="s">
        <v>0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ht="11.25" customHeight="1">
      <c r="A75" s="1" t="b">
        <v>0</v>
      </c>
      <c r="B75" s="1" t="s">
        <v>405</v>
      </c>
      <c r="C75" s="1" t="s">
        <v>928</v>
      </c>
      <c r="D75" s="1" t="s">
        <v>65</v>
      </c>
      <c r="E75" s="1"/>
      <c r="F75" s="1"/>
      <c r="G75" s="1" t="s">
        <v>66</v>
      </c>
      <c r="H75" s="1"/>
      <c r="I75" s="1" t="s">
        <v>68</v>
      </c>
      <c r="J75" s="1" t="s">
        <v>69</v>
      </c>
      <c r="K75" s="1" t="s">
        <v>107</v>
      </c>
      <c r="L75" s="1" t="s">
        <v>0</v>
      </c>
      <c r="M75" s="1" t="b">
        <v>1</v>
      </c>
      <c r="N75" s="1" t="b">
        <v>0</v>
      </c>
      <c r="O75" s="19">
        <v>2500.0</v>
      </c>
      <c r="P75" s="20">
        <v>2.1</v>
      </c>
      <c r="Q75" s="20">
        <v>1190.48</v>
      </c>
      <c r="R75" s="21">
        <v>0.6506283179893824</v>
      </c>
      <c r="S75" s="1" t="s">
        <v>78</v>
      </c>
      <c r="T75" s="1" t="s">
        <v>0</v>
      </c>
      <c r="U75" s="1" t="s">
        <v>166</v>
      </c>
      <c r="V75" s="1" t="s">
        <v>81</v>
      </c>
      <c r="W75" s="1" t="s">
        <v>0</v>
      </c>
      <c r="X75" s="1" t="s">
        <v>156</v>
      </c>
      <c r="Y75" s="22" t="str">
        <f t="shared" si="3"/>
        <v>CO</v>
      </c>
      <c r="Z75" s="20" t="str">
        <f>_xlfn.XLOOKUP($B75,[1]F27!$C:$C,[1]F27!$BV:$BV)</f>
        <v>#ERROR!</v>
      </c>
      <c r="AA75" s="1"/>
      <c r="AB75" s="1"/>
      <c r="AC75" s="23"/>
      <c r="AD75" s="1" t="str">
        <f>_xlfn.XLOOKUP($B75,[1]F27!$C:$C,[1]F27!$Y:$Y)</f>
        <v>#ERROR!</v>
      </c>
      <c r="AE75" s="1" t="str">
        <f>_xlfn.XLOOKUP($B75,[1]F27!$C:$C,[1]F27!$Z:$Z)</f>
        <v>#ERROR!</v>
      </c>
      <c r="AF75" s="1" t="str">
        <f>_xlfn.XLOOKUP($B75,[2]PRICING!$B:$B,[2]PRICING!$B:$B,"MISSING")</f>
        <v>#ERROR!</v>
      </c>
      <c r="AG75" s="1" t="str">
        <f>COUNTIFS([2]ACTIVE_SCO!$B:$B,$B75,[2]ACTIVE_SCO!$P:$P,"Y")</f>
        <v>#ERROR!</v>
      </c>
      <c r="AH75" s="1"/>
      <c r="AI75" s="1" t="s">
        <v>341</v>
      </c>
      <c r="AJ75" s="1"/>
      <c r="AK75" s="1"/>
      <c r="AL75" s="1"/>
      <c r="AM75" s="1"/>
      <c r="AN75" s="1"/>
      <c r="AO75" s="1"/>
      <c r="AP75" s="1"/>
      <c r="AQ75" s="40" t="s">
        <v>0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ht="11.25" customHeight="1">
      <c r="A76" s="1" t="b">
        <v>1</v>
      </c>
      <c r="B76" s="1" t="s">
        <v>243</v>
      </c>
      <c r="C76" s="1" t="s">
        <v>244</v>
      </c>
      <c r="D76" s="1" t="s">
        <v>65</v>
      </c>
      <c r="E76" s="1"/>
      <c r="F76" s="1"/>
      <c r="G76" s="1" t="s">
        <v>220</v>
      </c>
      <c r="H76" s="1"/>
      <c r="I76" s="1" t="s">
        <v>68</v>
      </c>
      <c r="J76" s="1" t="s">
        <v>69</v>
      </c>
      <c r="K76" s="1" t="s">
        <v>70</v>
      </c>
      <c r="L76" s="1" t="s">
        <v>0</v>
      </c>
      <c r="M76" s="1" t="b">
        <v>1</v>
      </c>
      <c r="N76" s="1" t="b">
        <v>0</v>
      </c>
      <c r="O76" s="19">
        <v>3200.0</v>
      </c>
      <c r="P76" s="20">
        <v>2.1</v>
      </c>
      <c r="Q76" s="20">
        <v>1523.81</v>
      </c>
      <c r="R76" s="21">
        <v>0.567977635006989</v>
      </c>
      <c r="S76" s="1" t="s">
        <v>117</v>
      </c>
      <c r="T76" s="1" t="s">
        <v>0</v>
      </c>
      <c r="U76" s="1" t="s">
        <v>166</v>
      </c>
      <c r="V76" s="1" t="s">
        <v>81</v>
      </c>
      <c r="W76" s="1" t="s">
        <v>0</v>
      </c>
      <c r="X76" s="1" t="s">
        <v>0</v>
      </c>
      <c r="Y76" s="22" t="str">
        <f t="shared" si="3"/>
        <v>CO</v>
      </c>
      <c r="Z76" s="20" t="str">
        <f>_xlfn.XLOOKUP($B76,[1]F27!$C:$C,[1]F27!$BV:$BV)</f>
        <v>#ERROR!</v>
      </c>
      <c r="AA76" s="1"/>
      <c r="AB76" s="1"/>
      <c r="AC76" s="23"/>
      <c r="AD76" s="1" t="str">
        <f>_xlfn.XLOOKUP($B76,[1]F27!$C:$C,[1]F27!$Y:$Y)</f>
        <v>#ERROR!</v>
      </c>
      <c r="AE76" s="1" t="str">
        <f>_xlfn.XLOOKUP($B76,[1]F27!$C:$C,[1]F27!$Z:$Z)</f>
        <v>#ERROR!</v>
      </c>
      <c r="AF76" s="1" t="str">
        <f>_xlfn.XLOOKUP($B76,[2]PRICING!$B:$B,[2]PRICING!$B:$B,"MISSING")</f>
        <v>#ERROR!</v>
      </c>
      <c r="AG76" s="1" t="str">
        <f>COUNTIFS([2]ACTIVE_SCO!$B:$B,$B76,[2]ACTIVE_SCO!$P:$P,"Y")</f>
        <v>#ERROR!</v>
      </c>
      <c r="AH76" s="1"/>
      <c r="AI76" s="37" t="s">
        <v>157</v>
      </c>
      <c r="AJ76" s="55" t="s">
        <v>1040</v>
      </c>
      <c r="AK76" s="39" t="s">
        <v>366</v>
      </c>
      <c r="AL76" s="39" t="s">
        <v>0</v>
      </c>
      <c r="AM76" s="1" t="s">
        <v>226</v>
      </c>
      <c r="AN76" s="40" t="s">
        <v>227</v>
      </c>
      <c r="AO76" s="41" t="s">
        <v>226</v>
      </c>
      <c r="AP76" s="41" t="s">
        <v>227</v>
      </c>
      <c r="AQ76" s="40" t="s">
        <v>0</v>
      </c>
      <c r="AR76" s="39"/>
      <c r="AS76" s="1" t="s">
        <v>68</v>
      </c>
      <c r="AT76" s="1" t="s">
        <v>128</v>
      </c>
      <c r="AU76" s="1" t="s">
        <v>132</v>
      </c>
      <c r="AV76" s="1" t="s">
        <v>91</v>
      </c>
      <c r="AW76" s="1"/>
      <c r="AX76" s="1"/>
      <c r="AY76" s="1"/>
      <c r="AZ76" s="1"/>
      <c r="BA76" s="1" t="s">
        <v>366</v>
      </c>
      <c r="BB76" s="1" t="s">
        <v>0</v>
      </c>
      <c r="BC76" s="1"/>
      <c r="BD76" s="1"/>
    </row>
    <row r="77" ht="11.25" customHeight="1">
      <c r="A77" s="1" t="b">
        <v>1</v>
      </c>
      <c r="B77" s="1" t="s">
        <v>260</v>
      </c>
      <c r="C77" s="1" t="s">
        <v>261</v>
      </c>
      <c r="D77" s="1" t="s">
        <v>65</v>
      </c>
      <c r="E77" s="1"/>
      <c r="F77" s="1"/>
      <c r="G77" s="1" t="s">
        <v>220</v>
      </c>
      <c r="H77" s="1"/>
      <c r="I77" s="1" t="s">
        <v>68</v>
      </c>
      <c r="J77" s="1" t="s">
        <v>69</v>
      </c>
      <c r="K77" s="1" t="s">
        <v>107</v>
      </c>
      <c r="L77" s="1" t="s">
        <v>0</v>
      </c>
      <c r="M77" s="1" t="b">
        <v>1</v>
      </c>
      <c r="N77" s="1" t="b">
        <v>0</v>
      </c>
      <c r="O77" s="19">
        <v>3200.0</v>
      </c>
      <c r="P77" s="20">
        <v>2.1</v>
      </c>
      <c r="Q77" s="20">
        <v>1523.81</v>
      </c>
      <c r="R77" s="21">
        <v>0.5766860697856032</v>
      </c>
      <c r="S77" s="1" t="s">
        <v>117</v>
      </c>
      <c r="T77" s="1" t="s">
        <v>0</v>
      </c>
      <c r="U77" s="1" t="s">
        <v>166</v>
      </c>
      <c r="V77" s="1" t="s">
        <v>81</v>
      </c>
      <c r="W77" s="1" t="s">
        <v>0</v>
      </c>
      <c r="X77" s="1" t="s">
        <v>0</v>
      </c>
      <c r="Y77" s="22" t="str">
        <f t="shared" si="3"/>
        <v>CO</v>
      </c>
      <c r="Z77" s="20" t="str">
        <f>_xlfn.XLOOKUP($B77,[1]F27!$C:$C,[1]F27!$BV:$BV)</f>
        <v>#ERROR!</v>
      </c>
      <c r="AA77" s="1"/>
      <c r="AB77" s="1"/>
      <c r="AC77" s="23"/>
      <c r="AD77" s="1" t="str">
        <f>_xlfn.XLOOKUP($B77,[1]F27!$C:$C,[1]F27!$Y:$Y)</f>
        <v>#ERROR!</v>
      </c>
      <c r="AE77" s="1" t="str">
        <f>_xlfn.XLOOKUP($B77,[1]F27!$C:$C,[1]F27!$Z:$Z)</f>
        <v>#ERROR!</v>
      </c>
      <c r="AF77" s="1" t="str">
        <f>_xlfn.XLOOKUP($B77,[2]PRICING!$B:$B,[2]PRICING!$B:$B,"MISSING")</f>
        <v>#ERROR!</v>
      </c>
      <c r="AG77" s="1" t="str">
        <f>COUNTIFS([2]ACTIVE_SCO!$B:$B,$B77,[2]ACTIVE_SCO!$P:$P,"Y")</f>
        <v>#ERROR!</v>
      </c>
      <c r="AH77" s="1"/>
      <c r="AI77" s="37" t="s">
        <v>157</v>
      </c>
      <c r="AJ77" s="55" t="s">
        <v>1050</v>
      </c>
      <c r="AK77" s="39" t="s">
        <v>366</v>
      </c>
      <c r="AL77" s="39" t="s">
        <v>0</v>
      </c>
      <c r="AM77" s="1" t="s">
        <v>226</v>
      </c>
      <c r="AN77" s="40" t="s">
        <v>227</v>
      </c>
      <c r="AO77" s="41" t="s">
        <v>226</v>
      </c>
      <c r="AP77" s="41" t="s">
        <v>227</v>
      </c>
      <c r="AQ77" s="40" t="s">
        <v>0</v>
      </c>
      <c r="AR77" s="39"/>
      <c r="AS77" s="1" t="s">
        <v>68</v>
      </c>
      <c r="AT77" s="1" t="s">
        <v>128</v>
      </c>
      <c r="AU77" s="1" t="s">
        <v>132</v>
      </c>
      <c r="AV77" s="1" t="s">
        <v>91</v>
      </c>
      <c r="AW77" s="1"/>
      <c r="AX77" s="1"/>
      <c r="AY77" s="1"/>
      <c r="AZ77" s="1"/>
      <c r="BA77" s="1" t="s">
        <v>366</v>
      </c>
      <c r="BB77" s="1" t="s">
        <v>0</v>
      </c>
      <c r="BC77" s="1"/>
      <c r="BD77" s="1"/>
    </row>
    <row r="78" ht="11.25" customHeight="1">
      <c r="A78" s="1" t="b">
        <v>0</v>
      </c>
      <c r="B78" s="1" t="s">
        <v>415</v>
      </c>
      <c r="C78" s="1" t="s">
        <v>416</v>
      </c>
      <c r="D78" s="1" t="s">
        <v>65</v>
      </c>
      <c r="E78" s="1"/>
      <c r="F78" s="1"/>
      <c r="G78" s="1" t="s">
        <v>66</v>
      </c>
      <c r="H78" s="1"/>
      <c r="I78" s="1" t="s">
        <v>68</v>
      </c>
      <c r="J78" s="1" t="s">
        <v>141</v>
      </c>
      <c r="K78" s="1" t="s">
        <v>70</v>
      </c>
      <c r="L78" s="1" t="s">
        <v>0</v>
      </c>
      <c r="M78" s="1" t="b">
        <v>1</v>
      </c>
      <c r="N78" s="1" t="b">
        <v>0</v>
      </c>
      <c r="O78" s="19">
        <v>2800.0</v>
      </c>
      <c r="P78" s="20">
        <v>2.1</v>
      </c>
      <c r="Q78" s="20">
        <v>1333.33</v>
      </c>
      <c r="R78" s="21">
        <v>0.5779064447661119</v>
      </c>
      <c r="S78" s="1" t="s">
        <v>117</v>
      </c>
      <c r="T78" s="1" t="s">
        <v>0</v>
      </c>
      <c r="U78" s="1" t="s">
        <v>80</v>
      </c>
      <c r="V78" s="1" t="s">
        <v>81</v>
      </c>
      <c r="W78" s="1" t="s">
        <v>0</v>
      </c>
      <c r="X78" s="1" t="s">
        <v>156</v>
      </c>
      <c r="Y78" s="22" t="str">
        <f t="shared" si="3"/>
        <v>CO</v>
      </c>
      <c r="Z78" s="20" t="str">
        <f>_xlfn.XLOOKUP($B78,[1]F27!$C:$C,[1]F27!$BV:$BV)</f>
        <v>#ERROR!</v>
      </c>
      <c r="AA78" s="1"/>
      <c r="AB78" s="1"/>
      <c r="AC78" s="23"/>
      <c r="AD78" s="1" t="str">
        <f>_xlfn.XLOOKUP($B78,[1]F27!$C:$C,[1]F27!$Y:$Y)</f>
        <v>#ERROR!</v>
      </c>
      <c r="AE78" s="1" t="str">
        <f>_xlfn.XLOOKUP($B78,[1]F27!$C:$C,[1]F27!$Z:$Z)</f>
        <v>#ERROR!</v>
      </c>
      <c r="AF78" s="1" t="str">
        <f>_xlfn.XLOOKUP($B78,[2]PRICING!$B:$B,[2]PRICING!$B:$B,"MISSING")</f>
        <v>#ERROR!</v>
      </c>
      <c r="AG78" s="1" t="str">
        <f>COUNTIFS([2]ACTIVE_SCO!$B:$B,$B78,[2]ACTIVE_SCO!$P:$P,"Y")</f>
        <v>#ERROR!</v>
      </c>
      <c r="AH78" s="1"/>
      <c r="AI78" s="1" t="s">
        <v>341</v>
      </c>
      <c r="AJ78" s="1"/>
      <c r="AK78" s="1"/>
      <c r="AL78" s="1"/>
      <c r="AM78" s="1"/>
      <c r="AN78" s="1"/>
      <c r="AO78" s="1"/>
      <c r="AP78" s="1"/>
      <c r="AQ78" s="40" t="s">
        <v>0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ht="11.25" customHeight="1">
      <c r="A79" s="1" t="b">
        <v>0</v>
      </c>
      <c r="B79" s="1" t="s">
        <v>422</v>
      </c>
      <c r="C79" s="1" t="s">
        <v>423</v>
      </c>
      <c r="D79" s="1" t="s">
        <v>65</v>
      </c>
      <c r="E79" s="1"/>
      <c r="F79" s="1"/>
      <c r="G79" s="1" t="s">
        <v>66</v>
      </c>
      <c r="H79" s="1"/>
      <c r="I79" s="1" t="s">
        <v>68</v>
      </c>
      <c r="J79" s="1" t="s">
        <v>141</v>
      </c>
      <c r="K79" s="1" t="s">
        <v>107</v>
      </c>
      <c r="L79" s="1" t="s">
        <v>0</v>
      </c>
      <c r="M79" s="1" t="b">
        <v>1</v>
      </c>
      <c r="N79" s="1" t="b">
        <v>0</v>
      </c>
      <c r="O79" s="19">
        <v>2800.0</v>
      </c>
      <c r="P79" s="20">
        <v>2.1</v>
      </c>
      <c r="Q79" s="20">
        <v>1333.33</v>
      </c>
      <c r="R79" s="21">
        <v>0.6021840054600136</v>
      </c>
      <c r="S79" s="1" t="s">
        <v>117</v>
      </c>
      <c r="T79" s="1" t="s">
        <v>0</v>
      </c>
      <c r="U79" s="1" t="s">
        <v>80</v>
      </c>
      <c r="V79" s="1" t="s">
        <v>81</v>
      </c>
      <c r="W79" s="1" t="s">
        <v>0</v>
      </c>
      <c r="X79" s="1" t="s">
        <v>156</v>
      </c>
      <c r="Y79" s="22" t="str">
        <f t="shared" si="3"/>
        <v>CO</v>
      </c>
      <c r="Z79" s="20" t="str">
        <f>_xlfn.XLOOKUP($B79,[1]F27!$C:$C,[1]F27!$BV:$BV)</f>
        <v>#ERROR!</v>
      </c>
      <c r="AA79" s="1"/>
      <c r="AB79" s="1"/>
      <c r="AC79" s="23"/>
      <c r="AD79" s="1" t="str">
        <f>_xlfn.XLOOKUP($B79,[1]F27!$C:$C,[1]F27!$Y:$Y)</f>
        <v>#ERROR!</v>
      </c>
      <c r="AE79" s="1" t="str">
        <f>_xlfn.XLOOKUP($B79,[1]F27!$C:$C,[1]F27!$Z:$Z)</f>
        <v>#ERROR!</v>
      </c>
      <c r="AF79" s="1" t="str">
        <f>_xlfn.XLOOKUP($B79,[2]PRICING!$B:$B,[2]PRICING!$B:$B,"MISSING")</f>
        <v>#ERROR!</v>
      </c>
      <c r="AG79" s="1" t="str">
        <f>COUNTIFS([2]ACTIVE_SCO!$B:$B,$B79,[2]ACTIVE_SCO!$P:$P,"Y")</f>
        <v>#ERROR!</v>
      </c>
      <c r="AH79" s="1"/>
      <c r="AI79" s="1" t="s">
        <v>341</v>
      </c>
      <c r="AJ79" s="1"/>
      <c r="AK79" s="1"/>
      <c r="AL79" s="1"/>
      <c r="AM79" s="1"/>
      <c r="AN79" s="1"/>
      <c r="AO79" s="1"/>
      <c r="AP79" s="1"/>
      <c r="AQ79" s="40" t="s">
        <v>0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ht="11.25" customHeight="1">
      <c r="A80" s="1" t="b">
        <v>1</v>
      </c>
      <c r="B80" s="1" t="s">
        <v>1070</v>
      </c>
      <c r="C80" s="1" t="s">
        <v>1072</v>
      </c>
      <c r="D80" s="1" t="s">
        <v>65</v>
      </c>
      <c r="E80" s="1"/>
      <c r="F80" s="1"/>
      <c r="G80" s="1" t="s">
        <v>220</v>
      </c>
      <c r="H80" s="1"/>
      <c r="I80" s="1" t="s">
        <v>942</v>
      </c>
      <c r="J80" s="1" t="s">
        <v>69</v>
      </c>
      <c r="K80" s="1" t="s">
        <v>70</v>
      </c>
      <c r="L80" s="1" t="s">
        <v>0</v>
      </c>
      <c r="M80" s="1" t="b">
        <v>1</v>
      </c>
      <c r="N80" s="1" t="b">
        <v>0</v>
      </c>
      <c r="O80" s="19">
        <v>1300.0</v>
      </c>
      <c r="P80" s="20">
        <v>2.1</v>
      </c>
      <c r="Q80" s="20">
        <v>619.05</v>
      </c>
      <c r="R80" s="21">
        <v>0.5270979727001049</v>
      </c>
      <c r="S80" s="1" t="s">
        <v>117</v>
      </c>
      <c r="T80" s="1" t="s">
        <v>0</v>
      </c>
      <c r="U80" s="1" t="s">
        <v>81</v>
      </c>
      <c r="V80" s="1" t="s">
        <v>81</v>
      </c>
      <c r="W80" s="1" t="s">
        <v>0</v>
      </c>
      <c r="X80" s="1" t="s">
        <v>0</v>
      </c>
      <c r="Y80" s="22" t="str">
        <f t="shared" si="3"/>
        <v>CO</v>
      </c>
      <c r="Z80" s="20" t="str">
        <f>_xlfn.XLOOKUP($B80,[1]F27!$C:$C,[1]F27!$BV:$BV)</f>
        <v>#ERROR!</v>
      </c>
      <c r="AA80" s="1"/>
      <c r="AB80" s="1"/>
      <c r="AC80" s="23"/>
      <c r="AD80" s="1" t="str">
        <f>_xlfn.XLOOKUP($B80,[1]F27!$C:$C,[1]F27!$Y:$Y)</f>
        <v>#ERROR!</v>
      </c>
      <c r="AE80" s="1" t="str">
        <f>_xlfn.XLOOKUP($B80,[1]F27!$C:$C,[1]F27!$Z:$Z)</f>
        <v>#ERROR!</v>
      </c>
      <c r="AF80" s="1" t="str">
        <f>_xlfn.XLOOKUP($B80,[2]PRICING!$B:$B,[2]PRICING!$B:$B,"MISSING")</f>
        <v>#ERROR!</v>
      </c>
      <c r="AG80" s="1" t="str">
        <f>COUNTIFS([2]ACTIVE_SCO!$B:$B,$B80,[2]ACTIVE_SCO!$P:$P,"Y")</f>
        <v>#ERROR!</v>
      </c>
      <c r="AH80" s="1"/>
      <c r="AI80" s="37" t="s">
        <v>551</v>
      </c>
      <c r="AJ80" s="73" t="s">
        <v>949</v>
      </c>
      <c r="AK80" s="39" t="s">
        <v>551</v>
      </c>
      <c r="AL80" s="39" t="s">
        <v>0</v>
      </c>
      <c r="AM80" s="1" t="s">
        <v>125</v>
      </c>
      <c r="AN80" s="40" t="s">
        <v>127</v>
      </c>
      <c r="AO80" s="41" t="s">
        <v>125</v>
      </c>
      <c r="AP80" s="39"/>
      <c r="AQ80" s="40" t="s">
        <v>125</v>
      </c>
      <c r="AR80" s="54"/>
      <c r="AS80" s="1" t="s">
        <v>942</v>
      </c>
      <c r="AT80" s="1" t="s">
        <v>751</v>
      </c>
      <c r="AU80" s="1" t="s">
        <v>951</v>
      </c>
      <c r="AV80" s="1" t="s">
        <v>131</v>
      </c>
      <c r="AW80" s="1"/>
      <c r="AX80" s="1"/>
      <c r="AY80" s="1"/>
      <c r="AZ80" s="1"/>
      <c r="BA80" s="1" t="s">
        <v>551</v>
      </c>
      <c r="BB80" s="1" t="s">
        <v>0</v>
      </c>
      <c r="BC80" s="1"/>
      <c r="BD80" s="1"/>
    </row>
    <row r="81" ht="11.25" customHeight="1">
      <c r="A81" s="1" t="b">
        <v>1</v>
      </c>
      <c r="B81" s="1" t="s">
        <v>490</v>
      </c>
      <c r="C81" s="1" t="s">
        <v>491</v>
      </c>
      <c r="D81" s="1" t="s">
        <v>65</v>
      </c>
      <c r="E81" s="1"/>
      <c r="F81" s="1"/>
      <c r="G81" s="1" t="s">
        <v>66</v>
      </c>
      <c r="H81" s="1"/>
      <c r="I81" s="1" t="s">
        <v>126</v>
      </c>
      <c r="J81" s="1" t="s">
        <v>69</v>
      </c>
      <c r="K81" s="1" t="s">
        <v>70</v>
      </c>
      <c r="L81" s="1" t="s">
        <v>0</v>
      </c>
      <c r="M81" s="1" t="b">
        <v>1</v>
      </c>
      <c r="N81" s="1" t="b">
        <v>0</v>
      </c>
      <c r="O81" s="19">
        <v>1800.0</v>
      </c>
      <c r="P81" s="20">
        <v>2.1</v>
      </c>
      <c r="Q81" s="20">
        <v>857.14</v>
      </c>
      <c r="R81" s="21">
        <v>0.7256340854469515</v>
      </c>
      <c r="S81" s="1" t="s">
        <v>78</v>
      </c>
      <c r="T81" s="1" t="s">
        <v>0</v>
      </c>
      <c r="U81" s="1" t="s">
        <v>81</v>
      </c>
      <c r="V81" s="1" t="s">
        <v>81</v>
      </c>
      <c r="W81" s="1" t="s">
        <v>0</v>
      </c>
      <c r="X81" s="1" t="s">
        <v>0</v>
      </c>
      <c r="Y81" s="22" t="str">
        <f t="shared" si="3"/>
        <v>CO</v>
      </c>
      <c r="Z81" s="20" t="str">
        <f>_xlfn.XLOOKUP($B81,[1]F27!$C:$C,[1]F27!$BV:$BV)</f>
        <v>#ERROR!</v>
      </c>
      <c r="AA81" s="1"/>
      <c r="AB81" s="1"/>
      <c r="AC81" s="23"/>
      <c r="AD81" s="1" t="str">
        <f>_xlfn.XLOOKUP($B81,[1]F27!$C:$C,[1]F27!$Y:$Y)</f>
        <v>#ERROR!</v>
      </c>
      <c r="AE81" s="1" t="str">
        <f>_xlfn.XLOOKUP($B81,[1]F27!$C:$C,[1]F27!$Z:$Z)</f>
        <v>#ERROR!</v>
      </c>
      <c r="AF81" s="1" t="str">
        <f>_xlfn.XLOOKUP($B81,[2]PRICING!$B:$B,[2]PRICING!$B:$B,"MISSING")</f>
        <v>#ERROR!</v>
      </c>
      <c r="AG81" s="1" t="str">
        <f>COUNTIFS([2]ACTIVE_SCO!$B:$B,$B81,[2]ACTIVE_SCO!$P:$P,"Y")</f>
        <v>#ERROR!</v>
      </c>
      <c r="AH81" s="1"/>
      <c r="AI81" s="37" t="s">
        <v>157</v>
      </c>
      <c r="AJ81" s="38" t="s">
        <v>1086</v>
      </c>
      <c r="AK81" s="39" t="s">
        <v>60</v>
      </c>
      <c r="AL81" s="39" t="s">
        <v>0</v>
      </c>
      <c r="AM81" s="1" t="s">
        <v>86</v>
      </c>
      <c r="AN81" s="40" t="s">
        <v>87</v>
      </c>
      <c r="AO81" s="41" t="s">
        <v>86</v>
      </c>
      <c r="AP81" s="41" t="s">
        <v>169</v>
      </c>
      <c r="AQ81" s="40" t="s">
        <v>0</v>
      </c>
      <c r="AR81" s="39"/>
      <c r="AS81" s="1" t="s">
        <v>126</v>
      </c>
      <c r="AT81" s="1" t="s">
        <v>161</v>
      </c>
      <c r="AU81" s="1" t="s">
        <v>130</v>
      </c>
      <c r="AV81" s="1" t="s">
        <v>131</v>
      </c>
      <c r="AW81" s="1"/>
      <c r="AX81" s="1"/>
      <c r="AY81" s="1"/>
      <c r="AZ81" s="1"/>
      <c r="BA81" s="1" t="s">
        <v>60</v>
      </c>
      <c r="BB81" s="1" t="s">
        <v>0</v>
      </c>
      <c r="BC81" s="1"/>
      <c r="BD81" s="1"/>
    </row>
    <row r="82" ht="11.25" customHeight="1">
      <c r="A82" s="1" t="b">
        <v>1</v>
      </c>
      <c r="B82" s="1" t="s">
        <v>492</v>
      </c>
      <c r="C82" s="1" t="s">
        <v>493</v>
      </c>
      <c r="D82" s="1" t="s">
        <v>65</v>
      </c>
      <c r="E82" s="1"/>
      <c r="F82" s="1"/>
      <c r="G82" s="1" t="s">
        <v>66</v>
      </c>
      <c r="H82" s="1"/>
      <c r="I82" s="1" t="s">
        <v>126</v>
      </c>
      <c r="J82" s="1" t="s">
        <v>69</v>
      </c>
      <c r="K82" s="1" t="s">
        <v>107</v>
      </c>
      <c r="L82" s="1" t="s">
        <v>0</v>
      </c>
      <c r="M82" s="1" t="b">
        <v>1</v>
      </c>
      <c r="N82" s="1" t="b">
        <v>0</v>
      </c>
      <c r="O82" s="19">
        <v>1800.0</v>
      </c>
      <c r="P82" s="20">
        <v>2.1</v>
      </c>
      <c r="Q82" s="20">
        <v>857.14</v>
      </c>
      <c r="R82" s="21">
        <v>0.7422008073360244</v>
      </c>
      <c r="S82" s="1" t="s">
        <v>78</v>
      </c>
      <c r="T82" s="1" t="s">
        <v>0</v>
      </c>
      <c r="U82" s="1" t="s">
        <v>81</v>
      </c>
      <c r="V82" s="1" t="s">
        <v>81</v>
      </c>
      <c r="W82" s="1" t="s">
        <v>0</v>
      </c>
      <c r="X82" s="1" t="s">
        <v>0</v>
      </c>
      <c r="Y82" s="22" t="str">
        <f t="shared" si="3"/>
        <v>CO</v>
      </c>
      <c r="Z82" s="20" t="str">
        <f>_xlfn.XLOOKUP($B82,[1]F27!$C:$C,[1]F27!$BV:$BV)</f>
        <v>#ERROR!</v>
      </c>
      <c r="AA82" s="1"/>
      <c r="AB82" s="1"/>
      <c r="AC82" s="23"/>
      <c r="AD82" s="1" t="str">
        <f>_xlfn.XLOOKUP($B82,[1]F27!$C:$C,[1]F27!$Y:$Y)</f>
        <v>#ERROR!</v>
      </c>
      <c r="AE82" s="1" t="str">
        <f>_xlfn.XLOOKUP($B82,[1]F27!$C:$C,[1]F27!$Z:$Z)</f>
        <v>#ERROR!</v>
      </c>
      <c r="AF82" s="1" t="str">
        <f>_xlfn.XLOOKUP($B82,[2]PRICING!$B:$B,[2]PRICING!$B:$B,"MISSING")</f>
        <v>#ERROR!</v>
      </c>
      <c r="AG82" s="1" t="str">
        <f>COUNTIFS([2]ACTIVE_SCO!$B:$B,$B82,[2]ACTIVE_SCO!$P:$P,"Y")</f>
        <v>#ERROR!</v>
      </c>
      <c r="AH82" s="1"/>
      <c r="AI82" s="37" t="s">
        <v>157</v>
      </c>
      <c r="AJ82" s="38" t="s">
        <v>1095</v>
      </c>
      <c r="AK82" s="39" t="s">
        <v>60</v>
      </c>
      <c r="AL82" s="39" t="s">
        <v>0</v>
      </c>
      <c r="AM82" s="1" t="s">
        <v>86</v>
      </c>
      <c r="AN82" s="40" t="s">
        <v>87</v>
      </c>
      <c r="AO82" s="41" t="s">
        <v>86</v>
      </c>
      <c r="AP82" s="41" t="s">
        <v>169</v>
      </c>
      <c r="AQ82" s="40" t="s">
        <v>0</v>
      </c>
      <c r="AR82" s="39"/>
      <c r="AS82" s="1" t="s">
        <v>126</v>
      </c>
      <c r="AT82" s="1" t="s">
        <v>161</v>
      </c>
      <c r="AU82" s="1" t="s">
        <v>130</v>
      </c>
      <c r="AV82" s="1" t="s">
        <v>131</v>
      </c>
      <c r="AW82" s="1"/>
      <c r="AX82" s="1"/>
      <c r="AY82" s="1"/>
      <c r="AZ82" s="1"/>
      <c r="BA82" s="1" t="s">
        <v>60</v>
      </c>
      <c r="BB82" s="1" t="s">
        <v>0</v>
      </c>
      <c r="BC82" s="1"/>
      <c r="BD82" s="1"/>
    </row>
    <row r="83" ht="11.25" customHeight="1">
      <c r="A83" s="1" t="b">
        <v>1</v>
      </c>
      <c r="B83" s="1" t="s">
        <v>736</v>
      </c>
      <c r="C83" s="1" t="s">
        <v>737</v>
      </c>
      <c r="D83" s="1" t="s">
        <v>65</v>
      </c>
      <c r="E83" s="1"/>
      <c r="F83" s="1"/>
      <c r="G83" s="1" t="s">
        <v>66</v>
      </c>
      <c r="H83" s="1"/>
      <c r="I83" s="1" t="s">
        <v>68</v>
      </c>
      <c r="J83" s="1" t="s">
        <v>69</v>
      </c>
      <c r="K83" s="1" t="s">
        <v>70</v>
      </c>
      <c r="L83" s="1" t="s">
        <v>0</v>
      </c>
      <c r="M83" s="1" t="b">
        <v>1</v>
      </c>
      <c r="N83" s="1" t="b">
        <v>0</v>
      </c>
      <c r="O83" s="19">
        <v>1300.0</v>
      </c>
      <c r="P83" s="20">
        <v>2.1</v>
      </c>
      <c r="Q83" s="20">
        <v>619.05</v>
      </c>
      <c r="R83" s="21">
        <v>0.6465228979888539</v>
      </c>
      <c r="S83" s="1" t="s">
        <v>117</v>
      </c>
      <c r="T83" s="1" t="s">
        <v>0</v>
      </c>
      <c r="U83" s="1" t="s">
        <v>81</v>
      </c>
      <c r="V83" s="1" t="s">
        <v>81</v>
      </c>
      <c r="W83" s="1" t="s">
        <v>0</v>
      </c>
      <c r="X83" s="1" t="s">
        <v>0</v>
      </c>
      <c r="Y83" s="22" t="str">
        <f t="shared" si="3"/>
        <v>CO</v>
      </c>
      <c r="Z83" s="20" t="str">
        <f>_xlfn.XLOOKUP($B83,[1]F27!$C:$C,[1]F27!$BV:$BV)</f>
        <v>#ERROR!</v>
      </c>
      <c r="AA83" s="1"/>
      <c r="AB83" s="1"/>
      <c r="AC83" s="23"/>
      <c r="AD83" s="1" t="str">
        <f>_xlfn.XLOOKUP($B83,[1]F27!$C:$C,[1]F27!$Y:$Y)</f>
        <v>#ERROR!</v>
      </c>
      <c r="AE83" s="1" t="str">
        <f>_xlfn.XLOOKUP($B83,[1]F27!$C:$C,[1]F27!$Z:$Z)</f>
        <v>#ERROR!</v>
      </c>
      <c r="AF83" s="1" t="str">
        <f>_xlfn.XLOOKUP($B83,[2]PRICING!$B:$B,[2]PRICING!$B:$B,"MISSING")</f>
        <v>#ERROR!</v>
      </c>
      <c r="AG83" s="1" t="str">
        <f>COUNTIFS([2]ACTIVE_SCO!$B:$B,$B83,[2]ACTIVE_SCO!$P:$P,"Y")</f>
        <v>#ERROR!</v>
      </c>
      <c r="AH83" s="1"/>
      <c r="AI83" s="37" t="s">
        <v>157</v>
      </c>
      <c r="AJ83" s="38" t="s">
        <v>1106</v>
      </c>
      <c r="AK83" s="39" t="s">
        <v>60</v>
      </c>
      <c r="AL83" s="39" t="s">
        <v>0</v>
      </c>
      <c r="AM83" s="1" t="s">
        <v>86</v>
      </c>
      <c r="AN83" s="40" t="s">
        <v>87</v>
      </c>
      <c r="AO83" s="41" t="s">
        <v>86</v>
      </c>
      <c r="AP83" s="41" t="s">
        <v>169</v>
      </c>
      <c r="AQ83" s="40" t="s">
        <v>0</v>
      </c>
      <c r="AR83" s="39"/>
      <c r="AS83" s="1" t="s">
        <v>126</v>
      </c>
      <c r="AT83" s="1" t="s">
        <v>161</v>
      </c>
      <c r="AU83" s="1" t="s">
        <v>616</v>
      </c>
      <c r="AV83" s="1" t="s">
        <v>131</v>
      </c>
      <c r="AW83" s="1"/>
      <c r="AX83" s="1"/>
      <c r="AY83" s="1"/>
      <c r="AZ83" s="1"/>
      <c r="BA83" s="1" t="s">
        <v>60</v>
      </c>
      <c r="BB83" s="1" t="s">
        <v>0</v>
      </c>
      <c r="BC83" s="1"/>
      <c r="BD83" s="1"/>
    </row>
    <row r="84" ht="11.25" customHeight="1">
      <c r="A84" s="1" t="b">
        <v>1</v>
      </c>
      <c r="B84" s="1" t="s">
        <v>739</v>
      </c>
      <c r="C84" s="1" t="s">
        <v>740</v>
      </c>
      <c r="D84" s="1" t="s">
        <v>65</v>
      </c>
      <c r="E84" s="1"/>
      <c r="F84" s="1"/>
      <c r="G84" s="1" t="s">
        <v>66</v>
      </c>
      <c r="H84" s="1"/>
      <c r="I84" s="1" t="s">
        <v>68</v>
      </c>
      <c r="J84" s="1" t="s">
        <v>69</v>
      </c>
      <c r="K84" s="1" t="s">
        <v>107</v>
      </c>
      <c r="L84" s="1" t="s">
        <v>0</v>
      </c>
      <c r="M84" s="1" t="b">
        <v>1</v>
      </c>
      <c r="N84" s="1" t="b">
        <v>0</v>
      </c>
      <c r="O84" s="19">
        <v>1300.0</v>
      </c>
      <c r="P84" s="20">
        <v>2.1</v>
      </c>
      <c r="Q84" s="20">
        <v>619.05</v>
      </c>
      <c r="R84" s="21">
        <v>0.6629028349890962</v>
      </c>
      <c r="S84" s="1" t="s">
        <v>117</v>
      </c>
      <c r="T84" s="1" t="s">
        <v>0</v>
      </c>
      <c r="U84" s="1" t="s">
        <v>81</v>
      </c>
      <c r="V84" s="1" t="s">
        <v>81</v>
      </c>
      <c r="W84" s="1" t="s">
        <v>0</v>
      </c>
      <c r="X84" s="1" t="s">
        <v>0</v>
      </c>
      <c r="Y84" s="22" t="str">
        <f t="shared" si="3"/>
        <v>CO</v>
      </c>
      <c r="Z84" s="20" t="str">
        <f>_xlfn.XLOOKUP($B84,[1]F27!$C:$C,[1]F27!$BV:$BV)</f>
        <v>#ERROR!</v>
      </c>
      <c r="AA84" s="1"/>
      <c r="AB84" s="1"/>
      <c r="AC84" s="23"/>
      <c r="AD84" s="1" t="str">
        <f>_xlfn.XLOOKUP($B84,[1]F27!$C:$C,[1]F27!$Y:$Y)</f>
        <v>#ERROR!</v>
      </c>
      <c r="AE84" s="1" t="str">
        <f>_xlfn.XLOOKUP($B84,[1]F27!$C:$C,[1]F27!$Z:$Z)</f>
        <v>#ERROR!</v>
      </c>
      <c r="AF84" s="1" t="str">
        <f>_xlfn.XLOOKUP($B84,[2]PRICING!$B:$B,[2]PRICING!$B:$B,"MISSING")</f>
        <v>#ERROR!</v>
      </c>
      <c r="AG84" s="1" t="str">
        <f>COUNTIFS([2]ACTIVE_SCO!$B:$B,$B84,[2]ACTIVE_SCO!$P:$P,"Y")</f>
        <v>#ERROR!</v>
      </c>
      <c r="AH84" s="1"/>
      <c r="AI84" s="37" t="s">
        <v>157</v>
      </c>
      <c r="AJ84" s="38" t="s">
        <v>1126</v>
      </c>
      <c r="AK84" s="39" t="s">
        <v>60</v>
      </c>
      <c r="AL84" s="39" t="s">
        <v>0</v>
      </c>
      <c r="AM84" s="1" t="s">
        <v>86</v>
      </c>
      <c r="AN84" s="40" t="s">
        <v>87</v>
      </c>
      <c r="AO84" s="41" t="s">
        <v>86</v>
      </c>
      <c r="AP84" s="41" t="s">
        <v>169</v>
      </c>
      <c r="AQ84" s="40" t="s">
        <v>0</v>
      </c>
      <c r="AR84" s="39"/>
      <c r="AS84" s="1" t="s">
        <v>126</v>
      </c>
      <c r="AT84" s="1" t="s">
        <v>161</v>
      </c>
      <c r="AU84" s="1" t="s">
        <v>616</v>
      </c>
      <c r="AV84" s="1" t="s">
        <v>131</v>
      </c>
      <c r="AW84" s="1"/>
      <c r="AX84" s="1"/>
      <c r="AY84" s="1"/>
      <c r="AZ84" s="1"/>
      <c r="BA84" s="1" t="s">
        <v>60</v>
      </c>
      <c r="BB84" s="1" t="s">
        <v>0</v>
      </c>
      <c r="BC84" s="1"/>
      <c r="BD84" s="1"/>
    </row>
    <row r="85" ht="11.25" customHeight="1">
      <c r="A85" s="1" t="b">
        <v>1</v>
      </c>
      <c r="B85" s="1" t="s">
        <v>228</v>
      </c>
      <c r="C85" s="1" t="s">
        <v>230</v>
      </c>
      <c r="D85" s="1" t="s">
        <v>65</v>
      </c>
      <c r="E85" s="1"/>
      <c r="F85" s="1"/>
      <c r="G85" s="1" t="s">
        <v>66</v>
      </c>
      <c r="H85" s="1"/>
      <c r="I85" s="1" t="s">
        <v>68</v>
      </c>
      <c r="J85" s="1" t="s">
        <v>69</v>
      </c>
      <c r="K85" s="1" t="s">
        <v>70</v>
      </c>
      <c r="L85" s="1" t="s">
        <v>0</v>
      </c>
      <c r="M85" s="1" t="b">
        <v>1</v>
      </c>
      <c r="N85" s="1" t="b">
        <v>0</v>
      </c>
      <c r="O85" s="19">
        <v>4500.0</v>
      </c>
      <c r="P85" s="20">
        <v>2.1</v>
      </c>
      <c r="Q85" s="20">
        <v>2142.86</v>
      </c>
      <c r="R85" s="21">
        <v>0.5276499631333824</v>
      </c>
      <c r="S85" s="1" t="s">
        <v>117</v>
      </c>
      <c r="T85" s="1" t="s">
        <v>0</v>
      </c>
      <c r="U85" s="1" t="s">
        <v>80</v>
      </c>
      <c r="V85" s="1" t="s">
        <v>81</v>
      </c>
      <c r="W85" s="1" t="s">
        <v>0</v>
      </c>
      <c r="X85" s="1" t="s">
        <v>0</v>
      </c>
      <c r="Y85" s="22" t="str">
        <f t="shared" si="3"/>
        <v>CO</v>
      </c>
      <c r="Z85" s="20" t="str">
        <f>_xlfn.XLOOKUP($B85,[1]F27!$C:$C,[1]F27!$BV:$BV)</f>
        <v>#ERROR!</v>
      </c>
      <c r="AA85" s="1"/>
      <c r="AB85" s="1"/>
      <c r="AC85" s="23"/>
      <c r="AD85" s="1" t="str">
        <f>_xlfn.XLOOKUP($B85,[1]F27!$C:$C,[1]F27!$Y:$Y)</f>
        <v>#ERROR!</v>
      </c>
      <c r="AE85" s="1" t="str">
        <f>_xlfn.XLOOKUP($B85,[1]F27!$C:$C,[1]F27!$Z:$Z)</f>
        <v>#ERROR!</v>
      </c>
      <c r="AF85" s="1" t="str">
        <f>_xlfn.XLOOKUP($B85,[2]PRICING!$B:$B,[2]PRICING!$B:$B,"MISSING")</f>
        <v>#ERROR!</v>
      </c>
      <c r="AG85" s="1" t="str">
        <f>COUNTIFS([2]ACTIVE_SCO!$B:$B,$B85,[2]ACTIVE_SCO!$P:$P,"Y")</f>
        <v>#ERROR!</v>
      </c>
      <c r="AH85" s="1"/>
      <c r="AI85" s="37" t="s">
        <v>157</v>
      </c>
      <c r="AJ85" s="55" t="s">
        <v>1145</v>
      </c>
      <c r="AK85" s="39" t="s">
        <v>417</v>
      </c>
      <c r="AL85" s="39" t="s">
        <v>0</v>
      </c>
      <c r="AM85" s="1" t="s">
        <v>125</v>
      </c>
      <c r="AN85" s="40" t="s">
        <v>127</v>
      </c>
      <c r="AO85" s="41" t="s">
        <v>125</v>
      </c>
      <c r="AP85" s="39"/>
      <c r="AQ85" s="40" t="s">
        <v>125</v>
      </c>
      <c r="AR85" s="39"/>
      <c r="AS85" s="1" t="s">
        <v>68</v>
      </c>
      <c r="AT85" s="1" t="s">
        <v>89</v>
      </c>
      <c r="AU85" s="1" t="s">
        <v>90</v>
      </c>
      <c r="AV85" s="1" t="s">
        <v>91</v>
      </c>
      <c r="AW85" s="1"/>
      <c r="AX85" s="1"/>
      <c r="AY85" s="1"/>
      <c r="AZ85" s="1"/>
      <c r="BA85" s="1" t="s">
        <v>417</v>
      </c>
      <c r="BB85" s="1" t="s">
        <v>0</v>
      </c>
      <c r="BC85" s="1"/>
      <c r="BD85" s="1"/>
    </row>
    <row r="86" ht="11.25" customHeight="1">
      <c r="A86" s="1" t="b">
        <v>1</v>
      </c>
      <c r="B86" s="1" t="s">
        <v>239</v>
      </c>
      <c r="C86" s="1" t="s">
        <v>241</v>
      </c>
      <c r="D86" s="1" t="s">
        <v>65</v>
      </c>
      <c r="E86" s="1"/>
      <c r="F86" s="1"/>
      <c r="G86" s="1" t="s">
        <v>66</v>
      </c>
      <c r="H86" s="1"/>
      <c r="I86" s="1" t="s">
        <v>68</v>
      </c>
      <c r="J86" s="1" t="s">
        <v>69</v>
      </c>
      <c r="K86" s="1" t="s">
        <v>107</v>
      </c>
      <c r="L86" s="1" t="s">
        <v>0</v>
      </c>
      <c r="M86" s="1" t="b">
        <v>1</v>
      </c>
      <c r="N86" s="1" t="b">
        <v>0</v>
      </c>
      <c r="O86" s="19">
        <v>4500.0</v>
      </c>
      <c r="P86" s="20">
        <v>2.1</v>
      </c>
      <c r="Q86" s="20">
        <v>2142.86</v>
      </c>
      <c r="R86" s="21">
        <v>0.5792538943281409</v>
      </c>
      <c r="S86" s="1" t="s">
        <v>117</v>
      </c>
      <c r="T86" s="1" t="s">
        <v>0</v>
      </c>
      <c r="U86" s="1" t="s">
        <v>80</v>
      </c>
      <c r="V86" s="1" t="s">
        <v>81</v>
      </c>
      <c r="W86" s="1" t="s">
        <v>0</v>
      </c>
      <c r="X86" s="1" t="s">
        <v>0</v>
      </c>
      <c r="Y86" s="22" t="str">
        <f t="shared" si="3"/>
        <v>CO</v>
      </c>
      <c r="Z86" s="20" t="str">
        <f>_xlfn.XLOOKUP($B86,[1]F27!$C:$C,[1]F27!$BV:$BV)</f>
        <v>#ERROR!</v>
      </c>
      <c r="AA86" s="1"/>
      <c r="AB86" s="1"/>
      <c r="AC86" s="23"/>
      <c r="AD86" s="1" t="str">
        <f>_xlfn.XLOOKUP($B86,[1]F27!$C:$C,[1]F27!$Y:$Y)</f>
        <v>#ERROR!</v>
      </c>
      <c r="AE86" s="1" t="str">
        <f>_xlfn.XLOOKUP($B86,[1]F27!$C:$C,[1]F27!$Z:$Z)</f>
        <v>#ERROR!</v>
      </c>
      <c r="AF86" s="1" t="str">
        <f>_xlfn.XLOOKUP($B86,[2]PRICING!$B:$B,[2]PRICING!$B:$B,"MISSING")</f>
        <v>#ERROR!</v>
      </c>
      <c r="AG86" s="1" t="str">
        <f>COUNTIFS([2]ACTIVE_SCO!$B:$B,$B86,[2]ACTIVE_SCO!$P:$P,"Y")</f>
        <v>#ERROR!</v>
      </c>
      <c r="AH86" s="1"/>
      <c r="AI86" s="37" t="s">
        <v>157</v>
      </c>
      <c r="AJ86" s="55" t="s">
        <v>1163</v>
      </c>
      <c r="AK86" s="39" t="s">
        <v>417</v>
      </c>
      <c r="AL86" s="39" t="s">
        <v>0</v>
      </c>
      <c r="AM86" s="1" t="s">
        <v>125</v>
      </c>
      <c r="AN86" s="40" t="s">
        <v>127</v>
      </c>
      <c r="AO86" s="41" t="s">
        <v>125</v>
      </c>
      <c r="AP86" s="39"/>
      <c r="AQ86" s="40" t="s">
        <v>125</v>
      </c>
      <c r="AR86" s="39"/>
      <c r="AS86" s="1" t="s">
        <v>68</v>
      </c>
      <c r="AT86" s="1" t="s">
        <v>89</v>
      </c>
      <c r="AU86" s="1" t="s">
        <v>90</v>
      </c>
      <c r="AV86" s="1" t="s">
        <v>91</v>
      </c>
      <c r="AW86" s="1"/>
      <c r="AX86" s="1"/>
      <c r="AY86" s="1"/>
      <c r="AZ86" s="1"/>
      <c r="BA86" s="1" t="s">
        <v>417</v>
      </c>
      <c r="BB86" s="1" t="s">
        <v>0</v>
      </c>
      <c r="BC86" s="1"/>
      <c r="BD86" s="1"/>
    </row>
    <row r="87" ht="11.25" customHeight="1">
      <c r="A87" s="1" t="b">
        <v>1</v>
      </c>
      <c r="B87" s="1" t="s">
        <v>1164</v>
      </c>
      <c r="C87" s="1" t="s">
        <v>1166</v>
      </c>
      <c r="D87" s="1" t="s">
        <v>65</v>
      </c>
      <c r="E87" s="1"/>
      <c r="F87" s="1"/>
      <c r="G87" s="1" t="s">
        <v>220</v>
      </c>
      <c r="H87" s="1"/>
      <c r="I87" s="1" t="s">
        <v>942</v>
      </c>
      <c r="J87" s="1" t="s">
        <v>69</v>
      </c>
      <c r="K87" s="1" t="s">
        <v>107</v>
      </c>
      <c r="L87" s="1" t="s">
        <v>0</v>
      </c>
      <c r="M87" s="1" t="b">
        <v>1</v>
      </c>
      <c r="N87" s="1" t="b">
        <v>0</v>
      </c>
      <c r="O87" s="19">
        <v>1300.0</v>
      </c>
      <c r="P87" s="20">
        <v>2.1</v>
      </c>
      <c r="Q87" s="20">
        <v>619.05</v>
      </c>
      <c r="R87" s="21">
        <v>0.5612470721266456</v>
      </c>
      <c r="S87" s="1" t="s">
        <v>117</v>
      </c>
      <c r="T87" s="1" t="s">
        <v>0</v>
      </c>
      <c r="U87" s="1" t="s">
        <v>81</v>
      </c>
      <c r="V87" s="1" t="s">
        <v>81</v>
      </c>
      <c r="W87" s="1" t="s">
        <v>0</v>
      </c>
      <c r="X87" s="1" t="s">
        <v>0</v>
      </c>
      <c r="Y87" s="22" t="str">
        <f t="shared" si="3"/>
        <v>CO</v>
      </c>
      <c r="Z87" s="20" t="str">
        <f>_xlfn.XLOOKUP($B87,[1]F27!$C:$C,[1]F27!$BV:$BV)</f>
        <v>#ERROR!</v>
      </c>
      <c r="AA87" s="1"/>
      <c r="AB87" s="1"/>
      <c r="AC87" s="23"/>
      <c r="AD87" s="1" t="str">
        <f>_xlfn.XLOOKUP($B87,[1]F27!$C:$C,[1]F27!$Y:$Y)</f>
        <v>#ERROR!</v>
      </c>
      <c r="AE87" s="1" t="str">
        <f>_xlfn.XLOOKUP($B87,[1]F27!$C:$C,[1]F27!$Z:$Z)</f>
        <v>#ERROR!</v>
      </c>
      <c r="AF87" s="1" t="str">
        <f>_xlfn.XLOOKUP($B87,[2]PRICING!$B:$B,[2]PRICING!$B:$B,"MISSING")</f>
        <v>#ERROR!</v>
      </c>
      <c r="AG87" s="1" t="str">
        <f>COUNTIFS([2]ACTIVE_SCO!$B:$B,$B87,[2]ACTIVE_SCO!$P:$P,"Y")</f>
        <v>#ERROR!</v>
      </c>
      <c r="AH87" s="1"/>
      <c r="AI87" s="37" t="s">
        <v>551</v>
      </c>
      <c r="AJ87" s="73" t="s">
        <v>949</v>
      </c>
      <c r="AK87" s="49" t="s">
        <v>365</v>
      </c>
      <c r="AL87" s="39" t="s">
        <v>551</v>
      </c>
      <c r="AM87" s="1" t="s">
        <v>125</v>
      </c>
      <c r="AN87" s="40" t="s">
        <v>127</v>
      </c>
      <c r="AO87" s="41" t="s">
        <v>125</v>
      </c>
      <c r="AP87" s="39"/>
      <c r="AQ87" s="40" t="s">
        <v>125</v>
      </c>
      <c r="AR87" s="54"/>
      <c r="AS87" s="1" t="s">
        <v>942</v>
      </c>
      <c r="AT87" s="1" t="s">
        <v>751</v>
      </c>
      <c r="AU87" s="1" t="s">
        <v>951</v>
      </c>
      <c r="AV87" s="1" t="s">
        <v>131</v>
      </c>
      <c r="AW87" s="1"/>
      <c r="AX87" s="1"/>
      <c r="AY87" s="1"/>
      <c r="AZ87" s="1"/>
      <c r="BA87" s="50" t="s">
        <v>365</v>
      </c>
      <c r="BB87" s="1" t="s">
        <v>551</v>
      </c>
      <c r="BC87" s="1"/>
      <c r="BD87" s="1"/>
    </row>
    <row r="88" ht="11.25" customHeight="1">
      <c r="A88" s="1" t="b">
        <v>1</v>
      </c>
      <c r="B88" s="1" t="s">
        <v>1179</v>
      </c>
      <c r="C88" s="1" t="s">
        <v>1180</v>
      </c>
      <c r="D88" s="1" t="s">
        <v>65</v>
      </c>
      <c r="E88" s="1"/>
      <c r="F88" s="1"/>
      <c r="G88" s="1" t="s">
        <v>220</v>
      </c>
      <c r="H88" s="1"/>
      <c r="I88" s="1" t="s">
        <v>942</v>
      </c>
      <c r="J88" s="1" t="s">
        <v>69</v>
      </c>
      <c r="K88" s="1" t="s">
        <v>70</v>
      </c>
      <c r="L88" s="1" t="s">
        <v>0</v>
      </c>
      <c r="M88" s="1" t="b">
        <v>1</v>
      </c>
      <c r="N88" s="1" t="b">
        <v>0</v>
      </c>
      <c r="O88" s="19">
        <v>1000.0</v>
      </c>
      <c r="P88" s="20">
        <v>2.1</v>
      </c>
      <c r="Q88" s="20">
        <v>476.19</v>
      </c>
      <c r="R88" s="21">
        <v>0.5545895545895546</v>
      </c>
      <c r="S88" s="1" t="s">
        <v>117</v>
      </c>
      <c r="T88" s="1" t="s">
        <v>0</v>
      </c>
      <c r="U88" s="1" t="s">
        <v>81</v>
      </c>
      <c r="V88" s="1" t="s">
        <v>81</v>
      </c>
      <c r="W88" s="1" t="s">
        <v>0</v>
      </c>
      <c r="X88" s="1" t="s">
        <v>0</v>
      </c>
      <c r="Y88" s="22" t="str">
        <f t="shared" si="3"/>
        <v>CO</v>
      </c>
      <c r="Z88" s="20" t="str">
        <f>_xlfn.XLOOKUP($B88,[1]F27!$C:$C,[1]F27!$BV:$BV)</f>
        <v>#ERROR!</v>
      </c>
      <c r="AA88" s="1"/>
      <c r="AB88" s="1"/>
      <c r="AC88" s="23"/>
      <c r="AD88" s="1" t="str">
        <f>_xlfn.XLOOKUP($B88,[1]F27!$C:$C,[1]F27!$Y:$Y)</f>
        <v>#ERROR!</v>
      </c>
      <c r="AE88" s="1" t="str">
        <f>_xlfn.XLOOKUP($B88,[1]F27!$C:$C,[1]F27!$Z:$Z)</f>
        <v>#ERROR!</v>
      </c>
      <c r="AF88" s="1" t="str">
        <f>_xlfn.XLOOKUP($B88,[2]PRICING!$B:$B,[2]PRICING!$B:$B,"MISSING")</f>
        <v>#ERROR!</v>
      </c>
      <c r="AG88" s="1" t="str">
        <f>COUNTIFS([2]ACTIVE_SCO!$B:$B,$B88,[2]ACTIVE_SCO!$P:$P,"Y")</f>
        <v>#ERROR!</v>
      </c>
      <c r="AH88" s="1"/>
      <c r="AI88" s="37" t="s">
        <v>551</v>
      </c>
      <c r="AJ88" s="73" t="s">
        <v>949</v>
      </c>
      <c r="AK88" s="39" t="s">
        <v>417</v>
      </c>
      <c r="AL88" s="39" t="s">
        <v>294</v>
      </c>
      <c r="AM88" s="1" t="s">
        <v>125</v>
      </c>
      <c r="AN88" s="40" t="s">
        <v>127</v>
      </c>
      <c r="AO88" s="41" t="s">
        <v>125</v>
      </c>
      <c r="AP88" s="39"/>
      <c r="AQ88" s="40" t="s">
        <v>125</v>
      </c>
      <c r="AR88" s="54"/>
      <c r="AS88" s="1" t="s">
        <v>942</v>
      </c>
      <c r="AT88" s="1" t="s">
        <v>128</v>
      </c>
      <c r="AU88" s="1" t="s">
        <v>951</v>
      </c>
      <c r="AV88" s="1" t="s">
        <v>131</v>
      </c>
      <c r="AW88" s="1"/>
      <c r="AX88" s="1"/>
      <c r="AY88" s="1"/>
      <c r="AZ88" s="1"/>
      <c r="BA88" s="1" t="s">
        <v>417</v>
      </c>
      <c r="BB88" s="1" t="s">
        <v>294</v>
      </c>
      <c r="BC88" s="1"/>
      <c r="BD88" s="1"/>
    </row>
    <row r="89" ht="11.25" customHeight="1">
      <c r="A89" s="1" t="b">
        <v>1</v>
      </c>
      <c r="B89" s="1" t="s">
        <v>444</v>
      </c>
      <c r="C89" s="1" t="s">
        <v>445</v>
      </c>
      <c r="D89" s="1" t="s">
        <v>65</v>
      </c>
      <c r="E89" s="1"/>
      <c r="F89" s="1"/>
      <c r="G89" s="1" t="s">
        <v>66</v>
      </c>
      <c r="H89" s="1"/>
      <c r="I89" s="1" t="s">
        <v>355</v>
      </c>
      <c r="J89" s="1" t="s">
        <v>69</v>
      </c>
      <c r="K89" s="1" t="s">
        <v>70</v>
      </c>
      <c r="L89" s="1" t="s">
        <v>0</v>
      </c>
      <c r="M89" s="1" t="b">
        <v>1</v>
      </c>
      <c r="N89" s="1" t="b">
        <v>0</v>
      </c>
      <c r="O89" s="19">
        <v>2600.0</v>
      </c>
      <c r="P89" s="20">
        <v>2.1</v>
      </c>
      <c r="Q89" s="20">
        <v>1238.1</v>
      </c>
      <c r="R89" s="21">
        <v>0.6900734997173088</v>
      </c>
      <c r="S89" s="1" t="s">
        <v>78</v>
      </c>
      <c r="T89" s="1" t="s">
        <v>0</v>
      </c>
      <c r="U89" s="1" t="s">
        <v>198</v>
      </c>
      <c r="V89" s="1" t="s">
        <v>81</v>
      </c>
      <c r="W89" s="1" t="s">
        <v>0</v>
      </c>
      <c r="X89" s="1" t="s">
        <v>146</v>
      </c>
      <c r="Y89" s="22" t="str">
        <f t="shared" si="3"/>
        <v>CO</v>
      </c>
      <c r="Z89" s="20" t="str">
        <f>_xlfn.XLOOKUP($B89,[1]F27!$C:$C,[1]F27!$BV:$BV)</f>
        <v>#ERROR!</v>
      </c>
      <c r="AA89" s="1"/>
      <c r="AB89" s="1"/>
      <c r="AC89" s="23"/>
      <c r="AD89" s="1" t="str">
        <f>_xlfn.XLOOKUP($B89,[1]F27!$C:$C,[1]F27!$Y:$Y)</f>
        <v>#ERROR!</v>
      </c>
      <c r="AE89" s="1" t="str">
        <f>_xlfn.XLOOKUP($B89,[1]F27!$C:$C,[1]F27!$Z:$Z)</f>
        <v>#ERROR!</v>
      </c>
      <c r="AF89" s="1" t="str">
        <f>_xlfn.XLOOKUP($B89,[2]PRICING!$B:$B,[2]PRICING!$B:$B,"MISSING")</f>
        <v>#ERROR!</v>
      </c>
      <c r="AG89" s="1" t="str">
        <f>COUNTIFS([2]ACTIVE_SCO!$B:$B,$B89,[2]ACTIVE_SCO!$P:$P,"Y")</f>
        <v>#ERROR!</v>
      </c>
      <c r="AH89" s="1"/>
      <c r="AI89" s="37" t="s">
        <v>157</v>
      </c>
      <c r="AJ89" s="38" t="s">
        <v>1203</v>
      </c>
      <c r="AK89" s="39" t="s">
        <v>366</v>
      </c>
      <c r="AL89" s="39" t="s">
        <v>0</v>
      </c>
      <c r="AM89" s="1" t="s">
        <v>125</v>
      </c>
      <c r="AN89" s="40" t="s">
        <v>127</v>
      </c>
      <c r="AO89" s="41" t="s">
        <v>125</v>
      </c>
      <c r="AP89" s="39"/>
      <c r="AQ89" s="40" t="s">
        <v>0</v>
      </c>
      <c r="AR89" s="39"/>
      <c r="AS89" s="1" t="s">
        <v>355</v>
      </c>
      <c r="AT89" s="1" t="s">
        <v>161</v>
      </c>
      <c r="AU89" s="1" t="s">
        <v>367</v>
      </c>
      <c r="AV89" s="1" t="s">
        <v>131</v>
      </c>
      <c r="AW89" s="1"/>
      <c r="AX89" s="1"/>
      <c r="AY89" s="1"/>
      <c r="AZ89" s="1"/>
      <c r="BA89" s="1" t="s">
        <v>366</v>
      </c>
      <c r="BB89" s="1" t="s">
        <v>0</v>
      </c>
      <c r="BC89" s="1"/>
      <c r="BD89" s="1"/>
    </row>
    <row r="90" ht="11.25" customHeight="1">
      <c r="A90" s="1" t="b">
        <v>1</v>
      </c>
      <c r="B90" s="1" t="s">
        <v>455</v>
      </c>
      <c r="C90" s="1" t="s">
        <v>456</v>
      </c>
      <c r="D90" s="1" t="s">
        <v>65</v>
      </c>
      <c r="E90" s="1"/>
      <c r="F90" s="1"/>
      <c r="G90" s="1" t="s">
        <v>66</v>
      </c>
      <c r="H90" s="1"/>
      <c r="I90" s="1" t="s">
        <v>355</v>
      </c>
      <c r="J90" s="1" t="s">
        <v>69</v>
      </c>
      <c r="K90" s="1" t="s">
        <v>107</v>
      </c>
      <c r="L90" s="1" t="s">
        <v>0</v>
      </c>
      <c r="M90" s="1" t="b">
        <v>1</v>
      </c>
      <c r="N90" s="1" t="b">
        <v>0</v>
      </c>
      <c r="O90" s="19">
        <v>2600.0</v>
      </c>
      <c r="P90" s="20">
        <v>2.1</v>
      </c>
      <c r="Q90" s="20">
        <v>1238.1</v>
      </c>
      <c r="R90" s="21">
        <v>0.7137226395283095</v>
      </c>
      <c r="S90" s="1" t="s">
        <v>78</v>
      </c>
      <c r="T90" s="1" t="s">
        <v>0</v>
      </c>
      <c r="U90" s="1" t="s">
        <v>198</v>
      </c>
      <c r="V90" s="1" t="s">
        <v>81</v>
      </c>
      <c r="W90" s="1" t="s">
        <v>0</v>
      </c>
      <c r="X90" s="1" t="s">
        <v>146</v>
      </c>
      <c r="Y90" s="22" t="str">
        <f t="shared" si="3"/>
        <v>CO</v>
      </c>
      <c r="Z90" s="20" t="str">
        <f>_xlfn.XLOOKUP($B90,[1]F27!$C:$C,[1]F27!$BV:$BV)</f>
        <v>#ERROR!</v>
      </c>
      <c r="AA90" s="1"/>
      <c r="AB90" s="1"/>
      <c r="AC90" s="23"/>
      <c r="AD90" s="1" t="str">
        <f>_xlfn.XLOOKUP($B90,[1]F27!$C:$C,[1]F27!$Y:$Y)</f>
        <v>#ERROR!</v>
      </c>
      <c r="AE90" s="1" t="str">
        <f>_xlfn.XLOOKUP($B90,[1]F27!$C:$C,[1]F27!$Z:$Z)</f>
        <v>#ERROR!</v>
      </c>
      <c r="AF90" s="1" t="str">
        <f>_xlfn.XLOOKUP($B90,[2]PRICING!$B:$B,[2]PRICING!$B:$B,"MISSING")</f>
        <v>#ERROR!</v>
      </c>
      <c r="AG90" s="1" t="str">
        <f>COUNTIFS([2]ACTIVE_SCO!$B:$B,$B90,[2]ACTIVE_SCO!$P:$P,"Y")</f>
        <v>#ERROR!</v>
      </c>
      <c r="AH90" s="1"/>
      <c r="AI90" s="37" t="s">
        <v>157</v>
      </c>
      <c r="AJ90" s="38" t="s">
        <v>1216</v>
      </c>
      <c r="AK90" s="39" t="s">
        <v>366</v>
      </c>
      <c r="AL90" s="39" t="s">
        <v>0</v>
      </c>
      <c r="AM90" s="1" t="s">
        <v>125</v>
      </c>
      <c r="AN90" s="40" t="s">
        <v>127</v>
      </c>
      <c r="AO90" s="41" t="s">
        <v>125</v>
      </c>
      <c r="AP90" s="39"/>
      <c r="AQ90" s="40" t="s">
        <v>0</v>
      </c>
      <c r="AR90" s="39"/>
      <c r="AS90" s="1" t="s">
        <v>355</v>
      </c>
      <c r="AT90" s="1" t="s">
        <v>161</v>
      </c>
      <c r="AU90" s="1" t="s">
        <v>367</v>
      </c>
      <c r="AV90" s="1" t="s">
        <v>131</v>
      </c>
      <c r="AW90" s="1"/>
      <c r="AX90" s="1"/>
      <c r="AY90" s="1"/>
      <c r="AZ90" s="1"/>
      <c r="BA90" s="1" t="s">
        <v>366</v>
      </c>
      <c r="BB90" s="1" t="s">
        <v>0</v>
      </c>
      <c r="BC90" s="1"/>
      <c r="BD90" s="1"/>
    </row>
    <row r="91" ht="11.25" customHeight="1">
      <c r="A91" s="1" t="b">
        <v>1</v>
      </c>
      <c r="B91" s="1" t="s">
        <v>256</v>
      </c>
      <c r="C91" s="1" t="s">
        <v>258</v>
      </c>
      <c r="D91" s="1" t="s">
        <v>65</v>
      </c>
      <c r="E91" s="1"/>
      <c r="F91" s="1"/>
      <c r="G91" s="1" t="s">
        <v>66</v>
      </c>
      <c r="H91" s="1"/>
      <c r="I91" s="1" t="s">
        <v>68</v>
      </c>
      <c r="J91" s="1" t="s">
        <v>69</v>
      </c>
      <c r="K91" s="1" t="s">
        <v>70</v>
      </c>
      <c r="L91" s="1" t="s">
        <v>0</v>
      </c>
      <c r="M91" s="1" t="b">
        <v>1</v>
      </c>
      <c r="N91" s="1" t="b">
        <v>0</v>
      </c>
      <c r="O91" s="19">
        <v>2000.0</v>
      </c>
      <c r="P91" s="20">
        <v>2.1</v>
      </c>
      <c r="Q91" s="20">
        <v>952.38</v>
      </c>
      <c r="R91" s="21">
        <v>0.6551796551796552</v>
      </c>
      <c r="S91" s="1" t="s">
        <v>78</v>
      </c>
      <c r="T91" s="1" t="s">
        <v>0</v>
      </c>
      <c r="U91" s="1" t="s">
        <v>166</v>
      </c>
      <c r="V91" s="1" t="s">
        <v>81</v>
      </c>
      <c r="W91" s="1" t="s">
        <v>0</v>
      </c>
      <c r="X91" s="1" t="s">
        <v>0</v>
      </c>
      <c r="Y91" s="22" t="str">
        <f t="shared" si="3"/>
        <v>CO</v>
      </c>
      <c r="Z91" s="20" t="str">
        <f>_xlfn.XLOOKUP($B91,[1]F27!$C:$C,[1]F27!$BV:$BV)</f>
        <v>#ERROR!</v>
      </c>
      <c r="AA91" s="1"/>
      <c r="AB91" s="1"/>
      <c r="AC91" s="23"/>
      <c r="AD91" s="1" t="str">
        <f>_xlfn.XLOOKUP($B91,[1]F27!$C:$C,[1]F27!$Y:$Y)</f>
        <v>#ERROR!</v>
      </c>
      <c r="AE91" s="1" t="str">
        <f>_xlfn.XLOOKUP($B91,[1]F27!$C:$C,[1]F27!$Z:$Z)</f>
        <v>#ERROR!</v>
      </c>
      <c r="AF91" s="1" t="str">
        <f>_xlfn.XLOOKUP($B91,[2]PRICING!$B:$B,[2]PRICING!$B:$B,"MISSING")</f>
        <v>#ERROR!</v>
      </c>
      <c r="AG91" s="1" t="str">
        <f>COUNTIFS([2]ACTIVE_SCO!$B:$B,$B91,[2]ACTIVE_SCO!$P:$P,"Y")</f>
        <v>#ERROR!</v>
      </c>
      <c r="AH91" s="1"/>
      <c r="AI91" s="37" t="s">
        <v>157</v>
      </c>
      <c r="AJ91" s="38" t="s">
        <v>1227</v>
      </c>
      <c r="AK91" s="39" t="s">
        <v>417</v>
      </c>
      <c r="AL91" s="39" t="s">
        <v>0</v>
      </c>
      <c r="AM91" s="1" t="s">
        <v>125</v>
      </c>
      <c r="AN91" s="40" t="s">
        <v>174</v>
      </c>
      <c r="AO91" s="41" t="s">
        <v>125</v>
      </c>
      <c r="AP91" s="39"/>
      <c r="AQ91" s="40" t="s">
        <v>0</v>
      </c>
      <c r="AR91" s="39"/>
      <c r="AS91" s="1" t="s">
        <v>68</v>
      </c>
      <c r="AT91" s="1" t="s">
        <v>89</v>
      </c>
      <c r="AU91" s="1" t="s">
        <v>90</v>
      </c>
      <c r="AV91" s="1" t="s">
        <v>91</v>
      </c>
      <c r="AW91" s="1"/>
      <c r="AX91" s="1"/>
      <c r="AY91" s="1"/>
      <c r="AZ91" s="1"/>
      <c r="BA91" s="1" t="s">
        <v>417</v>
      </c>
      <c r="BB91" s="1" t="s">
        <v>0</v>
      </c>
      <c r="BC91" s="1"/>
      <c r="BD91" s="1"/>
    </row>
    <row r="92" ht="11.25" customHeight="1">
      <c r="A92" s="1" t="b">
        <v>1</v>
      </c>
      <c r="B92" s="1" t="s">
        <v>265</v>
      </c>
      <c r="C92" s="1" t="s">
        <v>266</v>
      </c>
      <c r="D92" s="1" t="s">
        <v>65</v>
      </c>
      <c r="E92" s="1"/>
      <c r="F92" s="1"/>
      <c r="G92" s="1" t="s">
        <v>66</v>
      </c>
      <c r="H92" s="1"/>
      <c r="I92" s="1" t="s">
        <v>68</v>
      </c>
      <c r="J92" s="1" t="s">
        <v>69</v>
      </c>
      <c r="K92" s="1" t="s">
        <v>107</v>
      </c>
      <c r="L92" s="1" t="s">
        <v>0</v>
      </c>
      <c r="M92" s="1" t="b">
        <v>1</v>
      </c>
      <c r="N92" s="1" t="b">
        <v>0</v>
      </c>
      <c r="O92" s="19">
        <v>2000.0</v>
      </c>
      <c r="P92" s="20">
        <v>2.1</v>
      </c>
      <c r="Q92" s="20">
        <v>952.38</v>
      </c>
      <c r="R92" s="21">
        <v>0.6755286755286756</v>
      </c>
      <c r="S92" s="1" t="s">
        <v>78</v>
      </c>
      <c r="T92" s="1" t="s">
        <v>0</v>
      </c>
      <c r="U92" s="1" t="s">
        <v>166</v>
      </c>
      <c r="V92" s="1" t="s">
        <v>81</v>
      </c>
      <c r="W92" s="1" t="s">
        <v>0</v>
      </c>
      <c r="X92" s="1" t="s">
        <v>0</v>
      </c>
      <c r="Y92" s="22" t="str">
        <f t="shared" si="3"/>
        <v>CO</v>
      </c>
      <c r="Z92" s="20" t="str">
        <f>_xlfn.XLOOKUP($B92,[1]F27!$C:$C,[1]F27!$BV:$BV)</f>
        <v>#ERROR!</v>
      </c>
      <c r="AA92" s="1"/>
      <c r="AB92" s="1"/>
      <c r="AC92" s="23"/>
      <c r="AD92" s="1" t="str">
        <f>_xlfn.XLOOKUP($B92,[1]F27!$C:$C,[1]F27!$Y:$Y)</f>
        <v>#ERROR!</v>
      </c>
      <c r="AE92" s="1" t="str">
        <f>_xlfn.XLOOKUP($B92,[1]F27!$C:$C,[1]F27!$Z:$Z)</f>
        <v>#ERROR!</v>
      </c>
      <c r="AF92" s="1" t="str">
        <f>_xlfn.XLOOKUP($B92,[2]PRICING!$B:$B,[2]PRICING!$B:$B,"MISSING")</f>
        <v>#ERROR!</v>
      </c>
      <c r="AG92" s="1" t="str">
        <f>COUNTIFS([2]ACTIVE_SCO!$B:$B,$B92,[2]ACTIVE_SCO!$P:$P,"Y")</f>
        <v>#ERROR!</v>
      </c>
      <c r="AH92" s="1"/>
      <c r="AI92" s="37" t="s">
        <v>157</v>
      </c>
      <c r="AJ92" s="38" t="s">
        <v>1240</v>
      </c>
      <c r="AK92" s="39" t="s">
        <v>417</v>
      </c>
      <c r="AL92" s="39" t="s">
        <v>0</v>
      </c>
      <c r="AM92" s="1" t="s">
        <v>125</v>
      </c>
      <c r="AN92" s="40" t="s">
        <v>174</v>
      </c>
      <c r="AO92" s="41" t="s">
        <v>125</v>
      </c>
      <c r="AP92" s="39"/>
      <c r="AQ92" s="40" t="s">
        <v>0</v>
      </c>
      <c r="AR92" s="39"/>
      <c r="AS92" s="1" t="s">
        <v>68</v>
      </c>
      <c r="AT92" s="1" t="s">
        <v>89</v>
      </c>
      <c r="AU92" s="1" t="s">
        <v>90</v>
      </c>
      <c r="AV92" s="1" t="s">
        <v>91</v>
      </c>
      <c r="AW92" s="1"/>
      <c r="AX92" s="1"/>
      <c r="AY92" s="1"/>
      <c r="AZ92" s="1"/>
      <c r="BA92" s="1" t="s">
        <v>417</v>
      </c>
      <c r="BB92" s="1" t="s">
        <v>0</v>
      </c>
      <c r="BC92" s="1"/>
      <c r="BD92" s="1"/>
    </row>
    <row r="93" ht="11.25" customHeight="1">
      <c r="A93" s="1" t="b">
        <v>1</v>
      </c>
      <c r="B93" s="1" t="s">
        <v>494</v>
      </c>
      <c r="C93" s="1" t="s">
        <v>495</v>
      </c>
      <c r="D93" s="1" t="s">
        <v>65</v>
      </c>
      <c r="E93" s="1"/>
      <c r="F93" s="1"/>
      <c r="G93" s="1" t="s">
        <v>500</v>
      </c>
      <c r="H93" s="1"/>
      <c r="I93" s="1" t="s">
        <v>270</v>
      </c>
      <c r="J93" s="1" t="s">
        <v>69</v>
      </c>
      <c r="K93" s="1" t="s">
        <v>70</v>
      </c>
      <c r="L93" s="1" t="s">
        <v>0</v>
      </c>
      <c r="M93" s="1" t="b">
        <v>0</v>
      </c>
      <c r="N93" s="1" t="b">
        <v>0</v>
      </c>
      <c r="O93" s="19">
        <v>2200.0</v>
      </c>
      <c r="P93" s="20">
        <v>2.1</v>
      </c>
      <c r="Q93" s="20">
        <v>1047.62</v>
      </c>
      <c r="R93" s="21">
        <v>0.5930585517649529</v>
      </c>
      <c r="S93" s="1" t="s">
        <v>242</v>
      </c>
      <c r="T93" s="1" t="s">
        <v>0</v>
      </c>
      <c r="U93" s="1" t="s">
        <v>81</v>
      </c>
      <c r="V93" s="1" t="s">
        <v>81</v>
      </c>
      <c r="W93" s="1" t="s">
        <v>0</v>
      </c>
      <c r="X93" s="1" t="s">
        <v>0</v>
      </c>
      <c r="Y93" s="22" t="str">
        <f t="shared" si="3"/>
        <v>NEW</v>
      </c>
      <c r="Z93" s="20" t="str">
        <f>_xlfn.XLOOKUP($B93,[1]F27!$C:$C,[1]F27!$BV:$BV)</f>
        <v>#ERROR!</v>
      </c>
      <c r="AA93" s="1"/>
      <c r="AB93" s="1"/>
      <c r="AC93" s="23"/>
      <c r="AD93" s="1" t="str">
        <f>_xlfn.XLOOKUP($B93,[1]F27!$C:$C,[1]F27!$Y:$Y)</f>
        <v>#ERROR!</v>
      </c>
      <c r="AE93" s="1" t="str">
        <f>_xlfn.XLOOKUP($B93,[1]F27!$C:$C,[1]F27!$Z:$Z)</f>
        <v>#ERROR!</v>
      </c>
      <c r="AF93" s="1" t="str">
        <f>_xlfn.XLOOKUP($B93,[2]PRICING!$B:$B,[2]PRICING!$B:$B,"MISSING")</f>
        <v>#ERROR!</v>
      </c>
      <c r="AG93" s="1" t="str">
        <f>COUNTIFS([2]ACTIVE_SCO!$B:$B,$B93,[2]ACTIVE_SCO!$P:$P,"Y")</f>
        <v>#ERROR!</v>
      </c>
      <c r="AH93" s="1"/>
      <c r="AI93" s="37" t="s">
        <v>157</v>
      </c>
      <c r="AJ93" s="38" t="s">
        <v>1250</v>
      </c>
      <c r="AK93" s="39" t="s">
        <v>551</v>
      </c>
      <c r="AL93" s="39" t="s">
        <v>0</v>
      </c>
      <c r="AM93" s="1" t="s">
        <v>125</v>
      </c>
      <c r="AN93" s="40" t="s">
        <v>127</v>
      </c>
      <c r="AO93" s="41" t="s">
        <v>125</v>
      </c>
      <c r="AP93" s="39"/>
      <c r="AQ93" s="40" t="s">
        <v>0</v>
      </c>
      <c r="AR93" s="39"/>
      <c r="AS93" s="1" t="s">
        <v>276</v>
      </c>
      <c r="AT93" s="1" t="s">
        <v>161</v>
      </c>
      <c r="AU93" s="1" t="s">
        <v>501</v>
      </c>
      <c r="AV93" s="1" t="s">
        <v>131</v>
      </c>
      <c r="AW93" s="1"/>
      <c r="AX93" s="1"/>
      <c r="AY93" s="1"/>
      <c r="AZ93" s="1"/>
      <c r="BA93" s="1" t="s">
        <v>551</v>
      </c>
      <c r="BB93" s="1" t="s">
        <v>0</v>
      </c>
      <c r="BC93" s="1"/>
      <c r="BD93" s="1"/>
    </row>
    <row r="94" ht="11.25" customHeight="1">
      <c r="A94" s="1" t="b">
        <v>1</v>
      </c>
      <c r="B94" s="1" t="s">
        <v>513</v>
      </c>
      <c r="C94" s="1" t="s">
        <v>514</v>
      </c>
      <c r="D94" s="1" t="s">
        <v>65</v>
      </c>
      <c r="E94" s="1"/>
      <c r="F94" s="1"/>
      <c r="G94" s="1" t="s">
        <v>500</v>
      </c>
      <c r="H94" s="1"/>
      <c r="I94" s="1" t="s">
        <v>270</v>
      </c>
      <c r="J94" s="1" t="s">
        <v>69</v>
      </c>
      <c r="K94" s="1" t="s">
        <v>107</v>
      </c>
      <c r="L94" s="1" t="s">
        <v>0</v>
      </c>
      <c r="M94" s="1" t="b">
        <v>0</v>
      </c>
      <c r="N94" s="1" t="b">
        <v>0</v>
      </c>
      <c r="O94" s="19">
        <v>2200.0</v>
      </c>
      <c r="P94" s="20">
        <v>2.1</v>
      </c>
      <c r="Q94" s="20">
        <v>1047.62</v>
      </c>
      <c r="R94" s="21">
        <v>0.6343235142513506</v>
      </c>
      <c r="S94" s="1" t="s">
        <v>242</v>
      </c>
      <c r="T94" s="1" t="s">
        <v>0</v>
      </c>
      <c r="U94" s="1" t="s">
        <v>81</v>
      </c>
      <c r="V94" s="1" t="s">
        <v>81</v>
      </c>
      <c r="W94" s="1" t="s">
        <v>0</v>
      </c>
      <c r="X94" s="1" t="s">
        <v>0</v>
      </c>
      <c r="Y94" s="22" t="str">
        <f t="shared" si="3"/>
        <v>NEW</v>
      </c>
      <c r="Z94" s="20" t="str">
        <f>_xlfn.XLOOKUP($B94,[1]F27!$C:$C,[1]F27!$BV:$BV)</f>
        <v>#ERROR!</v>
      </c>
      <c r="AA94" s="1"/>
      <c r="AB94" s="1"/>
      <c r="AC94" s="23"/>
      <c r="AD94" s="1" t="str">
        <f>_xlfn.XLOOKUP($B94,[1]F27!$C:$C,[1]F27!$Y:$Y)</f>
        <v>#ERROR!</v>
      </c>
      <c r="AE94" s="1" t="str">
        <f>_xlfn.XLOOKUP($B94,[1]F27!$C:$C,[1]F27!$Z:$Z)</f>
        <v>#ERROR!</v>
      </c>
      <c r="AF94" s="1" t="str">
        <f>_xlfn.XLOOKUP($B94,[2]PRICING!$B:$B,[2]PRICING!$B:$B,"MISSING")</f>
        <v>#ERROR!</v>
      </c>
      <c r="AG94" s="1" t="str">
        <f>COUNTIFS([2]ACTIVE_SCO!$B:$B,$B94,[2]ACTIVE_SCO!$P:$P,"Y")</f>
        <v>#ERROR!</v>
      </c>
      <c r="AH94" s="1"/>
      <c r="AI94" s="37" t="s">
        <v>157</v>
      </c>
      <c r="AJ94" s="38" t="s">
        <v>1261</v>
      </c>
      <c r="AK94" s="39" t="s">
        <v>551</v>
      </c>
      <c r="AL94" s="39" t="s">
        <v>0</v>
      </c>
      <c r="AM94" s="1" t="s">
        <v>125</v>
      </c>
      <c r="AN94" s="40" t="s">
        <v>127</v>
      </c>
      <c r="AO94" s="41" t="s">
        <v>125</v>
      </c>
      <c r="AP94" s="39"/>
      <c r="AQ94" s="40" t="s">
        <v>0</v>
      </c>
      <c r="AR94" s="39"/>
      <c r="AS94" s="1" t="s">
        <v>276</v>
      </c>
      <c r="AT94" s="1" t="s">
        <v>161</v>
      </c>
      <c r="AU94" s="1" t="s">
        <v>501</v>
      </c>
      <c r="AV94" s="1" t="s">
        <v>131</v>
      </c>
      <c r="AW94" s="1"/>
      <c r="AX94" s="1"/>
      <c r="AY94" s="1"/>
      <c r="AZ94" s="1"/>
      <c r="BA94" s="1" t="s">
        <v>551</v>
      </c>
      <c r="BB94" s="1" t="s">
        <v>0</v>
      </c>
      <c r="BC94" s="1"/>
      <c r="BD94" s="1"/>
    </row>
    <row r="95" ht="11.25" customHeight="1">
      <c r="A95" s="1" t="b">
        <v>0</v>
      </c>
      <c r="B95" s="1" t="s">
        <v>1264</v>
      </c>
      <c r="C95" s="1" t="s">
        <v>1265</v>
      </c>
      <c r="D95" s="1" t="s">
        <v>65</v>
      </c>
      <c r="E95" s="1"/>
      <c r="F95" s="1"/>
      <c r="G95" s="1" t="s">
        <v>66</v>
      </c>
      <c r="H95" s="1"/>
      <c r="I95" s="1" t="s">
        <v>126</v>
      </c>
      <c r="J95" s="1" t="s">
        <v>141</v>
      </c>
      <c r="K95" s="1" t="s">
        <v>70</v>
      </c>
      <c r="L95" s="1" t="s">
        <v>0</v>
      </c>
      <c r="M95" s="1" t="b">
        <v>1</v>
      </c>
      <c r="N95" s="1" t="b">
        <v>0</v>
      </c>
      <c r="O95" s="19">
        <v>2500.0</v>
      </c>
      <c r="P95" s="20">
        <v>2.1</v>
      </c>
      <c r="Q95" s="20">
        <v>1190.48</v>
      </c>
      <c r="R95" s="21">
        <v>0.6653030710301727</v>
      </c>
      <c r="S95" s="1" t="s">
        <v>117</v>
      </c>
      <c r="T95" s="1" t="s">
        <v>0</v>
      </c>
      <c r="U95" s="1" t="s">
        <v>81</v>
      </c>
      <c r="V95" s="1" t="s">
        <v>81</v>
      </c>
      <c r="W95" s="1" t="s">
        <v>0</v>
      </c>
      <c r="X95" s="1" t="s">
        <v>156</v>
      </c>
      <c r="Y95" s="22" t="str">
        <f t="shared" si="3"/>
        <v>CO</v>
      </c>
      <c r="Z95" s="20" t="str">
        <f>_xlfn.XLOOKUP($B95,[1]F27!$C:$C,[1]F27!$BV:$BV)</f>
        <v>#ERROR!</v>
      </c>
      <c r="AA95" s="1"/>
      <c r="AB95" s="1"/>
      <c r="AC95" s="23"/>
      <c r="AD95" s="1" t="str">
        <f>_xlfn.XLOOKUP($B95,[1]F27!$C:$C,[1]F27!$Y:$Y)</f>
        <v>#ERROR!</v>
      </c>
      <c r="AE95" s="1" t="str">
        <f>_xlfn.XLOOKUP($B95,[1]F27!$C:$C,[1]F27!$Z:$Z)</f>
        <v>#ERROR!</v>
      </c>
      <c r="AF95" s="1" t="str">
        <f>_xlfn.XLOOKUP($B95,[2]PRICING!$B:$B,[2]PRICING!$B:$B,"MISSING")</f>
        <v>#ERROR!</v>
      </c>
      <c r="AG95" s="1" t="str">
        <f>COUNTIFS([2]ACTIVE_SCO!$B:$B,$B95,[2]ACTIVE_SCO!$P:$P,"Y")</f>
        <v>#ERROR!</v>
      </c>
      <c r="AH95" s="1"/>
      <c r="AI95" s="1" t="s">
        <v>341</v>
      </c>
      <c r="AJ95" s="1"/>
      <c r="AK95" s="1"/>
      <c r="AL95" s="1"/>
      <c r="AM95" s="1"/>
      <c r="AN95" s="1"/>
      <c r="AO95" s="1"/>
      <c r="AP95" s="1"/>
      <c r="AQ95" s="40" t="s">
        <v>0</v>
      </c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ht="11.25" customHeight="1">
      <c r="A96" s="1" t="b">
        <v>0</v>
      </c>
      <c r="B96" s="1" t="s">
        <v>1276</v>
      </c>
      <c r="C96" s="1" t="s">
        <v>1277</v>
      </c>
      <c r="D96" s="1" t="s">
        <v>65</v>
      </c>
      <c r="E96" s="1"/>
      <c r="F96" s="1"/>
      <c r="G96" s="1" t="s">
        <v>66</v>
      </c>
      <c r="H96" s="1"/>
      <c r="I96" s="1" t="s">
        <v>126</v>
      </c>
      <c r="J96" s="1" t="s">
        <v>141</v>
      </c>
      <c r="K96" s="1" t="s">
        <v>107</v>
      </c>
      <c r="L96" s="1" t="s">
        <v>0</v>
      </c>
      <c r="M96" s="1" t="b">
        <v>1</v>
      </c>
      <c r="N96" s="1" t="b">
        <v>0</v>
      </c>
      <c r="O96" s="19">
        <v>2500.0</v>
      </c>
      <c r="P96" s="20">
        <v>2.1</v>
      </c>
      <c r="Q96" s="20">
        <v>1190.48</v>
      </c>
      <c r="R96" s="21">
        <v>0.6764414353874068</v>
      </c>
      <c r="S96" s="1" t="s">
        <v>117</v>
      </c>
      <c r="T96" s="1" t="s">
        <v>0</v>
      </c>
      <c r="U96" s="1" t="s">
        <v>81</v>
      </c>
      <c r="V96" s="1" t="s">
        <v>81</v>
      </c>
      <c r="W96" s="1" t="s">
        <v>0</v>
      </c>
      <c r="X96" s="1" t="s">
        <v>156</v>
      </c>
      <c r="Y96" s="22" t="str">
        <f t="shared" si="3"/>
        <v>CO</v>
      </c>
      <c r="Z96" s="20" t="str">
        <f>_xlfn.XLOOKUP($B96,[1]F27!$C:$C,[1]F27!$BV:$BV)</f>
        <v>#ERROR!</v>
      </c>
      <c r="AA96" s="1"/>
      <c r="AB96" s="1"/>
      <c r="AC96" s="23"/>
      <c r="AD96" s="1" t="str">
        <f>_xlfn.XLOOKUP($B96,[1]F27!$C:$C,[1]F27!$Y:$Y)</f>
        <v>#ERROR!</v>
      </c>
      <c r="AE96" s="1" t="str">
        <f>_xlfn.XLOOKUP($B96,[1]F27!$C:$C,[1]F27!$Z:$Z)</f>
        <v>#ERROR!</v>
      </c>
      <c r="AF96" s="1" t="str">
        <f>_xlfn.XLOOKUP($B96,[2]PRICING!$B:$B,[2]PRICING!$B:$B,"MISSING")</f>
        <v>#ERROR!</v>
      </c>
      <c r="AG96" s="1" t="str">
        <f>COUNTIFS([2]ACTIVE_SCO!$B:$B,$B96,[2]ACTIVE_SCO!$P:$P,"Y")</f>
        <v>#ERROR!</v>
      </c>
      <c r="AH96" s="1"/>
      <c r="AI96" s="1" t="s">
        <v>341</v>
      </c>
      <c r="AJ96" s="1"/>
      <c r="AK96" s="1"/>
      <c r="AL96" s="1"/>
      <c r="AM96" s="1"/>
      <c r="AN96" s="1"/>
      <c r="AO96" s="1"/>
      <c r="AP96" s="1"/>
      <c r="AQ96" s="40" t="s">
        <v>0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ht="11.25" customHeight="1">
      <c r="A97" s="1" t="b">
        <v>1</v>
      </c>
      <c r="B97" s="1" t="s">
        <v>268</v>
      </c>
      <c r="C97" s="1" t="s">
        <v>269</v>
      </c>
      <c r="D97" s="1" t="s">
        <v>65</v>
      </c>
      <c r="E97" s="1"/>
      <c r="F97" s="1"/>
      <c r="G97" s="1" t="s">
        <v>66</v>
      </c>
      <c r="H97" s="1"/>
      <c r="I97" s="1" t="s">
        <v>270</v>
      </c>
      <c r="J97" s="1" t="s">
        <v>69</v>
      </c>
      <c r="K97" s="1" t="s">
        <v>70</v>
      </c>
      <c r="L97" s="1" t="s">
        <v>0</v>
      </c>
      <c r="M97" s="1" t="b">
        <v>1</v>
      </c>
      <c r="N97" s="1" t="b">
        <v>0</v>
      </c>
      <c r="O97" s="19">
        <v>900.0</v>
      </c>
      <c r="P97" s="20">
        <v>2.1</v>
      </c>
      <c r="Q97" s="20">
        <v>428.57</v>
      </c>
      <c r="R97" s="21">
        <v>0.66609888699629</v>
      </c>
      <c r="S97" s="1" t="s">
        <v>78</v>
      </c>
      <c r="T97" s="1" t="s">
        <v>0</v>
      </c>
      <c r="U97" s="1" t="s">
        <v>273</v>
      </c>
      <c r="V97" s="1" t="s">
        <v>81</v>
      </c>
      <c r="W97" s="1" t="s">
        <v>0</v>
      </c>
      <c r="X97" s="1" t="s">
        <v>0</v>
      </c>
      <c r="Y97" s="22" t="str">
        <f t="shared" si="3"/>
        <v>CO</v>
      </c>
      <c r="Z97" s="20" t="str">
        <f>_xlfn.XLOOKUP($B97,[1]F27!$C:$C,[1]F27!$BV:$BV)</f>
        <v>#ERROR!</v>
      </c>
      <c r="AA97" s="1"/>
      <c r="AB97" s="1"/>
      <c r="AC97" s="23"/>
      <c r="AD97" s="1" t="str">
        <f>_xlfn.XLOOKUP($B97,[1]F27!$C:$C,[1]F27!$Y:$Y)</f>
        <v>#ERROR!</v>
      </c>
      <c r="AE97" s="1" t="str">
        <f>_xlfn.XLOOKUP($B97,[1]F27!$C:$C,[1]F27!$Z:$Z)</f>
        <v>#ERROR!</v>
      </c>
      <c r="AF97" s="1" t="str">
        <f>_xlfn.XLOOKUP($B97,[2]PRICING!$B:$B,[2]PRICING!$B:$B,"MISSING")</f>
        <v>#ERROR!</v>
      </c>
      <c r="AG97" s="1" t="str">
        <f>COUNTIFS([2]ACTIVE_SCO!$B:$B,$B97,[2]ACTIVE_SCO!$P:$P,"Y")</f>
        <v>#ERROR!</v>
      </c>
      <c r="AH97" s="1"/>
      <c r="AI97" s="37" t="s">
        <v>157</v>
      </c>
      <c r="AJ97" s="38" t="s">
        <v>1292</v>
      </c>
      <c r="AK97" s="39" t="s">
        <v>204</v>
      </c>
      <c r="AL97" s="39" t="s">
        <v>0</v>
      </c>
      <c r="AM97" s="1" t="s">
        <v>125</v>
      </c>
      <c r="AN97" s="40" t="s">
        <v>127</v>
      </c>
      <c r="AO97" s="41" t="s">
        <v>125</v>
      </c>
      <c r="AP97" s="39"/>
      <c r="AQ97" s="40" t="s">
        <v>125</v>
      </c>
      <c r="AR97" s="39"/>
      <c r="AS97" s="1" t="s">
        <v>276</v>
      </c>
      <c r="AT97" s="1" t="s">
        <v>89</v>
      </c>
      <c r="AU97" s="1" t="s">
        <v>277</v>
      </c>
      <c r="AV97" s="1" t="s">
        <v>131</v>
      </c>
      <c r="AW97" s="1"/>
      <c r="AX97" s="1"/>
      <c r="AY97" s="1"/>
      <c r="AZ97" s="1"/>
      <c r="BA97" s="1" t="s">
        <v>204</v>
      </c>
      <c r="BB97" s="1" t="s">
        <v>0</v>
      </c>
      <c r="BC97" s="1"/>
      <c r="BD97" s="1"/>
    </row>
    <row r="98" ht="11.25" customHeight="1">
      <c r="A98" s="1" t="b">
        <v>1</v>
      </c>
      <c r="B98" s="1" t="s">
        <v>278</v>
      </c>
      <c r="C98" s="1" t="s">
        <v>279</v>
      </c>
      <c r="D98" s="1" t="s">
        <v>65</v>
      </c>
      <c r="E98" s="1"/>
      <c r="F98" s="1"/>
      <c r="G98" s="1" t="s">
        <v>66</v>
      </c>
      <c r="H98" s="1"/>
      <c r="I98" s="1" t="s">
        <v>270</v>
      </c>
      <c r="J98" s="1" t="s">
        <v>69</v>
      </c>
      <c r="K98" s="1" t="s">
        <v>107</v>
      </c>
      <c r="L98" s="1" t="s">
        <v>0</v>
      </c>
      <c r="M98" s="1" t="b">
        <v>1</v>
      </c>
      <c r="N98" s="1" t="b">
        <v>0</v>
      </c>
      <c r="O98" s="19">
        <v>900.0</v>
      </c>
      <c r="P98" s="20">
        <v>2.1</v>
      </c>
      <c r="Q98" s="20">
        <v>428.57</v>
      </c>
      <c r="R98" s="21">
        <v>0.6840889469631566</v>
      </c>
      <c r="S98" s="1" t="s">
        <v>78</v>
      </c>
      <c r="T98" s="1" t="s">
        <v>0</v>
      </c>
      <c r="U98" s="1" t="s">
        <v>273</v>
      </c>
      <c r="V98" s="1" t="s">
        <v>81</v>
      </c>
      <c r="W98" s="1" t="s">
        <v>0</v>
      </c>
      <c r="X98" s="1" t="s">
        <v>0</v>
      </c>
      <c r="Y98" s="22" t="str">
        <f t="shared" si="3"/>
        <v>CO</v>
      </c>
      <c r="Z98" s="20" t="str">
        <f>_xlfn.XLOOKUP($B98,[1]F27!$C:$C,[1]F27!$BV:$BV)</f>
        <v>#ERROR!</v>
      </c>
      <c r="AA98" s="1"/>
      <c r="AB98" s="1"/>
      <c r="AC98" s="23"/>
      <c r="AD98" s="1" t="str">
        <f>_xlfn.XLOOKUP($B98,[1]F27!$C:$C,[1]F27!$Y:$Y)</f>
        <v>#ERROR!</v>
      </c>
      <c r="AE98" s="1" t="str">
        <f>_xlfn.XLOOKUP($B98,[1]F27!$C:$C,[1]F27!$Z:$Z)</f>
        <v>#ERROR!</v>
      </c>
      <c r="AF98" s="1" t="str">
        <f>_xlfn.XLOOKUP($B98,[2]PRICING!$B:$B,[2]PRICING!$B:$B,"MISSING")</f>
        <v>#ERROR!</v>
      </c>
      <c r="AG98" s="1" t="str">
        <f>COUNTIFS([2]ACTIVE_SCO!$B:$B,$B98,[2]ACTIVE_SCO!$P:$P,"Y")</f>
        <v>#ERROR!</v>
      </c>
      <c r="AH98" s="1"/>
      <c r="AI98" s="37" t="s">
        <v>157</v>
      </c>
      <c r="AJ98" s="38" t="s">
        <v>1299</v>
      </c>
      <c r="AK98" s="39" t="s">
        <v>204</v>
      </c>
      <c r="AL98" s="39" t="s">
        <v>0</v>
      </c>
      <c r="AM98" s="1" t="s">
        <v>125</v>
      </c>
      <c r="AN98" s="40" t="s">
        <v>127</v>
      </c>
      <c r="AO98" s="41" t="s">
        <v>125</v>
      </c>
      <c r="AP98" s="39"/>
      <c r="AQ98" s="40" t="s">
        <v>125</v>
      </c>
      <c r="AR98" s="39"/>
      <c r="AS98" s="1" t="s">
        <v>276</v>
      </c>
      <c r="AT98" s="1" t="s">
        <v>89</v>
      </c>
      <c r="AU98" s="1" t="s">
        <v>277</v>
      </c>
      <c r="AV98" s="1" t="s">
        <v>131</v>
      </c>
      <c r="AW98" s="1"/>
      <c r="AX98" s="1"/>
      <c r="AY98" s="1"/>
      <c r="AZ98" s="1"/>
      <c r="BA98" s="1" t="s">
        <v>204</v>
      </c>
      <c r="BB98" s="1" t="s">
        <v>0</v>
      </c>
      <c r="BC98" s="1"/>
      <c r="BD98" s="1"/>
    </row>
    <row r="99" ht="11.25" customHeight="1">
      <c r="A99" s="1" t="b">
        <v>1</v>
      </c>
      <c r="B99" s="1" t="s">
        <v>619</v>
      </c>
      <c r="C99" s="1" t="s">
        <v>620</v>
      </c>
      <c r="D99" s="1" t="s">
        <v>65</v>
      </c>
      <c r="E99" s="1"/>
      <c r="F99" s="1"/>
      <c r="G99" s="1" t="s">
        <v>247</v>
      </c>
      <c r="H99" s="1"/>
      <c r="I99" s="1" t="s">
        <v>355</v>
      </c>
      <c r="J99" s="1" t="s">
        <v>69</v>
      </c>
      <c r="K99" s="1" t="s">
        <v>70</v>
      </c>
      <c r="L99" s="1" t="s">
        <v>0</v>
      </c>
      <c r="M99" s="1" t="b">
        <v>1</v>
      </c>
      <c r="N99" s="1" t="b">
        <v>0</v>
      </c>
      <c r="O99" s="19">
        <v>2500.0</v>
      </c>
      <c r="P99" s="20">
        <v>2.1</v>
      </c>
      <c r="Q99" s="20">
        <v>1190.48</v>
      </c>
      <c r="R99" s="21">
        <v>0.5984728848867684</v>
      </c>
      <c r="S99" s="1" t="s">
        <v>117</v>
      </c>
      <c r="T99" s="1" t="s">
        <v>0</v>
      </c>
      <c r="U99" s="1" t="s">
        <v>511</v>
      </c>
      <c r="V99" s="1" t="s">
        <v>198</v>
      </c>
      <c r="W99" s="1" t="s">
        <v>0</v>
      </c>
      <c r="X99" s="1" t="s">
        <v>0</v>
      </c>
      <c r="Y99" s="22" t="str">
        <f t="shared" si="3"/>
        <v>CO</v>
      </c>
      <c r="Z99" s="20" t="str">
        <f>_xlfn.XLOOKUP($B99,[1]F27!$C:$C,[1]F27!$BV:$BV)</f>
        <v>#ERROR!</v>
      </c>
      <c r="AA99" s="1"/>
      <c r="AB99" s="1"/>
      <c r="AC99" s="23"/>
      <c r="AD99" s="1" t="str">
        <f>_xlfn.XLOOKUP($B99,[1]F27!$C:$C,[1]F27!$Y:$Y)</f>
        <v>#ERROR!</v>
      </c>
      <c r="AE99" s="1" t="str">
        <f>_xlfn.XLOOKUP($B99,[1]F27!$C:$C,[1]F27!$Z:$Z)</f>
        <v>#ERROR!</v>
      </c>
      <c r="AF99" s="1" t="str">
        <f>_xlfn.XLOOKUP($B99,[2]PRICING!$B:$B,[2]PRICING!$B:$B,"MISSING")</f>
        <v>#ERROR!</v>
      </c>
      <c r="AG99" s="1" t="str">
        <f>COUNTIFS([2]ACTIVE_SCO!$B:$B,$B99,[2]ACTIVE_SCO!$P:$P,"Y")</f>
        <v>#ERROR!</v>
      </c>
      <c r="AH99" s="1"/>
      <c r="AI99" s="37" t="s">
        <v>157</v>
      </c>
      <c r="AJ99" s="38" t="s">
        <v>1307</v>
      </c>
      <c r="AK99" s="39" t="s">
        <v>204</v>
      </c>
      <c r="AL99" s="39" t="s">
        <v>0</v>
      </c>
      <c r="AM99" s="1" t="s">
        <v>125</v>
      </c>
      <c r="AN99" s="40" t="s">
        <v>174</v>
      </c>
      <c r="AO99" s="41" t="s">
        <v>776</v>
      </c>
      <c r="AP99" s="41" t="s">
        <v>777</v>
      </c>
      <c r="AQ99" s="40" t="s">
        <v>0</v>
      </c>
      <c r="AR99" s="54"/>
      <c r="AS99" s="1" t="s">
        <v>355</v>
      </c>
      <c r="AT99" s="1" t="s">
        <v>89</v>
      </c>
      <c r="AU99" s="1" t="s">
        <v>367</v>
      </c>
      <c r="AV99" s="1" t="s">
        <v>131</v>
      </c>
      <c r="AW99" s="1"/>
      <c r="AX99" s="1"/>
      <c r="AY99" s="1"/>
      <c r="AZ99" s="1"/>
      <c r="BA99" s="1" t="s">
        <v>204</v>
      </c>
      <c r="BB99" s="1" t="s">
        <v>0</v>
      </c>
      <c r="BC99" s="1"/>
      <c r="BD99" s="1"/>
    </row>
    <row r="100" ht="11.25" customHeight="1">
      <c r="A100" s="1" t="b">
        <v>1</v>
      </c>
      <c r="B100" s="1" t="s">
        <v>628</v>
      </c>
      <c r="C100" s="1" t="s">
        <v>629</v>
      </c>
      <c r="D100" s="1" t="s">
        <v>65</v>
      </c>
      <c r="E100" s="1"/>
      <c r="F100" s="1"/>
      <c r="G100" s="1" t="s">
        <v>247</v>
      </c>
      <c r="H100" s="1"/>
      <c r="I100" s="1" t="s">
        <v>355</v>
      </c>
      <c r="J100" s="1" t="s">
        <v>69</v>
      </c>
      <c r="K100" s="1" t="s">
        <v>107</v>
      </c>
      <c r="L100" s="1" t="s">
        <v>0</v>
      </c>
      <c r="M100" s="1" t="b">
        <v>1</v>
      </c>
      <c r="N100" s="1" t="b">
        <v>0</v>
      </c>
      <c r="O100" s="19">
        <v>2500.0</v>
      </c>
      <c r="P100" s="20">
        <v>2.1</v>
      </c>
      <c r="Q100" s="20">
        <v>1190.48</v>
      </c>
      <c r="R100" s="21">
        <v>0.6219592097305289</v>
      </c>
      <c r="S100" s="1" t="s">
        <v>117</v>
      </c>
      <c r="T100" s="1" t="s">
        <v>0</v>
      </c>
      <c r="U100" s="1" t="s">
        <v>511</v>
      </c>
      <c r="V100" s="1" t="s">
        <v>198</v>
      </c>
      <c r="W100" s="1" t="s">
        <v>0</v>
      </c>
      <c r="X100" s="1" t="s">
        <v>0</v>
      </c>
      <c r="Y100" s="22" t="str">
        <f t="shared" si="3"/>
        <v>CO</v>
      </c>
      <c r="Z100" s="20" t="str">
        <f>_xlfn.XLOOKUP($B100,[1]F27!$C:$C,[1]F27!$BV:$BV)</f>
        <v>#ERROR!</v>
      </c>
      <c r="AA100" s="1"/>
      <c r="AB100" s="1"/>
      <c r="AC100" s="23"/>
      <c r="AD100" s="1" t="str">
        <f>_xlfn.XLOOKUP($B100,[1]F27!$C:$C,[1]F27!$Y:$Y)</f>
        <v>#ERROR!</v>
      </c>
      <c r="AE100" s="1" t="str">
        <f>_xlfn.XLOOKUP($B100,[1]F27!$C:$C,[1]F27!$Z:$Z)</f>
        <v>#ERROR!</v>
      </c>
      <c r="AF100" s="1" t="str">
        <f>_xlfn.XLOOKUP($B100,[2]PRICING!$B:$B,[2]PRICING!$B:$B,"MISSING")</f>
        <v>#ERROR!</v>
      </c>
      <c r="AG100" s="1" t="str">
        <f>COUNTIFS([2]ACTIVE_SCO!$B:$B,$B100,[2]ACTIVE_SCO!$P:$P,"Y")</f>
        <v>#ERROR!</v>
      </c>
      <c r="AH100" s="1"/>
      <c r="AI100" s="37" t="s">
        <v>157</v>
      </c>
      <c r="AJ100" s="38" t="s">
        <v>1315</v>
      </c>
      <c r="AK100" s="39" t="s">
        <v>204</v>
      </c>
      <c r="AL100" s="39" t="s">
        <v>0</v>
      </c>
      <c r="AM100" s="1" t="s">
        <v>125</v>
      </c>
      <c r="AN100" s="40" t="s">
        <v>174</v>
      </c>
      <c r="AO100" s="41" t="s">
        <v>776</v>
      </c>
      <c r="AP100" s="41" t="s">
        <v>777</v>
      </c>
      <c r="AQ100" s="40" t="s">
        <v>0</v>
      </c>
      <c r="AR100" s="54"/>
      <c r="AS100" s="1" t="s">
        <v>355</v>
      </c>
      <c r="AT100" s="1" t="s">
        <v>89</v>
      </c>
      <c r="AU100" s="1" t="s">
        <v>367</v>
      </c>
      <c r="AV100" s="1" t="s">
        <v>131</v>
      </c>
      <c r="AW100" s="1"/>
      <c r="AX100" s="1"/>
      <c r="AY100" s="1"/>
      <c r="AZ100" s="1"/>
      <c r="BA100" s="1" t="s">
        <v>204</v>
      </c>
      <c r="BB100" s="1" t="s">
        <v>0</v>
      </c>
      <c r="BC100" s="1"/>
      <c r="BD100" s="1"/>
    </row>
    <row r="101" ht="11.25" customHeight="1">
      <c r="A101" s="1" t="b">
        <v>1</v>
      </c>
      <c r="B101" s="1" t="s">
        <v>1320</v>
      </c>
      <c r="C101" s="1" t="s">
        <v>1321</v>
      </c>
      <c r="D101" s="1" t="s">
        <v>65</v>
      </c>
      <c r="E101" s="1"/>
      <c r="F101" s="1"/>
      <c r="G101" s="1" t="s">
        <v>500</v>
      </c>
      <c r="H101" s="1"/>
      <c r="I101" s="1" t="s">
        <v>126</v>
      </c>
      <c r="J101" s="1" t="s">
        <v>69</v>
      </c>
      <c r="K101" s="1" t="s">
        <v>70</v>
      </c>
      <c r="L101" s="1" t="s">
        <v>0</v>
      </c>
      <c r="M101" s="1" t="b">
        <v>1</v>
      </c>
      <c r="N101" s="1" t="b">
        <v>0</v>
      </c>
      <c r="O101" s="19">
        <v>3200.0</v>
      </c>
      <c r="P101" s="20">
        <v>2.1</v>
      </c>
      <c r="Q101" s="20">
        <v>1523.81</v>
      </c>
      <c r="R101" s="21">
        <v>0.6514329214272121</v>
      </c>
      <c r="S101" s="1" t="s">
        <v>117</v>
      </c>
      <c r="T101" s="1" t="s">
        <v>0</v>
      </c>
      <c r="U101" s="1" t="s">
        <v>81</v>
      </c>
      <c r="V101" s="1" t="s">
        <v>81</v>
      </c>
      <c r="W101" s="1" t="s">
        <v>0</v>
      </c>
      <c r="X101" s="1" t="s">
        <v>0</v>
      </c>
      <c r="Y101" s="22" t="str">
        <f t="shared" si="3"/>
        <v>CO</v>
      </c>
      <c r="Z101" s="20" t="str">
        <f>_xlfn.XLOOKUP($B101,[1]F27!$C:$C,[1]F27!$BV:$BV)</f>
        <v>#ERROR!</v>
      </c>
      <c r="AA101" s="1"/>
      <c r="AB101" s="1"/>
      <c r="AC101" s="23"/>
      <c r="AD101" s="1" t="str">
        <f>_xlfn.XLOOKUP($B101,[1]F27!$C:$C,[1]F27!$Y:$Y)</f>
        <v>#ERROR!</v>
      </c>
      <c r="AE101" s="1" t="str">
        <f>_xlfn.XLOOKUP($B101,[1]F27!$C:$C,[1]F27!$Z:$Z)</f>
        <v>#ERROR!</v>
      </c>
      <c r="AF101" s="1" t="str">
        <f>_xlfn.XLOOKUP($B101,[2]PRICING!$B:$B,[2]PRICING!$B:$B,"MISSING")</f>
        <v>#ERROR!</v>
      </c>
      <c r="AG101" s="1" t="str">
        <f>COUNTIFS([2]ACTIVE_SCO!$B:$B,$B101,[2]ACTIVE_SCO!$P:$P,"Y")</f>
        <v>#ERROR!</v>
      </c>
      <c r="AH101" s="1"/>
      <c r="AI101" s="37" t="s">
        <v>100</v>
      </c>
      <c r="AJ101" s="77" t="s">
        <v>1330</v>
      </c>
      <c r="AK101" s="49" t="s">
        <v>365</v>
      </c>
      <c r="AL101" s="39" t="s">
        <v>366</v>
      </c>
      <c r="AM101" s="1" t="s">
        <v>86</v>
      </c>
      <c r="AN101" s="40" t="s">
        <v>826</v>
      </c>
      <c r="AO101" s="41" t="s">
        <v>86</v>
      </c>
      <c r="AP101" s="41" t="s">
        <v>826</v>
      </c>
      <c r="AQ101" s="40" t="s">
        <v>0</v>
      </c>
      <c r="AR101" s="39"/>
      <c r="AS101" s="1" t="s">
        <v>126</v>
      </c>
      <c r="AT101" s="1" t="s">
        <v>161</v>
      </c>
      <c r="AU101" s="1" t="s">
        <v>130</v>
      </c>
      <c r="AV101" s="1" t="s">
        <v>131</v>
      </c>
      <c r="AW101" s="1"/>
      <c r="AX101" s="1"/>
      <c r="AY101" s="1"/>
      <c r="AZ101" s="1"/>
      <c r="BA101" s="50" t="s">
        <v>365</v>
      </c>
      <c r="BB101" s="1" t="s">
        <v>366</v>
      </c>
      <c r="BC101" s="1"/>
      <c r="BD101" s="1"/>
    </row>
    <row r="102" ht="11.25" customHeight="1">
      <c r="A102" s="1" t="b">
        <v>1</v>
      </c>
      <c r="B102" s="1" t="s">
        <v>1334</v>
      </c>
      <c r="C102" s="1" t="s">
        <v>1335</v>
      </c>
      <c r="D102" s="1" t="s">
        <v>65</v>
      </c>
      <c r="E102" s="1"/>
      <c r="F102" s="1"/>
      <c r="G102" s="1" t="s">
        <v>500</v>
      </c>
      <c r="H102" s="1"/>
      <c r="I102" s="1" t="s">
        <v>126</v>
      </c>
      <c r="J102" s="1" t="s">
        <v>69</v>
      </c>
      <c r="K102" s="1" t="s">
        <v>107</v>
      </c>
      <c r="L102" s="1" t="s">
        <v>0</v>
      </c>
      <c r="M102" s="1" t="b">
        <v>1</v>
      </c>
      <c r="N102" s="1" t="b">
        <v>0</v>
      </c>
      <c r="O102" s="19">
        <v>3200.0</v>
      </c>
      <c r="P102" s="20">
        <v>2.1</v>
      </c>
      <c r="Q102" s="20">
        <v>1523.81</v>
      </c>
      <c r="R102" s="21">
        <v>0.6732007271247727</v>
      </c>
      <c r="S102" s="1" t="s">
        <v>117</v>
      </c>
      <c r="T102" s="1" t="s">
        <v>0</v>
      </c>
      <c r="U102" s="1" t="s">
        <v>81</v>
      </c>
      <c r="V102" s="1" t="s">
        <v>81</v>
      </c>
      <c r="W102" s="1" t="s">
        <v>0</v>
      </c>
      <c r="X102" s="1" t="s">
        <v>0</v>
      </c>
      <c r="Y102" s="22" t="str">
        <f t="shared" si="3"/>
        <v>CO</v>
      </c>
      <c r="Z102" s="20" t="str">
        <f>_xlfn.XLOOKUP($B102,[1]F27!$C:$C,[1]F27!$BV:$BV)</f>
        <v>#ERROR!</v>
      </c>
      <c r="AA102" s="1"/>
      <c r="AB102" s="1"/>
      <c r="AC102" s="23"/>
      <c r="AD102" s="1" t="str">
        <f>_xlfn.XLOOKUP($B102,[1]F27!$C:$C,[1]F27!$Y:$Y)</f>
        <v>#ERROR!</v>
      </c>
      <c r="AE102" s="1" t="str">
        <f>_xlfn.XLOOKUP($B102,[1]F27!$C:$C,[1]F27!$Z:$Z)</f>
        <v>#ERROR!</v>
      </c>
      <c r="AF102" s="1" t="str">
        <f>_xlfn.XLOOKUP($B102,[2]PRICING!$B:$B,[2]PRICING!$B:$B,"MISSING")</f>
        <v>#ERROR!</v>
      </c>
      <c r="AG102" s="1" t="str">
        <f>COUNTIFS([2]ACTIVE_SCO!$B:$B,$B102,[2]ACTIVE_SCO!$P:$P,"Y")</f>
        <v>#ERROR!</v>
      </c>
      <c r="AH102" s="1"/>
      <c r="AI102" s="37" t="s">
        <v>100</v>
      </c>
      <c r="AJ102" s="77" t="s">
        <v>1348</v>
      </c>
      <c r="AK102" s="49" t="s">
        <v>365</v>
      </c>
      <c r="AL102" s="39" t="s">
        <v>366</v>
      </c>
      <c r="AM102" s="1" t="s">
        <v>86</v>
      </c>
      <c r="AN102" s="40" t="s">
        <v>826</v>
      </c>
      <c r="AO102" s="41" t="s">
        <v>86</v>
      </c>
      <c r="AP102" s="41" t="s">
        <v>826</v>
      </c>
      <c r="AQ102" s="40" t="s">
        <v>0</v>
      </c>
      <c r="AR102" s="39"/>
      <c r="AS102" s="1" t="s">
        <v>126</v>
      </c>
      <c r="AT102" s="1" t="s">
        <v>161</v>
      </c>
      <c r="AU102" s="1" t="s">
        <v>130</v>
      </c>
      <c r="AV102" s="1" t="s">
        <v>131</v>
      </c>
      <c r="AW102" s="1"/>
      <c r="AX102" s="1"/>
      <c r="AY102" s="1"/>
      <c r="AZ102" s="1"/>
      <c r="BA102" s="50" t="s">
        <v>365</v>
      </c>
      <c r="BB102" s="1" t="s">
        <v>366</v>
      </c>
      <c r="BC102" s="1"/>
      <c r="BD102" s="1"/>
    </row>
    <row r="103" ht="11.25" customHeight="1">
      <c r="A103" s="1" t="b">
        <v>1</v>
      </c>
      <c r="B103" s="1" t="s">
        <v>302</v>
      </c>
      <c r="C103" s="1" t="s">
        <v>303</v>
      </c>
      <c r="D103" s="1" t="s">
        <v>65</v>
      </c>
      <c r="E103" s="1"/>
      <c r="F103" s="1"/>
      <c r="G103" s="1" t="s">
        <v>66</v>
      </c>
      <c r="H103" s="1"/>
      <c r="I103" s="1" t="s">
        <v>68</v>
      </c>
      <c r="J103" s="1" t="s">
        <v>69</v>
      </c>
      <c r="K103" s="1" t="s">
        <v>70</v>
      </c>
      <c r="L103" s="1" t="s">
        <v>0</v>
      </c>
      <c r="M103" s="1" t="b">
        <v>1</v>
      </c>
      <c r="N103" s="1" t="b">
        <v>0</v>
      </c>
      <c r="O103" s="19">
        <v>3300.0</v>
      </c>
      <c r="P103" s="20">
        <v>2.1</v>
      </c>
      <c r="Q103" s="20">
        <v>1571.43</v>
      </c>
      <c r="R103" s="21">
        <v>0.5811076535384967</v>
      </c>
      <c r="S103" s="1" t="s">
        <v>117</v>
      </c>
      <c r="T103" s="1" t="s">
        <v>0</v>
      </c>
      <c r="U103" s="1" t="s">
        <v>166</v>
      </c>
      <c r="V103" s="1" t="s">
        <v>81</v>
      </c>
      <c r="W103" s="1" t="s">
        <v>0</v>
      </c>
      <c r="X103" s="1" t="s">
        <v>0</v>
      </c>
      <c r="Y103" s="22" t="str">
        <f t="shared" si="3"/>
        <v>CO</v>
      </c>
      <c r="Z103" s="20" t="str">
        <f>_xlfn.XLOOKUP($B103,[1]F27!$C:$C,[1]F27!$BV:$BV)</f>
        <v>#ERROR!</v>
      </c>
      <c r="AA103" s="1"/>
      <c r="AB103" s="1"/>
      <c r="AC103" s="23"/>
      <c r="AD103" s="1" t="str">
        <f>_xlfn.XLOOKUP($B103,[1]F27!$C:$C,[1]F27!$Y:$Y)</f>
        <v>#ERROR!</v>
      </c>
      <c r="AE103" s="1" t="str">
        <f>_xlfn.XLOOKUP($B103,[1]F27!$C:$C,[1]F27!$Z:$Z)</f>
        <v>#ERROR!</v>
      </c>
      <c r="AF103" s="1" t="str">
        <f>_xlfn.XLOOKUP($B103,[2]PRICING!$B:$B,[2]PRICING!$B:$B,"MISSING")</f>
        <v>#ERROR!</v>
      </c>
      <c r="AG103" s="1" t="str">
        <f>COUNTIFS([2]ACTIVE_SCO!$B:$B,$B103,[2]ACTIVE_SCO!$P:$P,"Y")</f>
        <v>#ERROR!</v>
      </c>
      <c r="AH103" s="1"/>
      <c r="AI103" s="37" t="s">
        <v>157</v>
      </c>
      <c r="AJ103" s="38" t="s">
        <v>1368</v>
      </c>
      <c r="AK103" s="39" t="s">
        <v>1369</v>
      </c>
      <c r="AL103" s="39" t="s">
        <v>366</v>
      </c>
      <c r="AM103" s="1" t="s">
        <v>86</v>
      </c>
      <c r="AN103" s="40" t="s">
        <v>121</v>
      </c>
      <c r="AO103" s="41" t="s">
        <v>86</v>
      </c>
      <c r="AP103" s="41" t="s">
        <v>121</v>
      </c>
      <c r="AQ103" s="40" t="s">
        <v>0</v>
      </c>
      <c r="AR103" s="39"/>
      <c r="AS103" s="1" t="s">
        <v>68</v>
      </c>
      <c r="AT103" s="1" t="s">
        <v>89</v>
      </c>
      <c r="AU103" s="1" t="s">
        <v>132</v>
      </c>
      <c r="AV103" s="1" t="s">
        <v>91</v>
      </c>
      <c r="AW103" s="1"/>
      <c r="AX103" s="1"/>
      <c r="AY103" s="1"/>
      <c r="AZ103" s="1"/>
      <c r="BA103" s="1" t="s">
        <v>1369</v>
      </c>
      <c r="BB103" s="1" t="s">
        <v>366</v>
      </c>
      <c r="BC103" s="1"/>
      <c r="BD103" s="1"/>
    </row>
    <row r="104" ht="11.25" customHeight="1">
      <c r="A104" s="1" t="b">
        <v>1</v>
      </c>
      <c r="B104" s="1" t="s">
        <v>307</v>
      </c>
      <c r="C104" s="1" t="s">
        <v>308</v>
      </c>
      <c r="D104" s="1" t="s">
        <v>65</v>
      </c>
      <c r="E104" s="1"/>
      <c r="F104" s="1"/>
      <c r="G104" s="1" t="s">
        <v>66</v>
      </c>
      <c r="H104" s="1"/>
      <c r="I104" s="1" t="s">
        <v>68</v>
      </c>
      <c r="J104" s="1" t="s">
        <v>69</v>
      </c>
      <c r="K104" s="1" t="s">
        <v>107</v>
      </c>
      <c r="L104" s="1" t="s">
        <v>0</v>
      </c>
      <c r="M104" s="1" t="b">
        <v>1</v>
      </c>
      <c r="N104" s="1" t="b">
        <v>0</v>
      </c>
      <c r="O104" s="19">
        <v>3300.0</v>
      </c>
      <c r="P104" s="20">
        <v>2.1</v>
      </c>
      <c r="Q104" s="20">
        <v>1571.43</v>
      </c>
      <c r="R104" s="21">
        <v>0.6018849073773569</v>
      </c>
      <c r="S104" s="1" t="s">
        <v>117</v>
      </c>
      <c r="T104" s="1" t="s">
        <v>0</v>
      </c>
      <c r="U104" s="1" t="s">
        <v>166</v>
      </c>
      <c r="V104" s="1" t="s">
        <v>81</v>
      </c>
      <c r="W104" s="1" t="s">
        <v>0</v>
      </c>
      <c r="X104" s="1" t="s">
        <v>0</v>
      </c>
      <c r="Y104" s="22" t="str">
        <f t="shared" si="3"/>
        <v>CO</v>
      </c>
      <c r="Z104" s="20" t="str">
        <f>_xlfn.XLOOKUP($B104,[1]F27!$C:$C,[1]F27!$BV:$BV)</f>
        <v>#ERROR!</v>
      </c>
      <c r="AA104" s="1"/>
      <c r="AB104" s="1"/>
      <c r="AC104" s="23"/>
      <c r="AD104" s="1" t="str">
        <f>_xlfn.XLOOKUP($B104,[1]F27!$C:$C,[1]F27!$Y:$Y)</f>
        <v>#ERROR!</v>
      </c>
      <c r="AE104" s="1" t="str">
        <f>_xlfn.XLOOKUP($B104,[1]F27!$C:$C,[1]F27!$Z:$Z)</f>
        <v>#ERROR!</v>
      </c>
      <c r="AF104" s="1" t="str">
        <f>_xlfn.XLOOKUP($B104,[2]PRICING!$B:$B,[2]PRICING!$B:$B,"MISSING")</f>
        <v>#ERROR!</v>
      </c>
      <c r="AG104" s="1" t="str">
        <f>COUNTIFS([2]ACTIVE_SCO!$B:$B,$B104,[2]ACTIVE_SCO!$P:$P,"Y")</f>
        <v>#ERROR!</v>
      </c>
      <c r="AH104" s="1"/>
      <c r="AI104" s="37" t="s">
        <v>157</v>
      </c>
      <c r="AJ104" s="38" t="s">
        <v>1384</v>
      </c>
      <c r="AK104" s="39" t="s">
        <v>1369</v>
      </c>
      <c r="AL104" s="39" t="s">
        <v>366</v>
      </c>
      <c r="AM104" s="1" t="s">
        <v>86</v>
      </c>
      <c r="AN104" s="40" t="s">
        <v>121</v>
      </c>
      <c r="AO104" s="41" t="s">
        <v>86</v>
      </c>
      <c r="AP104" s="41" t="s">
        <v>121</v>
      </c>
      <c r="AQ104" s="40" t="s">
        <v>0</v>
      </c>
      <c r="AR104" s="54"/>
      <c r="AS104" s="1" t="s">
        <v>68</v>
      </c>
      <c r="AT104" s="1" t="s">
        <v>89</v>
      </c>
      <c r="AU104" s="1" t="s">
        <v>132</v>
      </c>
      <c r="AV104" s="1" t="s">
        <v>91</v>
      </c>
      <c r="AW104" s="1"/>
      <c r="AX104" s="1"/>
      <c r="AY104" s="1"/>
      <c r="AZ104" s="1"/>
      <c r="BA104" s="1" t="s">
        <v>1369</v>
      </c>
      <c r="BB104" s="1" t="s">
        <v>366</v>
      </c>
      <c r="BC104" s="1"/>
      <c r="BD104" s="1"/>
    </row>
    <row r="105" ht="11.25" customHeight="1">
      <c r="A105" s="1" t="b">
        <v>1</v>
      </c>
      <c r="B105" s="1" t="s">
        <v>705</v>
      </c>
      <c r="C105" s="1" t="s">
        <v>706</v>
      </c>
      <c r="D105" s="1" t="s">
        <v>65</v>
      </c>
      <c r="E105" s="1"/>
      <c r="F105" s="1"/>
      <c r="G105" s="1" t="s">
        <v>247</v>
      </c>
      <c r="H105" s="1"/>
      <c r="I105" s="1" t="s">
        <v>270</v>
      </c>
      <c r="J105" s="1" t="s">
        <v>69</v>
      </c>
      <c r="K105" s="1" t="s">
        <v>70</v>
      </c>
      <c r="L105" s="1" t="s">
        <v>0</v>
      </c>
      <c r="M105" s="1" t="b">
        <v>1</v>
      </c>
      <c r="N105" s="1" t="b">
        <v>0</v>
      </c>
      <c r="O105" s="19">
        <v>1800.0</v>
      </c>
      <c r="P105" s="20">
        <v>2.1</v>
      </c>
      <c r="Q105" s="20">
        <v>857.14</v>
      </c>
      <c r="R105" s="21">
        <v>0.6370487901626338</v>
      </c>
      <c r="S105" s="1" t="s">
        <v>117</v>
      </c>
      <c r="T105" s="1" t="s">
        <v>0</v>
      </c>
      <c r="U105" s="1" t="s">
        <v>81</v>
      </c>
      <c r="V105" s="1" t="s">
        <v>81</v>
      </c>
      <c r="W105" s="1" t="s">
        <v>0</v>
      </c>
      <c r="X105" s="1" t="s">
        <v>0</v>
      </c>
      <c r="Y105" s="22" t="str">
        <f t="shared" si="3"/>
        <v>CO</v>
      </c>
      <c r="Z105" s="20" t="str">
        <f>_xlfn.XLOOKUP($B105,[1]F27!$C:$C,[1]F27!$BV:$BV)</f>
        <v>#ERROR!</v>
      </c>
      <c r="AA105" s="1"/>
      <c r="AB105" s="1"/>
      <c r="AC105" s="23"/>
      <c r="AD105" s="1" t="str">
        <f>_xlfn.XLOOKUP($B105,[1]F27!$C:$C,[1]F27!$Y:$Y)</f>
        <v>#ERROR!</v>
      </c>
      <c r="AE105" s="1" t="str">
        <f>_xlfn.XLOOKUP($B105,[1]F27!$C:$C,[1]F27!$Z:$Z)</f>
        <v>#ERROR!</v>
      </c>
      <c r="AF105" s="1" t="str">
        <f>_xlfn.XLOOKUP($B105,[2]PRICING!$B:$B,[2]PRICING!$B:$B,"MISSING")</f>
        <v>#ERROR!</v>
      </c>
      <c r="AG105" s="1" t="str">
        <f>COUNTIFS([2]ACTIVE_SCO!$B:$B,$B105,[2]ACTIVE_SCO!$P:$P,"Y")</f>
        <v>#ERROR!</v>
      </c>
      <c r="AH105" s="1"/>
      <c r="AI105" s="37" t="s">
        <v>496</v>
      </c>
      <c r="AJ105" s="55" t="s">
        <v>1402</v>
      </c>
      <c r="AK105" s="75" t="s">
        <v>0</v>
      </c>
      <c r="AL105" s="39" t="s">
        <v>366</v>
      </c>
      <c r="AM105" s="1" t="s">
        <v>125</v>
      </c>
      <c r="AN105" s="40" t="s">
        <v>174</v>
      </c>
      <c r="AO105" s="41" t="s">
        <v>776</v>
      </c>
      <c r="AP105" s="41" t="s">
        <v>777</v>
      </c>
      <c r="AQ105" s="40" t="s">
        <v>0</v>
      </c>
      <c r="AR105" s="54"/>
      <c r="AS105" s="1" t="s">
        <v>276</v>
      </c>
      <c r="AT105" s="1" t="s">
        <v>161</v>
      </c>
      <c r="AU105" s="1" t="s">
        <v>714</v>
      </c>
      <c r="AV105" s="1" t="s">
        <v>131</v>
      </c>
      <c r="AW105" s="1"/>
      <c r="AX105" s="1"/>
      <c r="AY105" s="1"/>
      <c r="AZ105" s="1"/>
      <c r="BA105" s="76" t="s">
        <v>0</v>
      </c>
      <c r="BB105" s="1" t="s">
        <v>366</v>
      </c>
      <c r="BC105" s="1"/>
      <c r="BD105" s="1"/>
    </row>
    <row r="106" ht="11.25" customHeight="1">
      <c r="A106" s="1" t="b">
        <v>1</v>
      </c>
      <c r="B106" s="1" t="s">
        <v>717</v>
      </c>
      <c r="C106" s="1" t="s">
        <v>718</v>
      </c>
      <c r="D106" s="1" t="s">
        <v>65</v>
      </c>
      <c r="E106" s="1"/>
      <c r="F106" s="1"/>
      <c r="G106" s="1" t="s">
        <v>247</v>
      </c>
      <c r="H106" s="1"/>
      <c r="I106" s="1" t="s">
        <v>270</v>
      </c>
      <c r="J106" s="1" t="s">
        <v>69</v>
      </c>
      <c r="K106" s="1" t="s">
        <v>107</v>
      </c>
      <c r="L106" s="1" t="s">
        <v>0</v>
      </c>
      <c r="M106" s="1" t="b">
        <v>1</v>
      </c>
      <c r="N106" s="1" t="b">
        <v>0</v>
      </c>
      <c r="O106" s="19">
        <v>1800.0</v>
      </c>
      <c r="P106" s="20">
        <v>2.1</v>
      </c>
      <c r="Q106" s="20">
        <v>857.14</v>
      </c>
      <c r="R106" s="21">
        <v>0.6714655715519052</v>
      </c>
      <c r="S106" s="1" t="s">
        <v>117</v>
      </c>
      <c r="T106" s="1" t="s">
        <v>0</v>
      </c>
      <c r="U106" s="1" t="s">
        <v>81</v>
      </c>
      <c r="V106" s="1" t="s">
        <v>81</v>
      </c>
      <c r="W106" s="1" t="s">
        <v>0</v>
      </c>
      <c r="X106" s="1" t="s">
        <v>0</v>
      </c>
      <c r="Y106" s="22" t="str">
        <f t="shared" si="3"/>
        <v>CO</v>
      </c>
      <c r="Z106" s="20" t="str">
        <f>_xlfn.XLOOKUP($B106,[1]F27!$C:$C,[1]F27!$BV:$BV)</f>
        <v>#ERROR!</v>
      </c>
      <c r="AA106" s="1"/>
      <c r="AB106" s="1"/>
      <c r="AC106" s="23"/>
      <c r="AD106" s="1" t="str">
        <f>_xlfn.XLOOKUP($B106,[1]F27!$C:$C,[1]F27!$Y:$Y)</f>
        <v>#ERROR!</v>
      </c>
      <c r="AE106" s="1" t="str">
        <f>_xlfn.XLOOKUP($B106,[1]F27!$C:$C,[1]F27!$Z:$Z)</f>
        <v>#ERROR!</v>
      </c>
      <c r="AF106" s="1" t="str">
        <f>_xlfn.XLOOKUP($B106,[2]PRICING!$B:$B,[2]PRICING!$B:$B,"MISSING")</f>
        <v>#ERROR!</v>
      </c>
      <c r="AG106" s="1" t="str">
        <f>COUNTIFS([2]ACTIVE_SCO!$B:$B,$B106,[2]ACTIVE_SCO!$P:$P,"Y")</f>
        <v>#ERROR!</v>
      </c>
      <c r="AH106" s="1"/>
      <c r="AI106" s="37" t="s">
        <v>496</v>
      </c>
      <c r="AJ106" s="55" t="s">
        <v>1417</v>
      </c>
      <c r="AK106" s="75" t="s">
        <v>0</v>
      </c>
      <c r="AL106" s="39" t="s">
        <v>366</v>
      </c>
      <c r="AM106" s="1" t="s">
        <v>125</v>
      </c>
      <c r="AN106" s="40" t="s">
        <v>174</v>
      </c>
      <c r="AO106" s="41" t="s">
        <v>776</v>
      </c>
      <c r="AP106" s="41" t="s">
        <v>777</v>
      </c>
      <c r="AQ106" s="40" t="s">
        <v>0</v>
      </c>
      <c r="AR106" s="54"/>
      <c r="AS106" s="1" t="s">
        <v>276</v>
      </c>
      <c r="AT106" s="1" t="s">
        <v>161</v>
      </c>
      <c r="AU106" s="1" t="s">
        <v>714</v>
      </c>
      <c r="AV106" s="1" t="s">
        <v>131</v>
      </c>
      <c r="AW106" s="1"/>
      <c r="AX106" s="1"/>
      <c r="AY106" s="1"/>
      <c r="AZ106" s="1"/>
      <c r="BA106" s="76" t="s">
        <v>0</v>
      </c>
      <c r="BB106" s="1" t="s">
        <v>366</v>
      </c>
      <c r="BC106" s="1"/>
      <c r="BD106" s="1"/>
    </row>
    <row r="107" ht="11.25" customHeight="1">
      <c r="A107" s="1" t="b">
        <v>1</v>
      </c>
      <c r="B107" s="1" t="s">
        <v>327</v>
      </c>
      <c r="C107" s="1" t="s">
        <v>328</v>
      </c>
      <c r="D107" s="1" t="s">
        <v>65</v>
      </c>
      <c r="E107" s="1"/>
      <c r="F107" s="1"/>
      <c r="G107" s="1" t="s">
        <v>247</v>
      </c>
      <c r="H107" s="1"/>
      <c r="I107" s="1" t="s">
        <v>270</v>
      </c>
      <c r="J107" s="1" t="s">
        <v>69</v>
      </c>
      <c r="K107" s="1" t="s">
        <v>70</v>
      </c>
      <c r="L107" s="1" t="s">
        <v>0</v>
      </c>
      <c r="M107" s="1" t="b">
        <v>1</v>
      </c>
      <c r="N107" s="1" t="b">
        <v>0</v>
      </c>
      <c r="O107" s="19">
        <v>1500.0</v>
      </c>
      <c r="P107" s="20">
        <v>2.1</v>
      </c>
      <c r="Q107" s="20">
        <v>714.29</v>
      </c>
      <c r="R107" s="21">
        <v>0.5418807487155077</v>
      </c>
      <c r="S107" s="1" t="s">
        <v>117</v>
      </c>
      <c r="T107" s="1" t="s">
        <v>0</v>
      </c>
      <c r="U107" s="1" t="s">
        <v>81</v>
      </c>
      <c r="V107" s="1" t="s">
        <v>81</v>
      </c>
      <c r="W107" s="1" t="s">
        <v>0</v>
      </c>
      <c r="X107" s="1" t="s">
        <v>0</v>
      </c>
      <c r="Y107" s="22" t="str">
        <f t="shared" si="3"/>
        <v>CO</v>
      </c>
      <c r="Z107" s="20" t="str">
        <f>_xlfn.XLOOKUP($B107,[1]F27!$C:$C,[1]F27!$BV:$BV)</f>
        <v>#ERROR!</v>
      </c>
      <c r="AA107" s="1"/>
      <c r="AB107" s="1"/>
      <c r="AC107" s="23"/>
      <c r="AD107" s="1" t="str">
        <f>_xlfn.XLOOKUP($B107,[1]F27!$C:$C,[1]F27!$Y:$Y)</f>
        <v>#ERROR!</v>
      </c>
      <c r="AE107" s="1" t="str">
        <f>_xlfn.XLOOKUP($B107,[1]F27!$C:$C,[1]F27!$Z:$Z)</f>
        <v>#ERROR!</v>
      </c>
      <c r="AF107" s="1" t="str">
        <f>_xlfn.XLOOKUP($B107,[2]PRICING!$B:$B,[2]PRICING!$B:$B,"MISSING")</f>
        <v>#ERROR!</v>
      </c>
      <c r="AG107" s="1" t="str">
        <f>COUNTIFS([2]ACTIVE_SCO!$B:$B,$B107,[2]ACTIVE_SCO!$P:$P,"Y")</f>
        <v>#ERROR!</v>
      </c>
      <c r="AH107" s="1"/>
      <c r="AI107" s="37" t="s">
        <v>157</v>
      </c>
      <c r="AJ107" s="38" t="s">
        <v>1425</v>
      </c>
      <c r="AK107" s="39" t="s">
        <v>204</v>
      </c>
      <c r="AL107" s="39" t="s">
        <v>0</v>
      </c>
      <c r="AM107" s="1" t="s">
        <v>125</v>
      </c>
      <c r="AN107" s="40" t="s">
        <v>174</v>
      </c>
      <c r="AO107" s="41" t="s">
        <v>776</v>
      </c>
      <c r="AP107" s="41" t="s">
        <v>777</v>
      </c>
      <c r="AQ107" s="40" t="s">
        <v>0</v>
      </c>
      <c r="AR107" s="54"/>
      <c r="AS107" s="1" t="s">
        <v>276</v>
      </c>
      <c r="AT107" s="1" t="s">
        <v>161</v>
      </c>
      <c r="AU107" s="1" t="s">
        <v>277</v>
      </c>
      <c r="AV107" s="1" t="s">
        <v>131</v>
      </c>
      <c r="AW107" s="1"/>
      <c r="AX107" s="1"/>
      <c r="AY107" s="1"/>
      <c r="AZ107" s="1"/>
      <c r="BA107" s="1" t="s">
        <v>204</v>
      </c>
      <c r="BB107" s="1" t="s">
        <v>0</v>
      </c>
      <c r="BC107" s="1"/>
      <c r="BD107" s="1"/>
    </row>
    <row r="108" ht="11.25" customHeight="1">
      <c r="A108" s="1" t="b">
        <v>1</v>
      </c>
      <c r="B108" s="1" t="s">
        <v>330</v>
      </c>
      <c r="C108" s="1" t="s">
        <v>331</v>
      </c>
      <c r="D108" s="1" t="s">
        <v>65</v>
      </c>
      <c r="E108" s="1"/>
      <c r="F108" s="1"/>
      <c r="G108" s="1" t="s">
        <v>247</v>
      </c>
      <c r="H108" s="1"/>
      <c r="I108" s="1" t="s">
        <v>270</v>
      </c>
      <c r="J108" s="1" t="s">
        <v>69</v>
      </c>
      <c r="K108" s="1" t="s">
        <v>107</v>
      </c>
      <c r="L108" s="1" t="s">
        <v>0</v>
      </c>
      <c r="M108" s="1" t="b">
        <v>1</v>
      </c>
      <c r="N108" s="1" t="b">
        <v>0</v>
      </c>
      <c r="O108" s="19">
        <v>1500.0</v>
      </c>
      <c r="P108" s="20">
        <v>2.1</v>
      </c>
      <c r="Q108" s="20">
        <v>714.29</v>
      </c>
      <c r="R108" s="21">
        <v>0.5885984684091896</v>
      </c>
      <c r="S108" s="1" t="s">
        <v>117</v>
      </c>
      <c r="T108" s="1" t="s">
        <v>0</v>
      </c>
      <c r="U108" s="1" t="s">
        <v>81</v>
      </c>
      <c r="V108" s="1" t="s">
        <v>81</v>
      </c>
      <c r="W108" s="1" t="s">
        <v>0</v>
      </c>
      <c r="X108" s="1" t="s">
        <v>0</v>
      </c>
      <c r="Y108" s="22" t="str">
        <f t="shared" si="3"/>
        <v>CO</v>
      </c>
      <c r="Z108" s="20" t="str">
        <f>_xlfn.XLOOKUP($B108,[1]F27!$C:$C,[1]F27!$BV:$BV)</f>
        <v>#ERROR!</v>
      </c>
      <c r="AA108" s="1"/>
      <c r="AB108" s="1"/>
      <c r="AC108" s="23"/>
      <c r="AD108" s="1" t="str">
        <f>_xlfn.XLOOKUP($B108,[1]F27!$C:$C,[1]F27!$Y:$Y)</f>
        <v>#ERROR!</v>
      </c>
      <c r="AE108" s="1" t="str">
        <f>_xlfn.XLOOKUP($B108,[1]F27!$C:$C,[1]F27!$Z:$Z)</f>
        <v>#ERROR!</v>
      </c>
      <c r="AF108" s="1" t="str">
        <f>_xlfn.XLOOKUP($B108,[2]PRICING!$B:$B,[2]PRICING!$B:$B,"MISSING")</f>
        <v>#ERROR!</v>
      </c>
      <c r="AG108" s="1" t="str">
        <f>COUNTIFS([2]ACTIVE_SCO!$B:$B,$B108,[2]ACTIVE_SCO!$P:$P,"Y")</f>
        <v>#ERROR!</v>
      </c>
      <c r="AH108" s="1"/>
      <c r="AI108" s="37" t="s">
        <v>157</v>
      </c>
      <c r="AJ108" s="38" t="s">
        <v>1427</v>
      </c>
      <c r="AK108" s="39" t="s">
        <v>204</v>
      </c>
      <c r="AL108" s="39" t="s">
        <v>0</v>
      </c>
      <c r="AM108" s="1" t="s">
        <v>125</v>
      </c>
      <c r="AN108" s="40" t="s">
        <v>174</v>
      </c>
      <c r="AO108" s="41" t="s">
        <v>776</v>
      </c>
      <c r="AP108" s="41" t="s">
        <v>777</v>
      </c>
      <c r="AQ108" s="40" t="s">
        <v>0</v>
      </c>
      <c r="AR108" s="54"/>
      <c r="AS108" s="1" t="s">
        <v>276</v>
      </c>
      <c r="AT108" s="1" t="s">
        <v>161</v>
      </c>
      <c r="AU108" s="1" t="s">
        <v>277</v>
      </c>
      <c r="AV108" s="1" t="s">
        <v>131</v>
      </c>
      <c r="AW108" s="1"/>
      <c r="AX108" s="1"/>
      <c r="AY108" s="1"/>
      <c r="AZ108" s="1"/>
      <c r="BA108" s="1" t="s">
        <v>204</v>
      </c>
      <c r="BB108" s="1" t="s">
        <v>0</v>
      </c>
      <c r="BC108" s="1"/>
      <c r="BD108" s="1"/>
    </row>
    <row r="109" ht="11.25" customHeight="1">
      <c r="A109" s="1" t="b">
        <v>1</v>
      </c>
      <c r="B109" s="1" t="s">
        <v>332</v>
      </c>
      <c r="C109" s="1" t="s">
        <v>333</v>
      </c>
      <c r="D109" s="1" t="s">
        <v>65</v>
      </c>
      <c r="E109" s="1"/>
      <c r="F109" s="1"/>
      <c r="G109" s="1" t="s">
        <v>247</v>
      </c>
      <c r="H109" s="1"/>
      <c r="I109" s="1" t="s">
        <v>334</v>
      </c>
      <c r="J109" s="1" t="s">
        <v>69</v>
      </c>
      <c r="K109" s="1" t="s">
        <v>70</v>
      </c>
      <c r="L109" s="1" t="s">
        <v>0</v>
      </c>
      <c r="M109" s="1" t="b">
        <v>1</v>
      </c>
      <c r="N109" s="1" t="b">
        <v>0</v>
      </c>
      <c r="O109" s="19">
        <v>800.0</v>
      </c>
      <c r="P109" s="20">
        <v>2.1</v>
      </c>
      <c r="Q109" s="20">
        <v>380.95</v>
      </c>
      <c r="R109" s="21">
        <v>0.5687885549284682</v>
      </c>
      <c r="S109" s="1" t="s">
        <v>117</v>
      </c>
      <c r="T109" s="1" t="s">
        <v>0</v>
      </c>
      <c r="U109" s="1" t="s">
        <v>81</v>
      </c>
      <c r="V109" s="1" t="s">
        <v>81</v>
      </c>
      <c r="W109" s="1" t="s">
        <v>0</v>
      </c>
      <c r="X109" s="1" t="s">
        <v>0</v>
      </c>
      <c r="Y109" s="22" t="str">
        <f t="shared" si="3"/>
        <v>CO</v>
      </c>
      <c r="Z109" s="20" t="str">
        <f>_xlfn.XLOOKUP($B109,[1]F27!$C:$C,[1]F27!$BV:$BV)</f>
        <v>#ERROR!</v>
      </c>
      <c r="AA109" s="1"/>
      <c r="AB109" s="1"/>
      <c r="AC109" s="23"/>
      <c r="AD109" s="1" t="str">
        <f>_xlfn.XLOOKUP($B109,[1]F27!$C:$C,[1]F27!$Y:$Y)</f>
        <v>#ERROR!</v>
      </c>
      <c r="AE109" s="1" t="str">
        <f>_xlfn.XLOOKUP($B109,[1]F27!$C:$C,[1]F27!$Z:$Z)</f>
        <v>#ERROR!</v>
      </c>
      <c r="AF109" s="1" t="str">
        <f>_xlfn.XLOOKUP($B109,[2]PRICING!$B:$B,[2]PRICING!$B:$B,"MISSING")</f>
        <v>#ERROR!</v>
      </c>
      <c r="AG109" s="1" t="str">
        <f>COUNTIFS([2]ACTIVE_SCO!$B:$B,$B109,[2]ACTIVE_SCO!$P:$P,"Y")</f>
        <v>#ERROR!</v>
      </c>
      <c r="AH109" s="1"/>
      <c r="AI109" s="37" t="s">
        <v>157</v>
      </c>
      <c r="AJ109" s="38" t="s">
        <v>1442</v>
      </c>
      <c r="AK109" s="39" t="s">
        <v>417</v>
      </c>
      <c r="AL109" s="39" t="s">
        <v>0</v>
      </c>
      <c r="AM109" s="1" t="s">
        <v>125</v>
      </c>
      <c r="AN109" s="40" t="s">
        <v>174</v>
      </c>
      <c r="AO109" s="41" t="s">
        <v>776</v>
      </c>
      <c r="AP109" s="41" t="s">
        <v>777</v>
      </c>
      <c r="AQ109" s="40" t="s">
        <v>0</v>
      </c>
      <c r="AR109" s="54"/>
      <c r="AS109" s="1" t="s">
        <v>334</v>
      </c>
      <c r="AT109" s="1" t="s">
        <v>337</v>
      </c>
      <c r="AU109" s="1" t="s">
        <v>338</v>
      </c>
      <c r="AV109" s="1" t="s">
        <v>131</v>
      </c>
      <c r="AW109" s="1"/>
      <c r="AX109" s="1"/>
      <c r="AY109" s="1"/>
      <c r="AZ109" s="1"/>
      <c r="BA109" s="1" t="s">
        <v>417</v>
      </c>
      <c r="BB109" s="1" t="s">
        <v>0</v>
      </c>
      <c r="BC109" s="1"/>
      <c r="BD109" s="1"/>
    </row>
    <row r="110" ht="11.25" customHeight="1">
      <c r="A110" s="1" t="b">
        <v>1</v>
      </c>
      <c r="B110" s="1" t="s">
        <v>339</v>
      </c>
      <c r="C110" s="1" t="s">
        <v>340</v>
      </c>
      <c r="D110" s="1" t="s">
        <v>65</v>
      </c>
      <c r="E110" s="1"/>
      <c r="F110" s="1"/>
      <c r="G110" s="1" t="s">
        <v>247</v>
      </c>
      <c r="H110" s="1"/>
      <c r="I110" s="1" t="s">
        <v>334</v>
      </c>
      <c r="J110" s="1" t="s">
        <v>69</v>
      </c>
      <c r="K110" s="1" t="s">
        <v>107</v>
      </c>
      <c r="L110" s="1" t="s">
        <v>0</v>
      </c>
      <c r="M110" s="1" t="b">
        <v>1</v>
      </c>
      <c r="N110" s="1" t="b">
        <v>0</v>
      </c>
      <c r="O110" s="19">
        <v>800.0</v>
      </c>
      <c r="P110" s="20">
        <v>2.1</v>
      </c>
      <c r="Q110" s="20">
        <v>380.95</v>
      </c>
      <c r="R110" s="21">
        <v>0.5950649691560572</v>
      </c>
      <c r="S110" s="1" t="s">
        <v>242</v>
      </c>
      <c r="T110" s="1" t="s">
        <v>0</v>
      </c>
      <c r="U110" s="1" t="s">
        <v>81</v>
      </c>
      <c r="V110" s="1" t="s">
        <v>81</v>
      </c>
      <c r="W110" s="1" t="s">
        <v>0</v>
      </c>
      <c r="X110" s="1" t="s">
        <v>0</v>
      </c>
      <c r="Y110" s="22" t="str">
        <f t="shared" si="3"/>
        <v>CO</v>
      </c>
      <c r="Z110" s="20" t="str">
        <f>_xlfn.XLOOKUP($B110,[1]F27!$C:$C,[1]F27!$BV:$BV)</f>
        <v>#ERROR!</v>
      </c>
      <c r="AA110" s="1"/>
      <c r="AB110" s="1"/>
      <c r="AC110" s="23"/>
      <c r="AD110" s="1" t="str">
        <f>_xlfn.XLOOKUP($B110,[1]F27!$C:$C,[1]F27!$Y:$Y)</f>
        <v>#ERROR!</v>
      </c>
      <c r="AE110" s="1" t="str">
        <f>_xlfn.XLOOKUP($B110,[1]F27!$C:$C,[1]F27!$Z:$Z)</f>
        <v>#ERROR!</v>
      </c>
      <c r="AF110" s="1" t="str">
        <f>_xlfn.XLOOKUP($B110,[2]PRICING!$B:$B,[2]PRICING!$B:$B,"MISSING")</f>
        <v>#ERROR!</v>
      </c>
      <c r="AG110" s="1" t="str">
        <f>COUNTIFS([2]ACTIVE_SCO!$B:$B,$B110,[2]ACTIVE_SCO!$P:$P,"Y")</f>
        <v>#ERROR!</v>
      </c>
      <c r="AH110" s="1"/>
      <c r="AI110" s="37" t="s">
        <v>157</v>
      </c>
      <c r="AJ110" s="38" t="s">
        <v>1456</v>
      </c>
      <c r="AK110" s="39" t="s">
        <v>417</v>
      </c>
      <c r="AL110" s="39" t="s">
        <v>0</v>
      </c>
      <c r="AM110" s="1" t="s">
        <v>125</v>
      </c>
      <c r="AN110" s="40" t="s">
        <v>174</v>
      </c>
      <c r="AO110" s="41" t="s">
        <v>776</v>
      </c>
      <c r="AP110" s="41" t="s">
        <v>777</v>
      </c>
      <c r="AQ110" s="40" t="s">
        <v>0</v>
      </c>
      <c r="AR110" s="54"/>
      <c r="AS110" s="1" t="s">
        <v>334</v>
      </c>
      <c r="AT110" s="1" t="s">
        <v>337</v>
      </c>
      <c r="AU110" s="1" t="s">
        <v>338</v>
      </c>
      <c r="AV110" s="1" t="s">
        <v>131</v>
      </c>
      <c r="AW110" s="1"/>
      <c r="AX110" s="1"/>
      <c r="AY110" s="1"/>
      <c r="AZ110" s="1"/>
      <c r="BA110" s="1" t="s">
        <v>417</v>
      </c>
      <c r="BB110" s="1" t="s">
        <v>0</v>
      </c>
      <c r="BC110" s="1"/>
      <c r="BD110" s="1"/>
    </row>
    <row r="111" ht="11.25" customHeight="1">
      <c r="A111" s="1" t="b">
        <v>1</v>
      </c>
      <c r="B111" s="1" t="s">
        <v>345</v>
      </c>
      <c r="C111" s="1" t="s">
        <v>346</v>
      </c>
      <c r="D111" s="1" t="s">
        <v>65</v>
      </c>
      <c r="E111" s="1"/>
      <c r="F111" s="1"/>
      <c r="G111" s="1" t="s">
        <v>247</v>
      </c>
      <c r="H111" s="1"/>
      <c r="I111" s="1" t="s">
        <v>334</v>
      </c>
      <c r="J111" s="1" t="s">
        <v>69</v>
      </c>
      <c r="K111" s="1" t="s">
        <v>70</v>
      </c>
      <c r="L111" s="1" t="s">
        <v>0</v>
      </c>
      <c r="M111" s="1" t="b">
        <v>1</v>
      </c>
      <c r="N111" s="1" t="b">
        <v>0</v>
      </c>
      <c r="O111" s="19">
        <v>700.0</v>
      </c>
      <c r="P111" s="20">
        <v>2.1</v>
      </c>
      <c r="Q111" s="20">
        <v>333.33</v>
      </c>
      <c r="R111" s="21">
        <v>0.6072960729607295</v>
      </c>
      <c r="S111" s="1" t="s">
        <v>242</v>
      </c>
      <c r="T111" s="1" t="s">
        <v>0</v>
      </c>
      <c r="U111" s="1" t="s">
        <v>81</v>
      </c>
      <c r="V111" s="1" t="s">
        <v>81</v>
      </c>
      <c r="W111" s="1" t="s">
        <v>0</v>
      </c>
      <c r="X111" s="1" t="s">
        <v>0</v>
      </c>
      <c r="Y111" s="22" t="str">
        <f t="shared" si="3"/>
        <v>CO</v>
      </c>
      <c r="Z111" s="20" t="str">
        <f>_xlfn.XLOOKUP($B111,[1]F27!$C:$C,[1]F27!$BV:$BV)</f>
        <v>#ERROR!</v>
      </c>
      <c r="AA111" s="1"/>
      <c r="AB111" s="1"/>
      <c r="AC111" s="23"/>
      <c r="AD111" s="1" t="str">
        <f>_xlfn.XLOOKUP($B111,[1]F27!$C:$C,[1]F27!$Y:$Y)</f>
        <v>#ERROR!</v>
      </c>
      <c r="AE111" s="1" t="str">
        <f>_xlfn.XLOOKUP($B111,[1]F27!$C:$C,[1]F27!$Z:$Z)</f>
        <v>#ERROR!</v>
      </c>
      <c r="AF111" s="1" t="str">
        <f>_xlfn.XLOOKUP($B111,[2]PRICING!$B:$B,[2]PRICING!$B:$B,"MISSING")</f>
        <v>#ERROR!</v>
      </c>
      <c r="AG111" s="1" t="str">
        <f>COUNTIFS([2]ACTIVE_SCO!$B:$B,$B111,[2]ACTIVE_SCO!$P:$P,"Y")</f>
        <v>#ERROR!</v>
      </c>
      <c r="AH111" s="1"/>
      <c r="AI111" s="37" t="s">
        <v>157</v>
      </c>
      <c r="AJ111" s="38" t="s">
        <v>1471</v>
      </c>
      <c r="AK111" s="39" t="s">
        <v>417</v>
      </c>
      <c r="AL111" s="39" t="s">
        <v>0</v>
      </c>
      <c r="AM111" s="1" t="s">
        <v>125</v>
      </c>
      <c r="AN111" s="40" t="s">
        <v>174</v>
      </c>
      <c r="AO111" s="41" t="s">
        <v>776</v>
      </c>
      <c r="AP111" s="41" t="s">
        <v>777</v>
      </c>
      <c r="AQ111" s="40" t="s">
        <v>0</v>
      </c>
      <c r="AR111" s="54"/>
      <c r="AS111" s="1" t="s">
        <v>334</v>
      </c>
      <c r="AT111" s="1" t="s">
        <v>348</v>
      </c>
      <c r="AU111" s="1" t="s">
        <v>338</v>
      </c>
      <c r="AV111" s="1" t="s">
        <v>131</v>
      </c>
      <c r="AW111" s="1"/>
      <c r="AX111" s="1"/>
      <c r="AY111" s="1"/>
      <c r="AZ111" s="1"/>
      <c r="BA111" s="1" t="s">
        <v>417</v>
      </c>
      <c r="BB111" s="1" t="s">
        <v>0</v>
      </c>
      <c r="BC111" s="1"/>
      <c r="BD111" s="1"/>
    </row>
    <row r="112" ht="11.25" customHeight="1">
      <c r="A112" s="1" t="b">
        <v>1</v>
      </c>
      <c r="B112" s="1" t="s">
        <v>349</v>
      </c>
      <c r="C112" s="1" t="s">
        <v>350</v>
      </c>
      <c r="D112" s="1" t="s">
        <v>65</v>
      </c>
      <c r="E112" s="1"/>
      <c r="F112" s="1"/>
      <c r="G112" s="1" t="s">
        <v>247</v>
      </c>
      <c r="H112" s="1"/>
      <c r="I112" s="1" t="s">
        <v>334</v>
      </c>
      <c r="J112" s="1" t="s">
        <v>69</v>
      </c>
      <c r="K112" s="1" t="s">
        <v>107</v>
      </c>
      <c r="L112" s="1" t="s">
        <v>0</v>
      </c>
      <c r="M112" s="1" t="b">
        <v>1</v>
      </c>
      <c r="N112" s="1" t="b">
        <v>0</v>
      </c>
      <c r="O112" s="19">
        <v>700.0</v>
      </c>
      <c r="P112" s="20">
        <v>2.1</v>
      </c>
      <c r="Q112" s="20">
        <v>333.33</v>
      </c>
      <c r="R112" s="21">
        <v>0.6273362733627337</v>
      </c>
      <c r="S112" s="1" t="s">
        <v>242</v>
      </c>
      <c r="T112" s="1" t="s">
        <v>0</v>
      </c>
      <c r="U112" s="1" t="s">
        <v>81</v>
      </c>
      <c r="V112" s="1" t="s">
        <v>81</v>
      </c>
      <c r="W112" s="1" t="s">
        <v>0</v>
      </c>
      <c r="X112" s="1" t="s">
        <v>0</v>
      </c>
      <c r="Y112" s="22" t="str">
        <f t="shared" si="3"/>
        <v>CO</v>
      </c>
      <c r="Z112" s="20" t="str">
        <f>_xlfn.XLOOKUP($B112,[1]F27!$C:$C,[1]F27!$BV:$BV)</f>
        <v>#ERROR!</v>
      </c>
      <c r="AA112" s="1"/>
      <c r="AB112" s="1"/>
      <c r="AC112" s="23"/>
      <c r="AD112" s="1" t="str">
        <f>_xlfn.XLOOKUP($B112,[1]F27!$C:$C,[1]F27!$Y:$Y)</f>
        <v>#ERROR!</v>
      </c>
      <c r="AE112" s="1" t="str">
        <f>_xlfn.XLOOKUP($B112,[1]F27!$C:$C,[1]F27!$Z:$Z)</f>
        <v>#ERROR!</v>
      </c>
      <c r="AF112" s="1" t="str">
        <f>_xlfn.XLOOKUP($B112,[2]PRICING!$B:$B,[2]PRICING!$B:$B,"MISSING")</f>
        <v>#ERROR!</v>
      </c>
      <c r="AG112" s="1" t="str">
        <f>COUNTIFS([2]ACTIVE_SCO!$B:$B,$B112,[2]ACTIVE_SCO!$P:$P,"Y")</f>
        <v>#ERROR!</v>
      </c>
      <c r="AH112" s="1"/>
      <c r="AI112" s="37" t="s">
        <v>157</v>
      </c>
      <c r="AJ112" s="38" t="s">
        <v>1483</v>
      </c>
      <c r="AK112" s="39" t="s">
        <v>417</v>
      </c>
      <c r="AL112" s="39" t="s">
        <v>0</v>
      </c>
      <c r="AM112" s="1" t="s">
        <v>125</v>
      </c>
      <c r="AN112" s="40" t="s">
        <v>174</v>
      </c>
      <c r="AO112" s="41" t="s">
        <v>776</v>
      </c>
      <c r="AP112" s="41" t="s">
        <v>777</v>
      </c>
      <c r="AQ112" s="40" t="s">
        <v>0</v>
      </c>
      <c r="AR112" s="54"/>
      <c r="AS112" s="1" t="s">
        <v>334</v>
      </c>
      <c r="AT112" s="1" t="s">
        <v>348</v>
      </c>
      <c r="AU112" s="1" t="s">
        <v>338</v>
      </c>
      <c r="AV112" s="1" t="s">
        <v>131</v>
      </c>
      <c r="AW112" s="1"/>
      <c r="AX112" s="1"/>
      <c r="AY112" s="1"/>
      <c r="AZ112" s="1"/>
      <c r="BA112" s="1" t="s">
        <v>417</v>
      </c>
      <c r="BB112" s="1" t="s">
        <v>0</v>
      </c>
      <c r="BC112" s="1"/>
      <c r="BD112" s="1"/>
    </row>
    <row r="113" ht="11.25" customHeight="1">
      <c r="A113" s="1" t="b">
        <v>1</v>
      </c>
      <c r="B113" s="1" t="s">
        <v>830</v>
      </c>
      <c r="C113" s="1" t="s">
        <v>831</v>
      </c>
      <c r="D113" s="1" t="s">
        <v>65</v>
      </c>
      <c r="E113" s="1"/>
      <c r="F113" s="1"/>
      <c r="G113" s="1" t="s">
        <v>247</v>
      </c>
      <c r="H113" s="1"/>
      <c r="I113" s="1" t="s">
        <v>355</v>
      </c>
      <c r="J113" s="1" t="s">
        <v>69</v>
      </c>
      <c r="K113" s="1" t="s">
        <v>107</v>
      </c>
      <c r="L113" s="1" t="s">
        <v>0</v>
      </c>
      <c r="M113" s="1" t="b">
        <v>1</v>
      </c>
      <c r="N113" s="1" t="b">
        <v>0</v>
      </c>
      <c r="O113" s="19">
        <v>3500.0</v>
      </c>
      <c r="P113" s="20">
        <v>2.1</v>
      </c>
      <c r="Q113" s="20">
        <v>1666.67</v>
      </c>
      <c r="R113" s="21">
        <v>0.6680386639226721</v>
      </c>
      <c r="S113" s="1" t="s">
        <v>117</v>
      </c>
      <c r="T113" s="1" t="s">
        <v>0</v>
      </c>
      <c r="U113" s="1" t="s">
        <v>359</v>
      </c>
      <c r="V113" s="1" t="s">
        <v>511</v>
      </c>
      <c r="W113" s="1" t="s">
        <v>0</v>
      </c>
      <c r="X113" s="1" t="s">
        <v>0</v>
      </c>
      <c r="Y113" s="22" t="str">
        <f t="shared" si="3"/>
        <v>CO</v>
      </c>
      <c r="Z113" s="20" t="str">
        <f>_xlfn.XLOOKUP($B113,[1]F27!$C:$C,[1]F27!$BV:$BV)</f>
        <v>#ERROR!</v>
      </c>
      <c r="AA113" s="1"/>
      <c r="AB113" s="1"/>
      <c r="AC113" s="23"/>
      <c r="AD113" s="1" t="str">
        <f>_xlfn.XLOOKUP($B113,[1]F27!$C:$C,[1]F27!$Y:$Y)</f>
        <v>#ERROR!</v>
      </c>
      <c r="AE113" s="1" t="str">
        <f>_xlfn.XLOOKUP($B113,[1]F27!$C:$C,[1]F27!$Z:$Z)</f>
        <v>#ERROR!</v>
      </c>
      <c r="AF113" s="1" t="str">
        <f>_xlfn.XLOOKUP($B113,[2]PRICING!$B:$B,[2]PRICING!$B:$B,"MISSING")</f>
        <v>#ERROR!</v>
      </c>
      <c r="AG113" s="1" t="str">
        <f>COUNTIFS([2]ACTIVE_SCO!$B:$B,$B113,[2]ACTIVE_SCO!$P:$P,"Y")</f>
        <v>#ERROR!</v>
      </c>
      <c r="AH113" s="1"/>
      <c r="AI113" s="37" t="s">
        <v>157</v>
      </c>
      <c r="AJ113" s="38" t="s">
        <v>1485</v>
      </c>
      <c r="AK113" s="39" t="s">
        <v>366</v>
      </c>
      <c r="AL113" s="39" t="s">
        <v>0</v>
      </c>
      <c r="AM113" s="1" t="s">
        <v>125</v>
      </c>
      <c r="AN113" s="40" t="s">
        <v>174</v>
      </c>
      <c r="AO113" s="41" t="s">
        <v>776</v>
      </c>
      <c r="AP113" s="41" t="s">
        <v>777</v>
      </c>
      <c r="AQ113" s="40" t="s">
        <v>0</v>
      </c>
      <c r="AR113" s="54"/>
      <c r="AS113" s="1" t="s">
        <v>355</v>
      </c>
      <c r="AT113" s="1" t="s">
        <v>841</v>
      </c>
      <c r="AU113" s="1" t="s">
        <v>842</v>
      </c>
      <c r="AV113" s="1" t="s">
        <v>131</v>
      </c>
      <c r="AW113" s="1"/>
      <c r="AX113" s="1"/>
      <c r="AY113" s="1"/>
      <c r="AZ113" s="1"/>
      <c r="BA113" s="1" t="s">
        <v>366</v>
      </c>
      <c r="BB113" s="1" t="s">
        <v>0</v>
      </c>
      <c r="BC113" s="1"/>
      <c r="BD113" s="1"/>
    </row>
    <row r="114" ht="11.25" customHeight="1">
      <c r="A114" s="1" t="b">
        <v>1</v>
      </c>
      <c r="B114" s="1" t="s">
        <v>356</v>
      </c>
      <c r="C114" s="1" t="s">
        <v>357</v>
      </c>
      <c r="D114" s="1" t="s">
        <v>65</v>
      </c>
      <c r="E114" s="1"/>
      <c r="F114" s="1"/>
      <c r="G114" s="1" t="s">
        <v>247</v>
      </c>
      <c r="H114" s="1"/>
      <c r="I114" s="1" t="s">
        <v>355</v>
      </c>
      <c r="J114" s="1" t="s">
        <v>69</v>
      </c>
      <c r="K114" s="1" t="s">
        <v>70</v>
      </c>
      <c r="L114" s="1" t="s">
        <v>0</v>
      </c>
      <c r="M114" s="1" t="b">
        <v>1</v>
      </c>
      <c r="N114" s="1" t="b">
        <v>0</v>
      </c>
      <c r="O114" s="19">
        <v>2800.0</v>
      </c>
      <c r="P114" s="20">
        <v>2.1</v>
      </c>
      <c r="Q114" s="20">
        <v>1333.33</v>
      </c>
      <c r="R114" s="21">
        <v>0.6246090615226538</v>
      </c>
      <c r="S114" s="1" t="s">
        <v>117</v>
      </c>
      <c r="T114" s="1" t="s">
        <v>0</v>
      </c>
      <c r="U114" s="1" t="s">
        <v>359</v>
      </c>
      <c r="V114" s="1" t="s">
        <v>81</v>
      </c>
      <c r="W114" s="1" t="s">
        <v>0</v>
      </c>
      <c r="X114" s="1" t="s">
        <v>0</v>
      </c>
      <c r="Y114" s="22" t="str">
        <f t="shared" si="3"/>
        <v>CO</v>
      </c>
      <c r="Z114" s="20" t="str">
        <f>_xlfn.XLOOKUP($B114,[1]F27!$C:$C,[1]F27!$BV:$BV)</f>
        <v>#ERROR!</v>
      </c>
      <c r="AA114" s="1"/>
      <c r="AB114" s="1"/>
      <c r="AC114" s="23"/>
      <c r="AD114" s="1" t="str">
        <f>_xlfn.XLOOKUP($B114,[1]F27!$C:$C,[1]F27!$Y:$Y)</f>
        <v>#ERROR!</v>
      </c>
      <c r="AE114" s="1" t="str">
        <f>_xlfn.XLOOKUP($B114,[1]F27!$C:$C,[1]F27!$Z:$Z)</f>
        <v>#ERROR!</v>
      </c>
      <c r="AF114" s="1" t="str">
        <f>_xlfn.XLOOKUP($B114,[2]PRICING!$B:$B,[2]PRICING!$B:$B,"MISSING")</f>
        <v>#ERROR!</v>
      </c>
      <c r="AG114" s="1" t="str">
        <f>COUNTIFS([2]ACTIVE_SCO!$B:$B,$B114,[2]ACTIVE_SCO!$P:$P,"Y")</f>
        <v>#ERROR!</v>
      </c>
      <c r="AH114" s="1"/>
      <c r="AI114" s="37" t="s">
        <v>157</v>
      </c>
      <c r="AJ114" s="55" t="s">
        <v>1489</v>
      </c>
      <c r="AK114" s="39" t="s">
        <v>366</v>
      </c>
      <c r="AL114" s="39" t="s">
        <v>0</v>
      </c>
      <c r="AM114" s="1" t="s">
        <v>125</v>
      </c>
      <c r="AN114" s="40" t="s">
        <v>127</v>
      </c>
      <c r="AO114" s="41" t="s">
        <v>776</v>
      </c>
      <c r="AP114" s="41" t="s">
        <v>777</v>
      </c>
      <c r="AQ114" s="40" t="s">
        <v>0</v>
      </c>
      <c r="AR114" s="54"/>
      <c r="AS114" s="1" t="s">
        <v>355</v>
      </c>
      <c r="AT114" s="1" t="s">
        <v>161</v>
      </c>
      <c r="AU114" s="1" t="s">
        <v>360</v>
      </c>
      <c r="AV114" s="1" t="s">
        <v>131</v>
      </c>
      <c r="AW114" s="1"/>
      <c r="AX114" s="1"/>
      <c r="AY114" s="1"/>
      <c r="AZ114" s="1"/>
      <c r="BA114" s="1" t="s">
        <v>366</v>
      </c>
      <c r="BB114" s="1" t="s">
        <v>0</v>
      </c>
      <c r="BC114" s="1"/>
      <c r="BD114" s="1"/>
    </row>
    <row r="115" ht="11.25" customHeight="1">
      <c r="A115" s="1" t="b">
        <v>1</v>
      </c>
      <c r="B115" s="1" t="s">
        <v>361</v>
      </c>
      <c r="C115" s="1" t="s">
        <v>362</v>
      </c>
      <c r="D115" s="1" t="s">
        <v>65</v>
      </c>
      <c r="E115" s="1"/>
      <c r="F115" s="1"/>
      <c r="G115" s="1" t="s">
        <v>247</v>
      </c>
      <c r="H115" s="1"/>
      <c r="I115" s="1" t="s">
        <v>355</v>
      </c>
      <c r="J115" s="1" t="s">
        <v>69</v>
      </c>
      <c r="K115" s="1" t="s">
        <v>107</v>
      </c>
      <c r="L115" s="1" t="s">
        <v>0</v>
      </c>
      <c r="M115" s="1" t="b">
        <v>1</v>
      </c>
      <c r="N115" s="1" t="b">
        <v>0</v>
      </c>
      <c r="O115" s="19">
        <v>2800.0</v>
      </c>
      <c r="P115" s="20">
        <v>2.1</v>
      </c>
      <c r="Q115" s="20">
        <v>1333.33</v>
      </c>
      <c r="R115" s="21">
        <v>0.6646666616666541</v>
      </c>
      <c r="S115" s="1" t="s">
        <v>117</v>
      </c>
      <c r="T115" s="1" t="s">
        <v>0</v>
      </c>
      <c r="U115" s="1" t="s">
        <v>359</v>
      </c>
      <c r="V115" s="1" t="s">
        <v>81</v>
      </c>
      <c r="W115" s="1" t="s">
        <v>0</v>
      </c>
      <c r="X115" s="1" t="s">
        <v>0</v>
      </c>
      <c r="Y115" s="22" t="str">
        <f t="shared" si="3"/>
        <v>CO</v>
      </c>
      <c r="Z115" s="20" t="str">
        <f>_xlfn.XLOOKUP($B115,[1]F27!$C:$C,[1]F27!$BV:$BV)</f>
        <v>#ERROR!</v>
      </c>
      <c r="AA115" s="1"/>
      <c r="AB115" s="1"/>
      <c r="AC115" s="23"/>
      <c r="AD115" s="1" t="str">
        <f>_xlfn.XLOOKUP($B115,[1]F27!$C:$C,[1]F27!$Y:$Y)</f>
        <v>#ERROR!</v>
      </c>
      <c r="AE115" s="1" t="str">
        <f>_xlfn.XLOOKUP($B115,[1]F27!$C:$C,[1]F27!$Z:$Z)</f>
        <v>#ERROR!</v>
      </c>
      <c r="AF115" s="1" t="str">
        <f>_xlfn.XLOOKUP($B115,[2]PRICING!$B:$B,[2]PRICING!$B:$B,"MISSING")</f>
        <v>#ERROR!</v>
      </c>
      <c r="AG115" s="1" t="str">
        <f>COUNTIFS([2]ACTIVE_SCO!$B:$B,$B115,[2]ACTIVE_SCO!$P:$P,"Y")</f>
        <v>#ERROR!</v>
      </c>
      <c r="AH115" s="1"/>
      <c r="AI115" s="37" t="s">
        <v>157</v>
      </c>
      <c r="AJ115" s="55" t="s">
        <v>1499</v>
      </c>
      <c r="AK115" s="39" t="s">
        <v>366</v>
      </c>
      <c r="AL115" s="39" t="s">
        <v>0</v>
      </c>
      <c r="AM115" s="1" t="s">
        <v>125</v>
      </c>
      <c r="AN115" s="40" t="s">
        <v>127</v>
      </c>
      <c r="AO115" s="41" t="s">
        <v>776</v>
      </c>
      <c r="AP115" s="41" t="s">
        <v>777</v>
      </c>
      <c r="AQ115" s="40" t="s">
        <v>0</v>
      </c>
      <c r="AR115" s="54"/>
      <c r="AS115" s="1" t="s">
        <v>355</v>
      </c>
      <c r="AT115" s="1" t="s">
        <v>161</v>
      </c>
      <c r="AU115" s="1" t="s">
        <v>360</v>
      </c>
      <c r="AV115" s="1" t="s">
        <v>131</v>
      </c>
      <c r="AW115" s="1"/>
      <c r="AX115" s="1"/>
      <c r="AY115" s="1"/>
      <c r="AZ115" s="1"/>
      <c r="BA115" s="1" t="s">
        <v>366</v>
      </c>
      <c r="BB115" s="1" t="s">
        <v>0</v>
      </c>
      <c r="BC115" s="1"/>
      <c r="BD115" s="1"/>
    </row>
    <row r="116" ht="11.25" customHeight="1">
      <c r="A116" s="1" t="b">
        <v>1</v>
      </c>
      <c r="B116" s="1" t="s">
        <v>368</v>
      </c>
      <c r="C116" s="1" t="s">
        <v>369</v>
      </c>
      <c r="D116" s="1" t="s">
        <v>65</v>
      </c>
      <c r="E116" s="1"/>
      <c r="F116" s="1"/>
      <c r="G116" s="1" t="s">
        <v>247</v>
      </c>
      <c r="H116" s="1"/>
      <c r="I116" s="1" t="s">
        <v>355</v>
      </c>
      <c r="J116" s="1" t="s">
        <v>69</v>
      </c>
      <c r="K116" s="1" t="s">
        <v>70</v>
      </c>
      <c r="L116" s="1" t="s">
        <v>0</v>
      </c>
      <c r="M116" s="1" t="b">
        <v>1</v>
      </c>
      <c r="N116" s="1" t="b">
        <v>0</v>
      </c>
      <c r="O116" s="19">
        <v>2000.0</v>
      </c>
      <c r="P116" s="20">
        <v>2.1</v>
      </c>
      <c r="Q116" s="20">
        <v>952.38</v>
      </c>
      <c r="R116" s="21">
        <v>0.6545496545496545</v>
      </c>
      <c r="S116" s="1" t="s">
        <v>117</v>
      </c>
      <c r="T116" s="1" t="s">
        <v>0</v>
      </c>
      <c r="U116" s="1" t="s">
        <v>359</v>
      </c>
      <c r="V116" s="1" t="s">
        <v>81</v>
      </c>
      <c r="W116" s="1" t="s">
        <v>0</v>
      </c>
      <c r="X116" s="1" t="s">
        <v>0</v>
      </c>
      <c r="Y116" s="22" t="str">
        <f t="shared" si="3"/>
        <v>CO</v>
      </c>
      <c r="Z116" s="20" t="str">
        <f>_xlfn.XLOOKUP($B116,[1]F27!$C:$C,[1]F27!$BV:$BV)</f>
        <v>#ERROR!</v>
      </c>
      <c r="AA116" s="1"/>
      <c r="AB116" s="1"/>
      <c r="AC116" s="23"/>
      <c r="AD116" s="1" t="str">
        <f>_xlfn.XLOOKUP($B116,[1]F27!$C:$C,[1]F27!$Y:$Y)</f>
        <v>#ERROR!</v>
      </c>
      <c r="AE116" s="1" t="str">
        <f>_xlfn.XLOOKUP($B116,[1]F27!$C:$C,[1]F27!$Z:$Z)</f>
        <v>#ERROR!</v>
      </c>
      <c r="AF116" s="1" t="str">
        <f>_xlfn.XLOOKUP($B116,[2]PRICING!$B:$B,[2]PRICING!$B:$B,"MISSING")</f>
        <v>#ERROR!</v>
      </c>
      <c r="AG116" s="1" t="str">
        <f>COUNTIFS([2]ACTIVE_SCO!$B:$B,$B116,[2]ACTIVE_SCO!$P:$P,"Y")</f>
        <v>#ERROR!</v>
      </c>
      <c r="AH116" s="1"/>
      <c r="AI116" s="37" t="s">
        <v>157</v>
      </c>
      <c r="AJ116" s="55" t="s">
        <v>1501</v>
      </c>
      <c r="AK116" s="39" t="s">
        <v>366</v>
      </c>
      <c r="AL116" s="39" t="s">
        <v>0</v>
      </c>
      <c r="AM116" s="1" t="s">
        <v>125</v>
      </c>
      <c r="AN116" s="40" t="s">
        <v>127</v>
      </c>
      <c r="AO116" s="41" t="s">
        <v>776</v>
      </c>
      <c r="AP116" s="41" t="s">
        <v>777</v>
      </c>
      <c r="AQ116" s="40" t="s">
        <v>0</v>
      </c>
      <c r="AR116" s="54"/>
      <c r="AS116" s="1" t="s">
        <v>355</v>
      </c>
      <c r="AT116" s="1" t="s">
        <v>373</v>
      </c>
      <c r="AU116" s="1" t="s">
        <v>360</v>
      </c>
      <c r="AV116" s="1" t="s">
        <v>131</v>
      </c>
      <c r="AW116" s="1"/>
      <c r="AX116" s="1"/>
      <c r="AY116" s="1"/>
      <c r="AZ116" s="1"/>
      <c r="BA116" s="1" t="s">
        <v>366</v>
      </c>
      <c r="BB116" s="1" t="s">
        <v>0</v>
      </c>
      <c r="BC116" s="1"/>
      <c r="BD116" s="1"/>
    </row>
    <row r="117" ht="11.25" customHeight="1">
      <c r="A117" s="1" t="b">
        <v>1</v>
      </c>
      <c r="B117" s="1" t="s">
        <v>374</v>
      </c>
      <c r="C117" s="1" t="s">
        <v>375</v>
      </c>
      <c r="D117" s="1" t="s">
        <v>65</v>
      </c>
      <c r="E117" s="1"/>
      <c r="F117" s="1"/>
      <c r="G117" s="1" t="s">
        <v>247</v>
      </c>
      <c r="H117" s="1"/>
      <c r="I117" s="1" t="s">
        <v>355</v>
      </c>
      <c r="J117" s="1" t="s">
        <v>69</v>
      </c>
      <c r="K117" s="1" t="s">
        <v>107</v>
      </c>
      <c r="L117" s="1" t="s">
        <v>0</v>
      </c>
      <c r="M117" s="1" t="b">
        <v>1</v>
      </c>
      <c r="N117" s="1" t="b">
        <v>0</v>
      </c>
      <c r="O117" s="19">
        <v>2000.0</v>
      </c>
      <c r="P117" s="20">
        <v>2.1</v>
      </c>
      <c r="Q117" s="20">
        <v>952.38</v>
      </c>
      <c r="R117" s="21">
        <v>0.6887901887901888</v>
      </c>
      <c r="S117" s="1" t="s">
        <v>117</v>
      </c>
      <c r="T117" s="1" t="s">
        <v>0</v>
      </c>
      <c r="U117" s="1" t="s">
        <v>359</v>
      </c>
      <c r="V117" s="1" t="s">
        <v>81</v>
      </c>
      <c r="W117" s="1" t="s">
        <v>0</v>
      </c>
      <c r="X117" s="1" t="s">
        <v>0</v>
      </c>
      <c r="Y117" s="22" t="str">
        <f t="shared" si="3"/>
        <v>CO</v>
      </c>
      <c r="Z117" s="20" t="str">
        <f>_xlfn.XLOOKUP($B117,[1]F27!$C:$C,[1]F27!$BV:$BV)</f>
        <v>#ERROR!</v>
      </c>
      <c r="AA117" s="1"/>
      <c r="AB117" s="1"/>
      <c r="AC117" s="23"/>
      <c r="AD117" s="1" t="str">
        <f>_xlfn.XLOOKUP($B117,[1]F27!$C:$C,[1]F27!$Y:$Y)</f>
        <v>#ERROR!</v>
      </c>
      <c r="AE117" s="1" t="str">
        <f>_xlfn.XLOOKUP($B117,[1]F27!$C:$C,[1]F27!$Z:$Z)</f>
        <v>#ERROR!</v>
      </c>
      <c r="AF117" s="1" t="str">
        <f>_xlfn.XLOOKUP($B117,[2]PRICING!$B:$B,[2]PRICING!$B:$B,"MISSING")</f>
        <v>#ERROR!</v>
      </c>
      <c r="AG117" s="1" t="str">
        <f>COUNTIFS([2]ACTIVE_SCO!$B:$B,$B117,[2]ACTIVE_SCO!$P:$P,"Y")</f>
        <v>#ERROR!</v>
      </c>
      <c r="AH117" s="1"/>
      <c r="AI117" s="37" t="s">
        <v>157</v>
      </c>
      <c r="AJ117" s="55" t="s">
        <v>1509</v>
      </c>
      <c r="AK117" s="39" t="s">
        <v>366</v>
      </c>
      <c r="AL117" s="39" t="s">
        <v>0</v>
      </c>
      <c r="AM117" s="1" t="s">
        <v>125</v>
      </c>
      <c r="AN117" s="40" t="s">
        <v>127</v>
      </c>
      <c r="AO117" s="41" t="s">
        <v>776</v>
      </c>
      <c r="AP117" s="41" t="s">
        <v>777</v>
      </c>
      <c r="AQ117" s="40" t="s">
        <v>0</v>
      </c>
      <c r="AR117" s="54"/>
      <c r="AS117" s="1" t="s">
        <v>355</v>
      </c>
      <c r="AT117" s="1" t="s">
        <v>373</v>
      </c>
      <c r="AU117" s="1" t="s">
        <v>360</v>
      </c>
      <c r="AV117" s="1" t="s">
        <v>131</v>
      </c>
      <c r="AW117" s="1"/>
      <c r="AX117" s="1"/>
      <c r="AY117" s="1"/>
      <c r="AZ117" s="1"/>
      <c r="BA117" s="1" t="s">
        <v>366</v>
      </c>
      <c r="BB117" s="1" t="s">
        <v>0</v>
      </c>
      <c r="BC117" s="1"/>
      <c r="BD117" s="1"/>
    </row>
    <row r="118" ht="11.25" customHeight="1">
      <c r="A118" s="1" t="b">
        <v>1</v>
      </c>
      <c r="B118" s="1" t="s">
        <v>376</v>
      </c>
      <c r="C118" s="1" t="s">
        <v>377</v>
      </c>
      <c r="D118" s="1" t="s">
        <v>65</v>
      </c>
      <c r="E118" s="1"/>
      <c r="F118" s="1"/>
      <c r="G118" s="1" t="s">
        <v>66</v>
      </c>
      <c r="H118" s="1"/>
      <c r="I118" s="1" t="s">
        <v>68</v>
      </c>
      <c r="J118" s="1" t="s">
        <v>69</v>
      </c>
      <c r="K118" s="1" t="s">
        <v>70</v>
      </c>
      <c r="L118" s="1" t="s">
        <v>0</v>
      </c>
      <c r="M118" s="1" t="b">
        <v>1</v>
      </c>
      <c r="N118" s="1" t="b">
        <v>0</v>
      </c>
      <c r="O118" s="19">
        <v>2800.0</v>
      </c>
      <c r="P118" s="20">
        <v>2.1</v>
      </c>
      <c r="Q118" s="20">
        <v>1333.33</v>
      </c>
      <c r="R118" s="21">
        <v>0.5874089685224213</v>
      </c>
      <c r="S118" s="1" t="s">
        <v>117</v>
      </c>
      <c r="T118" s="1" t="s">
        <v>0</v>
      </c>
      <c r="U118" s="1" t="s">
        <v>80</v>
      </c>
      <c r="V118" s="1" t="s">
        <v>81</v>
      </c>
      <c r="W118" s="1" t="s">
        <v>0</v>
      </c>
      <c r="X118" s="1" t="s">
        <v>0</v>
      </c>
      <c r="Y118" s="22" t="str">
        <f t="shared" si="3"/>
        <v>CO</v>
      </c>
      <c r="Z118" s="20" t="str">
        <f>_xlfn.XLOOKUP($B118,[1]F27!$C:$C,[1]F27!$BV:$BV)</f>
        <v>#ERROR!</v>
      </c>
      <c r="AA118" s="1"/>
      <c r="AB118" s="1"/>
      <c r="AC118" s="23"/>
      <c r="AD118" s="1" t="str">
        <f>_xlfn.XLOOKUP($B118,[1]F27!$C:$C,[1]F27!$Y:$Y)</f>
        <v>#ERROR!</v>
      </c>
      <c r="AE118" s="1" t="str">
        <f>_xlfn.XLOOKUP($B118,[1]F27!$C:$C,[1]F27!$Z:$Z)</f>
        <v>#ERROR!</v>
      </c>
      <c r="AF118" s="1" t="str">
        <f>_xlfn.XLOOKUP($B118,[2]PRICING!$B:$B,[2]PRICING!$B:$B,"MISSING")</f>
        <v>#ERROR!</v>
      </c>
      <c r="AG118" s="1" t="str">
        <f>COUNTIFS([2]ACTIVE_SCO!$B:$B,$B118,[2]ACTIVE_SCO!$P:$P,"Y")</f>
        <v>#ERROR!</v>
      </c>
      <c r="AH118" s="1"/>
      <c r="AI118" s="37" t="s">
        <v>157</v>
      </c>
      <c r="AJ118" s="67" t="s">
        <v>1519</v>
      </c>
      <c r="AK118" s="39" t="s">
        <v>60</v>
      </c>
      <c r="AL118" s="39" t="s">
        <v>0</v>
      </c>
      <c r="AM118" s="1" t="s">
        <v>86</v>
      </c>
      <c r="AN118" s="40" t="s">
        <v>87</v>
      </c>
      <c r="AO118" s="41" t="s">
        <v>86</v>
      </c>
      <c r="AP118" s="41" t="s">
        <v>169</v>
      </c>
      <c r="AQ118" s="40" t="s">
        <v>125</v>
      </c>
      <c r="AR118" s="39"/>
      <c r="AS118" s="78" t="s">
        <v>126</v>
      </c>
      <c r="AT118" s="1" t="s">
        <v>128</v>
      </c>
      <c r="AU118" s="1" t="s">
        <v>90</v>
      </c>
      <c r="AV118" s="1" t="s">
        <v>91</v>
      </c>
      <c r="AW118" s="1"/>
      <c r="AX118" s="1"/>
      <c r="AY118" s="1"/>
      <c r="AZ118" s="1"/>
      <c r="BA118" s="1" t="s">
        <v>60</v>
      </c>
      <c r="BB118" s="1" t="s">
        <v>0</v>
      </c>
      <c r="BC118" s="1"/>
      <c r="BD118" s="1"/>
    </row>
    <row r="119" ht="11.25" customHeight="1">
      <c r="A119" s="1" t="b">
        <v>1</v>
      </c>
      <c r="B119" s="1" t="s">
        <v>380</v>
      </c>
      <c r="C119" s="1" t="s">
        <v>381</v>
      </c>
      <c r="D119" s="1" t="s">
        <v>65</v>
      </c>
      <c r="E119" s="1"/>
      <c r="F119" s="1"/>
      <c r="G119" s="1" t="s">
        <v>66</v>
      </c>
      <c r="H119" s="1"/>
      <c r="I119" s="1" t="s">
        <v>68</v>
      </c>
      <c r="J119" s="1" t="s">
        <v>69</v>
      </c>
      <c r="K119" s="1" t="s">
        <v>107</v>
      </c>
      <c r="L119" s="1" t="s">
        <v>0</v>
      </c>
      <c r="M119" s="1" t="b">
        <v>1</v>
      </c>
      <c r="N119" s="1" t="b">
        <v>0</v>
      </c>
      <c r="O119" s="19">
        <v>2800.0</v>
      </c>
      <c r="P119" s="20">
        <v>2.1</v>
      </c>
      <c r="Q119" s="20">
        <v>1333.33</v>
      </c>
      <c r="R119" s="21">
        <v>0.6050790126975316</v>
      </c>
      <c r="S119" s="1" t="s">
        <v>117</v>
      </c>
      <c r="T119" s="1" t="s">
        <v>0</v>
      </c>
      <c r="U119" s="1" t="s">
        <v>80</v>
      </c>
      <c r="V119" s="1" t="s">
        <v>81</v>
      </c>
      <c r="W119" s="1" t="s">
        <v>0</v>
      </c>
      <c r="X119" s="1" t="s">
        <v>0</v>
      </c>
      <c r="Y119" s="22" t="str">
        <f t="shared" si="3"/>
        <v>CO</v>
      </c>
      <c r="Z119" s="20" t="str">
        <f>_xlfn.XLOOKUP($B119,[1]F27!$C:$C,[1]F27!$BV:$BV)</f>
        <v>#ERROR!</v>
      </c>
      <c r="AA119" s="1"/>
      <c r="AB119" s="1"/>
      <c r="AC119" s="23"/>
      <c r="AD119" s="1" t="str">
        <f>_xlfn.XLOOKUP($B119,[1]F27!$C:$C,[1]F27!$Y:$Y)</f>
        <v>#ERROR!</v>
      </c>
      <c r="AE119" s="1" t="str">
        <f>_xlfn.XLOOKUP($B119,[1]F27!$C:$C,[1]F27!$Z:$Z)</f>
        <v>#ERROR!</v>
      </c>
      <c r="AF119" s="1" t="str">
        <f>_xlfn.XLOOKUP($B119,[2]PRICING!$B:$B,[2]PRICING!$B:$B,"MISSING")</f>
        <v>#ERROR!</v>
      </c>
      <c r="AG119" s="1" t="str">
        <f>COUNTIFS([2]ACTIVE_SCO!$B:$B,$B119,[2]ACTIVE_SCO!$P:$P,"Y")</f>
        <v>#ERROR!</v>
      </c>
      <c r="AH119" s="1"/>
      <c r="AI119" s="37" t="s">
        <v>157</v>
      </c>
      <c r="AJ119" s="67" t="s">
        <v>1528</v>
      </c>
      <c r="AK119" s="39" t="s">
        <v>60</v>
      </c>
      <c r="AL119" s="39" t="s">
        <v>0</v>
      </c>
      <c r="AM119" s="1" t="s">
        <v>86</v>
      </c>
      <c r="AN119" s="40" t="s">
        <v>87</v>
      </c>
      <c r="AO119" s="41" t="s">
        <v>86</v>
      </c>
      <c r="AP119" s="41" t="s">
        <v>169</v>
      </c>
      <c r="AQ119" s="40" t="s">
        <v>125</v>
      </c>
      <c r="AR119" s="39"/>
      <c r="AS119" s="78" t="s">
        <v>126</v>
      </c>
      <c r="AT119" s="1" t="s">
        <v>128</v>
      </c>
      <c r="AU119" s="1" t="s">
        <v>90</v>
      </c>
      <c r="AV119" s="1" t="s">
        <v>91</v>
      </c>
      <c r="AW119" s="1"/>
      <c r="AX119" s="1"/>
      <c r="AY119" s="1"/>
      <c r="AZ119" s="1"/>
      <c r="BA119" s="1" t="s">
        <v>60</v>
      </c>
      <c r="BB119" s="1" t="s">
        <v>0</v>
      </c>
      <c r="BC119" s="1"/>
      <c r="BD119" s="1"/>
    </row>
    <row r="120" ht="11.25" customHeight="1">
      <c r="A120" s="1" t="b">
        <v>1</v>
      </c>
      <c r="B120" s="1" t="s">
        <v>407</v>
      </c>
      <c r="C120" s="1" t="s">
        <v>408</v>
      </c>
      <c r="D120" s="1" t="s">
        <v>65</v>
      </c>
      <c r="E120" s="1"/>
      <c r="F120" s="1"/>
      <c r="G120" s="1" t="s">
        <v>66</v>
      </c>
      <c r="H120" s="1"/>
      <c r="I120" s="1" t="s">
        <v>68</v>
      </c>
      <c r="J120" s="1" t="s">
        <v>69</v>
      </c>
      <c r="K120" s="1" t="s">
        <v>70</v>
      </c>
      <c r="L120" s="1" t="s">
        <v>0</v>
      </c>
      <c r="M120" s="1" t="b">
        <v>1</v>
      </c>
      <c r="N120" s="1" t="b">
        <v>0</v>
      </c>
      <c r="O120" s="19">
        <v>3500.0</v>
      </c>
      <c r="P120" s="20">
        <v>2.1</v>
      </c>
      <c r="Q120" s="20">
        <v>1666.67</v>
      </c>
      <c r="R120" s="21">
        <v>0.6389507220985557</v>
      </c>
      <c r="S120" s="1" t="s">
        <v>78</v>
      </c>
      <c r="T120" s="1" t="s">
        <v>0</v>
      </c>
      <c r="U120" s="1" t="s">
        <v>80</v>
      </c>
      <c r="V120" s="1" t="s">
        <v>81</v>
      </c>
      <c r="W120" s="1" t="s">
        <v>0</v>
      </c>
      <c r="X120" s="1" t="s">
        <v>156</v>
      </c>
      <c r="Y120" s="22" t="str">
        <f t="shared" si="3"/>
        <v>CO</v>
      </c>
      <c r="Z120" s="20" t="str">
        <f>_xlfn.XLOOKUP($B120,[1]F27!$C:$C,[1]F27!$BV:$BV)</f>
        <v>#ERROR!</v>
      </c>
      <c r="AA120" s="1"/>
      <c r="AB120" s="1"/>
      <c r="AC120" s="23"/>
      <c r="AD120" s="1" t="str">
        <f>_xlfn.XLOOKUP($B120,[1]F27!$C:$C,[1]F27!$Y:$Y)</f>
        <v>#ERROR!</v>
      </c>
      <c r="AE120" s="1" t="str">
        <f>_xlfn.XLOOKUP($B120,[1]F27!$C:$C,[1]F27!$Z:$Z)</f>
        <v>#ERROR!</v>
      </c>
      <c r="AF120" s="1" t="str">
        <f>_xlfn.XLOOKUP($B120,[2]PRICING!$B:$B,[2]PRICING!$B:$B,"MISSING")</f>
        <v>#ERROR!</v>
      </c>
      <c r="AG120" s="1" t="str">
        <f>COUNTIFS([2]ACTIVE_SCO!$B:$B,$B120,[2]ACTIVE_SCO!$P:$P,"Y")</f>
        <v>#ERROR!</v>
      </c>
      <c r="AH120" s="1"/>
      <c r="AI120" s="37" t="s">
        <v>157</v>
      </c>
      <c r="AJ120" s="38" t="s">
        <v>1533</v>
      </c>
      <c r="AK120" s="39" t="s">
        <v>294</v>
      </c>
      <c r="AL120" s="39"/>
      <c r="AM120" s="1" t="s">
        <v>125</v>
      </c>
      <c r="AN120" s="40" t="s">
        <v>127</v>
      </c>
      <c r="AO120" s="41" t="s">
        <v>86</v>
      </c>
      <c r="AP120" s="41" t="s">
        <v>169</v>
      </c>
      <c r="AQ120" s="40" t="s">
        <v>0</v>
      </c>
      <c r="AR120" s="39"/>
      <c r="AS120" s="1" t="s">
        <v>68</v>
      </c>
      <c r="AT120" s="1" t="s">
        <v>161</v>
      </c>
      <c r="AU120" s="1" t="s">
        <v>90</v>
      </c>
      <c r="AV120" s="1" t="s">
        <v>91</v>
      </c>
      <c r="AW120" s="1"/>
      <c r="AX120" s="1"/>
      <c r="AY120" s="1"/>
      <c r="AZ120" s="1"/>
      <c r="BA120" s="1" t="s">
        <v>294</v>
      </c>
      <c r="BB120" s="1"/>
      <c r="BC120" s="1"/>
      <c r="BD120" s="1"/>
    </row>
    <row r="121" ht="11.25" customHeight="1">
      <c r="A121" s="1" t="b">
        <v>1</v>
      </c>
      <c r="B121" s="1" t="s">
        <v>411</v>
      </c>
      <c r="C121" s="1" t="s">
        <v>412</v>
      </c>
      <c r="D121" s="1" t="s">
        <v>65</v>
      </c>
      <c r="E121" s="1"/>
      <c r="F121" s="1"/>
      <c r="G121" s="1" t="s">
        <v>66</v>
      </c>
      <c r="H121" s="1"/>
      <c r="I121" s="1" t="s">
        <v>68</v>
      </c>
      <c r="J121" s="1" t="s">
        <v>69</v>
      </c>
      <c r="K121" s="1" t="s">
        <v>107</v>
      </c>
      <c r="L121" s="1" t="s">
        <v>0</v>
      </c>
      <c r="M121" s="1" t="b">
        <v>1</v>
      </c>
      <c r="N121" s="1" t="b">
        <v>0</v>
      </c>
      <c r="O121" s="19">
        <v>3500.0</v>
      </c>
      <c r="P121" s="20">
        <v>2.1</v>
      </c>
      <c r="Q121" s="20">
        <v>1666.67</v>
      </c>
      <c r="R121" s="21">
        <v>0.6778606442787114</v>
      </c>
      <c r="S121" s="1" t="s">
        <v>78</v>
      </c>
      <c r="T121" s="1" t="s">
        <v>0</v>
      </c>
      <c r="U121" s="1" t="s">
        <v>80</v>
      </c>
      <c r="V121" s="1" t="s">
        <v>81</v>
      </c>
      <c r="W121" s="1" t="s">
        <v>0</v>
      </c>
      <c r="X121" s="1" t="s">
        <v>156</v>
      </c>
      <c r="Y121" s="22" t="str">
        <f t="shared" si="3"/>
        <v>CO</v>
      </c>
      <c r="Z121" s="20" t="str">
        <f>_xlfn.XLOOKUP($B121,[1]F27!$C:$C,[1]F27!$BV:$BV)</f>
        <v>#ERROR!</v>
      </c>
      <c r="AA121" s="1"/>
      <c r="AB121" s="1"/>
      <c r="AC121" s="23"/>
      <c r="AD121" s="1" t="str">
        <f>_xlfn.XLOOKUP($B121,[1]F27!$C:$C,[1]F27!$Y:$Y)</f>
        <v>#ERROR!</v>
      </c>
      <c r="AE121" s="1" t="str">
        <f>_xlfn.XLOOKUP($B121,[1]F27!$C:$C,[1]F27!$Z:$Z)</f>
        <v>#ERROR!</v>
      </c>
      <c r="AF121" s="1" t="str">
        <f>_xlfn.XLOOKUP($B121,[2]PRICING!$B:$B,[2]PRICING!$B:$B,"MISSING")</f>
        <v>#ERROR!</v>
      </c>
      <c r="AG121" s="1" t="str">
        <f>COUNTIFS([2]ACTIVE_SCO!$B:$B,$B121,[2]ACTIVE_SCO!$P:$P,"Y")</f>
        <v>#ERROR!</v>
      </c>
      <c r="AH121" s="1"/>
      <c r="AI121" s="37" t="s">
        <v>157</v>
      </c>
      <c r="AJ121" s="38" t="s">
        <v>1536</v>
      </c>
      <c r="AK121" s="39" t="s">
        <v>294</v>
      </c>
      <c r="AL121" s="39"/>
      <c r="AM121" s="1" t="s">
        <v>125</v>
      </c>
      <c r="AN121" s="40" t="s">
        <v>127</v>
      </c>
      <c r="AO121" s="41" t="s">
        <v>86</v>
      </c>
      <c r="AP121" s="41" t="s">
        <v>169</v>
      </c>
      <c r="AQ121" s="40" t="s">
        <v>0</v>
      </c>
      <c r="AR121" s="39"/>
      <c r="AS121" s="1" t="s">
        <v>68</v>
      </c>
      <c r="AT121" s="1" t="s">
        <v>161</v>
      </c>
      <c r="AU121" s="1" t="s">
        <v>90</v>
      </c>
      <c r="AV121" s="1" t="s">
        <v>91</v>
      </c>
      <c r="AW121" s="1"/>
      <c r="AX121" s="1"/>
      <c r="AY121" s="1"/>
      <c r="AZ121" s="1"/>
      <c r="BA121" s="1" t="s">
        <v>294</v>
      </c>
      <c r="BB121" s="1"/>
      <c r="BC121" s="1"/>
      <c r="BD121" s="1"/>
    </row>
    <row r="122" ht="11.25" customHeight="1">
      <c r="A122" s="1" t="b">
        <v>1</v>
      </c>
      <c r="B122" s="1" t="s">
        <v>1439</v>
      </c>
      <c r="C122" s="1" t="s">
        <v>1440</v>
      </c>
      <c r="D122" s="1" t="s">
        <v>65</v>
      </c>
      <c r="E122" s="1"/>
      <c r="F122" s="1"/>
      <c r="G122" s="1" t="s">
        <v>247</v>
      </c>
      <c r="H122" s="1"/>
      <c r="I122" s="1" t="s">
        <v>355</v>
      </c>
      <c r="J122" s="1" t="s">
        <v>69</v>
      </c>
      <c r="K122" s="1" t="s">
        <v>70</v>
      </c>
      <c r="L122" s="1" t="s">
        <v>0</v>
      </c>
      <c r="M122" s="1" t="b">
        <v>0</v>
      </c>
      <c r="N122" s="1" t="b">
        <v>0</v>
      </c>
      <c r="O122" s="19">
        <v>2500.0</v>
      </c>
      <c r="P122" s="20">
        <v>2.1</v>
      </c>
      <c r="Q122" s="20">
        <v>1190.48</v>
      </c>
      <c r="R122" s="21">
        <v>0.7764851152476312</v>
      </c>
      <c r="S122" s="1" t="s">
        <v>242</v>
      </c>
      <c r="T122" s="1" t="s">
        <v>0</v>
      </c>
      <c r="U122" s="1" t="s">
        <v>647</v>
      </c>
      <c r="V122" s="1" t="s">
        <v>81</v>
      </c>
      <c r="W122" s="1" t="s">
        <v>0</v>
      </c>
      <c r="X122" s="1" t="s">
        <v>0</v>
      </c>
      <c r="Y122" s="22" t="str">
        <f t="shared" si="3"/>
        <v>NEW</v>
      </c>
      <c r="Z122" s="20" t="str">
        <f>_xlfn.XLOOKUP($B122,[1]F27!$C:$C,[1]F27!$BV:$BV)</f>
        <v>#ERROR!</v>
      </c>
      <c r="AA122" s="1"/>
      <c r="AB122" s="1"/>
      <c r="AC122" s="23"/>
      <c r="AD122" s="1" t="str">
        <f>_xlfn.XLOOKUP($B122,[1]F27!$C:$C,[1]F27!$Y:$Y)</f>
        <v>#ERROR!</v>
      </c>
      <c r="AE122" s="1" t="str">
        <f>_xlfn.XLOOKUP($B122,[1]F27!$C:$C,[1]F27!$Z:$Z)</f>
        <v>#ERROR!</v>
      </c>
      <c r="AF122" s="1" t="str">
        <f>_xlfn.XLOOKUP($B122,[2]PRICING!$B:$B,[2]PRICING!$B:$B,"MISSING")</f>
        <v>#ERROR!</v>
      </c>
      <c r="AG122" s="1" t="str">
        <f>COUNTIFS([2]ACTIVE_SCO!$B:$B,$B122,[2]ACTIVE_SCO!$P:$P,"Y")</f>
        <v>#ERROR!</v>
      </c>
      <c r="AH122" s="1"/>
      <c r="AI122" s="37" t="s">
        <v>157</v>
      </c>
      <c r="AJ122" s="38" t="s">
        <v>1538</v>
      </c>
      <c r="AK122" s="39" t="s">
        <v>551</v>
      </c>
      <c r="AL122" s="39" t="s">
        <v>0</v>
      </c>
      <c r="AM122" s="1" t="s">
        <v>125</v>
      </c>
      <c r="AN122" s="40" t="s">
        <v>174</v>
      </c>
      <c r="AO122" s="41" t="s">
        <v>776</v>
      </c>
      <c r="AP122" s="41" t="s">
        <v>777</v>
      </c>
      <c r="AQ122" s="40" t="s">
        <v>0</v>
      </c>
      <c r="AR122" s="54"/>
      <c r="AS122" s="1" t="s">
        <v>126</v>
      </c>
      <c r="AT122" s="1" t="s">
        <v>1447</v>
      </c>
      <c r="AU122" s="1" t="s">
        <v>130</v>
      </c>
      <c r="AV122" s="1" t="s">
        <v>131</v>
      </c>
      <c r="AW122" s="1"/>
      <c r="AX122" s="1"/>
      <c r="AY122" s="1"/>
      <c r="AZ122" s="1"/>
      <c r="BA122" s="1" t="s">
        <v>551</v>
      </c>
      <c r="BB122" s="1" t="s">
        <v>0</v>
      </c>
      <c r="BC122" s="1"/>
      <c r="BD122" s="1"/>
    </row>
    <row r="123" ht="11.25" customHeight="1">
      <c r="A123" s="1" t="b">
        <v>1</v>
      </c>
      <c r="B123" s="1" t="s">
        <v>452</v>
      </c>
      <c r="C123" s="1" t="s">
        <v>453</v>
      </c>
      <c r="D123" s="1" t="s">
        <v>65</v>
      </c>
      <c r="E123" s="1"/>
      <c r="F123" s="1"/>
      <c r="G123" s="1" t="s">
        <v>66</v>
      </c>
      <c r="H123" s="1"/>
      <c r="I123" s="1" t="s">
        <v>270</v>
      </c>
      <c r="J123" s="1" t="s">
        <v>69</v>
      </c>
      <c r="K123" s="1" t="s">
        <v>70</v>
      </c>
      <c r="L123" s="1" t="s">
        <v>0</v>
      </c>
      <c r="M123" s="1" t="b">
        <v>1</v>
      </c>
      <c r="N123" s="1" t="b">
        <v>0</v>
      </c>
      <c r="O123" s="19">
        <v>800.0</v>
      </c>
      <c r="P123" s="20">
        <v>2.1</v>
      </c>
      <c r="Q123" s="20">
        <v>380.95</v>
      </c>
      <c r="R123" s="21">
        <v>0.6424202651266571</v>
      </c>
      <c r="S123" s="1" t="s">
        <v>78</v>
      </c>
      <c r="T123" s="1" t="s">
        <v>0</v>
      </c>
      <c r="U123" s="1" t="s">
        <v>81</v>
      </c>
      <c r="V123" s="1" t="s">
        <v>81</v>
      </c>
      <c r="W123" s="1" t="s">
        <v>0</v>
      </c>
      <c r="X123" s="1" t="s">
        <v>0</v>
      </c>
      <c r="Y123" s="22" t="str">
        <f t="shared" si="3"/>
        <v>CO</v>
      </c>
      <c r="Z123" s="20" t="str">
        <f>_xlfn.XLOOKUP($B123,[1]F27!$C:$C,[1]F27!$BV:$BV)</f>
        <v>#ERROR!</v>
      </c>
      <c r="AA123" s="1"/>
      <c r="AB123" s="1"/>
      <c r="AC123" s="23"/>
      <c r="AD123" s="1" t="str">
        <f>_xlfn.XLOOKUP($B123,[1]F27!$C:$C,[1]F27!$Y:$Y)</f>
        <v>#ERROR!</v>
      </c>
      <c r="AE123" s="1" t="str">
        <f>_xlfn.XLOOKUP($B123,[1]F27!$C:$C,[1]F27!$Z:$Z)</f>
        <v>#ERROR!</v>
      </c>
      <c r="AF123" s="1" t="str">
        <f>_xlfn.XLOOKUP($B123,[2]PRICING!$B:$B,[2]PRICING!$B:$B,"MISSING")</f>
        <v>#ERROR!</v>
      </c>
      <c r="AG123" s="1" t="str">
        <f>COUNTIFS([2]ACTIVE_SCO!$B:$B,$B123,[2]ACTIVE_SCO!$P:$P,"Y")</f>
        <v>#ERROR!</v>
      </c>
      <c r="AH123" s="1"/>
      <c r="AI123" s="37" t="s">
        <v>157</v>
      </c>
      <c r="AJ123" s="38" t="s">
        <v>1540</v>
      </c>
      <c r="AK123" s="39" t="s">
        <v>366</v>
      </c>
      <c r="AL123" s="39" t="s">
        <v>0</v>
      </c>
      <c r="AM123" s="1" t="s">
        <v>125</v>
      </c>
      <c r="AN123" s="40" t="s">
        <v>127</v>
      </c>
      <c r="AO123" s="41" t="s">
        <v>125</v>
      </c>
      <c r="AP123" s="39"/>
      <c r="AQ123" s="40" t="s">
        <v>0</v>
      </c>
      <c r="AR123" s="39"/>
      <c r="AS123" s="1" t="s">
        <v>276</v>
      </c>
      <c r="AT123" s="1" t="s">
        <v>457</v>
      </c>
      <c r="AU123" s="1" t="s">
        <v>277</v>
      </c>
      <c r="AV123" s="1" t="s">
        <v>131</v>
      </c>
      <c r="AW123" s="1"/>
      <c r="AX123" s="1"/>
      <c r="AY123" s="1"/>
      <c r="AZ123" s="1"/>
      <c r="BA123" s="1" t="s">
        <v>366</v>
      </c>
      <c r="BB123" s="1" t="s">
        <v>0</v>
      </c>
      <c r="BC123" s="1"/>
      <c r="BD123" s="1"/>
    </row>
    <row r="124" ht="11.25" customHeight="1">
      <c r="A124" s="1" t="b">
        <v>1</v>
      </c>
      <c r="B124" s="1" t="s">
        <v>458</v>
      </c>
      <c r="C124" s="1" t="s">
        <v>459</v>
      </c>
      <c r="D124" s="1" t="s">
        <v>65</v>
      </c>
      <c r="E124" s="1"/>
      <c r="F124" s="1"/>
      <c r="G124" s="1" t="s">
        <v>66</v>
      </c>
      <c r="H124" s="1"/>
      <c r="I124" s="1" t="s">
        <v>270</v>
      </c>
      <c r="J124" s="1" t="s">
        <v>69</v>
      </c>
      <c r="K124" s="1" t="s">
        <v>107</v>
      </c>
      <c r="L124" s="1" t="s">
        <v>0</v>
      </c>
      <c r="M124" s="1" t="b">
        <v>1</v>
      </c>
      <c r="N124" s="1" t="b">
        <v>0</v>
      </c>
      <c r="O124" s="19">
        <v>800.0</v>
      </c>
      <c r="P124" s="20">
        <v>2.1</v>
      </c>
      <c r="Q124" s="20">
        <v>380.95</v>
      </c>
      <c r="R124" s="21">
        <v>0.6736842105263158</v>
      </c>
      <c r="S124" s="1" t="s">
        <v>78</v>
      </c>
      <c r="T124" s="1" t="s">
        <v>0</v>
      </c>
      <c r="U124" s="1" t="s">
        <v>81</v>
      </c>
      <c r="V124" s="1" t="s">
        <v>81</v>
      </c>
      <c r="W124" s="1" t="s">
        <v>0</v>
      </c>
      <c r="X124" s="1" t="s">
        <v>0</v>
      </c>
      <c r="Y124" s="22" t="str">
        <f t="shared" si="3"/>
        <v>CO</v>
      </c>
      <c r="Z124" s="20" t="str">
        <f>_xlfn.XLOOKUP($B124,[1]F27!$C:$C,[1]F27!$BV:$BV)</f>
        <v>#ERROR!</v>
      </c>
      <c r="AA124" s="1"/>
      <c r="AB124" s="1"/>
      <c r="AC124" s="23"/>
      <c r="AD124" s="1" t="str">
        <f>_xlfn.XLOOKUP($B124,[1]F27!$C:$C,[1]F27!$Y:$Y)</f>
        <v>#ERROR!</v>
      </c>
      <c r="AE124" s="1" t="str">
        <f>_xlfn.XLOOKUP($B124,[1]F27!$C:$C,[1]F27!$Z:$Z)</f>
        <v>#ERROR!</v>
      </c>
      <c r="AF124" s="1" t="str">
        <f>_xlfn.XLOOKUP($B124,[2]PRICING!$B:$B,[2]PRICING!$B:$B,"MISSING")</f>
        <v>#ERROR!</v>
      </c>
      <c r="AG124" s="1" t="str">
        <f>COUNTIFS([2]ACTIVE_SCO!$B:$B,$B124,[2]ACTIVE_SCO!$P:$P,"Y")</f>
        <v>#ERROR!</v>
      </c>
      <c r="AH124" s="1"/>
      <c r="AI124" s="37" t="s">
        <v>157</v>
      </c>
      <c r="AJ124" s="38" t="s">
        <v>1545</v>
      </c>
      <c r="AK124" s="39" t="s">
        <v>366</v>
      </c>
      <c r="AL124" s="39" t="s">
        <v>0</v>
      </c>
      <c r="AM124" s="1" t="s">
        <v>125</v>
      </c>
      <c r="AN124" s="40" t="s">
        <v>127</v>
      </c>
      <c r="AO124" s="41" t="s">
        <v>125</v>
      </c>
      <c r="AP124" s="39"/>
      <c r="AQ124" s="40" t="s">
        <v>0</v>
      </c>
      <c r="AR124" s="39"/>
      <c r="AS124" s="1" t="s">
        <v>276</v>
      </c>
      <c r="AT124" s="1" t="s">
        <v>457</v>
      </c>
      <c r="AU124" s="1" t="s">
        <v>277</v>
      </c>
      <c r="AV124" s="1" t="s">
        <v>131</v>
      </c>
      <c r="AW124" s="1"/>
      <c r="AX124" s="1"/>
      <c r="AY124" s="1"/>
      <c r="AZ124" s="1"/>
      <c r="BA124" s="1" t="s">
        <v>366</v>
      </c>
      <c r="BB124" s="1" t="s">
        <v>0</v>
      </c>
      <c r="BC124" s="1"/>
      <c r="BD124" s="1"/>
    </row>
    <row r="125" ht="11.25" customHeight="1">
      <c r="A125" s="1" t="b">
        <v>1</v>
      </c>
      <c r="B125" s="1" t="s">
        <v>462</v>
      </c>
      <c r="C125" s="1" t="s">
        <v>463</v>
      </c>
      <c r="D125" s="1" t="s">
        <v>65</v>
      </c>
      <c r="E125" s="1"/>
      <c r="F125" s="1"/>
      <c r="G125" s="1" t="s">
        <v>66</v>
      </c>
      <c r="H125" s="1"/>
      <c r="I125" s="1" t="s">
        <v>270</v>
      </c>
      <c r="J125" s="1" t="s">
        <v>69</v>
      </c>
      <c r="K125" s="1" t="s">
        <v>70</v>
      </c>
      <c r="L125" s="1" t="s">
        <v>0</v>
      </c>
      <c r="M125" s="1" t="b">
        <v>1</v>
      </c>
      <c r="N125" s="1" t="b">
        <v>0</v>
      </c>
      <c r="O125" s="19">
        <v>1000.0</v>
      </c>
      <c r="P125" s="20">
        <v>2.1</v>
      </c>
      <c r="Q125" s="20">
        <v>476.19</v>
      </c>
      <c r="R125" s="21">
        <v>0.6556416556416557</v>
      </c>
      <c r="S125" s="1" t="s">
        <v>78</v>
      </c>
      <c r="T125" s="1" t="s">
        <v>0</v>
      </c>
      <c r="U125" s="1" t="s">
        <v>81</v>
      </c>
      <c r="V125" s="1" t="s">
        <v>81</v>
      </c>
      <c r="W125" s="1" t="s">
        <v>0</v>
      </c>
      <c r="X125" s="1" t="s">
        <v>0</v>
      </c>
      <c r="Y125" s="22" t="str">
        <f t="shared" si="3"/>
        <v>CO</v>
      </c>
      <c r="Z125" s="20" t="str">
        <f>_xlfn.XLOOKUP($B125,[1]F27!$C:$C,[1]F27!$BV:$BV)</f>
        <v>#ERROR!</v>
      </c>
      <c r="AA125" s="1"/>
      <c r="AB125" s="1"/>
      <c r="AC125" s="23"/>
      <c r="AD125" s="1" t="str">
        <f>_xlfn.XLOOKUP($B125,[1]F27!$C:$C,[1]F27!$Y:$Y)</f>
        <v>#ERROR!</v>
      </c>
      <c r="AE125" s="1" t="str">
        <f>_xlfn.XLOOKUP($B125,[1]F27!$C:$C,[1]F27!$Z:$Z)</f>
        <v>#ERROR!</v>
      </c>
      <c r="AF125" s="1" t="str">
        <f>_xlfn.XLOOKUP($B125,[2]PRICING!$B:$B,[2]PRICING!$B:$B,"MISSING")</f>
        <v>#ERROR!</v>
      </c>
      <c r="AG125" s="1" t="str">
        <f>COUNTIFS([2]ACTIVE_SCO!$B:$B,$B125,[2]ACTIVE_SCO!$P:$P,"Y")</f>
        <v>#ERROR!</v>
      </c>
      <c r="AH125" s="1"/>
      <c r="AI125" s="37" t="s">
        <v>157</v>
      </c>
      <c r="AJ125" s="38" t="s">
        <v>1547</v>
      </c>
      <c r="AK125" s="39" t="s">
        <v>366</v>
      </c>
      <c r="AL125" s="39" t="s">
        <v>0</v>
      </c>
      <c r="AM125" s="1" t="s">
        <v>125</v>
      </c>
      <c r="AN125" s="40" t="s">
        <v>127</v>
      </c>
      <c r="AO125" s="41" t="s">
        <v>125</v>
      </c>
      <c r="AP125" s="39"/>
      <c r="AQ125" s="40" t="s">
        <v>0</v>
      </c>
      <c r="AR125" s="39"/>
      <c r="AS125" s="1" t="s">
        <v>276</v>
      </c>
      <c r="AT125" s="1" t="s">
        <v>161</v>
      </c>
      <c r="AU125" s="1" t="s">
        <v>277</v>
      </c>
      <c r="AV125" s="1" t="s">
        <v>131</v>
      </c>
      <c r="AW125" s="1"/>
      <c r="AX125" s="1"/>
      <c r="AY125" s="1"/>
      <c r="AZ125" s="1"/>
      <c r="BA125" s="1" t="s">
        <v>366</v>
      </c>
      <c r="BB125" s="1" t="s">
        <v>0</v>
      </c>
      <c r="BC125" s="1"/>
      <c r="BD125" s="1"/>
    </row>
    <row r="126" ht="11.25" customHeight="1">
      <c r="A126" s="1" t="b">
        <v>1</v>
      </c>
      <c r="B126" s="1" t="s">
        <v>465</v>
      </c>
      <c r="C126" s="1" t="s">
        <v>466</v>
      </c>
      <c r="D126" s="1" t="s">
        <v>65</v>
      </c>
      <c r="E126" s="1"/>
      <c r="F126" s="1"/>
      <c r="G126" s="1" t="s">
        <v>66</v>
      </c>
      <c r="H126" s="1"/>
      <c r="I126" s="1" t="s">
        <v>270</v>
      </c>
      <c r="J126" s="1" t="s">
        <v>69</v>
      </c>
      <c r="K126" s="1" t="s">
        <v>107</v>
      </c>
      <c r="L126" s="1" t="s">
        <v>0</v>
      </c>
      <c r="M126" s="1" t="b">
        <v>1</v>
      </c>
      <c r="N126" s="1" t="b">
        <v>0</v>
      </c>
      <c r="O126" s="19">
        <v>1000.0</v>
      </c>
      <c r="P126" s="20">
        <v>2.1</v>
      </c>
      <c r="Q126" s="20">
        <v>476.19</v>
      </c>
      <c r="R126" s="21">
        <v>0.6864276864276864</v>
      </c>
      <c r="S126" s="1" t="s">
        <v>78</v>
      </c>
      <c r="T126" s="1" t="s">
        <v>0</v>
      </c>
      <c r="U126" s="1" t="s">
        <v>81</v>
      </c>
      <c r="V126" s="1" t="s">
        <v>81</v>
      </c>
      <c r="W126" s="1" t="s">
        <v>0</v>
      </c>
      <c r="X126" s="1" t="s">
        <v>0</v>
      </c>
      <c r="Y126" s="22" t="str">
        <f t="shared" si="3"/>
        <v>CO</v>
      </c>
      <c r="Z126" s="20" t="str">
        <f>_xlfn.XLOOKUP($B126,[1]F27!$C:$C,[1]F27!$BV:$BV)</f>
        <v>#ERROR!</v>
      </c>
      <c r="AA126" s="1"/>
      <c r="AB126" s="1"/>
      <c r="AC126" s="23"/>
      <c r="AD126" s="1" t="str">
        <f>_xlfn.XLOOKUP($B126,[1]F27!$C:$C,[1]F27!$Y:$Y)</f>
        <v>#ERROR!</v>
      </c>
      <c r="AE126" s="1" t="str">
        <f>_xlfn.XLOOKUP($B126,[1]F27!$C:$C,[1]F27!$Z:$Z)</f>
        <v>#ERROR!</v>
      </c>
      <c r="AF126" s="1" t="str">
        <f>_xlfn.XLOOKUP($B126,[2]PRICING!$B:$B,[2]PRICING!$B:$B,"MISSING")</f>
        <v>#ERROR!</v>
      </c>
      <c r="AG126" s="1" t="str">
        <f>COUNTIFS([2]ACTIVE_SCO!$B:$B,$B126,[2]ACTIVE_SCO!$P:$P,"Y")</f>
        <v>#ERROR!</v>
      </c>
      <c r="AH126" s="1"/>
      <c r="AI126" s="37" t="s">
        <v>157</v>
      </c>
      <c r="AJ126" s="38" t="s">
        <v>1550</v>
      </c>
      <c r="AK126" s="39" t="s">
        <v>366</v>
      </c>
      <c r="AL126" s="39" t="s">
        <v>0</v>
      </c>
      <c r="AM126" s="1" t="s">
        <v>125</v>
      </c>
      <c r="AN126" s="40" t="s">
        <v>127</v>
      </c>
      <c r="AO126" s="41" t="s">
        <v>125</v>
      </c>
      <c r="AP126" s="39"/>
      <c r="AQ126" s="40" t="s">
        <v>0</v>
      </c>
      <c r="AR126" s="39"/>
      <c r="AS126" s="1" t="s">
        <v>276</v>
      </c>
      <c r="AT126" s="1" t="s">
        <v>161</v>
      </c>
      <c r="AU126" s="1" t="s">
        <v>277</v>
      </c>
      <c r="AV126" s="1" t="s">
        <v>131</v>
      </c>
      <c r="AW126" s="1"/>
      <c r="AX126" s="1"/>
      <c r="AY126" s="1"/>
      <c r="AZ126" s="1"/>
      <c r="BA126" s="1" t="s">
        <v>366</v>
      </c>
      <c r="BB126" s="1" t="s">
        <v>0</v>
      </c>
      <c r="BC126" s="1"/>
      <c r="BD126" s="1"/>
    </row>
    <row r="127" ht="11.25" customHeight="1">
      <c r="A127" s="1" t="b">
        <v>1</v>
      </c>
      <c r="B127" s="1" t="s">
        <v>469</v>
      </c>
      <c r="C127" s="1" t="s">
        <v>470</v>
      </c>
      <c r="D127" s="1" t="s">
        <v>65</v>
      </c>
      <c r="E127" s="1"/>
      <c r="F127" s="1"/>
      <c r="G127" s="1" t="s">
        <v>66</v>
      </c>
      <c r="H127" s="1"/>
      <c r="I127" s="1" t="s">
        <v>270</v>
      </c>
      <c r="J127" s="1" t="s">
        <v>69</v>
      </c>
      <c r="K127" s="1" t="s">
        <v>70</v>
      </c>
      <c r="L127" s="1" t="s">
        <v>0</v>
      </c>
      <c r="M127" s="1" t="b">
        <v>1</v>
      </c>
      <c r="N127" s="1" t="b">
        <v>0</v>
      </c>
      <c r="O127" s="19">
        <v>900.0</v>
      </c>
      <c r="P127" s="20">
        <v>2.1</v>
      </c>
      <c r="Q127" s="20">
        <v>428.57</v>
      </c>
      <c r="R127" s="21">
        <v>0.6302354341181138</v>
      </c>
      <c r="S127" s="1" t="s">
        <v>78</v>
      </c>
      <c r="T127" s="1" t="s">
        <v>0</v>
      </c>
      <c r="U127" s="1" t="s">
        <v>81</v>
      </c>
      <c r="V127" s="1" t="s">
        <v>81</v>
      </c>
      <c r="W127" s="1" t="s">
        <v>0</v>
      </c>
      <c r="X127" s="1" t="s">
        <v>0</v>
      </c>
      <c r="Y127" s="22" t="str">
        <f t="shared" si="3"/>
        <v>CO</v>
      </c>
      <c r="Z127" s="20" t="str">
        <f>_xlfn.XLOOKUP($B127,[1]F27!$C:$C,[1]F27!$BV:$BV)</f>
        <v>#ERROR!</v>
      </c>
      <c r="AA127" s="1"/>
      <c r="AB127" s="1"/>
      <c r="AC127" s="23"/>
      <c r="AD127" s="1" t="str">
        <f>_xlfn.XLOOKUP($B127,[1]F27!$C:$C,[1]F27!$Y:$Y)</f>
        <v>#ERROR!</v>
      </c>
      <c r="AE127" s="1" t="str">
        <f>_xlfn.XLOOKUP($B127,[1]F27!$C:$C,[1]F27!$Z:$Z)</f>
        <v>#ERROR!</v>
      </c>
      <c r="AF127" s="1" t="str">
        <f>_xlfn.XLOOKUP($B127,[2]PRICING!$B:$B,[2]PRICING!$B:$B,"MISSING")</f>
        <v>#ERROR!</v>
      </c>
      <c r="AG127" s="1" t="str">
        <f>COUNTIFS([2]ACTIVE_SCO!$B:$B,$B127,[2]ACTIVE_SCO!$P:$P,"Y")</f>
        <v>#ERROR!</v>
      </c>
      <c r="AH127" s="1"/>
      <c r="AI127" s="37" t="s">
        <v>157</v>
      </c>
      <c r="AJ127" s="38" t="s">
        <v>1553</v>
      </c>
      <c r="AK127" s="39" t="s">
        <v>366</v>
      </c>
      <c r="AL127" s="39" t="s">
        <v>0</v>
      </c>
      <c r="AM127" s="1" t="s">
        <v>125</v>
      </c>
      <c r="AN127" s="40" t="s">
        <v>127</v>
      </c>
      <c r="AO127" s="41" t="s">
        <v>125</v>
      </c>
      <c r="AP127" s="39"/>
      <c r="AQ127" s="40" t="s">
        <v>0</v>
      </c>
      <c r="AR127" s="39"/>
      <c r="AS127" s="1" t="s">
        <v>276</v>
      </c>
      <c r="AT127" s="1" t="s">
        <v>89</v>
      </c>
      <c r="AU127" s="1" t="s">
        <v>277</v>
      </c>
      <c r="AV127" s="1" t="s">
        <v>131</v>
      </c>
      <c r="AW127" s="1"/>
      <c r="AX127" s="1"/>
      <c r="AY127" s="1"/>
      <c r="AZ127" s="1"/>
      <c r="BA127" s="1" t="s">
        <v>366</v>
      </c>
      <c r="BB127" s="1" t="s">
        <v>0</v>
      </c>
      <c r="BC127" s="1"/>
      <c r="BD127" s="1"/>
    </row>
    <row r="128" ht="11.25" customHeight="1">
      <c r="A128" s="1" t="b">
        <v>1</v>
      </c>
      <c r="B128" s="1" t="s">
        <v>472</v>
      </c>
      <c r="C128" s="1" t="s">
        <v>473</v>
      </c>
      <c r="D128" s="1" t="s">
        <v>65</v>
      </c>
      <c r="E128" s="1"/>
      <c r="F128" s="1"/>
      <c r="G128" s="1" t="s">
        <v>66</v>
      </c>
      <c r="H128" s="1"/>
      <c r="I128" s="1" t="s">
        <v>270</v>
      </c>
      <c r="J128" s="1" t="s">
        <v>69</v>
      </c>
      <c r="K128" s="1" t="s">
        <v>107</v>
      </c>
      <c r="L128" s="1" t="s">
        <v>0</v>
      </c>
      <c r="M128" s="1" t="b">
        <v>1</v>
      </c>
      <c r="N128" s="1" t="b">
        <v>0</v>
      </c>
      <c r="O128" s="19">
        <v>900.0</v>
      </c>
      <c r="P128" s="20">
        <v>2.1</v>
      </c>
      <c r="Q128" s="20">
        <v>428.57</v>
      </c>
      <c r="R128" s="21">
        <v>0.6646988823296078</v>
      </c>
      <c r="S128" s="1" t="s">
        <v>78</v>
      </c>
      <c r="T128" s="1" t="s">
        <v>0</v>
      </c>
      <c r="U128" s="1" t="s">
        <v>81</v>
      </c>
      <c r="V128" s="1" t="s">
        <v>81</v>
      </c>
      <c r="W128" s="1" t="s">
        <v>0</v>
      </c>
      <c r="X128" s="1" t="s">
        <v>0</v>
      </c>
      <c r="Y128" s="22" t="str">
        <f t="shared" si="3"/>
        <v>CO</v>
      </c>
      <c r="Z128" s="20" t="str">
        <f>_xlfn.XLOOKUP($B128,[1]F27!$C:$C,[1]F27!$BV:$BV)</f>
        <v>#ERROR!</v>
      </c>
      <c r="AA128" s="1"/>
      <c r="AB128" s="1"/>
      <c r="AC128" s="23"/>
      <c r="AD128" s="1" t="str">
        <f>_xlfn.XLOOKUP($B128,[1]F27!$C:$C,[1]F27!$Y:$Y)</f>
        <v>#ERROR!</v>
      </c>
      <c r="AE128" s="1" t="str">
        <f>_xlfn.XLOOKUP($B128,[1]F27!$C:$C,[1]F27!$Z:$Z)</f>
        <v>#ERROR!</v>
      </c>
      <c r="AF128" s="1" t="str">
        <f>_xlfn.XLOOKUP($B128,[2]PRICING!$B:$B,[2]PRICING!$B:$B,"MISSING")</f>
        <v>#ERROR!</v>
      </c>
      <c r="AG128" s="1" t="str">
        <f>COUNTIFS([2]ACTIVE_SCO!$B:$B,$B128,[2]ACTIVE_SCO!$P:$P,"Y")</f>
        <v>#ERROR!</v>
      </c>
      <c r="AH128" s="1"/>
      <c r="AI128" s="37" t="s">
        <v>157</v>
      </c>
      <c r="AJ128" s="38" t="s">
        <v>1556</v>
      </c>
      <c r="AK128" s="39" t="s">
        <v>366</v>
      </c>
      <c r="AL128" s="39" t="s">
        <v>0</v>
      </c>
      <c r="AM128" s="1" t="s">
        <v>125</v>
      </c>
      <c r="AN128" s="40" t="s">
        <v>127</v>
      </c>
      <c r="AO128" s="41" t="s">
        <v>125</v>
      </c>
      <c r="AP128" s="39"/>
      <c r="AQ128" s="40" t="s">
        <v>0</v>
      </c>
      <c r="AR128" s="39"/>
      <c r="AS128" s="1" t="s">
        <v>276</v>
      </c>
      <c r="AT128" s="1" t="s">
        <v>89</v>
      </c>
      <c r="AU128" s="1" t="s">
        <v>277</v>
      </c>
      <c r="AV128" s="1" t="s">
        <v>131</v>
      </c>
      <c r="AW128" s="1"/>
      <c r="AX128" s="1"/>
      <c r="AY128" s="1"/>
      <c r="AZ128" s="1"/>
      <c r="BA128" s="1" t="s">
        <v>366</v>
      </c>
      <c r="BB128" s="1" t="s">
        <v>0</v>
      </c>
      <c r="BC128" s="1"/>
      <c r="BD128" s="1"/>
    </row>
    <row r="129" ht="11.25" customHeight="1">
      <c r="A129" s="1" t="b">
        <v>1</v>
      </c>
      <c r="B129" s="1" t="s">
        <v>476</v>
      </c>
      <c r="C129" s="1" t="s">
        <v>477</v>
      </c>
      <c r="D129" s="1" t="s">
        <v>65</v>
      </c>
      <c r="E129" s="1"/>
      <c r="F129" s="1"/>
      <c r="G129" s="1" t="s">
        <v>66</v>
      </c>
      <c r="H129" s="1"/>
      <c r="I129" s="1" t="s">
        <v>68</v>
      </c>
      <c r="J129" s="1" t="s">
        <v>69</v>
      </c>
      <c r="K129" s="1" t="s">
        <v>70</v>
      </c>
      <c r="L129" s="1" t="s">
        <v>0</v>
      </c>
      <c r="M129" s="1" t="b">
        <v>1</v>
      </c>
      <c r="N129" s="1" t="b">
        <v>0</v>
      </c>
      <c r="O129" s="19">
        <v>1300.0</v>
      </c>
      <c r="P129" s="20">
        <v>2.1</v>
      </c>
      <c r="Q129" s="20">
        <v>619.05</v>
      </c>
      <c r="R129" s="21">
        <v>0.6576528551813262</v>
      </c>
      <c r="S129" s="1" t="s">
        <v>78</v>
      </c>
      <c r="T129" s="1" t="s">
        <v>0</v>
      </c>
      <c r="U129" s="1" t="s">
        <v>166</v>
      </c>
      <c r="V129" s="1" t="s">
        <v>81</v>
      </c>
      <c r="W129" s="1" t="s">
        <v>0</v>
      </c>
      <c r="X129" s="1" t="s">
        <v>0</v>
      </c>
      <c r="Y129" s="22" t="str">
        <f t="shared" si="3"/>
        <v>CO</v>
      </c>
      <c r="Z129" s="20" t="str">
        <f>_xlfn.XLOOKUP($B129,[1]F27!$C:$C,[1]F27!$BV:$BV)</f>
        <v>#ERROR!</v>
      </c>
      <c r="AA129" s="1"/>
      <c r="AB129" s="1"/>
      <c r="AC129" s="23"/>
      <c r="AD129" s="1" t="str">
        <f>_xlfn.XLOOKUP($B129,[1]F27!$C:$C,[1]F27!$Y:$Y)</f>
        <v>#ERROR!</v>
      </c>
      <c r="AE129" s="1" t="str">
        <f>_xlfn.XLOOKUP($B129,[1]F27!$C:$C,[1]F27!$Z:$Z)</f>
        <v>#ERROR!</v>
      </c>
      <c r="AF129" s="1" t="str">
        <f>_xlfn.XLOOKUP($B129,[2]PRICING!$B:$B,[2]PRICING!$B:$B,"MISSING")</f>
        <v>#ERROR!</v>
      </c>
      <c r="AG129" s="1" t="str">
        <f>COUNTIFS([2]ACTIVE_SCO!$B:$B,$B129,[2]ACTIVE_SCO!$P:$P,"Y")</f>
        <v>#ERROR!</v>
      </c>
      <c r="AH129" s="1"/>
      <c r="AI129" s="37" t="s">
        <v>157</v>
      </c>
      <c r="AJ129" s="38" t="s">
        <v>1557</v>
      </c>
      <c r="AK129" s="39" t="s">
        <v>1369</v>
      </c>
      <c r="AL129" s="39" t="s">
        <v>366</v>
      </c>
      <c r="AM129" s="1" t="s">
        <v>125</v>
      </c>
      <c r="AN129" s="40" t="s">
        <v>127</v>
      </c>
      <c r="AO129" s="41" t="s">
        <v>125</v>
      </c>
      <c r="AP129" s="39"/>
      <c r="AQ129" s="40" t="s">
        <v>0</v>
      </c>
      <c r="AR129" s="39"/>
      <c r="AS129" s="1" t="s">
        <v>68</v>
      </c>
      <c r="AT129" s="1" t="s">
        <v>128</v>
      </c>
      <c r="AU129" s="1" t="s">
        <v>90</v>
      </c>
      <c r="AV129" s="1" t="s">
        <v>91</v>
      </c>
      <c r="AW129" s="1"/>
      <c r="AX129" s="1"/>
      <c r="AY129" s="1"/>
      <c r="AZ129" s="1"/>
      <c r="BA129" s="1" t="s">
        <v>1369</v>
      </c>
      <c r="BB129" s="1" t="s">
        <v>366</v>
      </c>
      <c r="BC129" s="1"/>
      <c r="BD129" s="1"/>
    </row>
    <row r="130" ht="11.25" customHeight="1">
      <c r="A130" s="1" t="b">
        <v>1</v>
      </c>
      <c r="B130" s="1" t="s">
        <v>480</v>
      </c>
      <c r="C130" s="1" t="s">
        <v>482</v>
      </c>
      <c r="D130" s="1" t="s">
        <v>65</v>
      </c>
      <c r="E130" s="1"/>
      <c r="F130" s="1"/>
      <c r="G130" s="1" t="s">
        <v>66</v>
      </c>
      <c r="H130" s="1"/>
      <c r="I130" s="1" t="s">
        <v>68</v>
      </c>
      <c r="J130" s="1" t="s">
        <v>69</v>
      </c>
      <c r="K130" s="1" t="s">
        <v>107</v>
      </c>
      <c r="L130" s="1" t="s">
        <v>0</v>
      </c>
      <c r="M130" s="1" t="b">
        <v>1</v>
      </c>
      <c r="N130" s="1" t="b">
        <v>0</v>
      </c>
      <c r="O130" s="19">
        <v>1300.0</v>
      </c>
      <c r="P130" s="20">
        <v>2.1</v>
      </c>
      <c r="Q130" s="20">
        <v>619.05</v>
      </c>
      <c r="R130" s="21">
        <v>0.6675066634359099</v>
      </c>
      <c r="S130" s="1" t="s">
        <v>78</v>
      </c>
      <c r="T130" s="1" t="s">
        <v>0</v>
      </c>
      <c r="U130" s="1" t="s">
        <v>166</v>
      </c>
      <c r="V130" s="1" t="s">
        <v>81</v>
      </c>
      <c r="W130" s="1" t="s">
        <v>0</v>
      </c>
      <c r="X130" s="1" t="s">
        <v>0</v>
      </c>
      <c r="Y130" s="22" t="str">
        <f t="shared" si="3"/>
        <v>CO</v>
      </c>
      <c r="Z130" s="20" t="str">
        <f>_xlfn.XLOOKUP($B130,[1]F27!$C:$C,[1]F27!$BV:$BV)</f>
        <v>#ERROR!</v>
      </c>
      <c r="AA130" s="1"/>
      <c r="AB130" s="1"/>
      <c r="AC130" s="23"/>
      <c r="AD130" s="1" t="str">
        <f>_xlfn.XLOOKUP($B130,[1]F27!$C:$C,[1]F27!$Y:$Y)</f>
        <v>#ERROR!</v>
      </c>
      <c r="AE130" s="1" t="str">
        <f>_xlfn.XLOOKUP($B130,[1]F27!$C:$C,[1]F27!$Z:$Z)</f>
        <v>#ERROR!</v>
      </c>
      <c r="AF130" s="1" t="str">
        <f>_xlfn.XLOOKUP($B130,[2]PRICING!$B:$B,[2]PRICING!$B:$B,"MISSING")</f>
        <v>#ERROR!</v>
      </c>
      <c r="AG130" s="1" t="str">
        <f>COUNTIFS([2]ACTIVE_SCO!$B:$B,$B130,[2]ACTIVE_SCO!$P:$P,"Y")</f>
        <v>#ERROR!</v>
      </c>
      <c r="AH130" s="1"/>
      <c r="AI130" s="37" t="s">
        <v>157</v>
      </c>
      <c r="AJ130" s="38" t="s">
        <v>1559</v>
      </c>
      <c r="AK130" s="39" t="s">
        <v>1369</v>
      </c>
      <c r="AL130" s="39" t="s">
        <v>366</v>
      </c>
      <c r="AM130" s="1" t="s">
        <v>125</v>
      </c>
      <c r="AN130" s="40" t="s">
        <v>127</v>
      </c>
      <c r="AO130" s="41" t="s">
        <v>125</v>
      </c>
      <c r="AP130" s="39"/>
      <c r="AQ130" s="40" t="s">
        <v>0</v>
      </c>
      <c r="AR130" s="39"/>
      <c r="AS130" s="1" t="s">
        <v>68</v>
      </c>
      <c r="AT130" s="1" t="s">
        <v>128</v>
      </c>
      <c r="AU130" s="1" t="s">
        <v>90</v>
      </c>
      <c r="AV130" s="1" t="s">
        <v>91</v>
      </c>
      <c r="AW130" s="1"/>
      <c r="AX130" s="1"/>
      <c r="AY130" s="1"/>
      <c r="AZ130" s="1"/>
      <c r="BA130" s="1" t="s">
        <v>1369</v>
      </c>
      <c r="BB130" s="1" t="s">
        <v>366</v>
      </c>
      <c r="BC130" s="1"/>
      <c r="BD130" s="1"/>
    </row>
    <row r="131" ht="11.25" customHeight="1">
      <c r="A131" s="1" t="b">
        <v>1</v>
      </c>
      <c r="B131" s="1" t="s">
        <v>483</v>
      </c>
      <c r="C131" s="1" t="s">
        <v>484</v>
      </c>
      <c r="D131" s="1" t="s">
        <v>65</v>
      </c>
      <c r="E131" s="1"/>
      <c r="F131" s="1"/>
      <c r="G131" s="1" t="s">
        <v>66</v>
      </c>
      <c r="H131" s="1"/>
      <c r="I131" s="1" t="s">
        <v>68</v>
      </c>
      <c r="J131" s="1" t="s">
        <v>69</v>
      </c>
      <c r="K131" s="1" t="s">
        <v>70</v>
      </c>
      <c r="L131" s="1" t="s">
        <v>0</v>
      </c>
      <c r="M131" s="1" t="b">
        <v>1</v>
      </c>
      <c r="N131" s="1" t="b">
        <v>0</v>
      </c>
      <c r="O131" s="19">
        <v>1800.0</v>
      </c>
      <c r="P131" s="20">
        <v>2.1</v>
      </c>
      <c r="Q131" s="20">
        <v>857.14</v>
      </c>
      <c r="R131" s="21">
        <v>0.6928973096576989</v>
      </c>
      <c r="S131" s="1" t="s">
        <v>78</v>
      </c>
      <c r="T131" s="1" t="s">
        <v>0</v>
      </c>
      <c r="U131" s="1" t="s">
        <v>166</v>
      </c>
      <c r="V131" s="1" t="s">
        <v>81</v>
      </c>
      <c r="W131" s="1" t="s">
        <v>0</v>
      </c>
      <c r="X131" s="1" t="s">
        <v>0</v>
      </c>
      <c r="Y131" s="22" t="str">
        <f t="shared" si="3"/>
        <v>CO</v>
      </c>
      <c r="Z131" s="20" t="str">
        <f>_xlfn.XLOOKUP($B131,[1]F27!$C:$C,[1]F27!$BV:$BV)</f>
        <v>#ERROR!</v>
      </c>
      <c r="AA131" s="1"/>
      <c r="AB131" s="1"/>
      <c r="AC131" s="23"/>
      <c r="AD131" s="1" t="str">
        <f>_xlfn.XLOOKUP($B131,[1]F27!$C:$C,[1]F27!$Y:$Y)</f>
        <v>#ERROR!</v>
      </c>
      <c r="AE131" s="1" t="str">
        <f>_xlfn.XLOOKUP($B131,[1]F27!$C:$C,[1]F27!$Z:$Z)</f>
        <v>#ERROR!</v>
      </c>
      <c r="AF131" s="1" t="str">
        <f>_xlfn.XLOOKUP($B131,[2]PRICING!$B:$B,[2]PRICING!$B:$B,"MISSING")</f>
        <v>#ERROR!</v>
      </c>
      <c r="AG131" s="1" t="str">
        <f>COUNTIFS([2]ACTIVE_SCO!$B:$B,$B131,[2]ACTIVE_SCO!$P:$P,"Y")</f>
        <v>#ERROR!</v>
      </c>
      <c r="AH131" s="1"/>
      <c r="AI131" s="37" t="s">
        <v>157</v>
      </c>
      <c r="AJ131" s="38" t="s">
        <v>1560</v>
      </c>
      <c r="AK131" s="39" t="s">
        <v>1369</v>
      </c>
      <c r="AL131" s="39" t="s">
        <v>1561</v>
      </c>
      <c r="AM131" s="1" t="s">
        <v>125</v>
      </c>
      <c r="AN131" s="40" t="s">
        <v>127</v>
      </c>
      <c r="AO131" s="41" t="s">
        <v>125</v>
      </c>
      <c r="AP131" s="39"/>
      <c r="AQ131" s="40" t="s">
        <v>0</v>
      </c>
      <c r="AR131" s="39"/>
      <c r="AS131" s="1" t="s">
        <v>68</v>
      </c>
      <c r="AT131" s="1" t="s">
        <v>89</v>
      </c>
      <c r="AU131" s="1" t="s">
        <v>90</v>
      </c>
      <c r="AV131" s="1" t="s">
        <v>91</v>
      </c>
      <c r="AW131" s="1"/>
      <c r="AX131" s="1"/>
      <c r="AY131" s="1"/>
      <c r="AZ131" s="1"/>
      <c r="BA131" s="1" t="s">
        <v>1369</v>
      </c>
      <c r="BB131" s="1" t="s">
        <v>1561</v>
      </c>
      <c r="BC131" s="1"/>
      <c r="BD131" s="1"/>
    </row>
    <row r="132" ht="11.25" customHeight="1">
      <c r="A132" s="1" t="b">
        <v>1</v>
      </c>
      <c r="B132" s="1" t="s">
        <v>486</v>
      </c>
      <c r="C132" s="1" t="s">
        <v>487</v>
      </c>
      <c r="D132" s="1" t="s">
        <v>65</v>
      </c>
      <c r="E132" s="1"/>
      <c r="F132" s="1"/>
      <c r="G132" s="1" t="s">
        <v>66</v>
      </c>
      <c r="H132" s="1"/>
      <c r="I132" s="1" t="s">
        <v>68</v>
      </c>
      <c r="J132" s="1" t="s">
        <v>69</v>
      </c>
      <c r="K132" s="1" t="s">
        <v>107</v>
      </c>
      <c r="L132" s="1" t="s">
        <v>0</v>
      </c>
      <c r="M132" s="1" t="b">
        <v>1</v>
      </c>
      <c r="N132" s="1" t="b">
        <v>0</v>
      </c>
      <c r="O132" s="19">
        <v>1800.0</v>
      </c>
      <c r="P132" s="20">
        <v>2.1</v>
      </c>
      <c r="Q132" s="20">
        <v>857.14</v>
      </c>
      <c r="R132" s="21">
        <v>0.7026506755022517</v>
      </c>
      <c r="S132" s="1" t="s">
        <v>78</v>
      </c>
      <c r="T132" s="1" t="s">
        <v>0</v>
      </c>
      <c r="U132" s="1" t="s">
        <v>166</v>
      </c>
      <c r="V132" s="1" t="s">
        <v>81</v>
      </c>
      <c r="W132" s="1" t="s">
        <v>0</v>
      </c>
      <c r="X132" s="1" t="s">
        <v>0</v>
      </c>
      <c r="Y132" s="22" t="str">
        <f t="shared" si="3"/>
        <v>CO</v>
      </c>
      <c r="Z132" s="20" t="str">
        <f>_xlfn.XLOOKUP($B132,[1]F27!$C:$C,[1]F27!$BV:$BV)</f>
        <v>#ERROR!</v>
      </c>
      <c r="AA132" s="1"/>
      <c r="AB132" s="1"/>
      <c r="AC132" s="23"/>
      <c r="AD132" s="1" t="str">
        <f>_xlfn.XLOOKUP($B132,[1]F27!$C:$C,[1]F27!$Y:$Y)</f>
        <v>#ERROR!</v>
      </c>
      <c r="AE132" s="1" t="str">
        <f>_xlfn.XLOOKUP($B132,[1]F27!$C:$C,[1]F27!$Z:$Z)</f>
        <v>#ERROR!</v>
      </c>
      <c r="AF132" s="1" t="str">
        <f>_xlfn.XLOOKUP($B132,[2]PRICING!$B:$B,[2]PRICING!$B:$B,"MISSING")</f>
        <v>#ERROR!</v>
      </c>
      <c r="AG132" s="1" t="str">
        <f>COUNTIFS([2]ACTIVE_SCO!$B:$B,$B132,[2]ACTIVE_SCO!$P:$P,"Y")</f>
        <v>#ERROR!</v>
      </c>
      <c r="AH132" s="1"/>
      <c r="AI132" s="37" t="s">
        <v>157</v>
      </c>
      <c r="AJ132" s="38" t="s">
        <v>1565</v>
      </c>
      <c r="AK132" s="39" t="s">
        <v>1369</v>
      </c>
      <c r="AL132" s="39" t="s">
        <v>1561</v>
      </c>
      <c r="AM132" s="1" t="s">
        <v>125</v>
      </c>
      <c r="AN132" s="40" t="s">
        <v>127</v>
      </c>
      <c r="AO132" s="41" t="s">
        <v>125</v>
      </c>
      <c r="AP132" s="39"/>
      <c r="AQ132" s="40" t="s">
        <v>0</v>
      </c>
      <c r="AR132" s="39"/>
      <c r="AS132" s="1" t="s">
        <v>68</v>
      </c>
      <c r="AT132" s="1" t="s">
        <v>89</v>
      </c>
      <c r="AU132" s="1" t="s">
        <v>90</v>
      </c>
      <c r="AV132" s="1" t="s">
        <v>91</v>
      </c>
      <c r="AW132" s="1"/>
      <c r="AX132" s="1"/>
      <c r="AY132" s="1"/>
      <c r="AZ132" s="1"/>
      <c r="BA132" s="1" t="s">
        <v>1369</v>
      </c>
      <c r="BB132" s="1" t="s">
        <v>1561</v>
      </c>
      <c r="BC132" s="1"/>
      <c r="BD132" s="1"/>
    </row>
    <row r="133" ht="11.25" customHeight="1">
      <c r="A133" s="1" t="b">
        <v>1</v>
      </c>
      <c r="B133" s="1" t="s">
        <v>1448</v>
      </c>
      <c r="C133" s="1" t="s">
        <v>1449</v>
      </c>
      <c r="D133" s="1" t="s">
        <v>65</v>
      </c>
      <c r="E133" s="1"/>
      <c r="F133" s="1"/>
      <c r="G133" s="1" t="s">
        <v>247</v>
      </c>
      <c r="H133" s="1"/>
      <c r="I133" s="1" t="s">
        <v>355</v>
      </c>
      <c r="J133" s="1" t="s">
        <v>69</v>
      </c>
      <c r="K133" s="1" t="s">
        <v>107</v>
      </c>
      <c r="L133" s="1" t="s">
        <v>0</v>
      </c>
      <c r="M133" s="1" t="b">
        <v>0</v>
      </c>
      <c r="N133" s="1" t="b">
        <v>0</v>
      </c>
      <c r="O133" s="19">
        <v>2500.0</v>
      </c>
      <c r="P133" s="20">
        <v>2.1</v>
      </c>
      <c r="Q133" s="20">
        <v>1190.48</v>
      </c>
      <c r="R133" s="21">
        <v>0.7707479336066124</v>
      </c>
      <c r="S133" s="1" t="s">
        <v>242</v>
      </c>
      <c r="T133" s="1" t="s">
        <v>0</v>
      </c>
      <c r="U133" s="1" t="s">
        <v>647</v>
      </c>
      <c r="V133" s="1" t="s">
        <v>81</v>
      </c>
      <c r="W133" s="1" t="s">
        <v>0</v>
      </c>
      <c r="X133" s="1" t="s">
        <v>0</v>
      </c>
      <c r="Y133" s="22" t="str">
        <f t="shared" si="3"/>
        <v>NEW</v>
      </c>
      <c r="Z133" s="20" t="str">
        <f>_xlfn.XLOOKUP($B133,[1]F27!$C:$C,[1]F27!$BV:$BV)</f>
        <v>#ERROR!</v>
      </c>
      <c r="AA133" s="1"/>
      <c r="AB133" s="1"/>
      <c r="AC133" s="23"/>
      <c r="AD133" s="1" t="str">
        <f>_xlfn.XLOOKUP($B133,[1]F27!$C:$C,[1]F27!$Y:$Y)</f>
        <v>#ERROR!</v>
      </c>
      <c r="AE133" s="1" t="str">
        <f>_xlfn.XLOOKUP($B133,[1]F27!$C:$C,[1]F27!$Z:$Z)</f>
        <v>#ERROR!</v>
      </c>
      <c r="AF133" s="1" t="str">
        <f>_xlfn.XLOOKUP($B133,[2]PRICING!$B:$B,[2]PRICING!$B:$B,"MISSING")</f>
        <v>#ERROR!</v>
      </c>
      <c r="AG133" s="1" t="str">
        <f>COUNTIFS([2]ACTIVE_SCO!$B:$B,$B133,[2]ACTIVE_SCO!$P:$P,"Y")</f>
        <v>#ERROR!</v>
      </c>
      <c r="AH133" s="1"/>
      <c r="AI133" s="37" t="s">
        <v>157</v>
      </c>
      <c r="AJ133" s="38" t="s">
        <v>1566</v>
      </c>
      <c r="AK133" s="39" t="s">
        <v>551</v>
      </c>
      <c r="AL133" s="39" t="s">
        <v>0</v>
      </c>
      <c r="AM133" s="1" t="s">
        <v>125</v>
      </c>
      <c r="AN133" s="40" t="s">
        <v>174</v>
      </c>
      <c r="AO133" s="41" t="s">
        <v>776</v>
      </c>
      <c r="AP133" s="41" t="s">
        <v>777</v>
      </c>
      <c r="AQ133" s="40" t="s">
        <v>0</v>
      </c>
      <c r="AR133" s="54"/>
      <c r="AS133" s="1" t="s">
        <v>126</v>
      </c>
      <c r="AT133" s="1" t="s">
        <v>1447</v>
      </c>
      <c r="AU133" s="1" t="s">
        <v>130</v>
      </c>
      <c r="AV133" s="1" t="s">
        <v>131</v>
      </c>
      <c r="AW133" s="1"/>
      <c r="AX133" s="1"/>
      <c r="AY133" s="1"/>
      <c r="AZ133" s="1"/>
      <c r="BA133" s="1" t="s">
        <v>551</v>
      </c>
      <c r="BB133" s="1" t="s">
        <v>0</v>
      </c>
      <c r="BC133" s="1"/>
      <c r="BD133" s="1"/>
    </row>
    <row r="134" ht="11.25" customHeight="1">
      <c r="A134" s="1" t="b">
        <v>1</v>
      </c>
      <c r="B134" s="1" t="s">
        <v>111</v>
      </c>
      <c r="C134" s="1" t="s">
        <v>112</v>
      </c>
      <c r="D134" s="1" t="s">
        <v>65</v>
      </c>
      <c r="E134" s="1"/>
      <c r="F134" s="1"/>
      <c r="G134" s="1" t="s">
        <v>66</v>
      </c>
      <c r="H134" s="1"/>
      <c r="I134" s="1" t="s">
        <v>113</v>
      </c>
      <c r="J134" s="1" t="s">
        <v>69</v>
      </c>
      <c r="K134" s="1" t="s">
        <v>70</v>
      </c>
      <c r="L134" s="1" t="s">
        <v>0</v>
      </c>
      <c r="M134" s="1" t="b">
        <v>1</v>
      </c>
      <c r="N134" s="1" t="b">
        <v>0</v>
      </c>
      <c r="O134" s="19">
        <v>1700.0</v>
      </c>
      <c r="P134" s="20">
        <v>2.1</v>
      </c>
      <c r="Q134" s="20">
        <v>809.52</v>
      </c>
      <c r="R134" s="21">
        <v>0.624839411008993</v>
      </c>
      <c r="S134" s="1" t="s">
        <v>117</v>
      </c>
      <c r="T134" s="1" t="s">
        <v>0</v>
      </c>
      <c r="U134" s="1" t="s">
        <v>81</v>
      </c>
      <c r="V134" s="1" t="s">
        <v>81</v>
      </c>
      <c r="W134" s="1" t="s">
        <v>0</v>
      </c>
      <c r="X134" s="1" t="s">
        <v>0</v>
      </c>
      <c r="Y134" s="22" t="str">
        <f t="shared" si="3"/>
        <v>CO</v>
      </c>
      <c r="Z134" s="20" t="str">
        <f>_xlfn.XLOOKUP($B134,[1]F27!$C:$C,[1]F27!$BV:$BV)</f>
        <v>#ERROR!</v>
      </c>
      <c r="AA134" s="1"/>
      <c r="AB134" s="1"/>
      <c r="AC134" s="23"/>
      <c r="AD134" s="1" t="str">
        <f>_xlfn.XLOOKUP($B134,[1]F27!$C:$C,[1]F27!$Y:$Y)</f>
        <v>#ERROR!</v>
      </c>
      <c r="AE134" s="1" t="str">
        <f>_xlfn.XLOOKUP($B134,[1]F27!$C:$C,[1]F27!$Z:$Z)</f>
        <v>#ERROR!</v>
      </c>
      <c r="AF134" s="1" t="str">
        <f>_xlfn.XLOOKUP($B134,[2]PRICING!$B:$B,[2]PRICING!$B:$B,"MISSING")</f>
        <v>#ERROR!</v>
      </c>
      <c r="AG134" s="1" t="str">
        <f>COUNTIFS([2]ACTIVE_SCO!$B:$B,$B134,[2]ACTIVE_SCO!$P:$P,"Y")</f>
        <v>#ERROR!</v>
      </c>
      <c r="AH134" s="1"/>
      <c r="AI134" s="37" t="s">
        <v>157</v>
      </c>
      <c r="AJ134" s="55" t="s">
        <v>1567</v>
      </c>
      <c r="AK134" s="39" t="s">
        <v>417</v>
      </c>
      <c r="AL134" s="39" t="s">
        <v>0</v>
      </c>
      <c r="AM134" s="1" t="s">
        <v>86</v>
      </c>
      <c r="AN134" s="40" t="s">
        <v>121</v>
      </c>
      <c r="AO134" s="41" t="s">
        <v>86</v>
      </c>
      <c r="AP134" s="41" t="s">
        <v>121</v>
      </c>
      <c r="AQ134" s="40" t="s">
        <v>0</v>
      </c>
      <c r="AR134" s="39"/>
      <c r="AS134" s="1" t="s">
        <v>126</v>
      </c>
      <c r="AT134" s="1" t="s">
        <v>128</v>
      </c>
      <c r="AU134" s="1" t="s">
        <v>130</v>
      </c>
      <c r="AV134" s="1" t="s">
        <v>131</v>
      </c>
      <c r="AW134" s="1"/>
      <c r="AX134" s="1"/>
      <c r="AY134" s="1"/>
      <c r="AZ134" s="1"/>
      <c r="BA134" s="1" t="s">
        <v>417</v>
      </c>
      <c r="BB134" s="1" t="s">
        <v>0</v>
      </c>
      <c r="BC134" s="1"/>
      <c r="BD134" s="1"/>
    </row>
    <row r="135" ht="11.25" customHeight="1">
      <c r="A135" s="1" t="b">
        <v>1</v>
      </c>
      <c r="B135" s="1" t="s">
        <v>134</v>
      </c>
      <c r="C135" s="1" t="s">
        <v>135</v>
      </c>
      <c r="D135" s="1" t="s">
        <v>65</v>
      </c>
      <c r="E135" s="1"/>
      <c r="F135" s="1"/>
      <c r="G135" s="1" t="s">
        <v>66</v>
      </c>
      <c r="H135" s="1"/>
      <c r="I135" s="1" t="s">
        <v>113</v>
      </c>
      <c r="J135" s="1" t="s">
        <v>69</v>
      </c>
      <c r="K135" s="1" t="s">
        <v>107</v>
      </c>
      <c r="L135" s="1" t="s">
        <v>0</v>
      </c>
      <c r="M135" s="1" t="b">
        <v>1</v>
      </c>
      <c r="N135" s="1" t="b">
        <v>0</v>
      </c>
      <c r="O135" s="19">
        <v>1700.0</v>
      </c>
      <c r="P135" s="20">
        <v>2.1</v>
      </c>
      <c r="Q135" s="20">
        <v>809.52</v>
      </c>
      <c r="R135" s="21">
        <v>0.6548819053266133</v>
      </c>
      <c r="S135" s="1" t="s">
        <v>117</v>
      </c>
      <c r="T135" s="1" t="s">
        <v>0</v>
      </c>
      <c r="U135" s="1" t="s">
        <v>81</v>
      </c>
      <c r="V135" s="1" t="s">
        <v>81</v>
      </c>
      <c r="W135" s="1" t="s">
        <v>0</v>
      </c>
      <c r="X135" s="1" t="s">
        <v>0</v>
      </c>
      <c r="Y135" s="22" t="str">
        <f t="shared" si="3"/>
        <v>CO</v>
      </c>
      <c r="Z135" s="20" t="str">
        <f>_xlfn.XLOOKUP($B135,[1]F27!$C:$C,[1]F27!$BV:$BV)</f>
        <v>#ERROR!</v>
      </c>
      <c r="AA135" s="1"/>
      <c r="AB135" s="1"/>
      <c r="AC135" s="23"/>
      <c r="AD135" s="1" t="str">
        <f>_xlfn.XLOOKUP($B135,[1]F27!$C:$C,[1]F27!$Y:$Y)</f>
        <v>#ERROR!</v>
      </c>
      <c r="AE135" s="1" t="str">
        <f>_xlfn.XLOOKUP($B135,[1]F27!$C:$C,[1]F27!$Z:$Z)</f>
        <v>#ERROR!</v>
      </c>
      <c r="AF135" s="1" t="str">
        <f>_xlfn.XLOOKUP($B135,[2]PRICING!$B:$B,[2]PRICING!$B:$B,"MISSING")</f>
        <v>#ERROR!</v>
      </c>
      <c r="AG135" s="1" t="str">
        <f>COUNTIFS([2]ACTIVE_SCO!$B:$B,$B135,[2]ACTIVE_SCO!$P:$P,"Y")</f>
        <v>#ERROR!</v>
      </c>
      <c r="AH135" s="1"/>
      <c r="AI135" s="37" t="s">
        <v>157</v>
      </c>
      <c r="AJ135" s="55" t="s">
        <v>1569</v>
      </c>
      <c r="AK135" s="39" t="s">
        <v>417</v>
      </c>
      <c r="AL135" s="39" t="s">
        <v>0</v>
      </c>
      <c r="AM135" s="1" t="s">
        <v>86</v>
      </c>
      <c r="AN135" s="40" t="s">
        <v>121</v>
      </c>
      <c r="AO135" s="41" t="s">
        <v>86</v>
      </c>
      <c r="AP135" s="41" t="s">
        <v>121</v>
      </c>
      <c r="AQ135" s="40" t="s">
        <v>0</v>
      </c>
      <c r="AR135" s="39"/>
      <c r="AS135" s="1" t="s">
        <v>126</v>
      </c>
      <c r="AT135" s="1" t="s">
        <v>128</v>
      </c>
      <c r="AU135" s="1" t="s">
        <v>130</v>
      </c>
      <c r="AV135" s="1" t="s">
        <v>131</v>
      </c>
      <c r="AW135" s="1"/>
      <c r="AX135" s="1"/>
      <c r="AY135" s="1"/>
      <c r="AZ135" s="1"/>
      <c r="BA135" s="1" t="s">
        <v>417</v>
      </c>
      <c r="BB135" s="1" t="s">
        <v>0</v>
      </c>
      <c r="BC135" s="1"/>
      <c r="BD135" s="1"/>
    </row>
    <row r="136" ht="11.25" customHeight="1">
      <c r="A136" s="1" t="b">
        <v>1</v>
      </c>
      <c r="B136" s="1" t="s">
        <v>508</v>
      </c>
      <c r="C136" s="1" t="s">
        <v>509</v>
      </c>
      <c r="D136" s="1" t="s">
        <v>65</v>
      </c>
      <c r="E136" s="1"/>
      <c r="F136" s="1"/>
      <c r="G136" s="1" t="s">
        <v>109</v>
      </c>
      <c r="H136" s="1"/>
      <c r="I136" s="1" t="s">
        <v>68</v>
      </c>
      <c r="J136" s="1" t="s">
        <v>69</v>
      </c>
      <c r="K136" s="1" t="s">
        <v>70</v>
      </c>
      <c r="L136" s="1" t="s">
        <v>0</v>
      </c>
      <c r="M136" s="1" t="b">
        <v>1</v>
      </c>
      <c r="N136" s="1" t="b">
        <v>0</v>
      </c>
      <c r="O136" s="19">
        <v>3000.0</v>
      </c>
      <c r="P136" s="20">
        <v>2.1</v>
      </c>
      <c r="Q136" s="20">
        <v>1428.57</v>
      </c>
      <c r="R136" s="21">
        <v>0.5871675871675871</v>
      </c>
      <c r="S136" s="1" t="s">
        <v>117</v>
      </c>
      <c r="T136" s="1" t="s">
        <v>0</v>
      </c>
      <c r="U136" s="1" t="s">
        <v>511</v>
      </c>
      <c r="V136" s="1" t="s">
        <v>81</v>
      </c>
      <c r="W136" s="1" t="s">
        <v>0</v>
      </c>
      <c r="X136" s="1" t="s">
        <v>0</v>
      </c>
      <c r="Y136" s="22" t="str">
        <f t="shared" si="3"/>
        <v>CO</v>
      </c>
      <c r="Z136" s="20" t="str">
        <f>_xlfn.XLOOKUP($B136,[1]F27!$C:$C,[1]F27!$BV:$BV)</f>
        <v>#ERROR!</v>
      </c>
      <c r="AA136" s="1"/>
      <c r="AB136" s="1"/>
      <c r="AC136" s="23"/>
      <c r="AD136" s="1" t="str">
        <f>_xlfn.XLOOKUP($B136,[1]F27!$C:$C,[1]F27!$Y:$Y)</f>
        <v>#ERROR!</v>
      </c>
      <c r="AE136" s="1" t="str">
        <f>_xlfn.XLOOKUP($B136,[1]F27!$C:$C,[1]F27!$Z:$Z)</f>
        <v>#ERROR!</v>
      </c>
      <c r="AF136" s="1" t="str">
        <f>_xlfn.XLOOKUP($B136,[2]PRICING!$B:$B,[2]PRICING!$B:$B,"MISSING")</f>
        <v>#ERROR!</v>
      </c>
      <c r="AG136" s="1" t="str">
        <f>COUNTIFS([2]ACTIVE_SCO!$B:$B,$B136,[2]ACTIVE_SCO!$P:$P,"Y")</f>
        <v>#ERROR!</v>
      </c>
      <c r="AH136" s="1"/>
      <c r="AI136" s="37" t="s">
        <v>551</v>
      </c>
      <c r="AJ136" s="77" t="s">
        <v>1576</v>
      </c>
      <c r="AK136" s="39" t="s">
        <v>417</v>
      </c>
      <c r="AL136" s="39" t="s">
        <v>0</v>
      </c>
      <c r="AM136" s="1" t="s">
        <v>86</v>
      </c>
      <c r="AN136" s="40" t="s">
        <v>512</v>
      </c>
      <c r="AO136" s="41" t="s">
        <v>1577</v>
      </c>
      <c r="AP136" s="41" t="s">
        <v>1577</v>
      </c>
      <c r="AQ136" s="1"/>
      <c r="AR136" s="39"/>
      <c r="AS136" s="1" t="s">
        <v>68</v>
      </c>
      <c r="AT136" s="1" t="s">
        <v>89</v>
      </c>
      <c r="AU136" s="1" t="s">
        <v>178</v>
      </c>
      <c r="AV136" s="1" t="s">
        <v>91</v>
      </c>
      <c r="AW136" s="1"/>
      <c r="AX136" s="1"/>
      <c r="AY136" s="1"/>
      <c r="AZ136" s="1"/>
      <c r="BA136" s="1" t="s">
        <v>417</v>
      </c>
      <c r="BB136" s="1" t="s">
        <v>0</v>
      </c>
      <c r="BC136" s="1"/>
      <c r="BD136" s="1"/>
    </row>
    <row r="137" ht="11.25" customHeight="1">
      <c r="A137" s="1" t="b">
        <v>1</v>
      </c>
      <c r="B137" s="1" t="s">
        <v>515</v>
      </c>
      <c r="C137" s="1" t="s">
        <v>516</v>
      </c>
      <c r="D137" s="1" t="s">
        <v>65</v>
      </c>
      <c r="E137" s="1"/>
      <c r="F137" s="1"/>
      <c r="G137" s="1" t="s">
        <v>109</v>
      </c>
      <c r="H137" s="1"/>
      <c r="I137" s="1" t="s">
        <v>68</v>
      </c>
      <c r="J137" s="1" t="s">
        <v>69</v>
      </c>
      <c r="K137" s="1" t="s">
        <v>107</v>
      </c>
      <c r="L137" s="1" t="s">
        <v>0</v>
      </c>
      <c r="M137" s="1" t="b">
        <v>1</v>
      </c>
      <c r="N137" s="1" t="b">
        <v>0</v>
      </c>
      <c r="O137" s="19">
        <v>3000.0</v>
      </c>
      <c r="P137" s="20">
        <v>2.1</v>
      </c>
      <c r="Q137" s="20">
        <v>1428.57</v>
      </c>
      <c r="R137" s="21">
        <v>0.6127106127106126</v>
      </c>
      <c r="S137" s="1" t="s">
        <v>117</v>
      </c>
      <c r="T137" s="1" t="s">
        <v>0</v>
      </c>
      <c r="U137" s="1" t="s">
        <v>511</v>
      </c>
      <c r="V137" s="1" t="s">
        <v>81</v>
      </c>
      <c r="W137" s="1" t="s">
        <v>0</v>
      </c>
      <c r="X137" s="1" t="s">
        <v>0</v>
      </c>
      <c r="Y137" s="22" t="str">
        <f t="shared" si="3"/>
        <v>CO</v>
      </c>
      <c r="Z137" s="20" t="str">
        <f>_xlfn.XLOOKUP($B137,[1]F27!$C:$C,[1]F27!$BV:$BV)</f>
        <v>#ERROR!</v>
      </c>
      <c r="AA137" s="1"/>
      <c r="AB137" s="1"/>
      <c r="AC137" s="23"/>
      <c r="AD137" s="1" t="str">
        <f>_xlfn.XLOOKUP($B137,[1]F27!$C:$C,[1]F27!$Y:$Y)</f>
        <v>#ERROR!</v>
      </c>
      <c r="AE137" s="1" t="str">
        <f>_xlfn.XLOOKUP($B137,[1]F27!$C:$C,[1]F27!$Z:$Z)</f>
        <v>#ERROR!</v>
      </c>
      <c r="AF137" s="1" t="str">
        <f>_xlfn.XLOOKUP($B137,[2]PRICING!$B:$B,[2]PRICING!$B:$B,"MISSING")</f>
        <v>#ERROR!</v>
      </c>
      <c r="AG137" s="1" t="str">
        <f>COUNTIFS([2]ACTIVE_SCO!$B:$B,$B137,[2]ACTIVE_SCO!$P:$P,"Y")</f>
        <v>#ERROR!</v>
      </c>
      <c r="AH137" s="1"/>
      <c r="AI137" s="37" t="s">
        <v>551</v>
      </c>
      <c r="AJ137" s="77" t="s">
        <v>1582</v>
      </c>
      <c r="AK137" s="39" t="s">
        <v>417</v>
      </c>
      <c r="AL137" s="39" t="s">
        <v>0</v>
      </c>
      <c r="AM137" s="1" t="s">
        <v>86</v>
      </c>
      <c r="AN137" s="40" t="s">
        <v>512</v>
      </c>
      <c r="AO137" s="41" t="s">
        <v>1577</v>
      </c>
      <c r="AP137" s="41" t="s">
        <v>1577</v>
      </c>
      <c r="AQ137" s="1"/>
      <c r="AR137" s="39"/>
      <c r="AS137" s="1" t="s">
        <v>68</v>
      </c>
      <c r="AT137" s="1" t="s">
        <v>89</v>
      </c>
      <c r="AU137" s="1" t="s">
        <v>178</v>
      </c>
      <c r="AV137" s="1" t="s">
        <v>91</v>
      </c>
      <c r="AW137" s="1"/>
      <c r="AX137" s="1"/>
      <c r="AY137" s="1"/>
      <c r="AZ137" s="1"/>
      <c r="BA137" s="1" t="s">
        <v>417</v>
      </c>
      <c r="BB137" s="1" t="s">
        <v>0</v>
      </c>
      <c r="BC137" s="1"/>
      <c r="BD137" s="1"/>
    </row>
    <row r="138" ht="11.25" customHeight="1">
      <c r="A138" s="1" t="b">
        <v>1</v>
      </c>
      <c r="B138" s="1" t="s">
        <v>519</v>
      </c>
      <c r="C138" s="1" t="s">
        <v>520</v>
      </c>
      <c r="D138" s="1" t="s">
        <v>65</v>
      </c>
      <c r="E138" s="1"/>
      <c r="F138" s="1"/>
      <c r="G138" s="1" t="s">
        <v>109</v>
      </c>
      <c r="H138" s="1"/>
      <c r="I138" s="1" t="s">
        <v>68</v>
      </c>
      <c r="J138" s="1" t="s">
        <v>69</v>
      </c>
      <c r="K138" s="1" t="s">
        <v>70</v>
      </c>
      <c r="L138" s="1" t="s">
        <v>0</v>
      </c>
      <c r="M138" s="1" t="b">
        <v>1</v>
      </c>
      <c r="N138" s="1" t="b">
        <v>0</v>
      </c>
      <c r="O138" s="19">
        <v>1700.0</v>
      </c>
      <c r="P138" s="20">
        <v>2.1</v>
      </c>
      <c r="Q138" s="20">
        <v>809.52</v>
      </c>
      <c r="R138" s="21">
        <v>0.5993057614388774</v>
      </c>
      <c r="S138" s="1" t="s">
        <v>117</v>
      </c>
      <c r="T138" s="1" t="s">
        <v>0</v>
      </c>
      <c r="U138" s="1" t="s">
        <v>511</v>
      </c>
      <c r="V138" s="1" t="s">
        <v>81</v>
      </c>
      <c r="W138" s="1" t="s">
        <v>0</v>
      </c>
      <c r="X138" s="1" t="s">
        <v>0</v>
      </c>
      <c r="Y138" s="22" t="str">
        <f t="shared" si="3"/>
        <v>CO</v>
      </c>
      <c r="Z138" s="20" t="str">
        <f>_xlfn.XLOOKUP($B138,[1]F27!$C:$C,[1]F27!$BV:$BV)</f>
        <v>#ERROR!</v>
      </c>
      <c r="AA138" s="1"/>
      <c r="AB138" s="1"/>
      <c r="AC138" s="23"/>
      <c r="AD138" s="1" t="str">
        <f>_xlfn.XLOOKUP($B138,[1]F27!$C:$C,[1]F27!$Y:$Y)</f>
        <v>#ERROR!</v>
      </c>
      <c r="AE138" s="1" t="str">
        <f>_xlfn.XLOOKUP($B138,[1]F27!$C:$C,[1]F27!$Z:$Z)</f>
        <v>#ERROR!</v>
      </c>
      <c r="AF138" s="1" t="str">
        <f>_xlfn.XLOOKUP($B138,[2]PRICING!$B:$B,[2]PRICING!$B:$B,"MISSING")</f>
        <v>#ERROR!</v>
      </c>
      <c r="AG138" s="1" t="str">
        <f>COUNTIFS([2]ACTIVE_SCO!$B:$B,$B138,[2]ACTIVE_SCO!$P:$P,"Y")</f>
        <v>#ERROR!</v>
      </c>
      <c r="AH138" s="1"/>
      <c r="AI138" s="37" t="s">
        <v>551</v>
      </c>
      <c r="AJ138" s="77" t="s">
        <v>1585</v>
      </c>
      <c r="AK138" s="39" t="s">
        <v>417</v>
      </c>
      <c r="AL138" s="39" t="s">
        <v>0</v>
      </c>
      <c r="AM138" s="1" t="s">
        <v>86</v>
      </c>
      <c r="AN138" s="40" t="s">
        <v>512</v>
      </c>
      <c r="AO138" s="41" t="s">
        <v>1577</v>
      </c>
      <c r="AP138" s="41" t="s">
        <v>1577</v>
      </c>
      <c r="AQ138" s="1"/>
      <c r="AR138" s="39"/>
      <c r="AS138" s="1" t="s">
        <v>68</v>
      </c>
      <c r="AT138" s="1" t="s">
        <v>128</v>
      </c>
      <c r="AU138" s="1" t="s">
        <v>178</v>
      </c>
      <c r="AV138" s="1" t="s">
        <v>91</v>
      </c>
      <c r="AW138" s="1"/>
      <c r="AX138" s="1"/>
      <c r="AY138" s="1"/>
      <c r="AZ138" s="1"/>
      <c r="BA138" s="1" t="s">
        <v>417</v>
      </c>
      <c r="BB138" s="1" t="s">
        <v>0</v>
      </c>
      <c r="BC138" s="1"/>
      <c r="BD138" s="1"/>
    </row>
    <row r="139" ht="11.25" customHeight="1">
      <c r="A139" s="1" t="b">
        <v>1</v>
      </c>
      <c r="B139" s="1" t="s">
        <v>521</v>
      </c>
      <c r="C139" s="1" t="s">
        <v>522</v>
      </c>
      <c r="D139" s="1" t="s">
        <v>65</v>
      </c>
      <c r="E139" s="1"/>
      <c r="F139" s="1"/>
      <c r="G139" s="1" t="s">
        <v>109</v>
      </c>
      <c r="H139" s="1"/>
      <c r="I139" s="1" t="s">
        <v>68</v>
      </c>
      <c r="J139" s="1" t="s">
        <v>69</v>
      </c>
      <c r="K139" s="1" t="s">
        <v>107</v>
      </c>
      <c r="L139" s="1" t="s">
        <v>0</v>
      </c>
      <c r="M139" s="1" t="b">
        <v>1</v>
      </c>
      <c r="N139" s="1" t="b">
        <v>0</v>
      </c>
      <c r="O139" s="19">
        <v>1700.0</v>
      </c>
      <c r="P139" s="20">
        <v>2.1</v>
      </c>
      <c r="Q139" s="20">
        <v>809.52</v>
      </c>
      <c r="R139" s="21">
        <v>0.6225294001383537</v>
      </c>
      <c r="S139" s="1" t="s">
        <v>117</v>
      </c>
      <c r="T139" s="1" t="s">
        <v>0</v>
      </c>
      <c r="U139" s="1" t="s">
        <v>511</v>
      </c>
      <c r="V139" s="1" t="s">
        <v>81</v>
      </c>
      <c r="W139" s="1" t="s">
        <v>0</v>
      </c>
      <c r="X139" s="1" t="s">
        <v>0</v>
      </c>
      <c r="Y139" s="22" t="str">
        <f t="shared" si="3"/>
        <v>CO</v>
      </c>
      <c r="Z139" s="20" t="str">
        <f>_xlfn.XLOOKUP($B139,[1]F27!$C:$C,[1]F27!$BV:$BV)</f>
        <v>#ERROR!</v>
      </c>
      <c r="AA139" s="1"/>
      <c r="AB139" s="1"/>
      <c r="AC139" s="23"/>
      <c r="AD139" s="1" t="str">
        <f>_xlfn.XLOOKUP($B139,[1]F27!$C:$C,[1]F27!$Y:$Y)</f>
        <v>#ERROR!</v>
      </c>
      <c r="AE139" s="1" t="str">
        <f>_xlfn.XLOOKUP($B139,[1]F27!$C:$C,[1]F27!$Z:$Z)</f>
        <v>#ERROR!</v>
      </c>
      <c r="AF139" s="1" t="str">
        <f>_xlfn.XLOOKUP($B139,[2]PRICING!$B:$B,[2]PRICING!$B:$B,"MISSING")</f>
        <v>#ERROR!</v>
      </c>
      <c r="AG139" s="1" t="str">
        <f>COUNTIFS([2]ACTIVE_SCO!$B:$B,$B139,[2]ACTIVE_SCO!$P:$P,"Y")</f>
        <v>#ERROR!</v>
      </c>
      <c r="AH139" s="1"/>
      <c r="AI139" s="37" t="s">
        <v>551</v>
      </c>
      <c r="AJ139" s="77" t="s">
        <v>1591</v>
      </c>
      <c r="AK139" s="39" t="s">
        <v>417</v>
      </c>
      <c r="AL139" s="39" t="s">
        <v>0</v>
      </c>
      <c r="AM139" s="1" t="s">
        <v>86</v>
      </c>
      <c r="AN139" s="40" t="s">
        <v>512</v>
      </c>
      <c r="AO139" s="41" t="s">
        <v>1577</v>
      </c>
      <c r="AP139" s="41" t="s">
        <v>1577</v>
      </c>
      <c r="AQ139" s="1"/>
      <c r="AR139" s="39"/>
      <c r="AS139" s="1" t="s">
        <v>68</v>
      </c>
      <c r="AT139" s="1" t="s">
        <v>128</v>
      </c>
      <c r="AU139" s="1" t="s">
        <v>178</v>
      </c>
      <c r="AV139" s="1" t="s">
        <v>91</v>
      </c>
      <c r="AW139" s="1"/>
      <c r="AX139" s="1"/>
      <c r="AY139" s="1"/>
      <c r="AZ139" s="1"/>
      <c r="BA139" s="1" t="s">
        <v>417</v>
      </c>
      <c r="BB139" s="1" t="s">
        <v>0</v>
      </c>
      <c r="BC139" s="1"/>
      <c r="BD139" s="1"/>
    </row>
    <row r="140" ht="11.25" customHeight="1">
      <c r="A140" s="1" t="b">
        <v>1</v>
      </c>
      <c r="B140" s="1" t="s">
        <v>524</v>
      </c>
      <c r="C140" s="1" t="s">
        <v>525</v>
      </c>
      <c r="D140" s="1" t="s">
        <v>65</v>
      </c>
      <c r="E140" s="1"/>
      <c r="F140" s="1"/>
      <c r="G140" s="1" t="s">
        <v>109</v>
      </c>
      <c r="H140" s="1"/>
      <c r="I140" s="1" t="s">
        <v>68</v>
      </c>
      <c r="J140" s="1" t="s">
        <v>69</v>
      </c>
      <c r="K140" s="1" t="s">
        <v>70</v>
      </c>
      <c r="L140" s="1" t="s">
        <v>0</v>
      </c>
      <c r="M140" s="1" t="b">
        <v>1</v>
      </c>
      <c r="N140" s="1" t="b">
        <v>0</v>
      </c>
      <c r="O140" s="19">
        <v>5000.0</v>
      </c>
      <c r="P140" s="20">
        <v>2.1</v>
      </c>
      <c r="Q140" s="20">
        <v>2380.95</v>
      </c>
      <c r="R140" s="21">
        <v>0.48664608664608655</v>
      </c>
      <c r="S140" s="1" t="s">
        <v>242</v>
      </c>
      <c r="T140" s="1" t="s">
        <v>0</v>
      </c>
      <c r="U140" s="1" t="s">
        <v>80</v>
      </c>
      <c r="V140" s="1" t="s">
        <v>81</v>
      </c>
      <c r="W140" s="1" t="s">
        <v>0</v>
      </c>
      <c r="X140" s="1" t="s">
        <v>0</v>
      </c>
      <c r="Y140" s="22" t="str">
        <f t="shared" si="3"/>
        <v>CO</v>
      </c>
      <c r="Z140" s="20" t="str">
        <f>_xlfn.XLOOKUP($B140,[1]F27!$C:$C,[1]F27!$BV:$BV)</f>
        <v>#ERROR!</v>
      </c>
      <c r="AA140" s="1"/>
      <c r="AB140" s="1"/>
      <c r="AC140" s="23"/>
      <c r="AD140" s="1" t="str">
        <f>_xlfn.XLOOKUP($B140,[1]F27!$C:$C,[1]F27!$Y:$Y)</f>
        <v>#ERROR!</v>
      </c>
      <c r="AE140" s="1" t="str">
        <f>_xlfn.XLOOKUP($B140,[1]F27!$C:$C,[1]F27!$Z:$Z)</f>
        <v>#ERROR!</v>
      </c>
      <c r="AF140" s="1" t="str">
        <f>_xlfn.XLOOKUP($B140,[2]PRICING!$B:$B,[2]PRICING!$B:$B,"MISSING")</f>
        <v>#ERROR!</v>
      </c>
      <c r="AG140" s="1" t="str">
        <f>COUNTIFS([2]ACTIVE_SCO!$B:$B,$B140,[2]ACTIVE_SCO!$P:$P,"Y")</f>
        <v>#ERROR!</v>
      </c>
      <c r="AH140" s="1"/>
      <c r="AI140" s="37" t="s">
        <v>551</v>
      </c>
      <c r="AJ140" s="77" t="s">
        <v>1596</v>
      </c>
      <c r="AK140" s="39" t="s">
        <v>417</v>
      </c>
      <c r="AL140" s="39" t="s">
        <v>0</v>
      </c>
      <c r="AM140" s="1" t="s">
        <v>86</v>
      </c>
      <c r="AN140" s="40" t="s">
        <v>512</v>
      </c>
      <c r="AO140" s="41" t="s">
        <v>1577</v>
      </c>
      <c r="AP140" s="41" t="s">
        <v>1577</v>
      </c>
      <c r="AQ140" s="1"/>
      <c r="AR140" s="39"/>
      <c r="AS140" s="1" t="s">
        <v>68</v>
      </c>
      <c r="AT140" s="1" t="s">
        <v>89</v>
      </c>
      <c r="AU140" s="1" t="s">
        <v>132</v>
      </c>
      <c r="AV140" s="1" t="s">
        <v>91</v>
      </c>
      <c r="AW140" s="1"/>
      <c r="AX140" s="1"/>
      <c r="AY140" s="1"/>
      <c r="AZ140" s="1"/>
      <c r="BA140" s="1" t="s">
        <v>417</v>
      </c>
      <c r="BB140" s="1" t="s">
        <v>0</v>
      </c>
      <c r="BC140" s="1"/>
      <c r="BD140" s="1"/>
    </row>
    <row r="141" ht="11.25" customHeight="1">
      <c r="A141" s="1" t="b">
        <v>1</v>
      </c>
      <c r="B141" s="1" t="s">
        <v>531</v>
      </c>
      <c r="C141" s="1" t="s">
        <v>532</v>
      </c>
      <c r="D141" s="1" t="s">
        <v>65</v>
      </c>
      <c r="E141" s="1"/>
      <c r="F141" s="1"/>
      <c r="G141" s="1" t="s">
        <v>109</v>
      </c>
      <c r="H141" s="1"/>
      <c r="I141" s="1" t="s">
        <v>68</v>
      </c>
      <c r="J141" s="1" t="s">
        <v>69</v>
      </c>
      <c r="K141" s="1" t="s">
        <v>107</v>
      </c>
      <c r="L141" s="1" t="s">
        <v>0</v>
      </c>
      <c r="M141" s="1" t="b">
        <v>1</v>
      </c>
      <c r="N141" s="1" t="b">
        <v>0</v>
      </c>
      <c r="O141" s="19">
        <v>5000.0</v>
      </c>
      <c r="P141" s="20">
        <v>2.1</v>
      </c>
      <c r="Q141" s="20">
        <v>2380.95</v>
      </c>
      <c r="R141" s="21">
        <v>0.5307671307671307</v>
      </c>
      <c r="S141" s="1" t="s">
        <v>242</v>
      </c>
      <c r="T141" s="1" t="s">
        <v>0</v>
      </c>
      <c r="U141" s="1" t="s">
        <v>80</v>
      </c>
      <c r="V141" s="1" t="s">
        <v>81</v>
      </c>
      <c r="W141" s="1" t="s">
        <v>0</v>
      </c>
      <c r="X141" s="1" t="s">
        <v>0</v>
      </c>
      <c r="Y141" s="22" t="str">
        <f t="shared" si="3"/>
        <v>CO</v>
      </c>
      <c r="Z141" s="20" t="str">
        <f>_xlfn.XLOOKUP($B141,[1]F27!$C:$C,[1]F27!$BV:$BV)</f>
        <v>#ERROR!</v>
      </c>
      <c r="AA141" s="1"/>
      <c r="AB141" s="1"/>
      <c r="AC141" s="23"/>
      <c r="AD141" s="1" t="str">
        <f>_xlfn.XLOOKUP($B141,[1]F27!$C:$C,[1]F27!$Y:$Y)</f>
        <v>#ERROR!</v>
      </c>
      <c r="AE141" s="1" t="str">
        <f>_xlfn.XLOOKUP($B141,[1]F27!$C:$C,[1]F27!$Z:$Z)</f>
        <v>#ERROR!</v>
      </c>
      <c r="AF141" s="1" t="str">
        <f>_xlfn.XLOOKUP($B141,[2]PRICING!$B:$B,[2]PRICING!$B:$B,"MISSING")</f>
        <v>#ERROR!</v>
      </c>
      <c r="AG141" s="1" t="str">
        <f>COUNTIFS([2]ACTIVE_SCO!$B:$B,$B141,[2]ACTIVE_SCO!$P:$P,"Y")</f>
        <v>#ERROR!</v>
      </c>
      <c r="AH141" s="1"/>
      <c r="AI141" s="37" t="s">
        <v>551</v>
      </c>
      <c r="AJ141" s="77" t="s">
        <v>1598</v>
      </c>
      <c r="AK141" s="39" t="s">
        <v>417</v>
      </c>
      <c r="AL141" s="39" t="s">
        <v>0</v>
      </c>
      <c r="AM141" s="1" t="s">
        <v>86</v>
      </c>
      <c r="AN141" s="40" t="s">
        <v>512</v>
      </c>
      <c r="AO141" s="41" t="s">
        <v>1577</v>
      </c>
      <c r="AP141" s="41" t="s">
        <v>1577</v>
      </c>
      <c r="AQ141" s="1"/>
      <c r="AR141" s="39"/>
      <c r="AS141" s="1" t="s">
        <v>68</v>
      </c>
      <c r="AT141" s="1" t="s">
        <v>89</v>
      </c>
      <c r="AU141" s="1" t="s">
        <v>132</v>
      </c>
      <c r="AV141" s="1" t="s">
        <v>91</v>
      </c>
      <c r="AW141" s="1"/>
      <c r="AX141" s="1"/>
      <c r="AY141" s="1"/>
      <c r="AZ141" s="1"/>
      <c r="BA141" s="1" t="s">
        <v>417</v>
      </c>
      <c r="BB141" s="1" t="s">
        <v>0</v>
      </c>
      <c r="BC141" s="1"/>
      <c r="BD141" s="1"/>
    </row>
    <row r="142" ht="11.25" customHeight="1">
      <c r="A142" s="1" t="b">
        <v>1</v>
      </c>
      <c r="B142" s="1" t="s">
        <v>1135</v>
      </c>
      <c r="C142" s="1" t="s">
        <v>1136</v>
      </c>
      <c r="D142" s="1" t="s">
        <v>65</v>
      </c>
      <c r="E142" s="1"/>
      <c r="F142" s="1"/>
      <c r="G142" s="1" t="s">
        <v>109</v>
      </c>
      <c r="H142" s="1"/>
      <c r="I142" s="1" t="s">
        <v>355</v>
      </c>
      <c r="J142" s="1" t="s">
        <v>69</v>
      </c>
      <c r="K142" s="1" t="s">
        <v>70</v>
      </c>
      <c r="L142" s="1" t="s">
        <v>0</v>
      </c>
      <c r="M142" s="1" t="b">
        <v>1</v>
      </c>
      <c r="N142" s="1" t="b">
        <v>0</v>
      </c>
      <c r="O142" s="19">
        <v>3500.0</v>
      </c>
      <c r="P142" s="20">
        <v>2.1</v>
      </c>
      <c r="Q142" s="20">
        <v>1666.67</v>
      </c>
      <c r="R142" s="21">
        <v>0.5400589198821601</v>
      </c>
      <c r="S142" s="1" t="s">
        <v>242</v>
      </c>
      <c r="T142" s="1" t="s">
        <v>0</v>
      </c>
      <c r="U142" s="1" t="s">
        <v>359</v>
      </c>
      <c r="V142" s="1" t="s">
        <v>81</v>
      </c>
      <c r="W142" s="1" t="s">
        <v>0</v>
      </c>
      <c r="X142" s="1" t="s">
        <v>0</v>
      </c>
      <c r="Y142" s="22" t="str">
        <f t="shared" si="3"/>
        <v>CO</v>
      </c>
      <c r="Z142" s="20" t="str">
        <f>_xlfn.XLOOKUP($B142,[1]F27!$C:$C,[1]F27!$BV:$BV)</f>
        <v>#ERROR!</v>
      </c>
      <c r="AA142" s="1"/>
      <c r="AB142" s="1"/>
      <c r="AC142" s="23"/>
      <c r="AD142" s="1" t="str">
        <f>_xlfn.XLOOKUP($B142,[1]F27!$C:$C,[1]F27!$Y:$Y)</f>
        <v>#ERROR!</v>
      </c>
      <c r="AE142" s="1" t="str">
        <f>_xlfn.XLOOKUP($B142,[1]F27!$C:$C,[1]F27!$Z:$Z)</f>
        <v>#ERROR!</v>
      </c>
      <c r="AF142" s="1" t="str">
        <f>_xlfn.XLOOKUP($B142,[2]PRICING!$B:$B,[2]PRICING!$B:$B,"MISSING")</f>
        <v>#ERROR!</v>
      </c>
      <c r="AG142" s="1" t="str">
        <f>COUNTIFS([2]ACTIVE_SCO!$B:$B,$B142,[2]ACTIVE_SCO!$P:$P,"Y")</f>
        <v>#ERROR!</v>
      </c>
      <c r="AH142" s="1"/>
      <c r="AI142" s="37" t="s">
        <v>551</v>
      </c>
      <c r="AJ142" s="77" t="s">
        <v>1604</v>
      </c>
      <c r="AK142" s="49" t="s">
        <v>365</v>
      </c>
      <c r="AL142" s="39" t="s">
        <v>366</v>
      </c>
      <c r="AM142" s="1" t="s">
        <v>86</v>
      </c>
      <c r="AN142" s="40" t="s">
        <v>512</v>
      </c>
      <c r="AO142" s="41" t="s">
        <v>1605</v>
      </c>
      <c r="AP142" s="41" t="s">
        <v>1605</v>
      </c>
      <c r="AQ142" s="1"/>
      <c r="AR142" s="39"/>
      <c r="AS142" s="1" t="s">
        <v>355</v>
      </c>
      <c r="AT142" s="1" t="s">
        <v>161</v>
      </c>
      <c r="AU142" s="1" t="s">
        <v>360</v>
      </c>
      <c r="AV142" s="1" t="s">
        <v>131</v>
      </c>
      <c r="AW142" s="1"/>
      <c r="AX142" s="1"/>
      <c r="AY142" s="1"/>
      <c r="AZ142" s="1"/>
      <c r="BA142" s="50" t="s">
        <v>365</v>
      </c>
      <c r="BB142" s="1" t="s">
        <v>366</v>
      </c>
      <c r="BC142" s="1"/>
      <c r="BD142" s="1"/>
    </row>
    <row r="143" ht="11.25" customHeight="1">
      <c r="A143" s="1" t="b">
        <v>1</v>
      </c>
      <c r="B143" s="1" t="s">
        <v>1143</v>
      </c>
      <c r="C143" s="1" t="s">
        <v>1144</v>
      </c>
      <c r="D143" s="1" t="s">
        <v>65</v>
      </c>
      <c r="E143" s="1"/>
      <c r="F143" s="1"/>
      <c r="G143" s="1" t="s">
        <v>109</v>
      </c>
      <c r="H143" s="1"/>
      <c r="I143" s="1" t="s">
        <v>355</v>
      </c>
      <c r="J143" s="1" t="s">
        <v>69</v>
      </c>
      <c r="K143" s="1" t="s">
        <v>107</v>
      </c>
      <c r="L143" s="1" t="s">
        <v>0</v>
      </c>
      <c r="M143" s="1" t="b">
        <v>1</v>
      </c>
      <c r="N143" s="1" t="b">
        <v>0</v>
      </c>
      <c r="O143" s="19">
        <v>3500.0</v>
      </c>
      <c r="P143" s="20">
        <v>2.1</v>
      </c>
      <c r="Q143" s="20">
        <v>1666.67</v>
      </c>
      <c r="R143" s="21">
        <v>0.5795328409343181</v>
      </c>
      <c r="S143" s="1" t="s">
        <v>242</v>
      </c>
      <c r="T143" s="1" t="s">
        <v>0</v>
      </c>
      <c r="U143" s="1" t="s">
        <v>359</v>
      </c>
      <c r="V143" s="1" t="s">
        <v>81</v>
      </c>
      <c r="W143" s="1" t="s">
        <v>0</v>
      </c>
      <c r="X143" s="1" t="s">
        <v>0</v>
      </c>
      <c r="Y143" s="22" t="str">
        <f t="shared" si="3"/>
        <v>CO</v>
      </c>
      <c r="Z143" s="20" t="str">
        <f>_xlfn.XLOOKUP($B143,[1]F27!$C:$C,[1]F27!$BV:$BV)</f>
        <v>#ERROR!</v>
      </c>
      <c r="AA143" s="1"/>
      <c r="AB143" s="1"/>
      <c r="AC143" s="23"/>
      <c r="AD143" s="1" t="str">
        <f>_xlfn.XLOOKUP($B143,[1]F27!$C:$C,[1]F27!$Y:$Y)</f>
        <v>#ERROR!</v>
      </c>
      <c r="AE143" s="1" t="str">
        <f>_xlfn.XLOOKUP($B143,[1]F27!$C:$C,[1]F27!$Z:$Z)</f>
        <v>#ERROR!</v>
      </c>
      <c r="AF143" s="1" t="str">
        <f>_xlfn.XLOOKUP($B143,[2]PRICING!$B:$B,[2]PRICING!$B:$B,"MISSING")</f>
        <v>#ERROR!</v>
      </c>
      <c r="AG143" s="1" t="str">
        <f>COUNTIFS([2]ACTIVE_SCO!$B:$B,$B143,[2]ACTIVE_SCO!$P:$P,"Y")</f>
        <v>#ERROR!</v>
      </c>
      <c r="AH143" s="1"/>
      <c r="AI143" s="37" t="s">
        <v>551</v>
      </c>
      <c r="AJ143" s="77" t="s">
        <v>1610</v>
      </c>
      <c r="AK143" s="49" t="s">
        <v>365</v>
      </c>
      <c r="AL143" s="39" t="s">
        <v>366</v>
      </c>
      <c r="AM143" s="1" t="s">
        <v>86</v>
      </c>
      <c r="AN143" s="40" t="s">
        <v>512</v>
      </c>
      <c r="AO143" s="41" t="s">
        <v>1605</v>
      </c>
      <c r="AP143" s="41" t="s">
        <v>1605</v>
      </c>
      <c r="AQ143" s="1"/>
      <c r="AR143" s="39"/>
      <c r="AS143" s="1" t="s">
        <v>355</v>
      </c>
      <c r="AT143" s="1" t="s">
        <v>161</v>
      </c>
      <c r="AU143" s="1" t="s">
        <v>360</v>
      </c>
      <c r="AV143" s="1" t="s">
        <v>131</v>
      </c>
      <c r="AW143" s="1"/>
      <c r="AX143" s="1"/>
      <c r="AY143" s="1"/>
      <c r="AZ143" s="1"/>
      <c r="BA143" s="50" t="s">
        <v>365</v>
      </c>
      <c r="BB143" s="1" t="s">
        <v>366</v>
      </c>
      <c r="BC143" s="1"/>
      <c r="BD143" s="1"/>
    </row>
    <row r="144" ht="11.25" customHeight="1">
      <c r="A144" s="1" t="b">
        <v>1</v>
      </c>
      <c r="B144" s="1" t="s">
        <v>559</v>
      </c>
      <c r="C144" s="1" t="s">
        <v>560</v>
      </c>
      <c r="D144" s="1" t="s">
        <v>65</v>
      </c>
      <c r="E144" s="1"/>
      <c r="F144" s="1"/>
      <c r="G144" s="1" t="s">
        <v>109</v>
      </c>
      <c r="H144" s="1"/>
      <c r="I144" s="1" t="s">
        <v>270</v>
      </c>
      <c r="J144" s="1" t="s">
        <v>69</v>
      </c>
      <c r="K144" s="1" t="s">
        <v>70</v>
      </c>
      <c r="L144" s="1" t="s">
        <v>0</v>
      </c>
      <c r="M144" s="1" t="b">
        <v>1</v>
      </c>
      <c r="N144" s="1" t="b">
        <v>0</v>
      </c>
      <c r="O144" s="19">
        <v>1200.0</v>
      </c>
      <c r="P144" s="20">
        <v>2.1</v>
      </c>
      <c r="Q144" s="20">
        <v>571.43</v>
      </c>
      <c r="R144" s="21">
        <v>0.5676285809285477</v>
      </c>
      <c r="S144" s="1" t="s">
        <v>117</v>
      </c>
      <c r="T144" s="1" t="s">
        <v>0</v>
      </c>
      <c r="U144" s="1" t="s">
        <v>81</v>
      </c>
      <c r="V144" s="1" t="s">
        <v>81</v>
      </c>
      <c r="W144" s="1" t="s">
        <v>0</v>
      </c>
      <c r="X144" s="1" t="s">
        <v>0</v>
      </c>
      <c r="Y144" s="22" t="str">
        <f t="shared" si="3"/>
        <v>CO</v>
      </c>
      <c r="Z144" s="20" t="str">
        <f>_xlfn.XLOOKUP($B144,[1]F27!$C:$C,[1]F27!$BV:$BV)</f>
        <v>#ERROR!</v>
      </c>
      <c r="AA144" s="1"/>
      <c r="AB144" s="1"/>
      <c r="AC144" s="23"/>
      <c r="AD144" s="1" t="str">
        <f>_xlfn.XLOOKUP($B144,[1]F27!$C:$C,[1]F27!$Y:$Y)</f>
        <v>#ERROR!</v>
      </c>
      <c r="AE144" s="1" t="str">
        <f>_xlfn.XLOOKUP($B144,[1]F27!$C:$C,[1]F27!$Z:$Z)</f>
        <v>#ERROR!</v>
      </c>
      <c r="AF144" s="1" t="str">
        <f>_xlfn.XLOOKUP($B144,[2]PRICING!$B:$B,[2]PRICING!$B:$B,"MISSING")</f>
        <v>#ERROR!</v>
      </c>
      <c r="AG144" s="1" t="str">
        <f>COUNTIFS([2]ACTIVE_SCO!$B:$B,$B144,[2]ACTIVE_SCO!$P:$P,"Y")</f>
        <v>#ERROR!</v>
      </c>
      <c r="AH144" s="1"/>
      <c r="AI144" s="37" t="s">
        <v>157</v>
      </c>
      <c r="AJ144" s="77" t="s">
        <v>1616</v>
      </c>
      <c r="AK144" s="39" t="s">
        <v>417</v>
      </c>
      <c r="AL144" s="39" t="s">
        <v>0</v>
      </c>
      <c r="AM144" s="1" t="s">
        <v>86</v>
      </c>
      <c r="AN144" s="40" t="s">
        <v>512</v>
      </c>
      <c r="AO144" s="41" t="s">
        <v>1605</v>
      </c>
      <c r="AP144" s="41" t="s">
        <v>1605</v>
      </c>
      <c r="AQ144" s="1"/>
      <c r="AR144" s="39"/>
      <c r="AS144" s="1" t="s">
        <v>276</v>
      </c>
      <c r="AT144" s="1" t="s">
        <v>161</v>
      </c>
      <c r="AU144" s="1" t="s">
        <v>277</v>
      </c>
      <c r="AV144" s="1" t="s">
        <v>131</v>
      </c>
      <c r="AW144" s="1"/>
      <c r="AX144" s="1"/>
      <c r="AY144" s="1"/>
      <c r="AZ144" s="1"/>
      <c r="BA144" s="1" t="s">
        <v>417</v>
      </c>
      <c r="BB144" s="1" t="s">
        <v>0</v>
      </c>
      <c r="BC144" s="1"/>
      <c r="BD144" s="1"/>
    </row>
    <row r="145" ht="11.25" customHeight="1">
      <c r="A145" s="1" t="b">
        <v>1</v>
      </c>
      <c r="B145" s="1" t="s">
        <v>563</v>
      </c>
      <c r="C145" s="1" t="s">
        <v>564</v>
      </c>
      <c r="D145" s="1" t="s">
        <v>65</v>
      </c>
      <c r="E145" s="1"/>
      <c r="F145" s="1"/>
      <c r="G145" s="1" t="s">
        <v>109</v>
      </c>
      <c r="H145" s="1"/>
      <c r="I145" s="1" t="s">
        <v>270</v>
      </c>
      <c r="J145" s="1" t="s">
        <v>69</v>
      </c>
      <c r="K145" s="1" t="s">
        <v>107</v>
      </c>
      <c r="L145" s="1" t="s">
        <v>0</v>
      </c>
      <c r="M145" s="1" t="b">
        <v>1</v>
      </c>
      <c r="N145" s="1" t="b">
        <v>0</v>
      </c>
      <c r="O145" s="19">
        <v>1200.0</v>
      </c>
      <c r="P145" s="20">
        <v>2.1</v>
      </c>
      <c r="Q145" s="20">
        <v>571.43</v>
      </c>
      <c r="R145" s="21">
        <v>0.5947185132037169</v>
      </c>
      <c r="S145" s="1" t="s">
        <v>117</v>
      </c>
      <c r="T145" s="1" t="s">
        <v>0</v>
      </c>
      <c r="U145" s="1" t="s">
        <v>81</v>
      </c>
      <c r="V145" s="1" t="s">
        <v>81</v>
      </c>
      <c r="W145" s="1" t="s">
        <v>0</v>
      </c>
      <c r="X145" s="1" t="s">
        <v>0</v>
      </c>
      <c r="Y145" s="22" t="str">
        <f t="shared" si="3"/>
        <v>CO</v>
      </c>
      <c r="Z145" s="20" t="str">
        <f>_xlfn.XLOOKUP($B145,[1]F27!$C:$C,[1]F27!$BV:$BV)</f>
        <v>#ERROR!</v>
      </c>
      <c r="AA145" s="1"/>
      <c r="AB145" s="1"/>
      <c r="AC145" s="23"/>
      <c r="AD145" s="1" t="str">
        <f>_xlfn.XLOOKUP($B145,[1]F27!$C:$C,[1]F27!$Y:$Y)</f>
        <v>#ERROR!</v>
      </c>
      <c r="AE145" s="1" t="str">
        <f>_xlfn.XLOOKUP($B145,[1]F27!$C:$C,[1]F27!$Z:$Z)</f>
        <v>#ERROR!</v>
      </c>
      <c r="AF145" s="1" t="str">
        <f>_xlfn.XLOOKUP($B145,[2]PRICING!$B:$B,[2]PRICING!$B:$B,"MISSING")</f>
        <v>#ERROR!</v>
      </c>
      <c r="AG145" s="1" t="str">
        <f>COUNTIFS([2]ACTIVE_SCO!$B:$B,$B145,[2]ACTIVE_SCO!$P:$P,"Y")</f>
        <v>#ERROR!</v>
      </c>
      <c r="AH145" s="1"/>
      <c r="AI145" s="37" t="s">
        <v>157</v>
      </c>
      <c r="AJ145" s="77" t="s">
        <v>1624</v>
      </c>
      <c r="AK145" s="39" t="s">
        <v>417</v>
      </c>
      <c r="AL145" s="39" t="s">
        <v>0</v>
      </c>
      <c r="AM145" s="1" t="s">
        <v>86</v>
      </c>
      <c r="AN145" s="40" t="s">
        <v>512</v>
      </c>
      <c r="AO145" s="41" t="s">
        <v>1605</v>
      </c>
      <c r="AP145" s="41" t="s">
        <v>1605</v>
      </c>
      <c r="AQ145" s="1"/>
      <c r="AR145" s="54"/>
      <c r="AS145" s="1" t="s">
        <v>276</v>
      </c>
      <c r="AT145" s="1" t="s">
        <v>161</v>
      </c>
      <c r="AU145" s="1" t="s">
        <v>277</v>
      </c>
      <c r="AV145" s="1" t="s">
        <v>131</v>
      </c>
      <c r="AW145" s="1"/>
      <c r="AX145" s="1"/>
      <c r="AY145" s="1"/>
      <c r="AZ145" s="1"/>
      <c r="BA145" s="1" t="s">
        <v>417</v>
      </c>
      <c r="BB145" s="1" t="s">
        <v>0</v>
      </c>
      <c r="BC145" s="1"/>
      <c r="BD145" s="1"/>
    </row>
    <row r="146" ht="11.25" customHeight="1">
      <c r="A146" s="1" t="b">
        <v>1</v>
      </c>
      <c r="B146" s="1" t="s">
        <v>1197</v>
      </c>
      <c r="C146" s="1" t="s">
        <v>1199</v>
      </c>
      <c r="D146" s="1" t="s">
        <v>65</v>
      </c>
      <c r="E146" s="1"/>
      <c r="F146" s="1"/>
      <c r="G146" s="1" t="s">
        <v>109</v>
      </c>
      <c r="H146" s="1"/>
      <c r="I146" s="1" t="s">
        <v>68</v>
      </c>
      <c r="J146" s="1" t="s">
        <v>69</v>
      </c>
      <c r="K146" s="1" t="s">
        <v>70</v>
      </c>
      <c r="L146" s="19" t="s">
        <v>0</v>
      </c>
      <c r="M146" s="1" t="b">
        <v>0</v>
      </c>
      <c r="N146" s="1" t="b">
        <v>0</v>
      </c>
      <c r="O146" s="19">
        <v>3200.0</v>
      </c>
      <c r="P146" s="20">
        <v>2.1</v>
      </c>
      <c r="Q146" s="20">
        <v>1523.81</v>
      </c>
      <c r="R146" s="21">
        <v>0.4721914149401828</v>
      </c>
      <c r="S146" s="1" t="s">
        <v>117</v>
      </c>
      <c r="T146" s="1" t="s">
        <v>0</v>
      </c>
      <c r="U146" s="1" t="s">
        <v>80</v>
      </c>
      <c r="V146" s="1" t="s">
        <v>81</v>
      </c>
      <c r="W146" s="1" t="s">
        <v>0</v>
      </c>
      <c r="X146" s="1" t="s">
        <v>0</v>
      </c>
      <c r="Y146" s="22" t="str">
        <f t="shared" si="3"/>
        <v>NEW</v>
      </c>
      <c r="Z146" s="20" t="str">
        <f>_xlfn.XLOOKUP($B146,[1]F27!$C:$C,[1]F27!$BV:$BV)</f>
        <v>#ERROR!</v>
      </c>
      <c r="AA146" s="1"/>
      <c r="AB146" s="1"/>
      <c r="AC146" s="23"/>
      <c r="AD146" s="1" t="str">
        <f>_xlfn.XLOOKUP($B146,[1]F27!$C:$C,[1]F27!$Y:$Y)</f>
        <v>#ERROR!</v>
      </c>
      <c r="AE146" s="1" t="str">
        <f>_xlfn.XLOOKUP($B146,[1]F27!$C:$C,[1]F27!$Z:$Z)</f>
        <v>#ERROR!</v>
      </c>
      <c r="AF146" s="1" t="str">
        <f>_xlfn.XLOOKUP($B146,[2]PRICING!$B:$B,[2]PRICING!$B:$B,"MISSING")</f>
        <v>#ERROR!</v>
      </c>
      <c r="AG146" s="1" t="str">
        <f>COUNTIFS([2]ACTIVE_SCO!$B:$B,$B146,[2]ACTIVE_SCO!$P:$P,"Y")</f>
        <v>#ERROR!</v>
      </c>
      <c r="AH146" s="1"/>
      <c r="AI146" s="37" t="s">
        <v>157</v>
      </c>
      <c r="AJ146" s="77" t="s">
        <v>1633</v>
      </c>
      <c r="AK146" s="39" t="s">
        <v>60</v>
      </c>
      <c r="AL146" s="39" t="s">
        <v>0</v>
      </c>
      <c r="AM146" s="1" t="s">
        <v>86</v>
      </c>
      <c r="AN146" s="40" t="s">
        <v>512</v>
      </c>
      <c r="AO146" s="41" t="s">
        <v>1577</v>
      </c>
      <c r="AP146" s="41" t="s">
        <v>1577</v>
      </c>
      <c r="AQ146" s="40" t="s">
        <v>0</v>
      </c>
      <c r="AR146" s="54"/>
      <c r="AS146" s="1" t="s">
        <v>68</v>
      </c>
      <c r="AT146" s="1" t="s">
        <v>89</v>
      </c>
      <c r="AU146" s="1" t="s">
        <v>132</v>
      </c>
      <c r="AV146" s="1" t="s">
        <v>91</v>
      </c>
      <c r="AW146" s="1"/>
      <c r="AX146" s="1"/>
      <c r="AY146" s="1"/>
      <c r="AZ146" s="1"/>
      <c r="BA146" s="1" t="s">
        <v>60</v>
      </c>
      <c r="BB146" s="1" t="s">
        <v>0</v>
      </c>
      <c r="BC146" s="1"/>
      <c r="BD146" s="1"/>
    </row>
    <row r="147" ht="11.25" customHeight="1">
      <c r="A147" s="1" t="b">
        <v>1</v>
      </c>
      <c r="B147" s="1" t="s">
        <v>1206</v>
      </c>
      <c r="C147" s="1" t="s">
        <v>1207</v>
      </c>
      <c r="D147" s="1" t="s">
        <v>65</v>
      </c>
      <c r="E147" s="1"/>
      <c r="F147" s="1"/>
      <c r="G147" s="1" t="s">
        <v>109</v>
      </c>
      <c r="H147" s="1"/>
      <c r="I147" s="1" t="s">
        <v>68</v>
      </c>
      <c r="J147" s="1" t="s">
        <v>69</v>
      </c>
      <c r="K147" s="1" t="s">
        <v>107</v>
      </c>
      <c r="L147" s="19" t="s">
        <v>0</v>
      </c>
      <c r="M147" s="1" t="b">
        <v>0</v>
      </c>
      <c r="N147" s="1" t="b">
        <v>0</v>
      </c>
      <c r="O147" s="19">
        <v>3200.0</v>
      </c>
      <c r="P147" s="20">
        <v>2.1</v>
      </c>
      <c r="Q147" s="20">
        <v>1523.81</v>
      </c>
      <c r="R147" s="21">
        <v>0.4881579724506335</v>
      </c>
      <c r="S147" s="1" t="s">
        <v>117</v>
      </c>
      <c r="T147" s="1" t="s">
        <v>0</v>
      </c>
      <c r="U147" s="1" t="s">
        <v>80</v>
      </c>
      <c r="V147" s="1" t="s">
        <v>81</v>
      </c>
      <c r="W147" s="1" t="s">
        <v>0</v>
      </c>
      <c r="X147" s="1" t="s">
        <v>0</v>
      </c>
      <c r="Y147" s="22" t="str">
        <f t="shared" si="3"/>
        <v>NEW</v>
      </c>
      <c r="Z147" s="20" t="str">
        <f>_xlfn.XLOOKUP($B147,[1]F27!$C:$C,[1]F27!$BV:$BV)</f>
        <v>#ERROR!</v>
      </c>
      <c r="AA147" s="1"/>
      <c r="AB147" s="1"/>
      <c r="AC147" s="23"/>
      <c r="AD147" s="1" t="str">
        <f>_xlfn.XLOOKUP($B147,[1]F27!$C:$C,[1]F27!$Y:$Y)</f>
        <v>#ERROR!</v>
      </c>
      <c r="AE147" s="1" t="str">
        <f>_xlfn.XLOOKUP($B147,[1]F27!$C:$C,[1]F27!$Z:$Z)</f>
        <v>#ERROR!</v>
      </c>
      <c r="AF147" s="1" t="str">
        <f>_xlfn.XLOOKUP($B147,[2]PRICING!$B:$B,[2]PRICING!$B:$B,"MISSING")</f>
        <v>#ERROR!</v>
      </c>
      <c r="AG147" s="1" t="str">
        <f>COUNTIFS([2]ACTIVE_SCO!$B:$B,$B147,[2]ACTIVE_SCO!$P:$P,"Y")</f>
        <v>#ERROR!</v>
      </c>
      <c r="AH147" s="1"/>
      <c r="AI147" s="37" t="s">
        <v>157</v>
      </c>
      <c r="AJ147" s="77" t="s">
        <v>1635</v>
      </c>
      <c r="AK147" s="39" t="s">
        <v>60</v>
      </c>
      <c r="AL147" s="39" t="s">
        <v>0</v>
      </c>
      <c r="AM147" s="1" t="s">
        <v>86</v>
      </c>
      <c r="AN147" s="40" t="s">
        <v>512</v>
      </c>
      <c r="AO147" s="41" t="s">
        <v>1577</v>
      </c>
      <c r="AP147" s="41" t="s">
        <v>1577</v>
      </c>
      <c r="AQ147" s="40" t="s">
        <v>0</v>
      </c>
      <c r="AR147" s="54"/>
      <c r="AS147" s="1" t="s">
        <v>68</v>
      </c>
      <c r="AT147" s="1" t="s">
        <v>89</v>
      </c>
      <c r="AU147" s="1" t="s">
        <v>132</v>
      </c>
      <c r="AV147" s="1" t="s">
        <v>91</v>
      </c>
      <c r="AW147" s="1"/>
      <c r="AX147" s="1"/>
      <c r="AY147" s="1"/>
      <c r="AZ147" s="1"/>
      <c r="BA147" s="1" t="s">
        <v>60</v>
      </c>
      <c r="BB147" s="1" t="s">
        <v>0</v>
      </c>
      <c r="BC147" s="1"/>
      <c r="BD147" s="1"/>
    </row>
    <row r="148" ht="11.25" customHeight="1">
      <c r="A148" s="1" t="b">
        <v>1</v>
      </c>
      <c r="B148" s="1" t="s">
        <v>1327</v>
      </c>
      <c r="C148" s="1" t="s">
        <v>1329</v>
      </c>
      <c r="D148" s="1" t="s">
        <v>65</v>
      </c>
      <c r="E148" s="1"/>
      <c r="F148" s="1"/>
      <c r="G148" s="1" t="s">
        <v>220</v>
      </c>
      <c r="H148" s="1"/>
      <c r="I148" s="1" t="s">
        <v>68</v>
      </c>
      <c r="J148" s="1" t="s">
        <v>69</v>
      </c>
      <c r="K148" s="1" t="s">
        <v>70</v>
      </c>
      <c r="L148" s="1" t="s">
        <v>0</v>
      </c>
      <c r="M148" s="1" t="b">
        <v>1</v>
      </c>
      <c r="N148" s="1" t="b">
        <v>0</v>
      </c>
      <c r="O148" s="19">
        <v>5000.0</v>
      </c>
      <c r="P148" s="20">
        <v>2.1</v>
      </c>
      <c r="Q148" s="20">
        <v>2380.95</v>
      </c>
      <c r="R148" s="21">
        <v>0.4597072597072597</v>
      </c>
      <c r="S148" s="1" t="s">
        <v>117</v>
      </c>
      <c r="T148" s="1" t="s">
        <v>0</v>
      </c>
      <c r="U148" s="1" t="s">
        <v>80</v>
      </c>
      <c r="V148" s="1" t="s">
        <v>198</v>
      </c>
      <c r="W148" s="1" t="s">
        <v>0</v>
      </c>
      <c r="X148" s="1" t="s">
        <v>0</v>
      </c>
      <c r="Y148" s="22" t="str">
        <f t="shared" si="3"/>
        <v>CO</v>
      </c>
      <c r="Z148" s="20" t="str">
        <f>_xlfn.XLOOKUP($B148,[1]F27!$C:$C,[1]F27!$BV:$BV)</f>
        <v>#ERROR!</v>
      </c>
      <c r="AA148" s="1"/>
      <c r="AB148" s="1"/>
      <c r="AC148" s="23"/>
      <c r="AD148" s="1" t="str">
        <f>_xlfn.XLOOKUP($B148,[1]F27!$C:$C,[1]F27!$Y:$Y)</f>
        <v>#ERROR!</v>
      </c>
      <c r="AE148" s="1" t="str">
        <f>_xlfn.XLOOKUP($B148,[1]F27!$C:$C,[1]F27!$Z:$Z)</f>
        <v>#ERROR!</v>
      </c>
      <c r="AF148" s="1" t="str">
        <f>_xlfn.XLOOKUP($B148,[2]PRICING!$B:$B,[2]PRICING!$B:$B,"MISSING")</f>
        <v>#ERROR!</v>
      </c>
      <c r="AG148" s="1" t="str">
        <f>COUNTIFS([2]ACTIVE_SCO!$B:$B,$B148,[2]ACTIVE_SCO!$P:$P,"Y")</f>
        <v>#ERROR!</v>
      </c>
      <c r="AH148" s="1"/>
      <c r="AI148" s="37" t="s">
        <v>157</v>
      </c>
      <c r="AJ148" s="73" t="s">
        <v>1640</v>
      </c>
      <c r="AK148" s="39" t="s">
        <v>1561</v>
      </c>
      <c r="AL148" s="39" t="s">
        <v>0</v>
      </c>
      <c r="AM148" s="1" t="s">
        <v>226</v>
      </c>
      <c r="AN148" s="40" t="s">
        <v>1641</v>
      </c>
      <c r="AO148" s="41" t="s">
        <v>226</v>
      </c>
      <c r="AP148" s="41" t="s">
        <v>227</v>
      </c>
      <c r="AQ148" s="40" t="s">
        <v>0</v>
      </c>
      <c r="AR148" s="65" t="s">
        <v>1643</v>
      </c>
      <c r="AS148" s="1" t="s">
        <v>68</v>
      </c>
      <c r="AT148" s="1" t="s">
        <v>89</v>
      </c>
      <c r="AU148" s="1" t="s">
        <v>206</v>
      </c>
      <c r="AV148" s="1" t="s">
        <v>91</v>
      </c>
      <c r="AW148" s="1"/>
      <c r="AX148" s="1"/>
      <c r="AY148" s="1"/>
      <c r="AZ148" s="1"/>
      <c r="BA148" s="1" t="s">
        <v>1561</v>
      </c>
      <c r="BB148" s="1" t="s">
        <v>0</v>
      </c>
      <c r="BC148" s="1"/>
      <c r="BD148" s="1"/>
    </row>
    <row r="149" ht="11.25" customHeight="1">
      <c r="A149" s="1" t="b">
        <v>1</v>
      </c>
      <c r="B149" s="1" t="s">
        <v>1336</v>
      </c>
      <c r="C149" s="1" t="s">
        <v>1337</v>
      </c>
      <c r="D149" s="1" t="s">
        <v>65</v>
      </c>
      <c r="E149" s="1"/>
      <c r="F149" s="1"/>
      <c r="G149" s="1" t="s">
        <v>220</v>
      </c>
      <c r="H149" s="1"/>
      <c r="I149" s="1" t="s">
        <v>68</v>
      </c>
      <c r="J149" s="1" t="s">
        <v>69</v>
      </c>
      <c r="K149" s="1" t="s">
        <v>107</v>
      </c>
      <c r="L149" s="1" t="s">
        <v>0</v>
      </c>
      <c r="M149" s="1" t="b">
        <v>1</v>
      </c>
      <c r="N149" s="1" t="b">
        <v>0</v>
      </c>
      <c r="O149" s="19">
        <v>5000.0</v>
      </c>
      <c r="P149" s="20">
        <v>2.1</v>
      </c>
      <c r="Q149" s="20">
        <v>2380.95</v>
      </c>
      <c r="R149" s="21">
        <v>0.49314769314769313</v>
      </c>
      <c r="S149" s="1" t="s">
        <v>117</v>
      </c>
      <c r="T149" s="1" t="s">
        <v>0</v>
      </c>
      <c r="U149" s="1" t="s">
        <v>80</v>
      </c>
      <c r="V149" s="1" t="s">
        <v>198</v>
      </c>
      <c r="W149" s="1" t="s">
        <v>0</v>
      </c>
      <c r="X149" s="1" t="s">
        <v>0</v>
      </c>
      <c r="Y149" s="22" t="str">
        <f t="shared" si="3"/>
        <v>CO</v>
      </c>
      <c r="Z149" s="20" t="str">
        <f>_xlfn.XLOOKUP($B149,[1]F27!$C:$C,[1]F27!$BV:$BV)</f>
        <v>#ERROR!</v>
      </c>
      <c r="AA149" s="1"/>
      <c r="AB149" s="1"/>
      <c r="AC149" s="23"/>
      <c r="AD149" s="1" t="str">
        <f>_xlfn.XLOOKUP($B149,[1]F27!$C:$C,[1]F27!$Y:$Y)</f>
        <v>#ERROR!</v>
      </c>
      <c r="AE149" s="1" t="str">
        <f>_xlfn.XLOOKUP($B149,[1]F27!$C:$C,[1]F27!$Z:$Z)</f>
        <v>#ERROR!</v>
      </c>
      <c r="AF149" s="1" t="str">
        <f>_xlfn.XLOOKUP($B149,[2]PRICING!$B:$B,[2]PRICING!$B:$B,"MISSING")</f>
        <v>#ERROR!</v>
      </c>
      <c r="AG149" s="1" t="str">
        <f>COUNTIFS([2]ACTIVE_SCO!$B:$B,$B149,[2]ACTIVE_SCO!$P:$P,"Y")</f>
        <v>#ERROR!</v>
      </c>
      <c r="AH149" s="1"/>
      <c r="AI149" s="37" t="s">
        <v>157</v>
      </c>
      <c r="AJ149" s="73" t="s">
        <v>1640</v>
      </c>
      <c r="AK149" s="39" t="s">
        <v>1561</v>
      </c>
      <c r="AL149" s="39" t="s">
        <v>0</v>
      </c>
      <c r="AM149" s="1" t="s">
        <v>226</v>
      </c>
      <c r="AN149" s="40" t="s">
        <v>1641</v>
      </c>
      <c r="AO149" s="41" t="s">
        <v>226</v>
      </c>
      <c r="AP149" s="41" t="s">
        <v>227</v>
      </c>
      <c r="AQ149" s="40" t="s">
        <v>0</v>
      </c>
      <c r="AR149" s="65" t="s">
        <v>1643</v>
      </c>
      <c r="AS149" s="1" t="s">
        <v>68</v>
      </c>
      <c r="AT149" s="1" t="s">
        <v>89</v>
      </c>
      <c r="AU149" s="1" t="s">
        <v>206</v>
      </c>
      <c r="AV149" s="1" t="s">
        <v>91</v>
      </c>
      <c r="AW149" s="1"/>
      <c r="AX149" s="1"/>
      <c r="AY149" s="1"/>
      <c r="AZ149" s="1"/>
      <c r="BA149" s="1" t="s">
        <v>1561</v>
      </c>
      <c r="BB149" s="1" t="s">
        <v>0</v>
      </c>
      <c r="BC149" s="1"/>
      <c r="BD149" s="1"/>
    </row>
    <row r="150" ht="11.25" customHeight="1">
      <c r="A150" s="1" t="b">
        <v>1</v>
      </c>
      <c r="B150" s="1" t="s">
        <v>1388</v>
      </c>
      <c r="C150" s="1" t="s">
        <v>1389</v>
      </c>
      <c r="D150" s="1" t="s">
        <v>65</v>
      </c>
      <c r="E150" s="1"/>
      <c r="F150" s="1"/>
      <c r="G150" s="1" t="s">
        <v>220</v>
      </c>
      <c r="H150" s="1"/>
      <c r="I150" s="1" t="s">
        <v>942</v>
      </c>
      <c r="J150" s="1" t="s">
        <v>69</v>
      </c>
      <c r="K150" s="1" t="s">
        <v>107</v>
      </c>
      <c r="L150" s="1" t="s">
        <v>0</v>
      </c>
      <c r="M150" s="1" t="b">
        <v>1</v>
      </c>
      <c r="N150" s="1" t="b">
        <v>0</v>
      </c>
      <c r="O150" s="19">
        <v>1000.0</v>
      </c>
      <c r="P150" s="20">
        <v>2.1</v>
      </c>
      <c r="Q150" s="20">
        <v>476.19</v>
      </c>
      <c r="R150" s="21">
        <v>0.5907935907935908</v>
      </c>
      <c r="S150" s="1" t="s">
        <v>117</v>
      </c>
      <c r="T150" s="1" t="s">
        <v>0</v>
      </c>
      <c r="U150" s="1" t="s">
        <v>81</v>
      </c>
      <c r="V150" s="1" t="s">
        <v>81</v>
      </c>
      <c r="W150" s="1" t="s">
        <v>0</v>
      </c>
      <c r="X150" s="1" t="s">
        <v>0</v>
      </c>
      <c r="Y150" s="22" t="str">
        <f t="shared" si="3"/>
        <v>CO</v>
      </c>
      <c r="Z150" s="20" t="str">
        <f>_xlfn.XLOOKUP($B150,[1]F27!$C:$C,[1]F27!$BV:$BV)</f>
        <v>#ERROR!</v>
      </c>
      <c r="AA150" s="1"/>
      <c r="AB150" s="1"/>
      <c r="AC150" s="23"/>
      <c r="AD150" s="1" t="str">
        <f>_xlfn.XLOOKUP($B150,[1]F27!$C:$C,[1]F27!$Y:$Y)</f>
        <v>#ERROR!</v>
      </c>
      <c r="AE150" s="1" t="str">
        <f>_xlfn.XLOOKUP($B150,[1]F27!$C:$C,[1]F27!$Z:$Z)</f>
        <v>#ERROR!</v>
      </c>
      <c r="AF150" s="1" t="str">
        <f>_xlfn.XLOOKUP($B150,[2]PRICING!$B:$B,[2]PRICING!$B:$B,"MISSING")</f>
        <v>#ERROR!</v>
      </c>
      <c r="AG150" s="1" t="str">
        <f>COUNTIFS([2]ACTIVE_SCO!$B:$B,$B150,[2]ACTIVE_SCO!$P:$P,"Y")</f>
        <v>#ERROR!</v>
      </c>
      <c r="AH150" s="1"/>
      <c r="AI150" s="37" t="s">
        <v>551</v>
      </c>
      <c r="AJ150" s="73" t="s">
        <v>949</v>
      </c>
      <c r="AK150" s="39" t="s">
        <v>1561</v>
      </c>
      <c r="AL150" s="39" t="s">
        <v>0</v>
      </c>
      <c r="AM150" s="1" t="s">
        <v>125</v>
      </c>
      <c r="AN150" s="40" t="s">
        <v>127</v>
      </c>
      <c r="AO150" s="41" t="s">
        <v>125</v>
      </c>
      <c r="AP150" s="39"/>
      <c r="AQ150" s="40" t="s">
        <v>125</v>
      </c>
      <c r="AR150" s="54"/>
      <c r="AS150" s="1" t="s">
        <v>942</v>
      </c>
      <c r="AT150" s="1" t="s">
        <v>128</v>
      </c>
      <c r="AU150" s="1" t="s">
        <v>951</v>
      </c>
      <c r="AV150" s="1" t="s">
        <v>131</v>
      </c>
      <c r="AW150" s="1"/>
      <c r="AX150" s="1"/>
      <c r="AY150" s="1"/>
      <c r="AZ150" s="1"/>
      <c r="BA150" s="1" t="s">
        <v>1561</v>
      </c>
      <c r="BB150" s="1" t="s">
        <v>0</v>
      </c>
      <c r="BC150" s="1"/>
      <c r="BD150" s="1"/>
    </row>
    <row r="151" ht="11.25" customHeight="1">
      <c r="A151" s="1" t="b">
        <v>1</v>
      </c>
      <c r="B151" s="1" t="s">
        <v>1507</v>
      </c>
      <c r="C151" s="1" t="s">
        <v>1508</v>
      </c>
      <c r="D151" s="1" t="s">
        <v>65</v>
      </c>
      <c r="E151" s="1"/>
      <c r="F151" s="1"/>
      <c r="G151" s="1" t="s">
        <v>220</v>
      </c>
      <c r="H151" s="1"/>
      <c r="I151" s="1" t="s">
        <v>248</v>
      </c>
      <c r="J151" s="1" t="s">
        <v>69</v>
      </c>
      <c r="K151" s="1" t="s">
        <v>249</v>
      </c>
      <c r="L151" s="1" t="s">
        <v>0</v>
      </c>
      <c r="M151" s="1" t="b">
        <v>1</v>
      </c>
      <c r="N151" s="1" t="b">
        <v>0</v>
      </c>
      <c r="O151" s="19">
        <v>500.0</v>
      </c>
      <c r="P151" s="20">
        <v>2.1</v>
      </c>
      <c r="Q151" s="20">
        <v>238.1</v>
      </c>
      <c r="R151" s="21">
        <v>0.5603107937841243</v>
      </c>
      <c r="S151" s="1" t="s">
        <v>117</v>
      </c>
      <c r="T151" s="1" t="s">
        <v>0</v>
      </c>
      <c r="U151" s="1" t="s">
        <v>81</v>
      </c>
      <c r="V151" s="1" t="s">
        <v>81</v>
      </c>
      <c r="W151" s="1" t="s">
        <v>0</v>
      </c>
      <c r="X151" s="1" t="s">
        <v>0</v>
      </c>
      <c r="Y151" s="22" t="str">
        <f t="shared" si="3"/>
        <v>CO</v>
      </c>
      <c r="Z151" s="20" t="str">
        <f>_xlfn.XLOOKUP($B151,[1]F27!$C:$C,[1]F27!$BV:$BV)</f>
        <v>#ERROR!</v>
      </c>
      <c r="AA151" s="1"/>
      <c r="AB151" s="1"/>
      <c r="AC151" s="23"/>
      <c r="AD151" s="1" t="str">
        <f>_xlfn.XLOOKUP($B151,[1]F27!$C:$C,[1]F27!$Y:$Y)</f>
        <v>#ERROR!</v>
      </c>
      <c r="AE151" s="1" t="str">
        <f>_xlfn.XLOOKUP($B151,[1]F27!$C:$C,[1]F27!$Z:$Z)</f>
        <v>#ERROR!</v>
      </c>
      <c r="AF151" s="1" t="str">
        <f>_xlfn.XLOOKUP($B151,[2]PRICING!$B:$B,[2]PRICING!$B:$B,"MISSING")</f>
        <v>#ERROR!</v>
      </c>
      <c r="AG151" s="1" t="str">
        <f>COUNTIFS([2]ACTIVE_SCO!$B:$B,$B151,[2]ACTIVE_SCO!$P:$P,"Y")</f>
        <v>#ERROR!</v>
      </c>
      <c r="AH151" s="1"/>
      <c r="AI151" s="37" t="s">
        <v>157</v>
      </c>
      <c r="AJ151" s="38" t="s">
        <v>1648</v>
      </c>
      <c r="AK151" s="39" t="s">
        <v>1561</v>
      </c>
      <c r="AL151" s="39" t="s">
        <v>0</v>
      </c>
      <c r="AM151" s="1" t="s">
        <v>226</v>
      </c>
      <c r="AN151" s="40" t="s">
        <v>227</v>
      </c>
      <c r="AO151" s="41" t="s">
        <v>125</v>
      </c>
      <c r="AP151" s="39"/>
      <c r="AQ151" s="40" t="s">
        <v>0</v>
      </c>
      <c r="AR151" s="54"/>
      <c r="AS151" s="1" t="s">
        <v>248</v>
      </c>
      <c r="AT151" s="1" t="s">
        <v>253</v>
      </c>
      <c r="AU151" s="1" t="s">
        <v>254</v>
      </c>
      <c r="AV151" s="1" t="s">
        <v>131</v>
      </c>
      <c r="AW151" s="1"/>
      <c r="AX151" s="1"/>
      <c r="AY151" s="1"/>
      <c r="AZ151" s="1"/>
      <c r="BA151" s="1" t="s">
        <v>1561</v>
      </c>
      <c r="BB151" s="1" t="s">
        <v>0</v>
      </c>
      <c r="BC151" s="1"/>
      <c r="BD151" s="1"/>
    </row>
    <row r="152" ht="11.25" customHeight="1">
      <c r="A152" s="1" t="b">
        <v>1</v>
      </c>
      <c r="B152" s="1" t="s">
        <v>1539</v>
      </c>
      <c r="C152" s="1" t="s">
        <v>1541</v>
      </c>
      <c r="D152" s="1" t="s">
        <v>65</v>
      </c>
      <c r="E152" s="1"/>
      <c r="F152" s="1"/>
      <c r="G152" s="1" t="s">
        <v>66</v>
      </c>
      <c r="H152" s="1"/>
      <c r="I152" s="1" t="s">
        <v>248</v>
      </c>
      <c r="J152" s="1" t="s">
        <v>69</v>
      </c>
      <c r="K152" s="1" t="s">
        <v>249</v>
      </c>
      <c r="L152" s="1" t="s">
        <v>0</v>
      </c>
      <c r="M152" s="1" t="b">
        <v>1</v>
      </c>
      <c r="N152" s="1" t="b">
        <v>0</v>
      </c>
      <c r="O152" s="19">
        <v>400.0</v>
      </c>
      <c r="P152" s="20">
        <v>2.1</v>
      </c>
      <c r="Q152" s="20">
        <v>190.48</v>
      </c>
      <c r="R152" s="21">
        <v>0.6468395632087358</v>
      </c>
      <c r="S152" s="1" t="s">
        <v>78</v>
      </c>
      <c r="T152" s="1" t="s">
        <v>0</v>
      </c>
      <c r="U152" s="1" t="s">
        <v>81</v>
      </c>
      <c r="V152" s="1" t="s">
        <v>81</v>
      </c>
      <c r="W152" s="1" t="s">
        <v>0</v>
      </c>
      <c r="X152" s="1" t="s">
        <v>0</v>
      </c>
      <c r="Y152" s="22" t="str">
        <f t="shared" si="3"/>
        <v>CO</v>
      </c>
      <c r="Z152" s="20" t="str">
        <f>_xlfn.XLOOKUP($B152,[1]F27!$C:$C,[1]F27!$BV:$BV)</f>
        <v>#ERROR!</v>
      </c>
      <c r="AA152" s="1"/>
      <c r="AB152" s="1"/>
      <c r="AC152" s="23"/>
      <c r="AD152" s="1" t="str">
        <f>_xlfn.XLOOKUP($B152,[1]F27!$C:$C,[1]F27!$Y:$Y)</f>
        <v>#ERROR!</v>
      </c>
      <c r="AE152" s="1" t="str">
        <f>_xlfn.XLOOKUP($B152,[1]F27!$C:$C,[1]F27!$Z:$Z)</f>
        <v>#ERROR!</v>
      </c>
      <c r="AF152" s="1" t="str">
        <f>_xlfn.XLOOKUP($B152,[2]PRICING!$B:$B,[2]PRICING!$B:$B,"MISSING")</f>
        <v>#ERROR!</v>
      </c>
      <c r="AG152" s="1" t="str">
        <f>COUNTIFS([2]ACTIVE_SCO!$B:$B,$B152,[2]ACTIVE_SCO!$P:$P,"Y")</f>
        <v>#ERROR!</v>
      </c>
      <c r="AH152" s="1"/>
      <c r="AI152" s="37" t="s">
        <v>157</v>
      </c>
      <c r="AJ152" s="38" t="s">
        <v>1650</v>
      </c>
      <c r="AK152" s="39" t="s">
        <v>1561</v>
      </c>
      <c r="AL152" s="39" t="s">
        <v>0</v>
      </c>
      <c r="AM152" s="1" t="s">
        <v>125</v>
      </c>
      <c r="AN152" s="40" t="s">
        <v>127</v>
      </c>
      <c r="AO152" s="41" t="s">
        <v>125</v>
      </c>
      <c r="AP152" s="39"/>
      <c r="AQ152" s="40" t="s">
        <v>0</v>
      </c>
      <c r="AR152" s="54"/>
      <c r="AS152" s="1" t="s">
        <v>248</v>
      </c>
      <c r="AT152" s="1" t="s">
        <v>253</v>
      </c>
      <c r="AU152" s="1" t="s">
        <v>291</v>
      </c>
      <c r="AV152" s="1" t="s">
        <v>131</v>
      </c>
      <c r="AW152" s="1"/>
      <c r="AX152" s="1"/>
      <c r="AY152" s="1"/>
      <c r="AZ152" s="1"/>
      <c r="BA152" s="1" t="s">
        <v>1561</v>
      </c>
      <c r="BB152" s="1" t="s">
        <v>0</v>
      </c>
      <c r="BC152" s="1"/>
      <c r="BD152" s="1"/>
    </row>
    <row r="153" ht="11.25" customHeight="1">
      <c r="A153" s="1" t="b">
        <v>1</v>
      </c>
      <c r="B153" s="1" t="s">
        <v>1607</v>
      </c>
      <c r="C153" s="1" t="s">
        <v>1608</v>
      </c>
      <c r="D153" s="1" t="s">
        <v>65</v>
      </c>
      <c r="E153" s="1"/>
      <c r="F153" s="1"/>
      <c r="G153" s="1" t="s">
        <v>66</v>
      </c>
      <c r="H153" s="1"/>
      <c r="I153" s="1" t="s">
        <v>248</v>
      </c>
      <c r="J153" s="1" t="s">
        <v>69</v>
      </c>
      <c r="K153" s="1" t="s">
        <v>249</v>
      </c>
      <c r="L153" s="1" t="s">
        <v>0</v>
      </c>
      <c r="M153" s="1" t="b">
        <v>0</v>
      </c>
      <c r="N153" s="1" t="b">
        <v>0</v>
      </c>
      <c r="O153" s="19">
        <v>350.0</v>
      </c>
      <c r="P153" s="20">
        <v>2.1</v>
      </c>
      <c r="Q153" s="20">
        <v>166.67</v>
      </c>
      <c r="R153" s="21">
        <v>0.7154256914861703</v>
      </c>
      <c r="S153" s="1" t="s">
        <v>78</v>
      </c>
      <c r="T153" s="1" t="s">
        <v>0</v>
      </c>
      <c r="U153" s="1" t="s">
        <v>81</v>
      </c>
      <c r="V153" s="1" t="s">
        <v>81</v>
      </c>
      <c r="W153" s="1" t="s">
        <v>0</v>
      </c>
      <c r="X153" s="1" t="s">
        <v>156</v>
      </c>
      <c r="Y153" s="22" t="str">
        <f t="shared" si="3"/>
        <v>NEW</v>
      </c>
      <c r="Z153" s="20" t="str">
        <f>_xlfn.XLOOKUP($B153,[1]F27!$C:$C,[1]F27!$BV:$BV)</f>
        <v>#ERROR!</v>
      </c>
      <c r="AA153" s="1"/>
      <c r="AB153" s="1"/>
      <c r="AC153" s="23"/>
      <c r="AD153" s="1" t="str">
        <f>_xlfn.XLOOKUP($B153,[1]F27!$C:$C,[1]F27!$Y:$Y)</f>
        <v>#ERROR!</v>
      </c>
      <c r="AE153" s="1" t="str">
        <f>_xlfn.XLOOKUP($B153,[1]F27!$C:$C,[1]F27!$Z:$Z)</f>
        <v>#ERROR!</v>
      </c>
      <c r="AF153" s="1" t="str">
        <f>_xlfn.XLOOKUP($B153,[2]PRICING!$B:$B,[2]PRICING!$B:$B,"MISSING")</f>
        <v>#ERROR!</v>
      </c>
      <c r="AG153" s="1" t="str">
        <f>COUNTIFS([2]ACTIVE_SCO!$B:$B,$B153,[2]ACTIVE_SCO!$P:$P,"Y")</f>
        <v>#ERROR!</v>
      </c>
      <c r="AH153" s="1"/>
      <c r="AI153" s="37" t="s">
        <v>157</v>
      </c>
      <c r="AJ153" s="38" t="s">
        <v>1655</v>
      </c>
      <c r="AK153" s="39" t="s">
        <v>1561</v>
      </c>
      <c r="AL153" s="39" t="s">
        <v>0</v>
      </c>
      <c r="AM153" s="1" t="s">
        <v>125</v>
      </c>
      <c r="AN153" s="40" t="s">
        <v>127</v>
      </c>
      <c r="AO153" s="41" t="s">
        <v>125</v>
      </c>
      <c r="AP153" s="39"/>
      <c r="AQ153" s="40" t="s">
        <v>125</v>
      </c>
      <c r="AR153" s="54"/>
      <c r="AS153" s="1" t="s">
        <v>248</v>
      </c>
      <c r="AT153" s="1" t="s">
        <v>253</v>
      </c>
      <c r="AU153" s="1" t="s">
        <v>291</v>
      </c>
      <c r="AV153" s="1" t="s">
        <v>131</v>
      </c>
      <c r="AW153" s="1"/>
      <c r="AX153" s="1"/>
      <c r="AY153" s="1"/>
      <c r="AZ153" s="1"/>
      <c r="BA153" s="1" t="s">
        <v>1561</v>
      </c>
      <c r="BB153" s="1" t="s">
        <v>0</v>
      </c>
      <c r="BC153" s="1"/>
      <c r="BD153" s="1"/>
    </row>
    <row r="154" ht="11.25" customHeight="1">
      <c r="A154" s="1" t="b">
        <v>1</v>
      </c>
      <c r="B154" s="1" t="s">
        <v>1625</v>
      </c>
      <c r="C154" s="1" t="s">
        <v>1626</v>
      </c>
      <c r="D154" s="1" t="s">
        <v>65</v>
      </c>
      <c r="E154" s="1"/>
      <c r="F154" s="1"/>
      <c r="G154" s="1" t="s">
        <v>66</v>
      </c>
      <c r="H154" s="1"/>
      <c r="I154" s="1" t="s">
        <v>248</v>
      </c>
      <c r="J154" s="1" t="s">
        <v>69</v>
      </c>
      <c r="K154" s="1" t="s">
        <v>249</v>
      </c>
      <c r="L154" s="1" t="s">
        <v>0</v>
      </c>
      <c r="M154" s="1" t="b">
        <v>0</v>
      </c>
      <c r="N154" s="1" t="b">
        <v>1</v>
      </c>
      <c r="O154" s="19">
        <v>350.0</v>
      </c>
      <c r="P154" s="20">
        <v>2.1</v>
      </c>
      <c r="Q154" s="20">
        <v>166.67</v>
      </c>
      <c r="R154" s="21">
        <v>0.6170876582468351</v>
      </c>
      <c r="S154" s="1" t="s">
        <v>117</v>
      </c>
      <c r="T154" s="1" t="s">
        <v>0</v>
      </c>
      <c r="U154" s="1" t="s">
        <v>81</v>
      </c>
      <c r="V154" s="1" t="s">
        <v>81</v>
      </c>
      <c r="W154" s="1" t="s">
        <v>0</v>
      </c>
      <c r="X154" s="1" t="s">
        <v>0</v>
      </c>
      <c r="Y154" s="22" t="str">
        <f t="shared" si="3"/>
        <v>UPDATE</v>
      </c>
      <c r="Z154" s="20" t="str">
        <f>_xlfn.XLOOKUP($B154,[1]F27!$C:$C,[1]F27!$BV:$BV)</f>
        <v>#ERROR!</v>
      </c>
      <c r="AA154" s="1"/>
      <c r="AB154" s="1"/>
      <c r="AC154" s="23"/>
      <c r="AD154" s="1" t="str">
        <f>_xlfn.XLOOKUP($B154,[1]F27!$C:$C,[1]F27!$Y:$Y)</f>
        <v>#ERROR!</v>
      </c>
      <c r="AE154" s="1" t="str">
        <f>_xlfn.XLOOKUP($B154,[1]F27!$C:$C,[1]F27!$Z:$Z)</f>
        <v>#ERROR!</v>
      </c>
      <c r="AF154" s="1" t="str">
        <f>_xlfn.XLOOKUP($B154,[2]PRICING!$B:$B,[2]PRICING!$B:$B,"MISSING")</f>
        <v>#ERROR!</v>
      </c>
      <c r="AG154" s="1" t="str">
        <f>COUNTIFS([2]ACTIVE_SCO!$B:$B,$B154,[2]ACTIVE_SCO!$P:$P,"Y")</f>
        <v>#ERROR!</v>
      </c>
      <c r="AH154" s="1"/>
      <c r="AI154" s="37" t="s">
        <v>157</v>
      </c>
      <c r="AJ154" s="38" t="s">
        <v>1659</v>
      </c>
      <c r="AK154" s="39" t="s">
        <v>1561</v>
      </c>
      <c r="AL154" s="39" t="s">
        <v>0</v>
      </c>
      <c r="AM154" s="1" t="s">
        <v>125</v>
      </c>
      <c r="AN154" s="40" t="s">
        <v>127</v>
      </c>
      <c r="AO154" s="41" t="s">
        <v>125</v>
      </c>
      <c r="AP154" s="39"/>
      <c r="AQ154" s="40" t="s">
        <v>0</v>
      </c>
      <c r="AR154" s="54"/>
      <c r="AS154" s="1" t="s">
        <v>248</v>
      </c>
      <c r="AT154" s="1" t="s">
        <v>253</v>
      </c>
      <c r="AU154" s="1" t="s">
        <v>1628</v>
      </c>
      <c r="AV154" s="1" t="s">
        <v>131</v>
      </c>
      <c r="AW154" s="1"/>
      <c r="AX154" s="1"/>
      <c r="AY154" s="1"/>
      <c r="AZ154" s="1"/>
      <c r="BA154" s="1" t="s">
        <v>1561</v>
      </c>
      <c r="BB154" s="1" t="s">
        <v>0</v>
      </c>
      <c r="BC154" s="1"/>
      <c r="BD154" s="1"/>
    </row>
    <row r="155" ht="11.25" customHeight="1">
      <c r="A155" s="1" t="b">
        <v>1</v>
      </c>
      <c r="B155" s="1" t="s">
        <v>944</v>
      </c>
      <c r="C155" s="1" t="s">
        <v>945</v>
      </c>
      <c r="D155" s="1" t="s">
        <v>65</v>
      </c>
      <c r="E155" s="1"/>
      <c r="F155" s="1"/>
      <c r="G155" s="1" t="s">
        <v>66</v>
      </c>
      <c r="H155" s="1"/>
      <c r="I155" s="1" t="s">
        <v>248</v>
      </c>
      <c r="J155" s="1" t="s">
        <v>69</v>
      </c>
      <c r="K155" s="1" t="s">
        <v>249</v>
      </c>
      <c r="L155" s="1" t="s">
        <v>0</v>
      </c>
      <c r="M155" s="1" t="b">
        <v>1</v>
      </c>
      <c r="N155" s="1" t="b">
        <v>0</v>
      </c>
      <c r="O155" s="19">
        <v>400.0</v>
      </c>
      <c r="P155" s="20">
        <v>2.1</v>
      </c>
      <c r="Q155" s="20">
        <v>190.48</v>
      </c>
      <c r="R155" s="21">
        <v>0.6112977740445191</v>
      </c>
      <c r="S155" s="1" t="s">
        <v>117</v>
      </c>
      <c r="T155" s="1" t="s">
        <v>0</v>
      </c>
      <c r="U155" s="1" t="s">
        <v>81</v>
      </c>
      <c r="V155" s="1" t="s">
        <v>81</v>
      </c>
      <c r="W155" s="1" t="s">
        <v>0</v>
      </c>
      <c r="X155" s="1" t="s">
        <v>0</v>
      </c>
      <c r="Y155" s="22" t="str">
        <f t="shared" si="3"/>
        <v>CO</v>
      </c>
      <c r="Z155" s="20" t="str">
        <f>_xlfn.XLOOKUP($B155,[1]F27!$C:$C,[1]F27!$BV:$BV)</f>
        <v>#ERROR!</v>
      </c>
      <c r="AA155" s="1"/>
      <c r="AB155" s="1"/>
      <c r="AC155" s="23"/>
      <c r="AD155" s="1" t="str">
        <f>_xlfn.XLOOKUP($B155,[1]F27!$C:$C,[1]F27!$Y:$Y)</f>
        <v>#ERROR!</v>
      </c>
      <c r="AE155" s="1" t="str">
        <f>_xlfn.XLOOKUP($B155,[1]F27!$C:$C,[1]F27!$Z:$Z)</f>
        <v>#ERROR!</v>
      </c>
      <c r="AF155" s="1" t="str">
        <f>_xlfn.XLOOKUP($B155,[2]PRICING!$B:$B,[2]PRICING!$B:$B,"MISSING")</f>
        <v>#ERROR!</v>
      </c>
      <c r="AG155" s="1" t="str">
        <f>COUNTIFS([2]ACTIVE_SCO!$B:$B,$B155,[2]ACTIVE_SCO!$P:$P,"Y")</f>
        <v>#ERROR!</v>
      </c>
      <c r="AH155" s="1"/>
      <c r="AI155" s="37" t="s">
        <v>157</v>
      </c>
      <c r="AJ155" s="38" t="s">
        <v>1660</v>
      </c>
      <c r="AK155" s="39" t="s">
        <v>1561</v>
      </c>
      <c r="AL155" s="39" t="s">
        <v>0</v>
      </c>
      <c r="AM155" s="1" t="s">
        <v>125</v>
      </c>
      <c r="AN155" s="40" t="s">
        <v>127</v>
      </c>
      <c r="AO155" s="41" t="s">
        <v>125</v>
      </c>
      <c r="AP155" s="39"/>
      <c r="AQ155" s="40" t="s">
        <v>0</v>
      </c>
      <c r="AR155" s="54"/>
      <c r="AS155" s="1" t="s">
        <v>248</v>
      </c>
      <c r="AT155" s="1" t="s">
        <v>946</v>
      </c>
      <c r="AU155" s="1"/>
      <c r="AV155" s="1" t="s">
        <v>131</v>
      </c>
      <c r="AW155" s="1"/>
      <c r="AX155" s="1"/>
      <c r="AY155" s="1"/>
      <c r="AZ155" s="1"/>
      <c r="BA155" s="1" t="s">
        <v>1561</v>
      </c>
      <c r="BB155" s="1" t="s">
        <v>0</v>
      </c>
      <c r="BC155" s="1"/>
      <c r="BD155" s="1"/>
    </row>
    <row r="156" ht="11.25" customHeight="1">
      <c r="A156" s="1" t="b">
        <v>1</v>
      </c>
      <c r="B156" s="1" t="s">
        <v>296</v>
      </c>
      <c r="C156" s="1" t="s">
        <v>297</v>
      </c>
      <c r="D156" s="1" t="s">
        <v>65</v>
      </c>
      <c r="E156" s="1"/>
      <c r="F156" s="1"/>
      <c r="G156" s="1" t="s">
        <v>66</v>
      </c>
      <c r="H156" s="1"/>
      <c r="I156" s="1" t="s">
        <v>113</v>
      </c>
      <c r="J156" s="1" t="s">
        <v>69</v>
      </c>
      <c r="K156" s="1" t="s">
        <v>70</v>
      </c>
      <c r="L156" s="1" t="s">
        <v>0</v>
      </c>
      <c r="M156" s="1" t="b">
        <v>1</v>
      </c>
      <c r="N156" s="1" t="b">
        <v>0</v>
      </c>
      <c r="O156" s="19">
        <v>1500.0</v>
      </c>
      <c r="P156" s="20">
        <v>2.1</v>
      </c>
      <c r="Q156" s="20">
        <v>714.29</v>
      </c>
      <c r="R156" s="21">
        <v>0.6000503996976018</v>
      </c>
      <c r="S156" s="1" t="s">
        <v>117</v>
      </c>
      <c r="T156" s="1" t="s">
        <v>0</v>
      </c>
      <c r="U156" s="1" t="s">
        <v>81</v>
      </c>
      <c r="V156" s="1" t="s">
        <v>81</v>
      </c>
      <c r="W156" s="1" t="s">
        <v>0</v>
      </c>
      <c r="X156" s="1" t="s">
        <v>0</v>
      </c>
      <c r="Y156" s="22" t="str">
        <f t="shared" si="3"/>
        <v>CO</v>
      </c>
      <c r="Z156" s="20" t="str">
        <f>_xlfn.XLOOKUP($B156,[1]F27!$C:$C,[1]F27!$BV:$BV)</f>
        <v>#ERROR!</v>
      </c>
      <c r="AA156" s="1"/>
      <c r="AB156" s="1"/>
      <c r="AC156" s="23"/>
      <c r="AD156" s="1" t="str">
        <f>_xlfn.XLOOKUP($B156,[1]F27!$C:$C,[1]F27!$Y:$Y)</f>
        <v>#ERROR!</v>
      </c>
      <c r="AE156" s="1" t="str">
        <f>_xlfn.XLOOKUP($B156,[1]F27!$C:$C,[1]F27!$Z:$Z)</f>
        <v>#ERROR!</v>
      </c>
      <c r="AF156" s="1" t="str">
        <f>_xlfn.XLOOKUP($B156,[2]PRICING!$B:$B,[2]PRICING!$B:$B,"MISSING")</f>
        <v>#ERROR!</v>
      </c>
      <c r="AG156" s="1" t="str">
        <f>COUNTIFS([2]ACTIVE_SCO!$B:$B,$B156,[2]ACTIVE_SCO!$P:$P,"Y")</f>
        <v>#ERROR!</v>
      </c>
      <c r="AH156" s="1"/>
      <c r="AI156" s="37" t="s">
        <v>157</v>
      </c>
      <c r="AJ156" s="38" t="s">
        <v>1661</v>
      </c>
      <c r="AK156" s="39" t="s">
        <v>417</v>
      </c>
      <c r="AL156" s="39" t="s">
        <v>0</v>
      </c>
      <c r="AM156" s="1" t="s">
        <v>86</v>
      </c>
      <c r="AN156" s="40" t="s">
        <v>121</v>
      </c>
      <c r="AO156" s="41" t="s">
        <v>86</v>
      </c>
      <c r="AP156" s="41" t="s">
        <v>121</v>
      </c>
      <c r="AQ156" s="40" t="s">
        <v>0</v>
      </c>
      <c r="AR156" s="54"/>
      <c r="AS156" s="1" t="s">
        <v>126</v>
      </c>
      <c r="AT156" s="1" t="s">
        <v>128</v>
      </c>
      <c r="AU156" s="1" t="s">
        <v>130</v>
      </c>
      <c r="AV156" s="1" t="s">
        <v>131</v>
      </c>
      <c r="AW156" s="1"/>
      <c r="AX156" s="1"/>
      <c r="AY156" s="1"/>
      <c r="AZ156" s="1"/>
      <c r="BA156" s="1" t="s">
        <v>417</v>
      </c>
      <c r="BB156" s="1" t="s">
        <v>0</v>
      </c>
      <c r="BC156" s="1"/>
      <c r="BD156" s="1"/>
    </row>
    <row r="157" ht="11.25" customHeight="1">
      <c r="A157" s="1" t="b">
        <v>1</v>
      </c>
      <c r="B157" s="1" t="s">
        <v>1343</v>
      </c>
      <c r="C157" s="1" t="s">
        <v>1344</v>
      </c>
      <c r="D157" s="1" t="s">
        <v>65</v>
      </c>
      <c r="E157" s="1"/>
      <c r="F157" s="1"/>
      <c r="G157" s="1" t="s">
        <v>220</v>
      </c>
      <c r="H157" s="1"/>
      <c r="I157" s="1" t="s">
        <v>68</v>
      </c>
      <c r="J157" s="1" t="s">
        <v>69</v>
      </c>
      <c r="K157" s="1" t="s">
        <v>70</v>
      </c>
      <c r="L157" s="1" t="s">
        <v>0</v>
      </c>
      <c r="M157" s="1" t="b">
        <v>1</v>
      </c>
      <c r="N157" s="1" t="b">
        <v>0</v>
      </c>
      <c r="O157" s="19">
        <v>4500.0</v>
      </c>
      <c r="P157" s="20">
        <v>2.1</v>
      </c>
      <c r="Q157" s="20">
        <v>2142.86</v>
      </c>
      <c r="R157" s="21">
        <v>0.5524205967725376</v>
      </c>
      <c r="S157" s="1" t="s">
        <v>117</v>
      </c>
      <c r="T157" s="1" t="s">
        <v>0</v>
      </c>
      <c r="U157" s="1" t="s">
        <v>80</v>
      </c>
      <c r="V157" s="1" t="s">
        <v>198</v>
      </c>
      <c r="W157" s="1" t="s">
        <v>0</v>
      </c>
      <c r="X157" s="1" t="s">
        <v>0</v>
      </c>
      <c r="Y157" s="22" t="str">
        <f t="shared" si="3"/>
        <v>CO</v>
      </c>
      <c r="Z157" s="20" t="str">
        <f>_xlfn.XLOOKUP($B157,[1]F27!$C:$C,[1]F27!$BV:$BV)</f>
        <v>#ERROR!</v>
      </c>
      <c r="AA157" s="1"/>
      <c r="AB157" s="1"/>
      <c r="AC157" s="23"/>
      <c r="AD157" s="1" t="str">
        <f>_xlfn.XLOOKUP($B157,[1]F27!$C:$C,[1]F27!$Y:$Y)</f>
        <v>#ERROR!</v>
      </c>
      <c r="AE157" s="1" t="str">
        <f>_xlfn.XLOOKUP($B157,[1]F27!$C:$C,[1]F27!$Z:$Z)</f>
        <v>#ERROR!</v>
      </c>
      <c r="AF157" s="1" t="str">
        <f>_xlfn.XLOOKUP($B157,[2]PRICING!$B:$B,[2]PRICING!$B:$B,"MISSING")</f>
        <v>#ERROR!</v>
      </c>
      <c r="AG157" s="1" t="str">
        <f>COUNTIFS([2]ACTIVE_SCO!$B:$B,$B157,[2]ACTIVE_SCO!$P:$P,"Y")</f>
        <v>#ERROR!</v>
      </c>
      <c r="AH157" s="1"/>
      <c r="AI157" s="37" t="s">
        <v>157</v>
      </c>
      <c r="AJ157" s="73" t="s">
        <v>1640</v>
      </c>
      <c r="AK157" s="39" t="s">
        <v>1561</v>
      </c>
      <c r="AL157" s="39" t="s">
        <v>0</v>
      </c>
      <c r="AM157" s="1" t="s">
        <v>226</v>
      </c>
      <c r="AN157" s="40" t="s">
        <v>1641</v>
      </c>
      <c r="AO157" s="41" t="s">
        <v>226</v>
      </c>
      <c r="AP157" s="41" t="s">
        <v>227</v>
      </c>
      <c r="AQ157" s="40" t="s">
        <v>0</v>
      </c>
      <c r="AR157" s="65" t="s">
        <v>1643</v>
      </c>
      <c r="AS157" s="1" t="s">
        <v>68</v>
      </c>
      <c r="AT157" s="1" t="s">
        <v>128</v>
      </c>
      <c r="AU157" s="1" t="s">
        <v>206</v>
      </c>
      <c r="AV157" s="1" t="s">
        <v>91</v>
      </c>
      <c r="AW157" s="1"/>
      <c r="AX157" s="1"/>
      <c r="AY157" s="1"/>
      <c r="AZ157" s="1"/>
      <c r="BA157" s="1" t="s">
        <v>1561</v>
      </c>
      <c r="BB157" s="1" t="s">
        <v>0</v>
      </c>
      <c r="BC157" s="1"/>
      <c r="BD157" s="1"/>
    </row>
    <row r="158" ht="11.25" customHeight="1">
      <c r="A158" s="1" t="b">
        <v>1</v>
      </c>
      <c r="B158" s="1" t="s">
        <v>1352</v>
      </c>
      <c r="C158" s="1" t="s">
        <v>1353</v>
      </c>
      <c r="D158" s="1" t="s">
        <v>65</v>
      </c>
      <c r="E158" s="1"/>
      <c r="F158" s="1"/>
      <c r="G158" s="1" t="s">
        <v>220</v>
      </c>
      <c r="H158" s="1"/>
      <c r="I158" s="1" t="s">
        <v>68</v>
      </c>
      <c r="J158" s="1" t="s">
        <v>69</v>
      </c>
      <c r="K158" s="1" t="s">
        <v>107</v>
      </c>
      <c r="L158" s="1" t="s">
        <v>0</v>
      </c>
      <c r="M158" s="1" t="b">
        <v>1</v>
      </c>
      <c r="N158" s="1" t="b">
        <v>0</v>
      </c>
      <c r="O158" s="19">
        <v>4500.0</v>
      </c>
      <c r="P158" s="20">
        <v>2.1</v>
      </c>
      <c r="Q158" s="20">
        <v>2142.86</v>
      </c>
      <c r="R158" s="21">
        <v>0.5694492407343457</v>
      </c>
      <c r="S158" s="1" t="s">
        <v>117</v>
      </c>
      <c r="T158" s="1" t="s">
        <v>0</v>
      </c>
      <c r="U158" s="1" t="s">
        <v>80</v>
      </c>
      <c r="V158" s="1" t="s">
        <v>198</v>
      </c>
      <c r="W158" s="1" t="s">
        <v>0</v>
      </c>
      <c r="X158" s="1" t="s">
        <v>0</v>
      </c>
      <c r="Y158" s="22" t="str">
        <f t="shared" si="3"/>
        <v>CO</v>
      </c>
      <c r="Z158" s="20" t="str">
        <f>_xlfn.XLOOKUP($B158,[1]F27!$C:$C,[1]F27!$BV:$BV)</f>
        <v>#ERROR!</v>
      </c>
      <c r="AA158" s="1"/>
      <c r="AB158" s="1"/>
      <c r="AC158" s="23"/>
      <c r="AD158" s="1" t="str">
        <f>_xlfn.XLOOKUP($B158,[1]F27!$C:$C,[1]F27!$Y:$Y)</f>
        <v>#ERROR!</v>
      </c>
      <c r="AE158" s="1" t="str">
        <f>_xlfn.XLOOKUP($B158,[1]F27!$C:$C,[1]F27!$Z:$Z)</f>
        <v>#ERROR!</v>
      </c>
      <c r="AF158" s="1" t="str">
        <f>_xlfn.XLOOKUP($B158,[2]PRICING!$B:$B,[2]PRICING!$B:$B,"MISSING")</f>
        <v>#ERROR!</v>
      </c>
      <c r="AG158" s="1" t="str">
        <f>COUNTIFS([2]ACTIVE_SCO!$B:$B,$B158,[2]ACTIVE_SCO!$P:$P,"Y")</f>
        <v>#ERROR!</v>
      </c>
      <c r="AH158" s="1"/>
      <c r="AI158" s="37" t="s">
        <v>157</v>
      </c>
      <c r="AJ158" s="73" t="s">
        <v>1640</v>
      </c>
      <c r="AK158" s="39" t="s">
        <v>1561</v>
      </c>
      <c r="AL158" s="39" t="s">
        <v>0</v>
      </c>
      <c r="AM158" s="1" t="s">
        <v>226</v>
      </c>
      <c r="AN158" s="40" t="s">
        <v>1641</v>
      </c>
      <c r="AO158" s="41" t="s">
        <v>226</v>
      </c>
      <c r="AP158" s="41" t="s">
        <v>227</v>
      </c>
      <c r="AQ158" s="40" t="s">
        <v>0</v>
      </c>
      <c r="AR158" s="65" t="s">
        <v>1643</v>
      </c>
      <c r="AS158" s="1" t="s">
        <v>68</v>
      </c>
      <c r="AT158" s="1" t="s">
        <v>128</v>
      </c>
      <c r="AU158" s="1" t="s">
        <v>206</v>
      </c>
      <c r="AV158" s="1" t="s">
        <v>91</v>
      </c>
      <c r="AW158" s="1"/>
      <c r="AX158" s="1"/>
      <c r="AY158" s="1"/>
      <c r="AZ158" s="1"/>
      <c r="BA158" s="1" t="s">
        <v>1561</v>
      </c>
      <c r="BB158" s="1" t="s">
        <v>0</v>
      </c>
      <c r="BC158" s="1"/>
      <c r="BD158" s="1"/>
    </row>
    <row r="159" ht="11.25" customHeight="1">
      <c r="A159" s="1" t="b">
        <v>1</v>
      </c>
      <c r="B159" s="1" t="s">
        <v>1428</v>
      </c>
      <c r="C159" s="1" t="s">
        <v>1429</v>
      </c>
      <c r="D159" s="1" t="s">
        <v>65</v>
      </c>
      <c r="E159" s="1"/>
      <c r="F159" s="1"/>
      <c r="G159" s="1" t="s">
        <v>247</v>
      </c>
      <c r="H159" s="1"/>
      <c r="I159" s="1" t="s">
        <v>355</v>
      </c>
      <c r="J159" s="1" t="s">
        <v>69</v>
      </c>
      <c r="K159" s="1" t="s">
        <v>107</v>
      </c>
      <c r="L159" s="1" t="s">
        <v>0</v>
      </c>
      <c r="M159" s="1" t="b">
        <v>1</v>
      </c>
      <c r="N159" s="1" t="b">
        <v>0</v>
      </c>
      <c r="O159" s="19">
        <v>4200.0</v>
      </c>
      <c r="P159" s="20">
        <v>2.1</v>
      </c>
      <c r="Q159" s="20">
        <v>2000.0</v>
      </c>
      <c r="R159" s="21">
        <v>0.66484</v>
      </c>
      <c r="S159" s="1" t="s">
        <v>117</v>
      </c>
      <c r="T159" s="1" t="s">
        <v>0</v>
      </c>
      <c r="U159" s="1" t="s">
        <v>359</v>
      </c>
      <c r="V159" s="1" t="s">
        <v>81</v>
      </c>
      <c r="W159" s="1" t="s">
        <v>0</v>
      </c>
      <c r="X159" s="1" t="s">
        <v>0</v>
      </c>
      <c r="Y159" s="22" t="str">
        <f t="shared" si="3"/>
        <v>CO</v>
      </c>
      <c r="Z159" s="20" t="str">
        <f>_xlfn.XLOOKUP($B159,[1]F27!$C:$C,[1]F27!$BV:$BV)</f>
        <v>#ERROR!</v>
      </c>
      <c r="AA159" s="1"/>
      <c r="AB159" s="1"/>
      <c r="AC159" s="23"/>
      <c r="AD159" s="1" t="str">
        <f>_xlfn.XLOOKUP($B159,[1]F27!$C:$C,[1]F27!$Y:$Y)</f>
        <v>#ERROR!</v>
      </c>
      <c r="AE159" s="1" t="str">
        <f>_xlfn.XLOOKUP($B159,[1]F27!$C:$C,[1]F27!$Z:$Z)</f>
        <v>#ERROR!</v>
      </c>
      <c r="AF159" s="1" t="str">
        <f>_xlfn.XLOOKUP($B159,[2]PRICING!$B:$B,[2]PRICING!$B:$B,"MISSING")</f>
        <v>#ERROR!</v>
      </c>
      <c r="AG159" s="1" t="str">
        <f>COUNTIFS([2]ACTIVE_SCO!$B:$B,$B159,[2]ACTIVE_SCO!$P:$P,"Y")</f>
        <v>#ERROR!</v>
      </c>
      <c r="AH159" s="1"/>
      <c r="AI159" s="37" t="s">
        <v>157</v>
      </c>
      <c r="AJ159" s="55" t="s">
        <v>1672</v>
      </c>
      <c r="AK159" s="49" t="s">
        <v>365</v>
      </c>
      <c r="AL159" s="39" t="s">
        <v>366</v>
      </c>
      <c r="AM159" s="1" t="s">
        <v>125</v>
      </c>
      <c r="AN159" s="40" t="s">
        <v>174</v>
      </c>
      <c r="AO159" s="41" t="s">
        <v>776</v>
      </c>
      <c r="AP159" s="41" t="s">
        <v>777</v>
      </c>
      <c r="AQ159" s="40" t="s">
        <v>0</v>
      </c>
      <c r="AR159" s="54"/>
      <c r="AS159" s="1" t="s">
        <v>355</v>
      </c>
      <c r="AT159" s="1" t="s">
        <v>175</v>
      </c>
      <c r="AU159" s="1" t="s">
        <v>842</v>
      </c>
      <c r="AV159" s="1" t="s">
        <v>131</v>
      </c>
      <c r="AW159" s="1"/>
      <c r="AX159" s="1"/>
      <c r="AY159" s="1"/>
      <c r="AZ159" s="1"/>
      <c r="BA159" s="50" t="s">
        <v>365</v>
      </c>
      <c r="BB159" s="1" t="s">
        <v>366</v>
      </c>
      <c r="BC159" s="1"/>
      <c r="BD159" s="1"/>
    </row>
    <row r="160" ht="11.25" customHeight="1">
      <c r="A160" s="1" t="b">
        <v>1</v>
      </c>
      <c r="B160" s="1" t="s">
        <v>1433</v>
      </c>
      <c r="C160" s="1" t="s">
        <v>1434</v>
      </c>
      <c r="D160" s="1" t="s">
        <v>65</v>
      </c>
      <c r="E160" s="1"/>
      <c r="F160" s="1"/>
      <c r="G160" s="1" t="s">
        <v>66</v>
      </c>
      <c r="H160" s="1"/>
      <c r="I160" s="1" t="s">
        <v>355</v>
      </c>
      <c r="J160" s="1" t="s">
        <v>69</v>
      </c>
      <c r="K160" s="1" t="s">
        <v>107</v>
      </c>
      <c r="L160" s="1" t="s">
        <v>0</v>
      </c>
      <c r="M160" s="1" t="b">
        <v>1</v>
      </c>
      <c r="N160" s="1" t="b">
        <v>0</v>
      </c>
      <c r="O160" s="19">
        <v>3200.0</v>
      </c>
      <c r="P160" s="20">
        <v>2.1</v>
      </c>
      <c r="Q160" s="20">
        <v>1523.81</v>
      </c>
      <c r="R160" s="21">
        <v>0.6764491636096364</v>
      </c>
      <c r="S160" s="1" t="s">
        <v>117</v>
      </c>
      <c r="T160" s="1" t="s">
        <v>0</v>
      </c>
      <c r="U160" s="1" t="s">
        <v>198</v>
      </c>
      <c r="V160" s="1" t="s">
        <v>81</v>
      </c>
      <c r="W160" s="1" t="s">
        <v>0</v>
      </c>
      <c r="X160" s="1" t="s">
        <v>146</v>
      </c>
      <c r="Y160" s="22" t="str">
        <f t="shared" si="3"/>
        <v>CO</v>
      </c>
      <c r="Z160" s="20" t="str">
        <f>_xlfn.XLOOKUP($B160,[1]F27!$C:$C,[1]F27!$BV:$BV)</f>
        <v>#ERROR!</v>
      </c>
      <c r="AA160" s="1"/>
      <c r="AB160" s="1"/>
      <c r="AC160" s="23"/>
      <c r="AD160" s="1" t="str">
        <f>_xlfn.XLOOKUP($B160,[1]F27!$C:$C,[1]F27!$Y:$Y)</f>
        <v>#ERROR!</v>
      </c>
      <c r="AE160" s="1" t="str">
        <f>_xlfn.XLOOKUP($B160,[1]F27!$C:$C,[1]F27!$Z:$Z)</f>
        <v>#ERROR!</v>
      </c>
      <c r="AF160" s="1" t="str">
        <f>_xlfn.XLOOKUP($B160,[2]PRICING!$B:$B,[2]PRICING!$B:$B,"MISSING")</f>
        <v>#ERROR!</v>
      </c>
      <c r="AG160" s="1" t="str">
        <f>COUNTIFS([2]ACTIVE_SCO!$B:$B,$B160,[2]ACTIVE_SCO!$P:$P,"Y")</f>
        <v>#ERROR!</v>
      </c>
      <c r="AH160" s="1"/>
      <c r="AI160" s="37" t="s">
        <v>157</v>
      </c>
      <c r="AJ160" s="38" t="s">
        <v>1676</v>
      </c>
      <c r="AK160" s="49" t="s">
        <v>365</v>
      </c>
      <c r="AL160" s="39" t="s">
        <v>366</v>
      </c>
      <c r="AM160" s="1" t="s">
        <v>125</v>
      </c>
      <c r="AN160" s="40" t="s">
        <v>174</v>
      </c>
      <c r="AO160" s="41" t="s">
        <v>125</v>
      </c>
      <c r="AP160" s="39"/>
      <c r="AQ160" s="40" t="s">
        <v>0</v>
      </c>
      <c r="AR160" s="54"/>
      <c r="AS160" s="1" t="s">
        <v>355</v>
      </c>
      <c r="AT160" s="1" t="s">
        <v>175</v>
      </c>
      <c r="AU160" s="1" t="s">
        <v>1438</v>
      </c>
      <c r="AV160" s="1" t="s">
        <v>131</v>
      </c>
      <c r="AW160" s="1"/>
      <c r="AX160" s="1"/>
      <c r="AY160" s="1"/>
      <c r="AZ160" s="1"/>
      <c r="BA160" s="50" t="s">
        <v>365</v>
      </c>
      <c r="BB160" s="1" t="s">
        <v>366</v>
      </c>
      <c r="BC160" s="1"/>
      <c r="BD160" s="1"/>
    </row>
    <row r="161" ht="11.25" customHeight="1">
      <c r="A161" s="1" t="b">
        <v>1</v>
      </c>
      <c r="B161" s="1" t="s">
        <v>299</v>
      </c>
      <c r="C161" s="1" t="s">
        <v>300</v>
      </c>
      <c r="D161" s="1" t="s">
        <v>65</v>
      </c>
      <c r="E161" s="1"/>
      <c r="F161" s="1"/>
      <c r="G161" s="1" t="s">
        <v>66</v>
      </c>
      <c r="H161" s="1"/>
      <c r="I161" s="1" t="s">
        <v>113</v>
      </c>
      <c r="J161" s="1" t="s">
        <v>69</v>
      </c>
      <c r="K161" s="1" t="s">
        <v>107</v>
      </c>
      <c r="L161" s="1" t="s">
        <v>0</v>
      </c>
      <c r="M161" s="1" t="b">
        <v>1</v>
      </c>
      <c r="N161" s="1" t="b">
        <v>0</v>
      </c>
      <c r="O161" s="19">
        <v>1500.0</v>
      </c>
      <c r="P161" s="20">
        <v>2.1</v>
      </c>
      <c r="Q161" s="20">
        <v>714.29</v>
      </c>
      <c r="R161" s="21">
        <v>0.6228002631984209</v>
      </c>
      <c r="S161" s="1" t="s">
        <v>117</v>
      </c>
      <c r="T161" s="1" t="s">
        <v>0</v>
      </c>
      <c r="U161" s="1" t="s">
        <v>81</v>
      </c>
      <c r="V161" s="1" t="s">
        <v>81</v>
      </c>
      <c r="W161" s="1" t="s">
        <v>0</v>
      </c>
      <c r="X161" s="1" t="s">
        <v>0</v>
      </c>
      <c r="Y161" s="22" t="str">
        <f t="shared" si="3"/>
        <v>CO</v>
      </c>
      <c r="Z161" s="20" t="str">
        <f>_xlfn.XLOOKUP($B161,[1]F27!$C:$C,[1]F27!$BV:$BV)</f>
        <v>#ERROR!</v>
      </c>
      <c r="AA161" s="1"/>
      <c r="AB161" s="1"/>
      <c r="AC161" s="23"/>
      <c r="AD161" s="1" t="str">
        <f>_xlfn.XLOOKUP($B161,[1]F27!$C:$C,[1]F27!$Y:$Y)</f>
        <v>#ERROR!</v>
      </c>
      <c r="AE161" s="1" t="str">
        <f>_xlfn.XLOOKUP($B161,[1]F27!$C:$C,[1]F27!$Z:$Z)</f>
        <v>#ERROR!</v>
      </c>
      <c r="AF161" s="1" t="str">
        <f>_xlfn.XLOOKUP($B161,[2]PRICING!$B:$B,[2]PRICING!$B:$B,"MISSING")</f>
        <v>#ERROR!</v>
      </c>
      <c r="AG161" s="1" t="str">
        <f>COUNTIFS([2]ACTIVE_SCO!$B:$B,$B161,[2]ACTIVE_SCO!$P:$P,"Y")</f>
        <v>#ERROR!</v>
      </c>
      <c r="AH161" s="1"/>
      <c r="AI161" s="37" t="s">
        <v>157</v>
      </c>
      <c r="AJ161" s="38" t="s">
        <v>1679</v>
      </c>
      <c r="AK161" s="39" t="s">
        <v>417</v>
      </c>
      <c r="AL161" s="39" t="s">
        <v>0</v>
      </c>
      <c r="AM161" s="1" t="s">
        <v>86</v>
      </c>
      <c r="AN161" s="40" t="s">
        <v>121</v>
      </c>
      <c r="AO161" s="41" t="s">
        <v>86</v>
      </c>
      <c r="AP161" s="41" t="s">
        <v>121</v>
      </c>
      <c r="AQ161" s="40" t="s">
        <v>0</v>
      </c>
      <c r="AR161" s="54"/>
      <c r="AS161" s="1" t="s">
        <v>126</v>
      </c>
      <c r="AT161" s="1" t="s">
        <v>128</v>
      </c>
      <c r="AU161" s="1" t="s">
        <v>130</v>
      </c>
      <c r="AV161" s="1" t="s">
        <v>131</v>
      </c>
      <c r="AW161" s="1"/>
      <c r="AX161" s="1"/>
      <c r="AY161" s="1"/>
      <c r="AZ161" s="1"/>
      <c r="BA161" s="1" t="s">
        <v>417</v>
      </c>
      <c r="BB161" s="1" t="s">
        <v>0</v>
      </c>
      <c r="BC161" s="1"/>
      <c r="BD161" s="1"/>
    </row>
    <row r="162" ht="11.25" customHeight="1">
      <c r="A162" s="1" t="b">
        <v>1</v>
      </c>
      <c r="B162" s="1" t="s">
        <v>498</v>
      </c>
      <c r="C162" s="1" t="s">
        <v>499</v>
      </c>
      <c r="D162" s="1" t="s">
        <v>65</v>
      </c>
      <c r="E162" s="1"/>
      <c r="F162" s="1"/>
      <c r="G162" s="1" t="s">
        <v>66</v>
      </c>
      <c r="H162" s="1"/>
      <c r="I162" s="1" t="s">
        <v>126</v>
      </c>
      <c r="J162" s="1" t="s">
        <v>69</v>
      </c>
      <c r="K162" s="1" t="s">
        <v>70</v>
      </c>
      <c r="L162" s="1" t="s">
        <v>0</v>
      </c>
      <c r="M162" s="1" t="b">
        <v>1</v>
      </c>
      <c r="N162" s="1" t="b">
        <v>0</v>
      </c>
      <c r="O162" s="19">
        <v>1400.0</v>
      </c>
      <c r="P162" s="20">
        <v>2.1</v>
      </c>
      <c r="Q162" s="20">
        <v>666.67</v>
      </c>
      <c r="R162" s="21">
        <v>0.7048314758426208</v>
      </c>
      <c r="S162" s="1" t="s">
        <v>78</v>
      </c>
      <c r="T162" s="1" t="s">
        <v>0</v>
      </c>
      <c r="U162" s="1" t="s">
        <v>81</v>
      </c>
      <c r="V162" s="1" t="s">
        <v>81</v>
      </c>
      <c r="W162" s="1" t="s">
        <v>0</v>
      </c>
      <c r="X162" s="1" t="s">
        <v>0</v>
      </c>
      <c r="Y162" s="22" t="str">
        <f t="shared" si="3"/>
        <v>CO</v>
      </c>
      <c r="Z162" s="20" t="str">
        <f>_xlfn.XLOOKUP($B162,[1]F27!$C:$C,[1]F27!$BV:$BV)</f>
        <v>#ERROR!</v>
      </c>
      <c r="AA162" s="1"/>
      <c r="AB162" s="1"/>
      <c r="AC162" s="23"/>
      <c r="AD162" s="1" t="str">
        <f>_xlfn.XLOOKUP($B162,[1]F27!$C:$C,[1]F27!$Y:$Y)</f>
        <v>#ERROR!</v>
      </c>
      <c r="AE162" s="1" t="str">
        <f>_xlfn.XLOOKUP($B162,[1]F27!$C:$C,[1]F27!$Z:$Z)</f>
        <v>#ERROR!</v>
      </c>
      <c r="AF162" s="1" t="str">
        <f>_xlfn.XLOOKUP($B162,[2]PRICING!$B:$B,[2]PRICING!$B:$B,"MISSING")</f>
        <v>#ERROR!</v>
      </c>
      <c r="AG162" s="1" t="str">
        <f>COUNTIFS([2]ACTIVE_SCO!$B:$B,$B162,[2]ACTIVE_SCO!$P:$P,"Y")</f>
        <v>#ERROR!</v>
      </c>
      <c r="AH162" s="1"/>
      <c r="AI162" s="37" t="s">
        <v>157</v>
      </c>
      <c r="AJ162" s="38" t="s">
        <v>1684</v>
      </c>
      <c r="AK162" s="39" t="s">
        <v>60</v>
      </c>
      <c r="AL162" s="39" t="s">
        <v>0</v>
      </c>
      <c r="AM162" s="1" t="s">
        <v>86</v>
      </c>
      <c r="AN162" s="40" t="s">
        <v>87</v>
      </c>
      <c r="AO162" s="41" t="s">
        <v>86</v>
      </c>
      <c r="AP162" s="41" t="s">
        <v>169</v>
      </c>
      <c r="AQ162" s="40" t="s">
        <v>0</v>
      </c>
      <c r="AR162" s="54"/>
      <c r="AS162" s="1" t="s">
        <v>126</v>
      </c>
      <c r="AT162" s="1" t="s">
        <v>128</v>
      </c>
      <c r="AU162" s="1" t="s">
        <v>130</v>
      </c>
      <c r="AV162" s="1" t="s">
        <v>131</v>
      </c>
      <c r="AW162" s="1"/>
      <c r="AX162" s="1"/>
      <c r="AY162" s="1"/>
      <c r="AZ162" s="1"/>
      <c r="BA162" s="1" t="s">
        <v>60</v>
      </c>
      <c r="BB162" s="1" t="s">
        <v>0</v>
      </c>
      <c r="BC162" s="1"/>
      <c r="BD162" s="1"/>
    </row>
    <row r="163" ht="11.25" customHeight="1">
      <c r="A163" s="1" t="b">
        <v>1</v>
      </c>
      <c r="B163" s="1" t="s">
        <v>505</v>
      </c>
      <c r="C163" s="1" t="s">
        <v>506</v>
      </c>
      <c r="D163" s="1" t="s">
        <v>65</v>
      </c>
      <c r="E163" s="1"/>
      <c r="F163" s="1"/>
      <c r="G163" s="1" t="s">
        <v>66</v>
      </c>
      <c r="H163" s="1"/>
      <c r="I163" s="1" t="s">
        <v>126</v>
      </c>
      <c r="J163" s="1" t="s">
        <v>69</v>
      </c>
      <c r="K163" s="1" t="s">
        <v>107</v>
      </c>
      <c r="L163" s="1" t="s">
        <v>0</v>
      </c>
      <c r="M163" s="1" t="b">
        <v>1</v>
      </c>
      <c r="N163" s="1" t="b">
        <v>0</v>
      </c>
      <c r="O163" s="19">
        <v>1400.0</v>
      </c>
      <c r="P163" s="20">
        <v>2.1</v>
      </c>
      <c r="Q163" s="20">
        <v>666.67</v>
      </c>
      <c r="R163" s="21">
        <v>0.7102164489177554</v>
      </c>
      <c r="S163" s="1" t="s">
        <v>78</v>
      </c>
      <c r="T163" s="1" t="s">
        <v>0</v>
      </c>
      <c r="U163" s="1" t="s">
        <v>81</v>
      </c>
      <c r="V163" s="1" t="s">
        <v>81</v>
      </c>
      <c r="W163" s="1" t="s">
        <v>0</v>
      </c>
      <c r="X163" s="1" t="s">
        <v>0</v>
      </c>
      <c r="Y163" s="22" t="str">
        <f t="shared" si="3"/>
        <v>CO</v>
      </c>
      <c r="Z163" s="20" t="str">
        <f>_xlfn.XLOOKUP($B163,[1]F27!$C:$C,[1]F27!$BV:$BV)</f>
        <v>#ERROR!</v>
      </c>
      <c r="AA163" s="1"/>
      <c r="AB163" s="1"/>
      <c r="AC163" s="23"/>
      <c r="AD163" s="1" t="str">
        <f>_xlfn.XLOOKUP($B163,[1]F27!$C:$C,[1]F27!$Y:$Y)</f>
        <v>#ERROR!</v>
      </c>
      <c r="AE163" s="1" t="str">
        <f>_xlfn.XLOOKUP($B163,[1]F27!$C:$C,[1]F27!$Z:$Z)</f>
        <v>#ERROR!</v>
      </c>
      <c r="AF163" s="1" t="str">
        <f>_xlfn.XLOOKUP($B163,[2]PRICING!$B:$B,[2]PRICING!$B:$B,"MISSING")</f>
        <v>#ERROR!</v>
      </c>
      <c r="AG163" s="1" t="str">
        <f>COUNTIFS([2]ACTIVE_SCO!$B:$B,$B163,[2]ACTIVE_SCO!$P:$P,"Y")</f>
        <v>#ERROR!</v>
      </c>
      <c r="AH163" s="1"/>
      <c r="AI163" s="37" t="s">
        <v>157</v>
      </c>
      <c r="AJ163" s="38" t="s">
        <v>1688</v>
      </c>
      <c r="AK163" s="39" t="s">
        <v>60</v>
      </c>
      <c r="AL163" s="39" t="s">
        <v>0</v>
      </c>
      <c r="AM163" s="1" t="s">
        <v>86</v>
      </c>
      <c r="AN163" s="40" t="s">
        <v>87</v>
      </c>
      <c r="AO163" s="41" t="s">
        <v>86</v>
      </c>
      <c r="AP163" s="41" t="s">
        <v>169</v>
      </c>
      <c r="AQ163" s="40" t="s">
        <v>0</v>
      </c>
      <c r="AR163" s="54"/>
      <c r="AS163" s="1" t="s">
        <v>126</v>
      </c>
      <c r="AT163" s="1" t="s">
        <v>128</v>
      </c>
      <c r="AU163" s="1" t="s">
        <v>130</v>
      </c>
      <c r="AV163" s="1" t="s">
        <v>131</v>
      </c>
      <c r="AW163" s="1"/>
      <c r="AX163" s="1"/>
      <c r="AY163" s="1"/>
      <c r="AZ163" s="1"/>
      <c r="BA163" s="1" t="s">
        <v>60</v>
      </c>
      <c r="BB163" s="1" t="s">
        <v>0</v>
      </c>
      <c r="BC163" s="1"/>
      <c r="BD163" s="1"/>
    </row>
    <row r="164" ht="11.25" customHeight="1">
      <c r="A164" s="1" t="b">
        <v>1</v>
      </c>
      <c r="B164" s="1" t="s">
        <v>621</v>
      </c>
      <c r="C164" s="1" t="s">
        <v>622</v>
      </c>
      <c r="D164" s="1" t="s">
        <v>65</v>
      </c>
      <c r="E164" s="1"/>
      <c r="F164" s="1"/>
      <c r="G164" s="1" t="s">
        <v>247</v>
      </c>
      <c r="H164" s="1"/>
      <c r="I164" s="1" t="s">
        <v>113</v>
      </c>
      <c r="J164" s="1" t="s">
        <v>69</v>
      </c>
      <c r="K164" s="1" t="s">
        <v>70</v>
      </c>
      <c r="L164" s="1" t="s">
        <v>0</v>
      </c>
      <c r="M164" s="1" t="b">
        <v>1</v>
      </c>
      <c r="N164" s="1" t="b">
        <v>0</v>
      </c>
      <c r="O164" s="19">
        <v>1500.0</v>
      </c>
      <c r="P164" s="20">
        <v>2.1</v>
      </c>
      <c r="Q164" s="20">
        <v>714.29</v>
      </c>
      <c r="R164" s="21">
        <v>0.5932744403533579</v>
      </c>
      <c r="S164" s="1" t="s">
        <v>242</v>
      </c>
      <c r="T164" s="1" t="s">
        <v>0</v>
      </c>
      <c r="U164" s="1" t="s">
        <v>81</v>
      </c>
      <c r="V164" s="1" t="s">
        <v>81</v>
      </c>
      <c r="W164" s="1" t="s">
        <v>0</v>
      </c>
      <c r="X164" s="1" t="s">
        <v>0</v>
      </c>
      <c r="Y164" s="22" t="str">
        <f t="shared" si="3"/>
        <v>CO</v>
      </c>
      <c r="Z164" s="20" t="str">
        <f>_xlfn.XLOOKUP($B164,[1]F27!$C:$C,[1]F27!$BV:$BV)</f>
        <v>#ERROR!</v>
      </c>
      <c r="AA164" s="1"/>
      <c r="AB164" s="1"/>
      <c r="AC164" s="23"/>
      <c r="AD164" s="1" t="str">
        <f>_xlfn.XLOOKUP($B164,[1]F27!$C:$C,[1]F27!$Y:$Y)</f>
        <v>#ERROR!</v>
      </c>
      <c r="AE164" s="1" t="str">
        <f>_xlfn.XLOOKUP($B164,[1]F27!$C:$C,[1]F27!$Z:$Z)</f>
        <v>#ERROR!</v>
      </c>
      <c r="AF164" s="1" t="str">
        <f>_xlfn.XLOOKUP($B164,[2]PRICING!$B:$B,[2]PRICING!$B:$B,"MISSING")</f>
        <v>#ERROR!</v>
      </c>
      <c r="AG164" s="1" t="str">
        <f>COUNTIFS([2]ACTIVE_SCO!$B:$B,$B164,[2]ACTIVE_SCO!$P:$P,"Y")</f>
        <v>#ERROR!</v>
      </c>
      <c r="AH164" s="1"/>
      <c r="AI164" s="37" t="s">
        <v>157</v>
      </c>
      <c r="AJ164" s="38" t="s">
        <v>1702</v>
      </c>
      <c r="AK164" s="39" t="s">
        <v>204</v>
      </c>
      <c r="AL164" s="39" t="s">
        <v>0</v>
      </c>
      <c r="AM164" s="1" t="s">
        <v>125</v>
      </c>
      <c r="AN164" s="40" t="s">
        <v>127</v>
      </c>
      <c r="AO164" s="41" t="s">
        <v>776</v>
      </c>
      <c r="AP164" s="41" t="s">
        <v>777</v>
      </c>
      <c r="AQ164" s="40" t="s">
        <v>0</v>
      </c>
      <c r="AR164" s="54"/>
      <c r="AS164" s="1" t="s">
        <v>126</v>
      </c>
      <c r="AT164" s="1" t="s">
        <v>128</v>
      </c>
      <c r="AU164" s="1" t="s">
        <v>130</v>
      </c>
      <c r="AV164" s="1" t="s">
        <v>131</v>
      </c>
      <c r="AW164" s="1"/>
      <c r="AX164" s="1"/>
      <c r="AY164" s="1"/>
      <c r="AZ164" s="1"/>
      <c r="BA164" s="1" t="s">
        <v>204</v>
      </c>
      <c r="BB164" s="1" t="s">
        <v>0</v>
      </c>
      <c r="BC164" s="1"/>
      <c r="BD164" s="1"/>
    </row>
    <row r="165" ht="11.25" customHeight="1">
      <c r="A165" s="1" t="b">
        <v>1</v>
      </c>
      <c r="B165" s="1" t="s">
        <v>624</v>
      </c>
      <c r="C165" s="1" t="s">
        <v>625</v>
      </c>
      <c r="D165" s="1" t="s">
        <v>65</v>
      </c>
      <c r="E165" s="1"/>
      <c r="F165" s="1"/>
      <c r="G165" s="1" t="s">
        <v>247</v>
      </c>
      <c r="H165" s="1"/>
      <c r="I165" s="1" t="s">
        <v>113</v>
      </c>
      <c r="J165" s="1" t="s">
        <v>69</v>
      </c>
      <c r="K165" s="1" t="s">
        <v>107</v>
      </c>
      <c r="L165" s="1" t="s">
        <v>0</v>
      </c>
      <c r="M165" s="1" t="b">
        <v>1</v>
      </c>
      <c r="N165" s="1" t="b">
        <v>0</v>
      </c>
      <c r="O165" s="19">
        <v>1500.0</v>
      </c>
      <c r="P165" s="20">
        <v>2.1</v>
      </c>
      <c r="Q165" s="20">
        <v>714.29</v>
      </c>
      <c r="R165" s="21">
        <v>0.5880244718531689</v>
      </c>
      <c r="S165" s="1" t="s">
        <v>242</v>
      </c>
      <c r="T165" s="1" t="s">
        <v>0</v>
      </c>
      <c r="U165" s="1" t="s">
        <v>81</v>
      </c>
      <c r="V165" s="1" t="s">
        <v>81</v>
      </c>
      <c r="W165" s="1" t="s">
        <v>0</v>
      </c>
      <c r="X165" s="1" t="s">
        <v>0</v>
      </c>
      <c r="Y165" s="22" t="str">
        <f t="shared" si="3"/>
        <v>CO</v>
      </c>
      <c r="Z165" s="20" t="str">
        <f>_xlfn.XLOOKUP($B165,[1]F27!$C:$C,[1]F27!$BV:$BV)</f>
        <v>#ERROR!</v>
      </c>
      <c r="AA165" s="1"/>
      <c r="AB165" s="1"/>
      <c r="AC165" s="23"/>
      <c r="AD165" s="1" t="str">
        <f>_xlfn.XLOOKUP($B165,[1]F27!$C:$C,[1]F27!$Y:$Y)</f>
        <v>#ERROR!</v>
      </c>
      <c r="AE165" s="1" t="str">
        <f>_xlfn.XLOOKUP($B165,[1]F27!$C:$C,[1]F27!$Z:$Z)</f>
        <v>#ERROR!</v>
      </c>
      <c r="AF165" s="1" t="str">
        <f>_xlfn.XLOOKUP($B165,[2]PRICING!$B:$B,[2]PRICING!$B:$B,"MISSING")</f>
        <v>#ERROR!</v>
      </c>
      <c r="AG165" s="1" t="str">
        <f>COUNTIFS([2]ACTIVE_SCO!$B:$B,$B165,[2]ACTIVE_SCO!$P:$P,"Y")</f>
        <v>#ERROR!</v>
      </c>
      <c r="AH165" s="1"/>
      <c r="AI165" s="37" t="s">
        <v>157</v>
      </c>
      <c r="AJ165" s="38" t="s">
        <v>1711</v>
      </c>
      <c r="AK165" s="39" t="s">
        <v>204</v>
      </c>
      <c r="AL165" s="39" t="s">
        <v>0</v>
      </c>
      <c r="AM165" s="1" t="s">
        <v>125</v>
      </c>
      <c r="AN165" s="40" t="s">
        <v>127</v>
      </c>
      <c r="AO165" s="41" t="s">
        <v>776</v>
      </c>
      <c r="AP165" s="41" t="s">
        <v>777</v>
      </c>
      <c r="AQ165" s="40" t="s">
        <v>0</v>
      </c>
      <c r="AR165" s="54"/>
      <c r="AS165" s="1" t="s">
        <v>126</v>
      </c>
      <c r="AT165" s="1" t="s">
        <v>128</v>
      </c>
      <c r="AU165" s="1" t="s">
        <v>130</v>
      </c>
      <c r="AV165" s="1" t="s">
        <v>131</v>
      </c>
      <c r="AW165" s="1"/>
      <c r="AX165" s="1"/>
      <c r="AY165" s="1"/>
      <c r="AZ165" s="1"/>
      <c r="BA165" s="1" t="s">
        <v>204</v>
      </c>
      <c r="BB165" s="1" t="s">
        <v>0</v>
      </c>
      <c r="BC165" s="1"/>
      <c r="BD165" s="1"/>
    </row>
    <row r="166" ht="11.25" customHeight="1">
      <c r="A166" s="1" t="b">
        <v>0</v>
      </c>
      <c r="B166" s="1" t="s">
        <v>789</v>
      </c>
      <c r="C166" s="1" t="s">
        <v>790</v>
      </c>
      <c r="D166" s="1" t="s">
        <v>65</v>
      </c>
      <c r="E166" s="1"/>
      <c r="F166" s="1"/>
      <c r="G166" s="1" t="s">
        <v>66</v>
      </c>
      <c r="H166" s="1"/>
      <c r="I166" s="1" t="s">
        <v>270</v>
      </c>
      <c r="J166" s="1" t="s">
        <v>141</v>
      </c>
      <c r="K166" s="1" t="s">
        <v>70</v>
      </c>
      <c r="L166" s="1" t="s">
        <v>0</v>
      </c>
      <c r="M166" s="1" t="b">
        <v>1</v>
      </c>
      <c r="N166" s="1" t="b">
        <v>0</v>
      </c>
      <c r="O166" s="19">
        <v>950.0</v>
      </c>
      <c r="P166" s="20">
        <v>2.1</v>
      </c>
      <c r="Q166" s="20">
        <v>452.38</v>
      </c>
      <c r="R166" s="21">
        <v>0.6002033688491976</v>
      </c>
      <c r="S166" s="1" t="s">
        <v>78</v>
      </c>
      <c r="T166" s="1" t="s">
        <v>0</v>
      </c>
      <c r="U166" s="1" t="s">
        <v>273</v>
      </c>
      <c r="V166" s="1" t="s">
        <v>81</v>
      </c>
      <c r="W166" s="1" t="s">
        <v>0</v>
      </c>
      <c r="X166" s="1" t="s">
        <v>156</v>
      </c>
      <c r="Y166" s="22" t="str">
        <f t="shared" si="3"/>
        <v>CO</v>
      </c>
      <c r="Z166" s="20" t="str">
        <f>_xlfn.XLOOKUP($B166,[1]F27!$C:$C,[1]F27!$BV:$BV)</f>
        <v>#ERROR!</v>
      </c>
      <c r="AA166" s="1"/>
      <c r="AB166" s="1"/>
      <c r="AC166" s="23"/>
      <c r="AD166" s="1" t="str">
        <f>_xlfn.XLOOKUP($B166,[1]F27!$C:$C,[1]F27!$Y:$Y)</f>
        <v>#ERROR!</v>
      </c>
      <c r="AE166" s="1" t="str">
        <f>_xlfn.XLOOKUP($B166,[1]F27!$C:$C,[1]F27!$Z:$Z)</f>
        <v>#ERROR!</v>
      </c>
      <c r="AF166" s="1" t="str">
        <f>_xlfn.XLOOKUP($B166,[2]PRICING!$B:$B,[2]PRICING!$B:$B,"MISSING")</f>
        <v>#ERROR!</v>
      </c>
      <c r="AG166" s="1" t="str">
        <f>COUNTIFS([2]ACTIVE_SCO!$B:$B,$B166,[2]ACTIVE_SCO!$P:$P,"Y")</f>
        <v>#ERROR!</v>
      </c>
      <c r="AH166" s="1"/>
      <c r="AI166" s="1" t="s">
        <v>341</v>
      </c>
      <c r="AJ166" s="1"/>
      <c r="AK166" s="1"/>
      <c r="AL166" s="1"/>
      <c r="AM166" s="1"/>
      <c r="AN166" s="1"/>
      <c r="AO166" s="1"/>
      <c r="AP166" s="1"/>
      <c r="AQ166" s="40" t="s">
        <v>0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ht="11.25" customHeight="1">
      <c r="A167" s="1" t="b">
        <v>0</v>
      </c>
      <c r="B167" s="1" t="s">
        <v>794</v>
      </c>
      <c r="C167" s="1" t="s">
        <v>795</v>
      </c>
      <c r="D167" s="1" t="s">
        <v>65</v>
      </c>
      <c r="E167" s="1"/>
      <c r="F167" s="1"/>
      <c r="G167" s="1" t="s">
        <v>66</v>
      </c>
      <c r="H167" s="1"/>
      <c r="I167" s="1" t="s">
        <v>270</v>
      </c>
      <c r="J167" s="1" t="s">
        <v>141</v>
      </c>
      <c r="K167" s="1" t="s">
        <v>107</v>
      </c>
      <c r="L167" s="1" t="s">
        <v>0</v>
      </c>
      <c r="M167" s="1" t="b">
        <v>1</v>
      </c>
      <c r="N167" s="1" t="b">
        <v>0</v>
      </c>
      <c r="O167" s="19">
        <v>950.0</v>
      </c>
      <c r="P167" s="20">
        <v>2.1</v>
      </c>
      <c r="Q167" s="20">
        <v>452.38</v>
      </c>
      <c r="R167" s="21">
        <v>0.6281886909235599</v>
      </c>
      <c r="S167" s="1" t="s">
        <v>78</v>
      </c>
      <c r="T167" s="1" t="s">
        <v>0</v>
      </c>
      <c r="U167" s="1" t="s">
        <v>273</v>
      </c>
      <c r="V167" s="1" t="s">
        <v>81</v>
      </c>
      <c r="W167" s="1" t="s">
        <v>0</v>
      </c>
      <c r="X167" s="1" t="s">
        <v>156</v>
      </c>
      <c r="Y167" s="22" t="str">
        <f t="shared" si="3"/>
        <v>CO</v>
      </c>
      <c r="Z167" s="20" t="str">
        <f>_xlfn.XLOOKUP($B167,[1]F27!$C:$C,[1]F27!$BV:$BV)</f>
        <v>#ERROR!</v>
      </c>
      <c r="AA167" s="1"/>
      <c r="AB167" s="1"/>
      <c r="AC167" s="23"/>
      <c r="AD167" s="1" t="str">
        <f>_xlfn.XLOOKUP($B167,[1]F27!$C:$C,[1]F27!$Y:$Y)</f>
        <v>#ERROR!</v>
      </c>
      <c r="AE167" s="1" t="str">
        <f>_xlfn.XLOOKUP($B167,[1]F27!$C:$C,[1]F27!$Z:$Z)</f>
        <v>#ERROR!</v>
      </c>
      <c r="AF167" s="1" t="str">
        <f>_xlfn.XLOOKUP($B167,[2]PRICING!$B:$B,[2]PRICING!$B:$B,"MISSING")</f>
        <v>#ERROR!</v>
      </c>
      <c r="AG167" s="1" t="str">
        <f>COUNTIFS([2]ACTIVE_SCO!$B:$B,$B167,[2]ACTIVE_SCO!$P:$P,"Y")</f>
        <v>#ERROR!</v>
      </c>
      <c r="AH167" s="1"/>
      <c r="AI167" s="1" t="s">
        <v>341</v>
      </c>
      <c r="AJ167" s="1"/>
      <c r="AK167" s="1"/>
      <c r="AL167" s="1"/>
      <c r="AM167" s="1"/>
      <c r="AN167" s="1"/>
      <c r="AO167" s="1"/>
      <c r="AP167" s="1"/>
      <c r="AQ167" s="40" t="s">
        <v>0</v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ht="11.25" customHeight="1">
      <c r="A168" s="1" t="b">
        <v>1</v>
      </c>
      <c r="B168" s="1" t="s">
        <v>674</v>
      </c>
      <c r="C168" s="1" t="s">
        <v>675</v>
      </c>
      <c r="D168" s="1" t="s">
        <v>65</v>
      </c>
      <c r="E168" s="1"/>
      <c r="F168" s="1"/>
      <c r="G168" s="1" t="s">
        <v>66</v>
      </c>
      <c r="H168" s="1"/>
      <c r="I168" s="1" t="s">
        <v>113</v>
      </c>
      <c r="J168" s="1" t="s">
        <v>69</v>
      </c>
      <c r="K168" s="1" t="s">
        <v>70</v>
      </c>
      <c r="L168" s="1" t="s">
        <v>0</v>
      </c>
      <c r="M168" s="1" t="b">
        <v>1</v>
      </c>
      <c r="N168" s="1" t="b">
        <v>0</v>
      </c>
      <c r="O168" s="19">
        <v>2000.0</v>
      </c>
      <c r="P168" s="20">
        <v>2.1</v>
      </c>
      <c r="Q168" s="20">
        <v>952.38</v>
      </c>
      <c r="R168" s="21">
        <v>0.5771645771645773</v>
      </c>
      <c r="S168" s="1" t="s">
        <v>242</v>
      </c>
      <c r="T168" s="1" t="s">
        <v>0</v>
      </c>
      <c r="U168" s="1" t="s">
        <v>81</v>
      </c>
      <c r="V168" s="1" t="s">
        <v>81</v>
      </c>
      <c r="W168" s="1" t="s">
        <v>0</v>
      </c>
      <c r="X168" s="1" t="s">
        <v>0</v>
      </c>
      <c r="Y168" s="22" t="str">
        <f t="shared" si="3"/>
        <v>CO</v>
      </c>
      <c r="Z168" s="20" t="str">
        <f>_xlfn.XLOOKUP($B168,[1]F27!$C:$C,[1]F27!$BV:$BV)</f>
        <v>#ERROR!</v>
      </c>
      <c r="AA168" s="1"/>
      <c r="AB168" s="1"/>
      <c r="AC168" s="23"/>
      <c r="AD168" s="1" t="str">
        <f>_xlfn.XLOOKUP($B168,[1]F27!$C:$C,[1]F27!$Y:$Y)</f>
        <v>#ERROR!</v>
      </c>
      <c r="AE168" s="1" t="str">
        <f>_xlfn.XLOOKUP($B168,[1]F27!$C:$C,[1]F27!$Z:$Z)</f>
        <v>#ERROR!</v>
      </c>
      <c r="AF168" s="1" t="str">
        <f>_xlfn.XLOOKUP($B168,[2]PRICING!$B:$B,[2]PRICING!$B:$B,"MISSING")</f>
        <v>#ERROR!</v>
      </c>
      <c r="AG168" s="1" t="str">
        <f>COUNTIFS([2]ACTIVE_SCO!$B:$B,$B168,[2]ACTIVE_SCO!$P:$P,"Y")</f>
        <v>#ERROR!</v>
      </c>
      <c r="AH168" s="1"/>
      <c r="AI168" s="37" t="s">
        <v>157</v>
      </c>
      <c r="AJ168" s="55" t="s">
        <v>1739</v>
      </c>
      <c r="AK168" s="39" t="s">
        <v>417</v>
      </c>
      <c r="AL168" s="39" t="s">
        <v>0</v>
      </c>
      <c r="AM168" s="1" t="s">
        <v>86</v>
      </c>
      <c r="AN168" s="40" t="s">
        <v>121</v>
      </c>
      <c r="AO168" s="41" t="s">
        <v>86</v>
      </c>
      <c r="AP168" s="41" t="s">
        <v>121</v>
      </c>
      <c r="AQ168" s="40" t="s">
        <v>0</v>
      </c>
      <c r="AR168" s="39"/>
      <c r="AS168" s="1" t="s">
        <v>126</v>
      </c>
      <c r="AT168" s="1" t="s">
        <v>128</v>
      </c>
      <c r="AU168" s="1" t="s">
        <v>130</v>
      </c>
      <c r="AV168" s="1" t="s">
        <v>131</v>
      </c>
      <c r="AW168" s="1"/>
      <c r="AX168" s="1"/>
      <c r="AY168" s="1"/>
      <c r="AZ168" s="1"/>
      <c r="BA168" s="1" t="s">
        <v>417</v>
      </c>
      <c r="BB168" s="1" t="s">
        <v>0</v>
      </c>
      <c r="BC168" s="1"/>
      <c r="BD168" s="1"/>
    </row>
    <row r="169" ht="11.25" customHeight="1">
      <c r="A169" s="1" t="b">
        <v>1</v>
      </c>
      <c r="B169" s="1" t="s">
        <v>1487</v>
      </c>
      <c r="C169" s="1" t="s">
        <v>1488</v>
      </c>
      <c r="D169" s="1" t="s">
        <v>65</v>
      </c>
      <c r="E169" s="1"/>
      <c r="F169" s="1"/>
      <c r="G169" s="1" t="s">
        <v>66</v>
      </c>
      <c r="H169" s="1"/>
      <c r="I169" s="1" t="s">
        <v>355</v>
      </c>
      <c r="J169" s="1" t="s">
        <v>69</v>
      </c>
      <c r="K169" s="1" t="s">
        <v>70</v>
      </c>
      <c r="L169" s="1" t="s">
        <v>0</v>
      </c>
      <c r="M169" s="1" t="b">
        <v>0</v>
      </c>
      <c r="N169" s="1" t="b">
        <v>0</v>
      </c>
      <c r="O169" s="19">
        <v>2500.0</v>
      </c>
      <c r="P169" s="20">
        <v>2.1</v>
      </c>
      <c r="Q169" s="20">
        <v>1190.48</v>
      </c>
      <c r="R169" s="21">
        <v>0.5582034137490759</v>
      </c>
      <c r="S169" s="1" t="s">
        <v>117</v>
      </c>
      <c r="T169" s="1" t="s">
        <v>0</v>
      </c>
      <c r="U169" s="1" t="s">
        <v>198</v>
      </c>
      <c r="V169" s="1" t="s">
        <v>81</v>
      </c>
      <c r="W169" s="1" t="s">
        <v>0</v>
      </c>
      <c r="X169" s="1" t="s">
        <v>0</v>
      </c>
      <c r="Y169" s="22" t="str">
        <f t="shared" si="3"/>
        <v>NEW</v>
      </c>
      <c r="Z169" s="20" t="str">
        <f>_xlfn.XLOOKUP($B169,[1]F27!$C:$C,[1]F27!$BV:$BV)</f>
        <v>#ERROR!</v>
      </c>
      <c r="AA169" s="1"/>
      <c r="AB169" s="1"/>
      <c r="AC169" s="23"/>
      <c r="AD169" s="1" t="str">
        <f>_xlfn.XLOOKUP($B169,[1]F27!$C:$C,[1]F27!$Y:$Y)</f>
        <v>#ERROR!</v>
      </c>
      <c r="AE169" s="1" t="str">
        <f>_xlfn.XLOOKUP($B169,[1]F27!$C:$C,[1]F27!$Z:$Z)</f>
        <v>#ERROR!</v>
      </c>
      <c r="AF169" s="1" t="str">
        <f>_xlfn.XLOOKUP($B169,[2]PRICING!$B:$B,[2]PRICING!$B:$B,"MISSING")</f>
        <v>#ERROR!</v>
      </c>
      <c r="AG169" s="1" t="str">
        <f>COUNTIFS([2]ACTIVE_SCO!$B:$B,$B169,[2]ACTIVE_SCO!$P:$P,"Y")</f>
        <v>#ERROR!</v>
      </c>
      <c r="AH169" s="1"/>
      <c r="AI169" s="37" t="s">
        <v>157</v>
      </c>
      <c r="AJ169" s="38" t="s">
        <v>1744</v>
      </c>
      <c r="AK169" s="39" t="s">
        <v>551</v>
      </c>
      <c r="AL169" s="39" t="s">
        <v>0</v>
      </c>
      <c r="AM169" s="1" t="s">
        <v>125</v>
      </c>
      <c r="AN169" s="40" t="s">
        <v>127</v>
      </c>
      <c r="AO169" s="41" t="s">
        <v>125</v>
      </c>
      <c r="AP169" s="39"/>
      <c r="AQ169" s="40" t="s">
        <v>125</v>
      </c>
      <c r="AR169" s="39"/>
      <c r="AS169" s="1" t="s">
        <v>355</v>
      </c>
      <c r="AT169" s="1" t="s">
        <v>161</v>
      </c>
      <c r="AU169" s="1" t="s">
        <v>367</v>
      </c>
      <c r="AV169" s="1" t="s">
        <v>131</v>
      </c>
      <c r="AW169" s="1"/>
      <c r="AX169" s="1"/>
      <c r="AY169" s="1"/>
      <c r="AZ169" s="1"/>
      <c r="BA169" s="1" t="s">
        <v>551</v>
      </c>
      <c r="BB169" s="1" t="s">
        <v>0</v>
      </c>
      <c r="BC169" s="1"/>
      <c r="BD169" s="1"/>
    </row>
    <row r="170" ht="11.25" customHeight="1">
      <c r="A170" s="1" t="b">
        <v>1</v>
      </c>
      <c r="B170" s="1" t="s">
        <v>1492</v>
      </c>
      <c r="C170" s="1" t="s">
        <v>1493</v>
      </c>
      <c r="D170" s="1" t="s">
        <v>65</v>
      </c>
      <c r="E170" s="1"/>
      <c r="F170" s="1"/>
      <c r="G170" s="1" t="s">
        <v>66</v>
      </c>
      <c r="H170" s="1"/>
      <c r="I170" s="1" t="s">
        <v>355</v>
      </c>
      <c r="J170" s="1" t="s">
        <v>69</v>
      </c>
      <c r="K170" s="1" t="s">
        <v>107</v>
      </c>
      <c r="L170" s="1" t="s">
        <v>0</v>
      </c>
      <c r="M170" s="1" t="b">
        <v>0</v>
      </c>
      <c r="N170" s="1" t="b">
        <v>0</v>
      </c>
      <c r="O170" s="19">
        <v>2500.0</v>
      </c>
      <c r="P170" s="20">
        <v>2.1</v>
      </c>
      <c r="Q170" s="20">
        <v>1190.48</v>
      </c>
      <c r="R170" s="21">
        <v>0.5669393857939654</v>
      </c>
      <c r="S170" s="1" t="s">
        <v>117</v>
      </c>
      <c r="T170" s="1" t="s">
        <v>0</v>
      </c>
      <c r="U170" s="1" t="s">
        <v>198</v>
      </c>
      <c r="V170" s="1" t="s">
        <v>81</v>
      </c>
      <c r="W170" s="1" t="s">
        <v>0</v>
      </c>
      <c r="X170" s="1" t="s">
        <v>0</v>
      </c>
      <c r="Y170" s="22" t="str">
        <f t="shared" si="3"/>
        <v>NEW</v>
      </c>
      <c r="Z170" s="20" t="str">
        <f>_xlfn.XLOOKUP($B170,[1]F27!$C:$C,[1]F27!$BV:$BV)</f>
        <v>#ERROR!</v>
      </c>
      <c r="AA170" s="1"/>
      <c r="AB170" s="1"/>
      <c r="AC170" s="23"/>
      <c r="AD170" s="1" t="str">
        <f>_xlfn.XLOOKUP($B170,[1]F27!$C:$C,[1]F27!$Y:$Y)</f>
        <v>#ERROR!</v>
      </c>
      <c r="AE170" s="1" t="str">
        <f>_xlfn.XLOOKUP($B170,[1]F27!$C:$C,[1]F27!$Z:$Z)</f>
        <v>#ERROR!</v>
      </c>
      <c r="AF170" s="1" t="str">
        <f>_xlfn.XLOOKUP($B170,[2]PRICING!$B:$B,[2]PRICING!$B:$B,"MISSING")</f>
        <v>#ERROR!</v>
      </c>
      <c r="AG170" s="1" t="str">
        <f>COUNTIFS([2]ACTIVE_SCO!$B:$B,$B170,[2]ACTIVE_SCO!$P:$P,"Y")</f>
        <v>#ERROR!</v>
      </c>
      <c r="AH170" s="1"/>
      <c r="AI170" s="37" t="s">
        <v>157</v>
      </c>
      <c r="AJ170" s="38" t="s">
        <v>1750</v>
      </c>
      <c r="AK170" s="39" t="s">
        <v>551</v>
      </c>
      <c r="AL170" s="39" t="s">
        <v>0</v>
      </c>
      <c r="AM170" s="1" t="s">
        <v>125</v>
      </c>
      <c r="AN170" s="40" t="s">
        <v>127</v>
      </c>
      <c r="AO170" s="41" t="s">
        <v>125</v>
      </c>
      <c r="AP170" s="39"/>
      <c r="AQ170" s="40" t="s">
        <v>125</v>
      </c>
      <c r="AR170" s="39"/>
      <c r="AS170" s="1" t="s">
        <v>355</v>
      </c>
      <c r="AT170" s="1" t="s">
        <v>161</v>
      </c>
      <c r="AU170" s="1" t="s">
        <v>367</v>
      </c>
      <c r="AV170" s="1" t="s">
        <v>131</v>
      </c>
      <c r="AW170" s="1"/>
      <c r="AX170" s="1"/>
      <c r="AY170" s="1"/>
      <c r="AZ170" s="1"/>
      <c r="BA170" s="1" t="s">
        <v>551</v>
      </c>
      <c r="BB170" s="1" t="s">
        <v>0</v>
      </c>
      <c r="BC170" s="1"/>
      <c r="BD170" s="1"/>
    </row>
    <row r="171" ht="11.25" customHeight="1">
      <c r="A171" s="1" t="b">
        <v>1</v>
      </c>
      <c r="B171" s="1" t="s">
        <v>1494</v>
      </c>
      <c r="C171" s="1" t="s">
        <v>1495</v>
      </c>
      <c r="D171" s="1" t="s">
        <v>65</v>
      </c>
      <c r="E171" s="1"/>
      <c r="F171" s="1"/>
      <c r="G171" s="1" t="s">
        <v>66</v>
      </c>
      <c r="H171" s="1"/>
      <c r="I171" s="1" t="s">
        <v>355</v>
      </c>
      <c r="J171" s="1" t="s">
        <v>69</v>
      </c>
      <c r="K171" s="1" t="s">
        <v>70</v>
      </c>
      <c r="L171" s="1" t="s">
        <v>0</v>
      </c>
      <c r="M171" s="1" t="b">
        <v>0</v>
      </c>
      <c r="N171" s="1" t="b">
        <v>0</v>
      </c>
      <c r="O171" s="19">
        <v>2200.0</v>
      </c>
      <c r="P171" s="20">
        <v>2.1</v>
      </c>
      <c r="Q171" s="20">
        <v>1047.62</v>
      </c>
      <c r="R171" s="21">
        <v>0.5380672381206926</v>
      </c>
      <c r="S171" s="1" t="s">
        <v>117</v>
      </c>
      <c r="T171" s="1" t="s">
        <v>0</v>
      </c>
      <c r="U171" s="1" t="s">
        <v>198</v>
      </c>
      <c r="V171" s="1" t="s">
        <v>81</v>
      </c>
      <c r="W171" s="1" t="s">
        <v>0</v>
      </c>
      <c r="X171" s="1" t="s">
        <v>0</v>
      </c>
      <c r="Y171" s="22" t="str">
        <f t="shared" si="3"/>
        <v>NEW</v>
      </c>
      <c r="Z171" s="20" t="str">
        <f>_xlfn.XLOOKUP($B171,[1]F27!$C:$C,[1]F27!$BV:$BV)</f>
        <v>#ERROR!</v>
      </c>
      <c r="AA171" s="1"/>
      <c r="AB171" s="1"/>
      <c r="AC171" s="23"/>
      <c r="AD171" s="1" t="str">
        <f>_xlfn.XLOOKUP($B171,[1]F27!$C:$C,[1]F27!$Y:$Y)</f>
        <v>#ERROR!</v>
      </c>
      <c r="AE171" s="1" t="str">
        <f>_xlfn.XLOOKUP($B171,[1]F27!$C:$C,[1]F27!$Z:$Z)</f>
        <v>#ERROR!</v>
      </c>
      <c r="AF171" s="1" t="str">
        <f>_xlfn.XLOOKUP($B171,[2]PRICING!$B:$B,[2]PRICING!$B:$B,"MISSING")</f>
        <v>#ERROR!</v>
      </c>
      <c r="AG171" s="1" t="str">
        <f>COUNTIFS([2]ACTIVE_SCO!$B:$B,$B171,[2]ACTIVE_SCO!$P:$P,"Y")</f>
        <v>#ERROR!</v>
      </c>
      <c r="AH171" s="1"/>
      <c r="AI171" s="37" t="s">
        <v>157</v>
      </c>
      <c r="AJ171" s="38" t="s">
        <v>1759</v>
      </c>
      <c r="AK171" s="39" t="s">
        <v>551</v>
      </c>
      <c r="AL171" s="39" t="s">
        <v>0</v>
      </c>
      <c r="AM171" s="1" t="s">
        <v>125</v>
      </c>
      <c r="AN171" s="40" t="s">
        <v>127</v>
      </c>
      <c r="AO171" s="41" t="s">
        <v>125</v>
      </c>
      <c r="AP171" s="39"/>
      <c r="AQ171" s="40" t="s">
        <v>125</v>
      </c>
      <c r="AR171" s="39"/>
      <c r="AS171" s="1" t="s">
        <v>355</v>
      </c>
      <c r="AT171" s="1" t="s">
        <v>89</v>
      </c>
      <c r="AU171" s="1" t="s">
        <v>367</v>
      </c>
      <c r="AV171" s="1" t="s">
        <v>131</v>
      </c>
      <c r="AW171" s="1"/>
      <c r="AX171" s="1"/>
      <c r="AY171" s="1"/>
      <c r="AZ171" s="1"/>
      <c r="BA171" s="1" t="s">
        <v>551</v>
      </c>
      <c r="BB171" s="1" t="s">
        <v>0</v>
      </c>
      <c r="BC171" s="1"/>
      <c r="BD171" s="1"/>
    </row>
    <row r="172" ht="11.25" customHeight="1">
      <c r="A172" s="1" t="b">
        <v>1</v>
      </c>
      <c r="B172" s="1" t="s">
        <v>1497</v>
      </c>
      <c r="C172" s="1" t="s">
        <v>1498</v>
      </c>
      <c r="D172" s="1" t="s">
        <v>65</v>
      </c>
      <c r="E172" s="1"/>
      <c r="F172" s="1"/>
      <c r="G172" s="1" t="s">
        <v>66</v>
      </c>
      <c r="H172" s="1"/>
      <c r="I172" s="1" t="s">
        <v>355</v>
      </c>
      <c r="J172" s="1" t="s">
        <v>69</v>
      </c>
      <c r="K172" s="1" t="s">
        <v>107</v>
      </c>
      <c r="L172" s="1" t="s">
        <v>0</v>
      </c>
      <c r="M172" s="1" t="b">
        <v>0</v>
      </c>
      <c r="N172" s="1" t="b">
        <v>0</v>
      </c>
      <c r="O172" s="19">
        <v>2200.0</v>
      </c>
      <c r="P172" s="20">
        <v>2.1</v>
      </c>
      <c r="Q172" s="20">
        <v>1047.62</v>
      </c>
      <c r="R172" s="21">
        <v>0.5701590271281571</v>
      </c>
      <c r="S172" s="1" t="s">
        <v>117</v>
      </c>
      <c r="T172" s="1" t="s">
        <v>0</v>
      </c>
      <c r="U172" s="1" t="s">
        <v>198</v>
      </c>
      <c r="V172" s="1" t="s">
        <v>81</v>
      </c>
      <c r="W172" s="1" t="s">
        <v>0</v>
      </c>
      <c r="X172" s="1" t="s">
        <v>0</v>
      </c>
      <c r="Y172" s="22" t="str">
        <f t="shared" si="3"/>
        <v>NEW</v>
      </c>
      <c r="Z172" s="20" t="str">
        <f>_xlfn.XLOOKUP($B172,[1]F27!$C:$C,[1]F27!$BV:$BV)</f>
        <v>#ERROR!</v>
      </c>
      <c r="AA172" s="1"/>
      <c r="AB172" s="1"/>
      <c r="AC172" s="23"/>
      <c r="AD172" s="1" t="str">
        <f>_xlfn.XLOOKUP($B172,[1]F27!$C:$C,[1]F27!$Y:$Y)</f>
        <v>#ERROR!</v>
      </c>
      <c r="AE172" s="1" t="str">
        <f>_xlfn.XLOOKUP($B172,[1]F27!$C:$C,[1]F27!$Z:$Z)</f>
        <v>#ERROR!</v>
      </c>
      <c r="AF172" s="1" t="str">
        <f>_xlfn.XLOOKUP($B172,[2]PRICING!$B:$B,[2]PRICING!$B:$B,"MISSING")</f>
        <v>#ERROR!</v>
      </c>
      <c r="AG172" s="1" t="str">
        <f>COUNTIFS([2]ACTIVE_SCO!$B:$B,$B172,[2]ACTIVE_SCO!$P:$P,"Y")</f>
        <v>#ERROR!</v>
      </c>
      <c r="AH172" s="1"/>
      <c r="AI172" s="37" t="s">
        <v>157</v>
      </c>
      <c r="AJ172" s="38" t="s">
        <v>1778</v>
      </c>
      <c r="AK172" s="39" t="s">
        <v>551</v>
      </c>
      <c r="AL172" s="39" t="s">
        <v>0</v>
      </c>
      <c r="AM172" s="1" t="s">
        <v>125</v>
      </c>
      <c r="AN172" s="40" t="s">
        <v>127</v>
      </c>
      <c r="AO172" s="41" t="s">
        <v>125</v>
      </c>
      <c r="AP172" s="39"/>
      <c r="AQ172" s="40" t="s">
        <v>125</v>
      </c>
      <c r="AR172" s="39"/>
      <c r="AS172" s="1" t="s">
        <v>355</v>
      </c>
      <c r="AT172" s="1" t="s">
        <v>89</v>
      </c>
      <c r="AU172" s="1" t="s">
        <v>367</v>
      </c>
      <c r="AV172" s="1" t="s">
        <v>131</v>
      </c>
      <c r="AW172" s="1"/>
      <c r="AX172" s="1"/>
      <c r="AY172" s="1"/>
      <c r="AZ172" s="1"/>
      <c r="BA172" s="1" t="s">
        <v>551</v>
      </c>
      <c r="BB172" s="1" t="s">
        <v>0</v>
      </c>
      <c r="BC172" s="1"/>
      <c r="BD172" s="1"/>
    </row>
    <row r="173" ht="11.25" customHeight="1">
      <c r="A173" s="25" t="b">
        <v>1</v>
      </c>
      <c r="B173" s="25" t="s">
        <v>1502</v>
      </c>
      <c r="C173" s="25" t="s">
        <v>1503</v>
      </c>
      <c r="D173" s="1" t="s">
        <v>65</v>
      </c>
      <c r="E173" s="1"/>
      <c r="F173" s="1"/>
      <c r="G173" s="1" t="s">
        <v>66</v>
      </c>
      <c r="H173" s="1"/>
      <c r="I173" s="1" t="s">
        <v>113</v>
      </c>
      <c r="J173" s="1" t="s">
        <v>69</v>
      </c>
      <c r="K173" s="1" t="s">
        <v>70</v>
      </c>
      <c r="L173" s="1" t="s">
        <v>0</v>
      </c>
      <c r="M173" s="1" t="b">
        <v>0</v>
      </c>
      <c r="N173" s="1" t="b">
        <v>1</v>
      </c>
      <c r="O173" s="19">
        <v>1800.0</v>
      </c>
      <c r="P173" s="20">
        <v>2.1</v>
      </c>
      <c r="Q173" s="20">
        <v>857.14</v>
      </c>
      <c r="R173" s="21">
        <v>0.6330587768625895</v>
      </c>
      <c r="S173" s="1" t="s">
        <v>78</v>
      </c>
      <c r="T173" s="1" t="s">
        <v>0</v>
      </c>
      <c r="U173" s="1" t="s">
        <v>198</v>
      </c>
      <c r="V173" s="1" t="s">
        <v>81</v>
      </c>
      <c r="W173" s="1" t="s">
        <v>0</v>
      </c>
      <c r="X173" s="1" t="s">
        <v>0</v>
      </c>
      <c r="Y173" s="22" t="str">
        <f t="shared" si="3"/>
        <v>UPDATE</v>
      </c>
      <c r="Z173" s="20" t="str">
        <f>_xlfn.XLOOKUP($B173,[1]F27!$C:$C,[1]F27!$BV:$BV)</f>
        <v>#ERROR!</v>
      </c>
      <c r="AA173" s="1"/>
      <c r="AB173" s="1"/>
      <c r="AC173" s="23"/>
      <c r="AD173" s="1" t="str">
        <f>_xlfn.XLOOKUP($B173,[1]F27!$C:$C,[1]F27!$Y:$Y)</f>
        <v>#ERROR!</v>
      </c>
      <c r="AE173" s="1" t="str">
        <f>_xlfn.XLOOKUP($B173,[1]F27!$C:$C,[1]F27!$Z:$Z)</f>
        <v>#ERROR!</v>
      </c>
      <c r="AF173" s="1" t="str">
        <f>_xlfn.XLOOKUP($B173,[2]PRICING!$B:$B,[2]PRICING!$B:$B,"MISSING")</f>
        <v>#ERROR!</v>
      </c>
      <c r="AG173" s="1" t="str">
        <f>COUNTIFS([2]ACTIVE_SCO!$B:$B,$B173,[2]ACTIVE_SCO!$P:$P,"Y")</f>
        <v>#ERROR!</v>
      </c>
      <c r="AH173" s="1"/>
      <c r="AI173" s="37" t="s">
        <v>157</v>
      </c>
      <c r="AJ173" s="38" t="s">
        <v>1825</v>
      </c>
      <c r="AK173" s="49" t="s">
        <v>365</v>
      </c>
      <c r="AL173" s="39" t="s">
        <v>551</v>
      </c>
      <c r="AM173" s="1" t="s">
        <v>125</v>
      </c>
      <c r="AN173" s="40" t="s">
        <v>127</v>
      </c>
      <c r="AO173" s="39" t="s">
        <v>125</v>
      </c>
      <c r="AP173" s="39"/>
      <c r="AQ173" s="1" t="s">
        <v>0</v>
      </c>
      <c r="AR173" s="81"/>
      <c r="AS173" s="1" t="s">
        <v>355</v>
      </c>
      <c r="AT173" s="1" t="s">
        <v>128</v>
      </c>
      <c r="AU173" s="1" t="s">
        <v>367</v>
      </c>
      <c r="AV173" s="1" t="s">
        <v>131</v>
      </c>
      <c r="AW173" s="1"/>
      <c r="AX173" s="1"/>
      <c r="AY173" s="1"/>
      <c r="AZ173" s="1"/>
      <c r="BA173" s="50" t="s">
        <v>365</v>
      </c>
      <c r="BB173" s="1" t="s">
        <v>551</v>
      </c>
      <c r="BC173" s="1"/>
      <c r="BD173" s="1"/>
    </row>
    <row r="174" ht="11.25" customHeight="1">
      <c r="A174" s="25" t="b">
        <v>1</v>
      </c>
      <c r="B174" s="25" t="s">
        <v>1504</v>
      </c>
      <c r="C174" s="25" t="s">
        <v>1505</v>
      </c>
      <c r="D174" s="1" t="s">
        <v>65</v>
      </c>
      <c r="E174" s="1"/>
      <c r="F174" s="1"/>
      <c r="G174" s="1" t="s">
        <v>66</v>
      </c>
      <c r="H174" s="1"/>
      <c r="I174" s="1" t="s">
        <v>113</v>
      </c>
      <c r="J174" s="1" t="s">
        <v>69</v>
      </c>
      <c r="K174" s="1" t="s">
        <v>107</v>
      </c>
      <c r="L174" s="1" t="s">
        <v>0</v>
      </c>
      <c r="M174" s="1" t="b">
        <v>0</v>
      </c>
      <c r="N174" s="1" t="b">
        <v>1</v>
      </c>
      <c r="O174" s="19">
        <v>1800.0</v>
      </c>
      <c r="P174" s="20">
        <v>2.1</v>
      </c>
      <c r="Q174" s="20">
        <v>857.14</v>
      </c>
      <c r="R174" s="21">
        <v>0.6518188393961313</v>
      </c>
      <c r="S174" s="1" t="s">
        <v>78</v>
      </c>
      <c r="T174" s="1" t="s">
        <v>0</v>
      </c>
      <c r="U174" s="1" t="s">
        <v>198</v>
      </c>
      <c r="V174" s="1" t="s">
        <v>81</v>
      </c>
      <c r="W174" s="1" t="s">
        <v>0</v>
      </c>
      <c r="X174" s="1" t="s">
        <v>0</v>
      </c>
      <c r="Y174" s="22" t="str">
        <f t="shared" si="3"/>
        <v>UPDATE</v>
      </c>
      <c r="Z174" s="20" t="str">
        <f>_xlfn.XLOOKUP($B174,[1]F27!$C:$C,[1]F27!$BV:$BV)</f>
        <v>#ERROR!</v>
      </c>
      <c r="AA174" s="1"/>
      <c r="AB174" s="1"/>
      <c r="AC174" s="23"/>
      <c r="AD174" s="1" t="str">
        <f>_xlfn.XLOOKUP($B174,[1]F27!$C:$C,[1]F27!$Y:$Y)</f>
        <v>#ERROR!</v>
      </c>
      <c r="AE174" s="1" t="str">
        <f>_xlfn.XLOOKUP($B174,[1]F27!$C:$C,[1]F27!$Z:$Z)</f>
        <v>#ERROR!</v>
      </c>
      <c r="AF174" s="1" t="str">
        <f>_xlfn.XLOOKUP($B174,[2]PRICING!$B:$B,[2]PRICING!$B:$B,"MISSING")</f>
        <v>#ERROR!</v>
      </c>
      <c r="AG174" s="1" t="str">
        <f>COUNTIFS([2]ACTIVE_SCO!$B:$B,$B174,[2]ACTIVE_SCO!$P:$P,"Y")</f>
        <v>#ERROR!</v>
      </c>
      <c r="AH174" s="1"/>
      <c r="AI174" s="37" t="s">
        <v>157</v>
      </c>
      <c r="AJ174" s="38" t="s">
        <v>1835</v>
      </c>
      <c r="AK174" s="49" t="s">
        <v>365</v>
      </c>
      <c r="AL174" s="39" t="s">
        <v>551</v>
      </c>
      <c r="AM174" s="1" t="s">
        <v>125</v>
      </c>
      <c r="AN174" s="40" t="s">
        <v>127</v>
      </c>
      <c r="AO174" s="39" t="s">
        <v>125</v>
      </c>
      <c r="AP174" s="39"/>
      <c r="AQ174" s="1" t="s">
        <v>0</v>
      </c>
      <c r="AR174" s="81"/>
      <c r="AS174" s="1" t="s">
        <v>355</v>
      </c>
      <c r="AT174" s="1" t="s">
        <v>128</v>
      </c>
      <c r="AU174" s="1" t="s">
        <v>367</v>
      </c>
      <c r="AV174" s="1" t="s">
        <v>131</v>
      </c>
      <c r="AW174" s="1"/>
      <c r="AX174" s="1"/>
      <c r="AY174" s="1"/>
      <c r="AZ174" s="1"/>
      <c r="BA174" s="50" t="s">
        <v>365</v>
      </c>
      <c r="BB174" s="1" t="s">
        <v>551</v>
      </c>
      <c r="BC174" s="1"/>
      <c r="BD174" s="1"/>
    </row>
    <row r="175" ht="11.25" customHeight="1">
      <c r="A175" s="1" t="b">
        <v>1</v>
      </c>
      <c r="B175" s="1" t="s">
        <v>1773</v>
      </c>
      <c r="C175" s="1" t="s">
        <v>1774</v>
      </c>
      <c r="D175" s="1" t="s">
        <v>65</v>
      </c>
      <c r="E175" s="1"/>
      <c r="F175" s="1"/>
      <c r="G175" s="1" t="s">
        <v>66</v>
      </c>
      <c r="H175" s="1"/>
      <c r="I175" s="1" t="s">
        <v>248</v>
      </c>
      <c r="J175" s="1" t="s">
        <v>69</v>
      </c>
      <c r="K175" s="1" t="s">
        <v>249</v>
      </c>
      <c r="L175" s="1" t="s">
        <v>0</v>
      </c>
      <c r="M175" s="1" t="b">
        <v>0</v>
      </c>
      <c r="N175" s="1" t="b">
        <v>1</v>
      </c>
      <c r="O175" s="19">
        <v>400.0</v>
      </c>
      <c r="P175" s="20">
        <v>2.1</v>
      </c>
      <c r="Q175" s="20">
        <v>190.48</v>
      </c>
      <c r="R175" s="21">
        <v>0.6351847963040739</v>
      </c>
      <c r="S175" s="1" t="s">
        <v>78</v>
      </c>
      <c r="T175" s="1" t="s">
        <v>0</v>
      </c>
      <c r="U175" s="1" t="s">
        <v>81</v>
      </c>
      <c r="V175" s="1" t="s">
        <v>81</v>
      </c>
      <c r="W175" s="1" t="s">
        <v>0</v>
      </c>
      <c r="X175" s="1" t="s">
        <v>156</v>
      </c>
      <c r="Y175" s="22" t="str">
        <f t="shared" si="3"/>
        <v>UPDATE</v>
      </c>
      <c r="Z175" s="20" t="str">
        <f>_xlfn.XLOOKUP($B175,[1]F27!$C:$C,[1]F27!$BV:$BV)</f>
        <v>#ERROR!</v>
      </c>
      <c r="AA175" s="1"/>
      <c r="AB175" s="1"/>
      <c r="AC175" s="23"/>
      <c r="AD175" s="1" t="str">
        <f>_xlfn.XLOOKUP($B175,[1]F27!$C:$C,[1]F27!$Y:$Y)</f>
        <v>#ERROR!</v>
      </c>
      <c r="AE175" s="1" t="str">
        <f>_xlfn.XLOOKUP($B175,[1]F27!$C:$C,[1]F27!$Z:$Z)</f>
        <v>#ERROR!</v>
      </c>
      <c r="AF175" s="1" t="str">
        <f>_xlfn.XLOOKUP($B175,[2]PRICING!$B:$B,[2]PRICING!$B:$B,"MISSING")</f>
        <v>#ERROR!</v>
      </c>
      <c r="AG175" s="1" t="str">
        <f>COUNTIFS([2]ACTIVE_SCO!$B:$B,$B175,[2]ACTIVE_SCO!$P:$P,"Y")</f>
        <v>#ERROR!</v>
      </c>
      <c r="AH175" s="1"/>
      <c r="AI175" s="37" t="s">
        <v>157</v>
      </c>
      <c r="AJ175" s="38" t="s">
        <v>1844</v>
      </c>
      <c r="AK175" s="49" t="s">
        <v>365</v>
      </c>
      <c r="AL175" s="39" t="s">
        <v>366</v>
      </c>
      <c r="AM175" s="1" t="s">
        <v>125</v>
      </c>
      <c r="AN175" s="40" t="s">
        <v>127</v>
      </c>
      <c r="AO175" s="39" t="s">
        <v>125</v>
      </c>
      <c r="AP175" s="39"/>
      <c r="AQ175" s="40" t="s">
        <v>0</v>
      </c>
      <c r="AR175" s="39"/>
      <c r="AS175" s="1" t="s">
        <v>248</v>
      </c>
      <c r="AT175" s="1" t="s">
        <v>253</v>
      </c>
      <c r="AU175" s="1" t="s">
        <v>291</v>
      </c>
      <c r="AV175" s="1" t="s">
        <v>131</v>
      </c>
      <c r="AW175" s="1"/>
      <c r="AX175" s="1"/>
      <c r="AY175" s="1"/>
      <c r="AZ175" s="1"/>
      <c r="BA175" s="50" t="s">
        <v>365</v>
      </c>
      <c r="BB175" s="1" t="s">
        <v>366</v>
      </c>
      <c r="BC175" s="1"/>
      <c r="BD175" s="1"/>
    </row>
    <row r="176" ht="11.25" customHeight="1">
      <c r="A176" s="1" t="b">
        <v>1</v>
      </c>
      <c r="B176" s="1" t="s">
        <v>1511</v>
      </c>
      <c r="C176" s="1" t="s">
        <v>1512</v>
      </c>
      <c r="D176" s="1" t="s">
        <v>65</v>
      </c>
      <c r="E176" s="1"/>
      <c r="F176" s="1"/>
      <c r="G176" s="1" t="s">
        <v>220</v>
      </c>
      <c r="H176" s="1"/>
      <c r="I176" s="1" t="s">
        <v>355</v>
      </c>
      <c r="J176" s="1" t="s">
        <v>69</v>
      </c>
      <c r="K176" s="1" t="s">
        <v>70</v>
      </c>
      <c r="L176" s="1" t="s">
        <v>0</v>
      </c>
      <c r="M176" s="1" t="b">
        <v>1</v>
      </c>
      <c r="N176" s="1" t="b">
        <v>0</v>
      </c>
      <c r="O176" s="19">
        <v>6500.0</v>
      </c>
      <c r="P176" s="20">
        <v>2.1</v>
      </c>
      <c r="Q176" s="20">
        <v>3095.24</v>
      </c>
      <c r="R176" s="21">
        <v>0.5286601362091469</v>
      </c>
      <c r="S176" s="1" t="s">
        <v>117</v>
      </c>
      <c r="T176" s="1" t="s">
        <v>0</v>
      </c>
      <c r="U176" s="1" t="s">
        <v>359</v>
      </c>
      <c r="V176" s="1" t="s">
        <v>511</v>
      </c>
      <c r="W176" s="1" t="s">
        <v>0</v>
      </c>
      <c r="X176" s="1" t="s">
        <v>0</v>
      </c>
      <c r="Y176" s="22" t="str">
        <f t="shared" si="3"/>
        <v>CO</v>
      </c>
      <c r="Z176" s="20" t="str">
        <f>_xlfn.XLOOKUP($B176,[1]F27!$C:$C,[1]F27!$BV:$BV)</f>
        <v>#ERROR!</v>
      </c>
      <c r="AA176" s="1"/>
      <c r="AB176" s="1"/>
      <c r="AC176" s="23"/>
      <c r="AD176" s="1" t="str">
        <f>_xlfn.XLOOKUP($B176,[1]F27!$C:$C,[1]F27!$Y:$Y)</f>
        <v>#ERROR!</v>
      </c>
      <c r="AE176" s="1" t="str">
        <f>_xlfn.XLOOKUP($B176,[1]F27!$C:$C,[1]F27!$Z:$Z)</f>
        <v>#ERROR!</v>
      </c>
      <c r="AF176" s="1" t="str">
        <f>_xlfn.XLOOKUP($B176,[2]PRICING!$B:$B,[2]PRICING!$B:$B,"MISSING")</f>
        <v>#ERROR!</v>
      </c>
      <c r="AG176" s="1" t="str">
        <f>COUNTIFS([2]ACTIVE_SCO!$B:$B,$B176,[2]ACTIVE_SCO!$P:$P,"Y")</f>
        <v>#ERROR!</v>
      </c>
      <c r="AH176" s="1"/>
      <c r="AI176" s="37" t="s">
        <v>157</v>
      </c>
      <c r="AJ176" s="38" t="s">
        <v>1847</v>
      </c>
      <c r="AK176" s="39" t="s">
        <v>204</v>
      </c>
      <c r="AL176" s="39" t="s">
        <v>0</v>
      </c>
      <c r="AM176" s="1" t="s">
        <v>226</v>
      </c>
      <c r="AN176" s="40" t="s">
        <v>729</v>
      </c>
      <c r="AO176" s="41" t="s">
        <v>226</v>
      </c>
      <c r="AP176" s="41" t="s">
        <v>1742</v>
      </c>
      <c r="AQ176" s="40" t="s">
        <v>0</v>
      </c>
      <c r="AR176" s="39"/>
      <c r="AS176" s="1" t="s">
        <v>355</v>
      </c>
      <c r="AT176" s="1" t="s">
        <v>161</v>
      </c>
      <c r="AU176" s="1" t="s">
        <v>448</v>
      </c>
      <c r="AV176" s="1" t="s">
        <v>131</v>
      </c>
      <c r="AW176" s="1"/>
      <c r="AX176" s="1"/>
      <c r="AY176" s="1"/>
      <c r="AZ176" s="1"/>
      <c r="BA176" s="1" t="s">
        <v>204</v>
      </c>
      <c r="BB176" s="1" t="s">
        <v>0</v>
      </c>
      <c r="BC176" s="1"/>
      <c r="BD176" s="1"/>
    </row>
    <row r="177" ht="11.25" customHeight="1">
      <c r="A177" s="1" t="b">
        <v>1</v>
      </c>
      <c r="B177" s="1" t="s">
        <v>1516</v>
      </c>
      <c r="C177" s="1" t="s">
        <v>1517</v>
      </c>
      <c r="D177" s="1" t="s">
        <v>65</v>
      </c>
      <c r="E177" s="1"/>
      <c r="F177" s="1"/>
      <c r="G177" s="1" t="s">
        <v>220</v>
      </c>
      <c r="H177" s="1"/>
      <c r="I177" s="1" t="s">
        <v>355</v>
      </c>
      <c r="J177" s="1" t="s">
        <v>69</v>
      </c>
      <c r="K177" s="1" t="s">
        <v>107</v>
      </c>
      <c r="L177" s="1" t="s">
        <v>0</v>
      </c>
      <c r="M177" s="1" t="b">
        <v>1</v>
      </c>
      <c r="N177" s="1" t="b">
        <v>0</v>
      </c>
      <c r="O177" s="19">
        <v>6500.0</v>
      </c>
      <c r="P177" s="20">
        <v>2.1</v>
      </c>
      <c r="Q177" s="20">
        <v>3095.24</v>
      </c>
      <c r="R177" s="21">
        <v>0.5786724131246688</v>
      </c>
      <c r="S177" s="1" t="s">
        <v>117</v>
      </c>
      <c r="T177" s="1" t="s">
        <v>0</v>
      </c>
      <c r="U177" s="1" t="s">
        <v>359</v>
      </c>
      <c r="V177" s="1" t="s">
        <v>511</v>
      </c>
      <c r="W177" s="1" t="s">
        <v>0</v>
      </c>
      <c r="X177" s="1" t="s">
        <v>0</v>
      </c>
      <c r="Y177" s="22" t="str">
        <f t="shared" si="3"/>
        <v>CO</v>
      </c>
      <c r="Z177" s="20" t="str">
        <f>_xlfn.XLOOKUP($B177,[1]F27!$C:$C,[1]F27!$BV:$BV)</f>
        <v>#ERROR!</v>
      </c>
      <c r="AA177" s="1"/>
      <c r="AB177" s="1"/>
      <c r="AC177" s="23"/>
      <c r="AD177" s="1" t="str">
        <f>_xlfn.XLOOKUP($B177,[1]F27!$C:$C,[1]F27!$Y:$Y)</f>
        <v>#ERROR!</v>
      </c>
      <c r="AE177" s="1" t="str">
        <f>_xlfn.XLOOKUP($B177,[1]F27!$C:$C,[1]F27!$Z:$Z)</f>
        <v>#ERROR!</v>
      </c>
      <c r="AF177" s="1" t="str">
        <f>_xlfn.XLOOKUP($B177,[2]PRICING!$B:$B,[2]PRICING!$B:$B,"MISSING")</f>
        <v>#ERROR!</v>
      </c>
      <c r="AG177" s="1" t="str">
        <f>COUNTIFS([2]ACTIVE_SCO!$B:$B,$B177,[2]ACTIVE_SCO!$P:$P,"Y")</f>
        <v>#ERROR!</v>
      </c>
      <c r="AH177" s="1"/>
      <c r="AI177" s="37" t="s">
        <v>157</v>
      </c>
      <c r="AJ177" s="38" t="s">
        <v>1848</v>
      </c>
      <c r="AK177" s="39" t="s">
        <v>204</v>
      </c>
      <c r="AL177" s="39" t="s">
        <v>0</v>
      </c>
      <c r="AM177" s="1" t="s">
        <v>226</v>
      </c>
      <c r="AN177" s="40" t="s">
        <v>729</v>
      </c>
      <c r="AO177" s="41" t="s">
        <v>226</v>
      </c>
      <c r="AP177" s="41" t="s">
        <v>1742</v>
      </c>
      <c r="AQ177" s="40" t="s">
        <v>0</v>
      </c>
      <c r="AR177" s="39"/>
      <c r="AS177" s="1" t="s">
        <v>355</v>
      </c>
      <c r="AT177" s="1" t="s">
        <v>161</v>
      </c>
      <c r="AU177" s="1" t="s">
        <v>448</v>
      </c>
      <c r="AV177" s="1" t="s">
        <v>131</v>
      </c>
      <c r="AW177" s="1"/>
      <c r="AX177" s="1"/>
      <c r="AY177" s="1"/>
      <c r="AZ177" s="1"/>
      <c r="BA177" s="1" t="s">
        <v>204</v>
      </c>
      <c r="BB177" s="1" t="s">
        <v>0</v>
      </c>
      <c r="BC177" s="1"/>
      <c r="BD177" s="1"/>
    </row>
    <row r="178" ht="11.25" customHeight="1">
      <c r="A178" s="1" t="b">
        <v>1</v>
      </c>
      <c r="B178" s="1" t="s">
        <v>656</v>
      </c>
      <c r="C178" s="1" t="s">
        <v>657</v>
      </c>
      <c r="D178" s="1" t="s">
        <v>65</v>
      </c>
      <c r="E178" s="1"/>
      <c r="F178" s="1"/>
      <c r="G178" s="1" t="s">
        <v>247</v>
      </c>
      <c r="H178" s="1"/>
      <c r="I178" s="1" t="s">
        <v>68</v>
      </c>
      <c r="J178" s="1" t="s">
        <v>69</v>
      </c>
      <c r="K178" s="1" t="s">
        <v>70</v>
      </c>
      <c r="L178" s="1" t="s">
        <v>0</v>
      </c>
      <c r="M178" s="1" t="b">
        <v>1</v>
      </c>
      <c r="N178" s="1" t="b">
        <v>0</v>
      </c>
      <c r="O178" s="19">
        <v>3000.0</v>
      </c>
      <c r="P178" s="20">
        <v>2.1</v>
      </c>
      <c r="Q178" s="20">
        <v>1428.57</v>
      </c>
      <c r="R178" s="21">
        <v>0.5624785624785624</v>
      </c>
      <c r="S178" s="1" t="s">
        <v>117</v>
      </c>
      <c r="T178" s="1" t="s">
        <v>0</v>
      </c>
      <c r="U178" s="1" t="s">
        <v>166</v>
      </c>
      <c r="V178" s="1" t="s">
        <v>81</v>
      </c>
      <c r="W178" s="1" t="s">
        <v>0</v>
      </c>
      <c r="X178" s="1" t="s">
        <v>0</v>
      </c>
      <c r="Y178" s="22" t="str">
        <f t="shared" si="3"/>
        <v>CO</v>
      </c>
      <c r="Z178" s="20" t="str">
        <f>_xlfn.XLOOKUP($B178,[1]F27!$C:$C,[1]F27!$BV:$BV)</f>
        <v>#ERROR!</v>
      </c>
      <c r="AA178" s="1"/>
      <c r="AB178" s="1"/>
      <c r="AC178" s="23"/>
      <c r="AD178" s="1" t="str">
        <f>_xlfn.XLOOKUP($B178,[1]F27!$C:$C,[1]F27!$Y:$Y)</f>
        <v>#ERROR!</v>
      </c>
      <c r="AE178" s="1" t="str">
        <f>_xlfn.XLOOKUP($B178,[1]F27!$C:$C,[1]F27!$Z:$Z)</f>
        <v>#ERROR!</v>
      </c>
      <c r="AF178" s="1" t="str">
        <f>_xlfn.XLOOKUP($B178,[2]PRICING!$B:$B,[2]PRICING!$B:$B,"MISSING")</f>
        <v>#ERROR!</v>
      </c>
      <c r="AG178" s="1" t="str">
        <f>COUNTIFS([2]ACTIVE_SCO!$B:$B,$B178,[2]ACTIVE_SCO!$P:$P,"Y")</f>
        <v>#ERROR!</v>
      </c>
      <c r="AH178" s="1"/>
      <c r="AI178" s="37" t="s">
        <v>157</v>
      </c>
      <c r="AJ178" s="38" t="s">
        <v>1850</v>
      </c>
      <c r="AK178" s="39" t="s">
        <v>60</v>
      </c>
      <c r="AL178" s="39" t="s">
        <v>0</v>
      </c>
      <c r="AM178" s="1" t="s">
        <v>125</v>
      </c>
      <c r="AN178" s="40" t="s">
        <v>174</v>
      </c>
      <c r="AO178" s="41" t="s">
        <v>776</v>
      </c>
      <c r="AP178" s="41" t="s">
        <v>777</v>
      </c>
      <c r="AQ178" s="40" t="s">
        <v>0</v>
      </c>
      <c r="AR178" s="54"/>
      <c r="AS178" s="1" t="s">
        <v>68</v>
      </c>
      <c r="AT178" s="1" t="s">
        <v>175</v>
      </c>
      <c r="AU178" s="1" t="s">
        <v>178</v>
      </c>
      <c r="AV178" s="1" t="s">
        <v>91</v>
      </c>
      <c r="AW178" s="1"/>
      <c r="AX178" s="1"/>
      <c r="AY178" s="1"/>
      <c r="AZ178" s="1"/>
      <c r="BA178" s="1" t="s">
        <v>60</v>
      </c>
      <c r="BB178" s="1" t="s">
        <v>0</v>
      </c>
      <c r="BC178" s="1"/>
      <c r="BD178" s="1"/>
    </row>
    <row r="179" ht="11.25" customHeight="1">
      <c r="A179" s="1" t="b">
        <v>1</v>
      </c>
      <c r="B179" s="1" t="s">
        <v>661</v>
      </c>
      <c r="C179" s="1" t="s">
        <v>662</v>
      </c>
      <c r="D179" s="1" t="s">
        <v>65</v>
      </c>
      <c r="E179" s="1"/>
      <c r="F179" s="1"/>
      <c r="G179" s="1" t="s">
        <v>247</v>
      </c>
      <c r="H179" s="1"/>
      <c r="I179" s="1" t="s">
        <v>68</v>
      </c>
      <c r="J179" s="1" t="s">
        <v>69</v>
      </c>
      <c r="K179" s="1" t="s">
        <v>107</v>
      </c>
      <c r="L179" s="1" t="s">
        <v>0</v>
      </c>
      <c r="M179" s="1" t="b">
        <v>1</v>
      </c>
      <c r="N179" s="1" t="b">
        <v>0</v>
      </c>
      <c r="O179" s="19">
        <v>3000.0</v>
      </c>
      <c r="P179" s="20">
        <v>2.1</v>
      </c>
      <c r="Q179" s="20">
        <v>1428.57</v>
      </c>
      <c r="R179" s="21">
        <v>0.57003857003857</v>
      </c>
      <c r="S179" s="1" t="s">
        <v>117</v>
      </c>
      <c r="T179" s="1" t="s">
        <v>0</v>
      </c>
      <c r="U179" s="1" t="s">
        <v>166</v>
      </c>
      <c r="V179" s="1" t="s">
        <v>81</v>
      </c>
      <c r="W179" s="1" t="s">
        <v>0</v>
      </c>
      <c r="X179" s="1" t="s">
        <v>0</v>
      </c>
      <c r="Y179" s="22" t="str">
        <f t="shared" si="3"/>
        <v>CO</v>
      </c>
      <c r="Z179" s="20" t="str">
        <f>_xlfn.XLOOKUP($B179,[1]F27!$C:$C,[1]F27!$BV:$BV)</f>
        <v>#ERROR!</v>
      </c>
      <c r="AA179" s="1"/>
      <c r="AB179" s="1"/>
      <c r="AC179" s="23"/>
      <c r="AD179" s="1" t="str">
        <f>_xlfn.XLOOKUP($B179,[1]F27!$C:$C,[1]F27!$Y:$Y)</f>
        <v>#ERROR!</v>
      </c>
      <c r="AE179" s="1" t="str">
        <f>_xlfn.XLOOKUP($B179,[1]F27!$C:$C,[1]F27!$Z:$Z)</f>
        <v>#ERROR!</v>
      </c>
      <c r="AF179" s="1" t="str">
        <f>_xlfn.XLOOKUP($B179,[2]PRICING!$B:$B,[2]PRICING!$B:$B,"MISSING")</f>
        <v>#ERROR!</v>
      </c>
      <c r="AG179" s="1" t="str">
        <f>COUNTIFS([2]ACTIVE_SCO!$B:$B,$B179,[2]ACTIVE_SCO!$P:$P,"Y")</f>
        <v>#ERROR!</v>
      </c>
      <c r="AH179" s="1"/>
      <c r="AI179" s="37" t="s">
        <v>157</v>
      </c>
      <c r="AJ179" s="38" t="s">
        <v>1852</v>
      </c>
      <c r="AK179" s="39" t="s">
        <v>60</v>
      </c>
      <c r="AL179" s="39" t="s">
        <v>0</v>
      </c>
      <c r="AM179" s="1" t="s">
        <v>125</v>
      </c>
      <c r="AN179" s="40" t="s">
        <v>174</v>
      </c>
      <c r="AO179" s="41" t="s">
        <v>776</v>
      </c>
      <c r="AP179" s="41" t="s">
        <v>777</v>
      </c>
      <c r="AQ179" s="40" t="s">
        <v>0</v>
      </c>
      <c r="AR179" s="54"/>
      <c r="AS179" s="1" t="s">
        <v>68</v>
      </c>
      <c r="AT179" s="1" t="s">
        <v>175</v>
      </c>
      <c r="AU179" s="1" t="s">
        <v>178</v>
      </c>
      <c r="AV179" s="1" t="s">
        <v>91</v>
      </c>
      <c r="AW179" s="1"/>
      <c r="AX179" s="1"/>
      <c r="AY179" s="1"/>
      <c r="AZ179" s="1"/>
      <c r="BA179" s="1" t="s">
        <v>60</v>
      </c>
      <c r="BB179" s="1" t="s">
        <v>0</v>
      </c>
      <c r="BC179" s="1"/>
      <c r="BD179" s="1"/>
    </row>
    <row r="180" ht="11.25" customHeight="1">
      <c r="A180" s="1" t="b">
        <v>1</v>
      </c>
      <c r="B180" s="1" t="s">
        <v>1520</v>
      </c>
      <c r="C180" s="1" t="s">
        <v>1521</v>
      </c>
      <c r="D180" s="1" t="s">
        <v>65</v>
      </c>
      <c r="E180" s="1"/>
      <c r="F180" s="1"/>
      <c r="G180" s="1" t="s">
        <v>220</v>
      </c>
      <c r="H180" s="1"/>
      <c r="I180" s="1" t="s">
        <v>68</v>
      </c>
      <c r="J180" s="1" t="s">
        <v>69</v>
      </c>
      <c r="K180" s="1" t="s">
        <v>70</v>
      </c>
      <c r="L180" s="1" t="s">
        <v>0</v>
      </c>
      <c r="M180" s="1" t="b">
        <v>1</v>
      </c>
      <c r="N180" s="1" t="b">
        <v>0</v>
      </c>
      <c r="O180" s="19">
        <v>7000.0</v>
      </c>
      <c r="P180" s="20">
        <v>2.1</v>
      </c>
      <c r="Q180" s="20">
        <v>3333.33</v>
      </c>
      <c r="R180" s="21">
        <v>0.5347925347925347</v>
      </c>
      <c r="S180" s="1" t="s">
        <v>117</v>
      </c>
      <c r="T180" s="1" t="s">
        <v>0</v>
      </c>
      <c r="U180" s="1" t="s">
        <v>80</v>
      </c>
      <c r="V180" s="1" t="s">
        <v>81</v>
      </c>
      <c r="W180" s="1" t="s">
        <v>0</v>
      </c>
      <c r="X180" s="1" t="s">
        <v>0</v>
      </c>
      <c r="Y180" s="22" t="str">
        <f t="shared" si="3"/>
        <v>CO</v>
      </c>
      <c r="Z180" s="20" t="str">
        <f>_xlfn.XLOOKUP($B180,[1]F27!$C:$C,[1]F27!$BV:$BV)</f>
        <v>#ERROR!</v>
      </c>
      <c r="AA180" s="1"/>
      <c r="AB180" s="1"/>
      <c r="AC180" s="23"/>
      <c r="AD180" s="1" t="str">
        <f>_xlfn.XLOOKUP($B180,[1]F27!$C:$C,[1]F27!$Y:$Y)</f>
        <v>#ERROR!</v>
      </c>
      <c r="AE180" s="1" t="str">
        <f>_xlfn.XLOOKUP($B180,[1]F27!$C:$C,[1]F27!$Z:$Z)</f>
        <v>#ERROR!</v>
      </c>
      <c r="AF180" s="1" t="str">
        <f>_xlfn.XLOOKUP($B180,[2]PRICING!$B:$B,[2]PRICING!$B:$B,"MISSING")</f>
        <v>#ERROR!</v>
      </c>
      <c r="AG180" s="1" t="str">
        <f>COUNTIFS([2]ACTIVE_SCO!$B:$B,$B180,[2]ACTIVE_SCO!$P:$P,"Y")</f>
        <v>#ERROR!</v>
      </c>
      <c r="AH180" s="1"/>
      <c r="AI180" s="37" t="s">
        <v>157</v>
      </c>
      <c r="AJ180" s="38" t="s">
        <v>1853</v>
      </c>
      <c r="AK180" s="39" t="s">
        <v>204</v>
      </c>
      <c r="AL180" s="39" t="s">
        <v>0</v>
      </c>
      <c r="AM180" s="1" t="s">
        <v>226</v>
      </c>
      <c r="AN180" s="40" t="s">
        <v>729</v>
      </c>
      <c r="AO180" s="41" t="s">
        <v>226</v>
      </c>
      <c r="AP180" s="41" t="s">
        <v>1742</v>
      </c>
      <c r="AQ180" s="40" t="s">
        <v>0</v>
      </c>
      <c r="AR180" s="39"/>
      <c r="AS180" s="1" t="s">
        <v>68</v>
      </c>
      <c r="AT180" s="1" t="s">
        <v>89</v>
      </c>
      <c r="AU180" s="1" t="s">
        <v>132</v>
      </c>
      <c r="AV180" s="1" t="s">
        <v>91</v>
      </c>
      <c r="AW180" s="1"/>
      <c r="AX180" s="1"/>
      <c r="AY180" s="1"/>
      <c r="AZ180" s="1"/>
      <c r="BA180" s="1" t="s">
        <v>204</v>
      </c>
      <c r="BB180" s="1" t="s">
        <v>0</v>
      </c>
      <c r="BC180" s="1"/>
      <c r="BD180" s="1"/>
    </row>
    <row r="181" ht="11.25" customHeight="1">
      <c r="A181" s="1" t="b">
        <v>1</v>
      </c>
      <c r="B181" s="1" t="s">
        <v>1524</v>
      </c>
      <c r="C181" s="1" t="s">
        <v>1525</v>
      </c>
      <c r="D181" s="1" t="s">
        <v>65</v>
      </c>
      <c r="E181" s="1"/>
      <c r="F181" s="1"/>
      <c r="G181" s="1" t="s">
        <v>220</v>
      </c>
      <c r="H181" s="1"/>
      <c r="I181" s="1" t="s">
        <v>68</v>
      </c>
      <c r="J181" s="1" t="s">
        <v>69</v>
      </c>
      <c r="K181" s="1" t="s">
        <v>107</v>
      </c>
      <c r="L181" s="1" t="s">
        <v>0</v>
      </c>
      <c r="M181" s="1" t="b">
        <v>1</v>
      </c>
      <c r="N181" s="1" t="b">
        <v>0</v>
      </c>
      <c r="O181" s="19">
        <v>7000.0</v>
      </c>
      <c r="P181" s="20">
        <v>2.1</v>
      </c>
      <c r="Q181" s="20">
        <v>3333.33</v>
      </c>
      <c r="R181" s="21">
        <v>0.5736035736035736</v>
      </c>
      <c r="S181" s="1" t="s">
        <v>117</v>
      </c>
      <c r="T181" s="1" t="s">
        <v>0</v>
      </c>
      <c r="U181" s="1" t="s">
        <v>80</v>
      </c>
      <c r="V181" s="1" t="s">
        <v>81</v>
      </c>
      <c r="W181" s="1" t="s">
        <v>0</v>
      </c>
      <c r="X181" s="1" t="s">
        <v>0</v>
      </c>
      <c r="Y181" s="22" t="str">
        <f t="shared" si="3"/>
        <v>CO</v>
      </c>
      <c r="Z181" s="20" t="str">
        <f>_xlfn.XLOOKUP($B181,[1]F27!$C:$C,[1]F27!$BV:$BV)</f>
        <v>#ERROR!</v>
      </c>
      <c r="AA181" s="1"/>
      <c r="AB181" s="1"/>
      <c r="AC181" s="23"/>
      <c r="AD181" s="1" t="str">
        <f>_xlfn.XLOOKUP($B181,[1]F27!$C:$C,[1]F27!$Y:$Y)</f>
        <v>#ERROR!</v>
      </c>
      <c r="AE181" s="1" t="str">
        <f>_xlfn.XLOOKUP($B181,[1]F27!$C:$C,[1]F27!$Z:$Z)</f>
        <v>#ERROR!</v>
      </c>
      <c r="AF181" s="1" t="str">
        <f>_xlfn.XLOOKUP($B181,[2]PRICING!$B:$B,[2]PRICING!$B:$B,"MISSING")</f>
        <v>#ERROR!</v>
      </c>
      <c r="AG181" s="1" t="str">
        <f>COUNTIFS([2]ACTIVE_SCO!$B:$B,$B181,[2]ACTIVE_SCO!$P:$P,"Y")</f>
        <v>#ERROR!</v>
      </c>
      <c r="AH181" s="1"/>
      <c r="AI181" s="37" t="s">
        <v>157</v>
      </c>
      <c r="AJ181" s="38" t="s">
        <v>1855</v>
      </c>
      <c r="AK181" s="39" t="s">
        <v>204</v>
      </c>
      <c r="AL181" s="39" t="s">
        <v>0</v>
      </c>
      <c r="AM181" s="1" t="s">
        <v>226</v>
      </c>
      <c r="AN181" s="40" t="s">
        <v>729</v>
      </c>
      <c r="AO181" s="41" t="s">
        <v>226</v>
      </c>
      <c r="AP181" s="41" t="s">
        <v>1742</v>
      </c>
      <c r="AQ181" s="40" t="s">
        <v>0</v>
      </c>
      <c r="AR181" s="39"/>
      <c r="AS181" s="1" t="s">
        <v>68</v>
      </c>
      <c r="AT181" s="1" t="s">
        <v>89</v>
      </c>
      <c r="AU181" s="1" t="s">
        <v>132</v>
      </c>
      <c r="AV181" s="1" t="s">
        <v>91</v>
      </c>
      <c r="AW181" s="1"/>
      <c r="AX181" s="1"/>
      <c r="AY181" s="1"/>
      <c r="AZ181" s="1"/>
      <c r="BA181" s="1" t="s">
        <v>204</v>
      </c>
      <c r="BB181" s="1" t="s">
        <v>0</v>
      </c>
      <c r="BC181" s="1"/>
      <c r="BD181" s="1"/>
    </row>
    <row r="182" ht="11.25" customHeight="1">
      <c r="A182" s="1" t="b">
        <v>1</v>
      </c>
      <c r="B182" s="1" t="s">
        <v>726</v>
      </c>
      <c r="C182" s="1" t="s">
        <v>727</v>
      </c>
      <c r="D182" s="1" t="s">
        <v>65</v>
      </c>
      <c r="E182" s="1"/>
      <c r="F182" s="1"/>
      <c r="G182" s="1" t="s">
        <v>220</v>
      </c>
      <c r="H182" s="1"/>
      <c r="I182" s="1" t="s">
        <v>270</v>
      </c>
      <c r="J182" s="1" t="s">
        <v>69</v>
      </c>
      <c r="K182" s="1" t="s">
        <v>70</v>
      </c>
      <c r="L182" s="1" t="s">
        <v>0</v>
      </c>
      <c r="M182" s="1" t="b">
        <v>1</v>
      </c>
      <c r="N182" s="1" t="b">
        <v>0</v>
      </c>
      <c r="O182" s="19">
        <v>2200.0</v>
      </c>
      <c r="P182" s="20">
        <v>2.1</v>
      </c>
      <c r="Q182" s="20">
        <v>1047.62</v>
      </c>
      <c r="R182" s="21">
        <v>0.580926290067009</v>
      </c>
      <c r="S182" s="1" t="s">
        <v>117</v>
      </c>
      <c r="T182" s="1" t="s">
        <v>0</v>
      </c>
      <c r="U182" s="1" t="s">
        <v>81</v>
      </c>
      <c r="V182" s="1" t="s">
        <v>81</v>
      </c>
      <c r="W182" s="1" t="s">
        <v>0</v>
      </c>
      <c r="X182" s="1" t="s">
        <v>0</v>
      </c>
      <c r="Y182" s="22" t="str">
        <f t="shared" si="3"/>
        <v>CO</v>
      </c>
      <c r="Z182" s="20" t="str">
        <f>_xlfn.XLOOKUP($B182,[1]F27!$C:$C,[1]F27!$BV:$BV)</f>
        <v>#ERROR!</v>
      </c>
      <c r="AA182" s="1"/>
      <c r="AB182" s="1"/>
      <c r="AC182" s="23"/>
      <c r="AD182" s="1" t="str">
        <f>_xlfn.XLOOKUP($B182,[1]F27!$C:$C,[1]F27!$Y:$Y)</f>
        <v>#ERROR!</v>
      </c>
      <c r="AE182" s="1" t="str">
        <f>_xlfn.XLOOKUP($B182,[1]F27!$C:$C,[1]F27!$Z:$Z)</f>
        <v>#ERROR!</v>
      </c>
      <c r="AF182" s="1" t="str">
        <f>_xlfn.XLOOKUP($B182,[2]PRICING!$B:$B,[2]PRICING!$B:$B,"MISSING")</f>
        <v>#ERROR!</v>
      </c>
      <c r="AG182" s="1" t="str">
        <f>COUNTIFS([2]ACTIVE_SCO!$B:$B,$B182,[2]ACTIVE_SCO!$P:$P,"Y")</f>
        <v>#ERROR!</v>
      </c>
      <c r="AH182" s="1"/>
      <c r="AI182" s="37" t="s">
        <v>157</v>
      </c>
      <c r="AJ182" s="38" t="s">
        <v>1856</v>
      </c>
      <c r="AK182" s="39" t="s">
        <v>204</v>
      </c>
      <c r="AL182" s="39" t="s">
        <v>0</v>
      </c>
      <c r="AM182" s="1" t="s">
        <v>226</v>
      </c>
      <c r="AN182" s="40" t="s">
        <v>729</v>
      </c>
      <c r="AO182" s="41" t="s">
        <v>226</v>
      </c>
      <c r="AP182" s="41" t="s">
        <v>1742</v>
      </c>
      <c r="AQ182" s="40" t="s">
        <v>0</v>
      </c>
      <c r="AR182" s="39"/>
      <c r="AS182" s="1" t="s">
        <v>276</v>
      </c>
      <c r="AT182" s="1" t="s">
        <v>89</v>
      </c>
      <c r="AU182" s="1" t="s">
        <v>501</v>
      </c>
      <c r="AV182" s="1" t="s">
        <v>131</v>
      </c>
      <c r="AW182" s="1"/>
      <c r="AX182" s="1"/>
      <c r="AY182" s="1"/>
      <c r="AZ182" s="1"/>
      <c r="BA182" s="1" t="s">
        <v>204</v>
      </c>
      <c r="BB182" s="1" t="s">
        <v>0</v>
      </c>
      <c r="BC182" s="1"/>
      <c r="BD182" s="1"/>
    </row>
    <row r="183" ht="11.25" customHeight="1">
      <c r="A183" s="1" t="b">
        <v>1</v>
      </c>
      <c r="B183" s="1" t="s">
        <v>732</v>
      </c>
      <c r="C183" s="1" t="s">
        <v>733</v>
      </c>
      <c r="D183" s="1" t="s">
        <v>65</v>
      </c>
      <c r="E183" s="1"/>
      <c r="F183" s="1"/>
      <c r="G183" s="1" t="s">
        <v>220</v>
      </c>
      <c r="H183" s="1"/>
      <c r="I183" s="1" t="s">
        <v>270</v>
      </c>
      <c r="J183" s="1" t="s">
        <v>69</v>
      </c>
      <c r="K183" s="1" t="s">
        <v>107</v>
      </c>
      <c r="L183" s="1" t="s">
        <v>0</v>
      </c>
      <c r="M183" s="1" t="b">
        <v>1</v>
      </c>
      <c r="N183" s="1" t="b">
        <v>0</v>
      </c>
      <c r="O183" s="19">
        <v>2200.0</v>
      </c>
      <c r="P183" s="20">
        <v>2.1</v>
      </c>
      <c r="Q183" s="20">
        <v>1047.62</v>
      </c>
      <c r="R183" s="21">
        <v>0.6271644298505183</v>
      </c>
      <c r="S183" s="1" t="s">
        <v>117</v>
      </c>
      <c r="T183" s="1" t="s">
        <v>0</v>
      </c>
      <c r="U183" s="1" t="s">
        <v>81</v>
      </c>
      <c r="V183" s="1" t="s">
        <v>81</v>
      </c>
      <c r="W183" s="1" t="s">
        <v>0</v>
      </c>
      <c r="X183" s="1" t="s">
        <v>0</v>
      </c>
      <c r="Y183" s="22" t="str">
        <f t="shared" si="3"/>
        <v>CO</v>
      </c>
      <c r="Z183" s="20" t="str">
        <f>_xlfn.XLOOKUP($B183,[1]F27!$C:$C,[1]F27!$BV:$BV)</f>
        <v>#ERROR!</v>
      </c>
      <c r="AA183" s="1"/>
      <c r="AB183" s="1"/>
      <c r="AC183" s="23"/>
      <c r="AD183" s="1" t="str">
        <f>_xlfn.XLOOKUP($B183,[1]F27!$C:$C,[1]F27!$Y:$Y)</f>
        <v>#ERROR!</v>
      </c>
      <c r="AE183" s="1" t="str">
        <f>_xlfn.XLOOKUP($B183,[1]F27!$C:$C,[1]F27!$Z:$Z)</f>
        <v>#ERROR!</v>
      </c>
      <c r="AF183" s="1" t="str">
        <f>_xlfn.XLOOKUP($B183,[2]PRICING!$B:$B,[2]PRICING!$B:$B,"MISSING")</f>
        <v>#ERROR!</v>
      </c>
      <c r="AG183" s="1" t="str">
        <f>COUNTIFS([2]ACTIVE_SCO!$B:$B,$B183,[2]ACTIVE_SCO!$P:$P,"Y")</f>
        <v>#ERROR!</v>
      </c>
      <c r="AH183" s="1"/>
      <c r="AI183" s="37" t="s">
        <v>157</v>
      </c>
      <c r="AJ183" s="38" t="s">
        <v>1859</v>
      </c>
      <c r="AK183" s="39" t="s">
        <v>204</v>
      </c>
      <c r="AL183" s="39" t="s">
        <v>0</v>
      </c>
      <c r="AM183" s="1" t="s">
        <v>226</v>
      </c>
      <c r="AN183" s="40" t="s">
        <v>729</v>
      </c>
      <c r="AO183" s="41" t="s">
        <v>226</v>
      </c>
      <c r="AP183" s="41" t="s">
        <v>1742</v>
      </c>
      <c r="AQ183" s="40" t="s">
        <v>0</v>
      </c>
      <c r="AR183" s="39"/>
      <c r="AS183" s="1" t="s">
        <v>276</v>
      </c>
      <c r="AT183" s="1" t="s">
        <v>89</v>
      </c>
      <c r="AU183" s="1" t="s">
        <v>501</v>
      </c>
      <c r="AV183" s="1" t="s">
        <v>131</v>
      </c>
      <c r="AW183" s="1"/>
      <c r="AX183" s="1"/>
      <c r="AY183" s="1"/>
      <c r="AZ183" s="1"/>
      <c r="BA183" s="1" t="s">
        <v>204</v>
      </c>
      <c r="BB183" s="1" t="s">
        <v>0</v>
      </c>
      <c r="BC183" s="1"/>
      <c r="BD183" s="1"/>
    </row>
    <row r="184" ht="11.25" customHeight="1">
      <c r="A184" s="1" t="b">
        <v>1</v>
      </c>
      <c r="B184" s="1" t="s">
        <v>679</v>
      </c>
      <c r="C184" s="1" t="s">
        <v>680</v>
      </c>
      <c r="D184" s="1" t="s">
        <v>65</v>
      </c>
      <c r="E184" s="1"/>
      <c r="F184" s="1"/>
      <c r="G184" s="1" t="s">
        <v>66</v>
      </c>
      <c r="H184" s="1"/>
      <c r="I184" s="1" t="s">
        <v>113</v>
      </c>
      <c r="J184" s="1" t="s">
        <v>69</v>
      </c>
      <c r="K184" s="1" t="s">
        <v>107</v>
      </c>
      <c r="L184" s="1" t="s">
        <v>0</v>
      </c>
      <c r="M184" s="1" t="b">
        <v>1</v>
      </c>
      <c r="N184" s="1" t="b">
        <v>0</v>
      </c>
      <c r="O184" s="19">
        <v>2000.0</v>
      </c>
      <c r="P184" s="20">
        <v>2.1</v>
      </c>
      <c r="Q184" s="20">
        <v>952.38</v>
      </c>
      <c r="R184" s="21">
        <v>0.5856065856065855</v>
      </c>
      <c r="S184" s="1" t="s">
        <v>242</v>
      </c>
      <c r="T184" s="1" t="s">
        <v>0</v>
      </c>
      <c r="U184" s="1" t="s">
        <v>81</v>
      </c>
      <c r="V184" s="1" t="s">
        <v>81</v>
      </c>
      <c r="W184" s="1" t="s">
        <v>0</v>
      </c>
      <c r="X184" s="1" t="s">
        <v>0</v>
      </c>
      <c r="Y184" s="22" t="str">
        <f t="shared" si="3"/>
        <v>CO</v>
      </c>
      <c r="Z184" s="20" t="str">
        <f>_xlfn.XLOOKUP($B184,[1]F27!$C:$C,[1]F27!$BV:$BV)</f>
        <v>#ERROR!</v>
      </c>
      <c r="AA184" s="1"/>
      <c r="AB184" s="1"/>
      <c r="AC184" s="23"/>
      <c r="AD184" s="1" t="str">
        <f>_xlfn.XLOOKUP($B184,[1]F27!$C:$C,[1]F27!$Y:$Y)</f>
        <v>#ERROR!</v>
      </c>
      <c r="AE184" s="1" t="str">
        <f>_xlfn.XLOOKUP($B184,[1]F27!$C:$C,[1]F27!$Z:$Z)</f>
        <v>#ERROR!</v>
      </c>
      <c r="AF184" s="1" t="str">
        <f>_xlfn.XLOOKUP($B184,[2]PRICING!$B:$B,[2]PRICING!$B:$B,"MISSING")</f>
        <v>#ERROR!</v>
      </c>
      <c r="AG184" s="1" t="str">
        <f>COUNTIFS([2]ACTIVE_SCO!$B:$B,$B184,[2]ACTIVE_SCO!$P:$P,"Y")</f>
        <v>#ERROR!</v>
      </c>
      <c r="AH184" s="1"/>
      <c r="AI184" s="37" t="s">
        <v>157</v>
      </c>
      <c r="AJ184" s="73" t="s">
        <v>1640</v>
      </c>
      <c r="AK184" s="39" t="s">
        <v>417</v>
      </c>
      <c r="AL184" s="39" t="s">
        <v>0</v>
      </c>
      <c r="AM184" s="1" t="s">
        <v>86</v>
      </c>
      <c r="AN184" s="40" t="s">
        <v>121</v>
      </c>
      <c r="AO184" s="41" t="s">
        <v>86</v>
      </c>
      <c r="AP184" s="41" t="s">
        <v>121</v>
      </c>
      <c r="AQ184" s="40" t="s">
        <v>0</v>
      </c>
      <c r="AR184" s="39"/>
      <c r="AS184" s="1" t="s">
        <v>126</v>
      </c>
      <c r="AT184" s="1" t="s">
        <v>128</v>
      </c>
      <c r="AU184" s="1" t="s">
        <v>130</v>
      </c>
      <c r="AV184" s="1" t="s">
        <v>131</v>
      </c>
      <c r="AW184" s="1"/>
      <c r="AX184" s="1"/>
      <c r="AY184" s="1"/>
      <c r="AZ184" s="1"/>
      <c r="BA184" s="1" t="s">
        <v>417</v>
      </c>
      <c r="BB184" s="1" t="s">
        <v>0</v>
      </c>
      <c r="BC184" s="1"/>
      <c r="BD184" s="1"/>
    </row>
    <row r="185" ht="11.25" customHeight="1">
      <c r="A185" s="1" t="b">
        <v>1</v>
      </c>
      <c r="B185" s="1" t="s">
        <v>1776</v>
      </c>
      <c r="C185" s="1" t="s">
        <v>1777</v>
      </c>
      <c r="D185" s="1" t="s">
        <v>65</v>
      </c>
      <c r="E185" s="1"/>
      <c r="F185" s="1"/>
      <c r="G185" s="1" t="s">
        <v>66</v>
      </c>
      <c r="H185" s="1"/>
      <c r="I185" s="1" t="s">
        <v>248</v>
      </c>
      <c r="J185" s="1" t="s">
        <v>69</v>
      </c>
      <c r="K185" s="1" t="s">
        <v>249</v>
      </c>
      <c r="L185" s="1" t="s">
        <v>0</v>
      </c>
      <c r="M185" s="1" t="b">
        <v>0</v>
      </c>
      <c r="N185" s="1" t="b">
        <v>0</v>
      </c>
      <c r="O185" s="19">
        <v>600.0</v>
      </c>
      <c r="P185" s="20">
        <v>2.1</v>
      </c>
      <c r="Q185" s="20">
        <v>285.71</v>
      </c>
      <c r="R185" s="21">
        <v>0.5942739141087117</v>
      </c>
      <c r="S185" s="1" t="s">
        <v>117</v>
      </c>
      <c r="T185" s="1" t="s">
        <v>0</v>
      </c>
      <c r="U185" s="1" t="s">
        <v>81</v>
      </c>
      <c r="V185" s="1" t="s">
        <v>81</v>
      </c>
      <c r="W185" s="1" t="s">
        <v>0</v>
      </c>
      <c r="X185" s="1" t="s">
        <v>0</v>
      </c>
      <c r="Y185" s="22" t="str">
        <f t="shared" si="3"/>
        <v>NEW</v>
      </c>
      <c r="Z185" s="20" t="str">
        <f>_xlfn.XLOOKUP($B185,[1]F27!$C:$C,[1]F27!$BV:$BV)</f>
        <v>#ERROR!</v>
      </c>
      <c r="AA185" s="1"/>
      <c r="AB185" s="1"/>
      <c r="AC185" s="23"/>
      <c r="AD185" s="1" t="str">
        <f>_xlfn.XLOOKUP($B185,[1]F27!$C:$C,[1]F27!$Y:$Y)</f>
        <v>#ERROR!</v>
      </c>
      <c r="AE185" s="1" t="str">
        <f>_xlfn.XLOOKUP($B185,[1]F27!$C:$C,[1]F27!$Z:$Z)</f>
        <v>#ERROR!</v>
      </c>
      <c r="AF185" s="1" t="str">
        <f>_xlfn.XLOOKUP($B185,[2]PRICING!$B:$B,[2]PRICING!$B:$B,"MISSING")</f>
        <v>#ERROR!</v>
      </c>
      <c r="AG185" s="1" t="str">
        <f>COUNTIFS([2]ACTIVE_SCO!$B:$B,$B185,[2]ACTIVE_SCO!$P:$P,"Y")</f>
        <v>#ERROR!</v>
      </c>
      <c r="AH185" s="1"/>
      <c r="AI185" s="37" t="s">
        <v>157</v>
      </c>
      <c r="AJ185" s="38" t="s">
        <v>1862</v>
      </c>
      <c r="AK185" s="39" t="s">
        <v>366</v>
      </c>
      <c r="AL185" s="39" t="s">
        <v>0</v>
      </c>
      <c r="AM185" s="1" t="s">
        <v>125</v>
      </c>
      <c r="AN185" s="40" t="s">
        <v>127</v>
      </c>
      <c r="AO185" s="41" t="s">
        <v>125</v>
      </c>
      <c r="AP185" s="39"/>
      <c r="AQ185" s="40" t="s">
        <v>0</v>
      </c>
      <c r="AR185" s="54"/>
      <c r="AS185" s="1" t="s">
        <v>248</v>
      </c>
      <c r="AT185" s="1" t="s">
        <v>253</v>
      </c>
      <c r="AU185" s="1" t="s">
        <v>291</v>
      </c>
      <c r="AV185" s="1" t="s">
        <v>131</v>
      </c>
      <c r="AW185" s="1"/>
      <c r="AX185" s="1"/>
      <c r="AY185" s="1"/>
      <c r="AZ185" s="1"/>
      <c r="BA185" s="1" t="s">
        <v>366</v>
      </c>
      <c r="BB185" s="1" t="s">
        <v>0</v>
      </c>
      <c r="BC185" s="1"/>
      <c r="BD185" s="1"/>
    </row>
    <row r="186" ht="11.25" customHeight="1">
      <c r="A186" s="1" t="b">
        <v>1</v>
      </c>
      <c r="B186" s="1" t="s">
        <v>745</v>
      </c>
      <c r="C186" s="1" t="s">
        <v>747</v>
      </c>
      <c r="D186" s="1" t="s">
        <v>65</v>
      </c>
      <c r="E186" s="1"/>
      <c r="F186" s="1"/>
      <c r="G186" s="1" t="s">
        <v>66</v>
      </c>
      <c r="H186" s="1"/>
      <c r="I186" s="1" t="s">
        <v>334</v>
      </c>
      <c r="J186" s="1" t="s">
        <v>69</v>
      </c>
      <c r="K186" s="1" t="s">
        <v>70</v>
      </c>
      <c r="L186" s="1" t="s">
        <v>0</v>
      </c>
      <c r="M186" s="1" t="b">
        <v>1</v>
      </c>
      <c r="N186" s="1" t="b">
        <v>0</v>
      </c>
      <c r="O186" s="19">
        <v>450.0</v>
      </c>
      <c r="P186" s="20">
        <v>2.1</v>
      </c>
      <c r="Q186" s="20">
        <v>214.29</v>
      </c>
      <c r="R186" s="21">
        <v>0.622240888515563</v>
      </c>
      <c r="S186" s="1" t="s">
        <v>117</v>
      </c>
      <c r="T186" s="1" t="s">
        <v>0</v>
      </c>
      <c r="U186" s="1" t="s">
        <v>81</v>
      </c>
      <c r="V186" s="1" t="s">
        <v>81</v>
      </c>
      <c r="W186" s="1" t="s">
        <v>0</v>
      </c>
      <c r="X186" s="1" t="s">
        <v>0</v>
      </c>
      <c r="Y186" s="22" t="str">
        <f t="shared" si="3"/>
        <v>CO</v>
      </c>
      <c r="Z186" s="20" t="str">
        <f>_xlfn.XLOOKUP($B186,[1]F27!$C:$C,[1]F27!$BV:$BV)</f>
        <v>#ERROR!</v>
      </c>
      <c r="AA186" s="1"/>
      <c r="AB186" s="1"/>
      <c r="AC186" s="23"/>
      <c r="AD186" s="1" t="str">
        <f>_xlfn.XLOOKUP($B186,[1]F27!$C:$C,[1]F27!$Y:$Y)</f>
        <v>#ERROR!</v>
      </c>
      <c r="AE186" s="1" t="str">
        <f>_xlfn.XLOOKUP($B186,[1]F27!$C:$C,[1]F27!$Z:$Z)</f>
        <v>#ERROR!</v>
      </c>
      <c r="AF186" s="1" t="str">
        <f>_xlfn.XLOOKUP($B186,[2]PRICING!$B:$B,[2]PRICING!$B:$B,"MISSING")</f>
        <v>#ERROR!</v>
      </c>
      <c r="AG186" s="1" t="str">
        <f>COUNTIFS([2]ACTIVE_SCO!$B:$B,$B186,[2]ACTIVE_SCO!$P:$P,"Y")</f>
        <v>#ERROR!</v>
      </c>
      <c r="AH186" s="1"/>
      <c r="AI186" s="37" t="s">
        <v>157</v>
      </c>
      <c r="AJ186" s="38" t="s">
        <v>1863</v>
      </c>
      <c r="AK186" s="39" t="s">
        <v>294</v>
      </c>
      <c r="AL186" s="39" t="s">
        <v>0</v>
      </c>
      <c r="AM186" s="1" t="s">
        <v>125</v>
      </c>
      <c r="AN186" s="40" t="s">
        <v>174</v>
      </c>
      <c r="AO186" s="41" t="s">
        <v>776</v>
      </c>
      <c r="AP186" s="41" t="s">
        <v>777</v>
      </c>
      <c r="AQ186" s="40" t="s">
        <v>0</v>
      </c>
      <c r="AR186" s="54"/>
      <c r="AS186" s="1" t="s">
        <v>334</v>
      </c>
      <c r="AT186" s="1" t="s">
        <v>348</v>
      </c>
      <c r="AU186" s="1" t="s">
        <v>338</v>
      </c>
      <c r="AV186" s="1" t="s">
        <v>131</v>
      </c>
      <c r="AW186" s="1"/>
      <c r="AX186" s="1"/>
      <c r="AY186" s="1"/>
      <c r="AZ186" s="1"/>
      <c r="BA186" s="1" t="s">
        <v>294</v>
      </c>
      <c r="BB186" s="1" t="s">
        <v>0</v>
      </c>
      <c r="BC186" s="1"/>
      <c r="BD186" s="1"/>
    </row>
    <row r="187" ht="11.25" customHeight="1">
      <c r="A187" s="1" t="b">
        <v>1</v>
      </c>
      <c r="B187" s="1" t="s">
        <v>748</v>
      </c>
      <c r="C187" s="1" t="s">
        <v>749</v>
      </c>
      <c r="D187" s="1" t="s">
        <v>65</v>
      </c>
      <c r="E187" s="1"/>
      <c r="F187" s="1"/>
      <c r="G187" s="1" t="s">
        <v>66</v>
      </c>
      <c r="H187" s="1"/>
      <c r="I187" s="1" t="s">
        <v>334</v>
      </c>
      <c r="J187" s="1" t="s">
        <v>69</v>
      </c>
      <c r="K187" s="1" t="s">
        <v>107</v>
      </c>
      <c r="L187" s="1" t="s">
        <v>0</v>
      </c>
      <c r="M187" s="1" t="b">
        <v>1</v>
      </c>
      <c r="N187" s="1" t="b">
        <v>0</v>
      </c>
      <c r="O187" s="19">
        <v>450.0</v>
      </c>
      <c r="P187" s="20">
        <v>2.1</v>
      </c>
      <c r="Q187" s="20">
        <v>214.29</v>
      </c>
      <c r="R187" s="21">
        <v>0.6421671566568667</v>
      </c>
      <c r="S187" s="1" t="s">
        <v>117</v>
      </c>
      <c r="T187" s="1" t="s">
        <v>0</v>
      </c>
      <c r="U187" s="1" t="s">
        <v>81</v>
      </c>
      <c r="V187" s="1" t="s">
        <v>81</v>
      </c>
      <c r="W187" s="1" t="s">
        <v>0</v>
      </c>
      <c r="X187" s="1" t="s">
        <v>0</v>
      </c>
      <c r="Y187" s="22" t="str">
        <f t="shared" si="3"/>
        <v>CO</v>
      </c>
      <c r="Z187" s="20" t="str">
        <f>_xlfn.XLOOKUP($B187,[1]F27!$C:$C,[1]F27!$BV:$BV)</f>
        <v>#ERROR!</v>
      </c>
      <c r="AA187" s="1"/>
      <c r="AB187" s="1"/>
      <c r="AC187" s="23"/>
      <c r="AD187" s="1" t="str">
        <f>_xlfn.XLOOKUP($B187,[1]F27!$C:$C,[1]F27!$Y:$Y)</f>
        <v>#ERROR!</v>
      </c>
      <c r="AE187" s="1" t="str">
        <f>_xlfn.XLOOKUP($B187,[1]F27!$C:$C,[1]F27!$Z:$Z)</f>
        <v>#ERROR!</v>
      </c>
      <c r="AF187" s="1" t="str">
        <f>_xlfn.XLOOKUP($B187,[2]PRICING!$B:$B,[2]PRICING!$B:$B,"MISSING")</f>
        <v>#ERROR!</v>
      </c>
      <c r="AG187" s="1" t="str">
        <f>COUNTIFS([2]ACTIVE_SCO!$B:$B,$B187,[2]ACTIVE_SCO!$P:$P,"Y")</f>
        <v>#ERROR!</v>
      </c>
      <c r="AH187" s="1"/>
      <c r="AI187" s="37" t="s">
        <v>157</v>
      </c>
      <c r="AJ187" s="38" t="s">
        <v>1864</v>
      </c>
      <c r="AK187" s="39" t="s">
        <v>294</v>
      </c>
      <c r="AL187" s="39" t="s">
        <v>0</v>
      </c>
      <c r="AM187" s="1" t="s">
        <v>125</v>
      </c>
      <c r="AN187" s="40" t="s">
        <v>174</v>
      </c>
      <c r="AO187" s="41" t="s">
        <v>776</v>
      </c>
      <c r="AP187" s="41" t="s">
        <v>777</v>
      </c>
      <c r="AQ187" s="40" t="s">
        <v>0</v>
      </c>
      <c r="AR187" s="54"/>
      <c r="AS187" s="1" t="s">
        <v>334</v>
      </c>
      <c r="AT187" s="1" t="s">
        <v>348</v>
      </c>
      <c r="AU187" s="1" t="s">
        <v>338</v>
      </c>
      <c r="AV187" s="1" t="s">
        <v>131</v>
      </c>
      <c r="AW187" s="1"/>
      <c r="AX187" s="1"/>
      <c r="AY187" s="1"/>
      <c r="AZ187" s="1"/>
      <c r="BA187" s="1" t="s">
        <v>294</v>
      </c>
      <c r="BB187" s="1" t="s">
        <v>0</v>
      </c>
      <c r="BC187" s="1"/>
      <c r="BD187" s="1"/>
    </row>
    <row r="188" ht="11.25" customHeight="1">
      <c r="A188" s="1" t="b">
        <v>1</v>
      </c>
      <c r="B188" s="1" t="s">
        <v>753</v>
      </c>
      <c r="C188" s="1" t="s">
        <v>754</v>
      </c>
      <c r="D188" s="1" t="s">
        <v>65</v>
      </c>
      <c r="E188" s="1"/>
      <c r="F188" s="1"/>
      <c r="G188" s="1" t="s">
        <v>66</v>
      </c>
      <c r="H188" s="1"/>
      <c r="I188" s="1" t="s">
        <v>334</v>
      </c>
      <c r="J188" s="1" t="s">
        <v>69</v>
      </c>
      <c r="K188" s="1" t="s">
        <v>70</v>
      </c>
      <c r="L188" s="1" t="s">
        <v>0</v>
      </c>
      <c r="M188" s="1" t="b">
        <v>1</v>
      </c>
      <c r="N188" s="1" t="b">
        <v>0</v>
      </c>
      <c r="O188" s="19">
        <v>400.0</v>
      </c>
      <c r="P188" s="20">
        <v>2.1</v>
      </c>
      <c r="Q188" s="20">
        <v>190.48</v>
      </c>
      <c r="R188" s="21">
        <v>0.6348173036539269</v>
      </c>
      <c r="S188" s="1" t="s">
        <v>78</v>
      </c>
      <c r="T188" s="1" t="s">
        <v>0</v>
      </c>
      <c r="U188" s="1" t="s">
        <v>81</v>
      </c>
      <c r="V188" s="1" t="s">
        <v>81</v>
      </c>
      <c r="W188" s="1" t="s">
        <v>0</v>
      </c>
      <c r="X188" s="1" t="s">
        <v>0</v>
      </c>
      <c r="Y188" s="22" t="str">
        <f t="shared" si="3"/>
        <v>CO</v>
      </c>
      <c r="Z188" s="20" t="str">
        <f>_xlfn.XLOOKUP($B188,[1]F27!$C:$C,[1]F27!$BV:$BV)</f>
        <v>#ERROR!</v>
      </c>
      <c r="AA188" s="1"/>
      <c r="AB188" s="1"/>
      <c r="AC188" s="23"/>
      <c r="AD188" s="1" t="str">
        <f>_xlfn.XLOOKUP($B188,[1]F27!$C:$C,[1]F27!$Y:$Y)</f>
        <v>#ERROR!</v>
      </c>
      <c r="AE188" s="1" t="str">
        <f>_xlfn.XLOOKUP($B188,[1]F27!$C:$C,[1]F27!$Z:$Z)</f>
        <v>#ERROR!</v>
      </c>
      <c r="AF188" s="1" t="str">
        <f>_xlfn.XLOOKUP($B188,[2]PRICING!$B:$B,[2]PRICING!$B:$B,"MISSING")</f>
        <v>#ERROR!</v>
      </c>
      <c r="AG188" s="1" t="str">
        <f>COUNTIFS([2]ACTIVE_SCO!$B:$B,$B188,[2]ACTIVE_SCO!$P:$P,"Y")</f>
        <v>#ERROR!</v>
      </c>
      <c r="AH188" s="1"/>
      <c r="AI188" s="37" t="s">
        <v>157</v>
      </c>
      <c r="AJ188" s="38" t="s">
        <v>1867</v>
      </c>
      <c r="AK188" s="39" t="s">
        <v>417</v>
      </c>
      <c r="AL188" s="39" t="s">
        <v>0</v>
      </c>
      <c r="AM188" s="1" t="s">
        <v>125</v>
      </c>
      <c r="AN188" s="40" t="s">
        <v>174</v>
      </c>
      <c r="AO188" s="41" t="s">
        <v>776</v>
      </c>
      <c r="AP188" s="41" t="s">
        <v>777</v>
      </c>
      <c r="AQ188" s="40" t="s">
        <v>0</v>
      </c>
      <c r="AR188" s="54"/>
      <c r="AS188" s="1" t="s">
        <v>334</v>
      </c>
      <c r="AT188" s="1" t="s">
        <v>348</v>
      </c>
      <c r="AU188" s="1" t="s">
        <v>338</v>
      </c>
      <c r="AV188" s="1" t="s">
        <v>131</v>
      </c>
      <c r="AW188" s="1"/>
      <c r="AX188" s="1"/>
      <c r="AY188" s="1"/>
      <c r="AZ188" s="1"/>
      <c r="BA188" s="1" t="s">
        <v>417</v>
      </c>
      <c r="BB188" s="1" t="s">
        <v>0</v>
      </c>
      <c r="BC188" s="1"/>
      <c r="BD188" s="1"/>
    </row>
    <row r="189" ht="11.25" customHeight="1">
      <c r="A189" s="1" t="b">
        <v>1</v>
      </c>
      <c r="B189" s="1" t="s">
        <v>757</v>
      </c>
      <c r="C189" s="1" t="s">
        <v>758</v>
      </c>
      <c r="D189" s="1" t="s">
        <v>65</v>
      </c>
      <c r="E189" s="1"/>
      <c r="F189" s="1"/>
      <c r="G189" s="1" t="s">
        <v>66</v>
      </c>
      <c r="H189" s="1"/>
      <c r="I189" s="1" t="s">
        <v>334</v>
      </c>
      <c r="J189" s="1" t="s">
        <v>69</v>
      </c>
      <c r="K189" s="1" t="s">
        <v>107</v>
      </c>
      <c r="L189" s="1" t="s">
        <v>0</v>
      </c>
      <c r="M189" s="1" t="b">
        <v>1</v>
      </c>
      <c r="N189" s="1" t="b">
        <v>0</v>
      </c>
      <c r="O189" s="19">
        <v>400.0</v>
      </c>
      <c r="P189" s="20">
        <v>2.1</v>
      </c>
      <c r="Q189" s="20">
        <v>190.48</v>
      </c>
      <c r="R189" s="21">
        <v>0.6503569928601428</v>
      </c>
      <c r="S189" s="1" t="s">
        <v>78</v>
      </c>
      <c r="T189" s="1" t="s">
        <v>0</v>
      </c>
      <c r="U189" s="1" t="s">
        <v>81</v>
      </c>
      <c r="V189" s="1" t="s">
        <v>81</v>
      </c>
      <c r="W189" s="1" t="s">
        <v>0</v>
      </c>
      <c r="X189" s="1" t="s">
        <v>0</v>
      </c>
      <c r="Y189" s="22" t="str">
        <f t="shared" si="3"/>
        <v>CO</v>
      </c>
      <c r="Z189" s="20" t="str">
        <f>_xlfn.XLOOKUP($B189,[1]F27!$C:$C,[1]F27!$BV:$BV)</f>
        <v>#ERROR!</v>
      </c>
      <c r="AA189" s="1"/>
      <c r="AB189" s="1"/>
      <c r="AC189" s="23"/>
      <c r="AD189" s="1" t="str">
        <f>_xlfn.XLOOKUP($B189,[1]F27!$C:$C,[1]F27!$Y:$Y)</f>
        <v>#ERROR!</v>
      </c>
      <c r="AE189" s="1" t="str">
        <f>_xlfn.XLOOKUP($B189,[1]F27!$C:$C,[1]F27!$Z:$Z)</f>
        <v>#ERROR!</v>
      </c>
      <c r="AF189" s="1" t="str">
        <f>_xlfn.XLOOKUP($B189,[2]PRICING!$B:$B,[2]PRICING!$B:$B,"MISSING")</f>
        <v>#ERROR!</v>
      </c>
      <c r="AG189" s="1" t="str">
        <f>COUNTIFS([2]ACTIVE_SCO!$B:$B,$B189,[2]ACTIVE_SCO!$P:$P,"Y")</f>
        <v>#ERROR!</v>
      </c>
      <c r="AH189" s="1"/>
      <c r="AI189" s="37" t="s">
        <v>157</v>
      </c>
      <c r="AJ189" s="38" t="s">
        <v>1868</v>
      </c>
      <c r="AK189" s="39" t="s">
        <v>417</v>
      </c>
      <c r="AL189" s="39" t="s">
        <v>0</v>
      </c>
      <c r="AM189" s="1" t="s">
        <v>125</v>
      </c>
      <c r="AN189" s="40" t="s">
        <v>174</v>
      </c>
      <c r="AO189" s="41" t="s">
        <v>776</v>
      </c>
      <c r="AP189" s="41" t="s">
        <v>777</v>
      </c>
      <c r="AQ189" s="40" t="s">
        <v>0</v>
      </c>
      <c r="AR189" s="54"/>
      <c r="AS189" s="1" t="s">
        <v>334</v>
      </c>
      <c r="AT189" s="1" t="s">
        <v>348</v>
      </c>
      <c r="AU189" s="1" t="s">
        <v>338</v>
      </c>
      <c r="AV189" s="1" t="s">
        <v>131</v>
      </c>
      <c r="AW189" s="1"/>
      <c r="AX189" s="1"/>
      <c r="AY189" s="1"/>
      <c r="AZ189" s="1"/>
      <c r="BA189" s="1" t="s">
        <v>417</v>
      </c>
      <c r="BB189" s="1" t="s">
        <v>0</v>
      </c>
      <c r="BC189" s="1"/>
      <c r="BD189" s="1"/>
    </row>
    <row r="190" ht="11.25" customHeight="1">
      <c r="A190" s="1" t="b">
        <v>1</v>
      </c>
      <c r="B190" s="1" t="s">
        <v>1526</v>
      </c>
      <c r="C190" s="1" t="s">
        <v>1527</v>
      </c>
      <c r="D190" s="1" t="s">
        <v>65</v>
      </c>
      <c r="E190" s="1"/>
      <c r="F190" s="1"/>
      <c r="G190" s="1" t="s">
        <v>220</v>
      </c>
      <c r="H190" s="1"/>
      <c r="I190" s="1" t="s">
        <v>68</v>
      </c>
      <c r="J190" s="1" t="s">
        <v>69</v>
      </c>
      <c r="K190" s="1" t="s">
        <v>70</v>
      </c>
      <c r="L190" s="1" t="s">
        <v>0</v>
      </c>
      <c r="M190" s="1" t="b">
        <v>1</v>
      </c>
      <c r="N190" s="1" t="b">
        <v>0</v>
      </c>
      <c r="O190" s="19">
        <v>6000.0</v>
      </c>
      <c r="P190" s="20">
        <v>2.1</v>
      </c>
      <c r="Q190" s="20">
        <v>2857.14</v>
      </c>
      <c r="R190" s="21">
        <v>0.5443380443380443</v>
      </c>
      <c r="S190" s="1" t="s">
        <v>117</v>
      </c>
      <c r="T190" s="1" t="s">
        <v>0</v>
      </c>
      <c r="U190" s="1" t="s">
        <v>80</v>
      </c>
      <c r="V190" s="1" t="s">
        <v>81</v>
      </c>
      <c r="W190" s="1" t="s">
        <v>0</v>
      </c>
      <c r="X190" s="1" t="s">
        <v>0</v>
      </c>
      <c r="Y190" s="22" t="str">
        <f t="shared" si="3"/>
        <v>CO</v>
      </c>
      <c r="Z190" s="20" t="str">
        <f>_xlfn.XLOOKUP($B190,[1]F27!$C:$C,[1]F27!$BV:$BV)</f>
        <v>#ERROR!</v>
      </c>
      <c r="AA190" s="1"/>
      <c r="AB190" s="1"/>
      <c r="AC190" s="23"/>
      <c r="AD190" s="1" t="str">
        <f>_xlfn.XLOOKUP($B190,[1]F27!$C:$C,[1]F27!$Y:$Y)</f>
        <v>#ERROR!</v>
      </c>
      <c r="AE190" s="1" t="str">
        <f>_xlfn.XLOOKUP($B190,[1]F27!$C:$C,[1]F27!$Z:$Z)</f>
        <v>#ERROR!</v>
      </c>
      <c r="AF190" s="1" t="str">
        <f>_xlfn.XLOOKUP($B190,[2]PRICING!$B:$B,[2]PRICING!$B:$B,"MISSING")</f>
        <v>#ERROR!</v>
      </c>
      <c r="AG190" s="1" t="str">
        <f>COUNTIFS([2]ACTIVE_SCO!$B:$B,$B190,[2]ACTIVE_SCO!$P:$P,"Y")</f>
        <v>#ERROR!</v>
      </c>
      <c r="AH190" s="1"/>
      <c r="AI190" s="37" t="s">
        <v>157</v>
      </c>
      <c r="AJ190" s="38" t="s">
        <v>1870</v>
      </c>
      <c r="AK190" s="39" t="s">
        <v>204</v>
      </c>
      <c r="AL190" s="39" t="s">
        <v>0</v>
      </c>
      <c r="AM190" s="1" t="s">
        <v>226</v>
      </c>
      <c r="AN190" s="40" t="s">
        <v>729</v>
      </c>
      <c r="AO190" s="41" t="s">
        <v>226</v>
      </c>
      <c r="AP190" s="41" t="s">
        <v>1742</v>
      </c>
      <c r="AQ190" s="40" t="s">
        <v>0</v>
      </c>
      <c r="AR190" s="39"/>
      <c r="AS190" s="1" t="s">
        <v>68</v>
      </c>
      <c r="AT190" s="1" t="s">
        <v>128</v>
      </c>
      <c r="AU190" s="1" t="s">
        <v>132</v>
      </c>
      <c r="AV190" s="1" t="s">
        <v>91</v>
      </c>
      <c r="AW190" s="1"/>
      <c r="AX190" s="1"/>
      <c r="AY190" s="1"/>
      <c r="AZ190" s="1"/>
      <c r="BA190" s="1" t="s">
        <v>204</v>
      </c>
      <c r="BB190" s="1" t="s">
        <v>0</v>
      </c>
      <c r="BC190" s="1"/>
      <c r="BD190" s="1"/>
    </row>
    <row r="191" ht="11.25" customHeight="1">
      <c r="A191" s="1" t="b">
        <v>1</v>
      </c>
      <c r="B191" s="1" t="s">
        <v>1529</v>
      </c>
      <c r="C191" s="1" t="s">
        <v>1530</v>
      </c>
      <c r="D191" s="1" t="s">
        <v>65</v>
      </c>
      <c r="E191" s="1"/>
      <c r="F191" s="1"/>
      <c r="G191" s="1" t="s">
        <v>220</v>
      </c>
      <c r="H191" s="1"/>
      <c r="I191" s="1" t="s">
        <v>68</v>
      </c>
      <c r="J191" s="1" t="s">
        <v>69</v>
      </c>
      <c r="K191" s="1" t="s">
        <v>107</v>
      </c>
      <c r="L191" s="1" t="s">
        <v>0</v>
      </c>
      <c r="M191" s="1" t="b">
        <v>1</v>
      </c>
      <c r="N191" s="1" t="b">
        <v>0</v>
      </c>
      <c r="O191" s="19">
        <v>6000.0</v>
      </c>
      <c r="P191" s="20">
        <v>2.1</v>
      </c>
      <c r="Q191" s="20">
        <v>2857.14</v>
      </c>
      <c r="R191" s="21">
        <v>0.560977060977061</v>
      </c>
      <c r="S191" s="1" t="s">
        <v>117</v>
      </c>
      <c r="T191" s="1" t="s">
        <v>0</v>
      </c>
      <c r="U191" s="1" t="s">
        <v>80</v>
      </c>
      <c r="V191" s="1" t="s">
        <v>81</v>
      </c>
      <c r="W191" s="1" t="s">
        <v>0</v>
      </c>
      <c r="X191" s="1" t="s">
        <v>0</v>
      </c>
      <c r="Y191" s="22" t="str">
        <f t="shared" si="3"/>
        <v>CO</v>
      </c>
      <c r="Z191" s="20" t="str">
        <f>_xlfn.XLOOKUP($B191,[1]F27!$C:$C,[1]F27!$BV:$BV)</f>
        <v>#ERROR!</v>
      </c>
      <c r="AA191" s="1"/>
      <c r="AB191" s="1"/>
      <c r="AC191" s="23"/>
      <c r="AD191" s="1" t="str">
        <f>_xlfn.XLOOKUP($B191,[1]F27!$C:$C,[1]F27!$Y:$Y)</f>
        <v>#ERROR!</v>
      </c>
      <c r="AE191" s="1" t="str">
        <f>_xlfn.XLOOKUP($B191,[1]F27!$C:$C,[1]F27!$Z:$Z)</f>
        <v>#ERROR!</v>
      </c>
      <c r="AF191" s="1" t="str">
        <f>_xlfn.XLOOKUP($B191,[2]PRICING!$B:$B,[2]PRICING!$B:$B,"MISSING")</f>
        <v>#ERROR!</v>
      </c>
      <c r="AG191" s="1" t="str">
        <f>COUNTIFS([2]ACTIVE_SCO!$B:$B,$B191,[2]ACTIVE_SCO!$P:$P,"Y")</f>
        <v>#ERROR!</v>
      </c>
      <c r="AH191" s="1"/>
      <c r="AI191" s="37" t="s">
        <v>157</v>
      </c>
      <c r="AJ191" s="38" t="s">
        <v>1872</v>
      </c>
      <c r="AK191" s="39" t="s">
        <v>204</v>
      </c>
      <c r="AL191" s="39" t="s">
        <v>0</v>
      </c>
      <c r="AM191" s="1" t="s">
        <v>226</v>
      </c>
      <c r="AN191" s="40" t="s">
        <v>729</v>
      </c>
      <c r="AO191" s="41" t="s">
        <v>226</v>
      </c>
      <c r="AP191" s="41" t="s">
        <v>1742</v>
      </c>
      <c r="AQ191" s="40" t="s">
        <v>0</v>
      </c>
      <c r="AR191" s="39"/>
      <c r="AS191" s="1" t="s">
        <v>68</v>
      </c>
      <c r="AT191" s="1" t="s">
        <v>128</v>
      </c>
      <c r="AU191" s="1" t="s">
        <v>132</v>
      </c>
      <c r="AV191" s="1" t="s">
        <v>91</v>
      </c>
      <c r="AW191" s="1"/>
      <c r="AX191" s="1"/>
      <c r="AY191" s="1"/>
      <c r="AZ191" s="1"/>
      <c r="BA191" s="1" t="s">
        <v>204</v>
      </c>
      <c r="BB191" s="1" t="s">
        <v>0</v>
      </c>
      <c r="BC191" s="1"/>
      <c r="BD191" s="1"/>
    </row>
    <row r="192" ht="11.25" customHeight="1">
      <c r="A192" s="1" t="b">
        <v>1</v>
      </c>
      <c r="B192" s="1" t="s">
        <v>759</v>
      </c>
      <c r="C192" s="1" t="s">
        <v>760</v>
      </c>
      <c r="D192" s="1" t="s">
        <v>65</v>
      </c>
      <c r="E192" s="1"/>
      <c r="F192" s="1"/>
      <c r="G192" s="1" t="s">
        <v>66</v>
      </c>
      <c r="H192" s="1"/>
      <c r="I192" s="1" t="s">
        <v>68</v>
      </c>
      <c r="J192" s="1" t="s">
        <v>69</v>
      </c>
      <c r="K192" s="1" t="s">
        <v>70</v>
      </c>
      <c r="L192" s="1" t="s">
        <v>0</v>
      </c>
      <c r="M192" s="1" t="b">
        <v>1</v>
      </c>
      <c r="N192" s="1" t="b">
        <v>0</v>
      </c>
      <c r="O192" s="19">
        <v>3000.0</v>
      </c>
      <c r="P192" s="20">
        <v>2.1</v>
      </c>
      <c r="Q192" s="20">
        <v>1428.57</v>
      </c>
      <c r="R192" s="21">
        <v>0.6424116424116424</v>
      </c>
      <c r="S192" s="1" t="s">
        <v>117</v>
      </c>
      <c r="T192" s="1" t="s">
        <v>0</v>
      </c>
      <c r="U192" s="1" t="s">
        <v>166</v>
      </c>
      <c r="V192" s="1" t="s">
        <v>81</v>
      </c>
      <c r="W192" s="1" t="s">
        <v>0</v>
      </c>
      <c r="X192" s="1" t="s">
        <v>0</v>
      </c>
      <c r="Y192" s="22" t="str">
        <f t="shared" si="3"/>
        <v>CO</v>
      </c>
      <c r="Z192" s="20" t="str">
        <f>_xlfn.XLOOKUP($B192,[1]F27!$C:$C,[1]F27!$BV:$BV)</f>
        <v>#ERROR!</v>
      </c>
      <c r="AA192" s="1"/>
      <c r="AB192" s="1"/>
      <c r="AC192" s="23"/>
      <c r="AD192" s="1" t="str">
        <f>_xlfn.XLOOKUP($B192,[1]F27!$C:$C,[1]F27!$Y:$Y)</f>
        <v>#ERROR!</v>
      </c>
      <c r="AE192" s="1" t="str">
        <f>_xlfn.XLOOKUP($B192,[1]F27!$C:$C,[1]F27!$Z:$Z)</f>
        <v>#ERROR!</v>
      </c>
      <c r="AF192" s="1" t="str">
        <f>_xlfn.XLOOKUP($B192,[2]PRICING!$B:$B,[2]PRICING!$B:$B,"MISSING")</f>
        <v>#ERROR!</v>
      </c>
      <c r="AG192" s="1" t="str">
        <f>COUNTIFS([2]ACTIVE_SCO!$B:$B,$B192,[2]ACTIVE_SCO!$P:$P,"Y")</f>
        <v>#ERROR!</v>
      </c>
      <c r="AH192" s="1"/>
      <c r="AI192" s="37" t="s">
        <v>157</v>
      </c>
      <c r="AJ192" s="67" t="s">
        <v>1874</v>
      </c>
      <c r="AK192" s="39" t="s">
        <v>294</v>
      </c>
      <c r="AL192" s="39" t="s">
        <v>0</v>
      </c>
      <c r="AM192" s="1" t="s">
        <v>86</v>
      </c>
      <c r="AN192" s="40" t="s">
        <v>169</v>
      </c>
      <c r="AO192" s="41" t="s">
        <v>86</v>
      </c>
      <c r="AP192" s="41" t="s">
        <v>169</v>
      </c>
      <c r="AQ192" s="40" t="s">
        <v>0</v>
      </c>
      <c r="AR192" s="39"/>
      <c r="AS192" s="1" t="s">
        <v>68</v>
      </c>
      <c r="AT192" s="1" t="s">
        <v>89</v>
      </c>
      <c r="AU192" s="1" t="s">
        <v>90</v>
      </c>
      <c r="AV192" s="1" t="s">
        <v>91</v>
      </c>
      <c r="AW192" s="1"/>
      <c r="AX192" s="1"/>
      <c r="AY192" s="1"/>
      <c r="AZ192" s="1"/>
      <c r="BA192" s="1" t="s">
        <v>294</v>
      </c>
      <c r="BB192" s="1" t="s">
        <v>0</v>
      </c>
      <c r="BC192" s="1"/>
      <c r="BD192" s="1"/>
    </row>
    <row r="193" ht="11.25" customHeight="1">
      <c r="A193" s="1" t="b">
        <v>1</v>
      </c>
      <c r="B193" s="1" t="s">
        <v>765</v>
      </c>
      <c r="C193" s="1" t="s">
        <v>766</v>
      </c>
      <c r="D193" s="1" t="s">
        <v>65</v>
      </c>
      <c r="E193" s="1"/>
      <c r="F193" s="1"/>
      <c r="G193" s="1" t="s">
        <v>66</v>
      </c>
      <c r="H193" s="1"/>
      <c r="I193" s="1" t="s">
        <v>68</v>
      </c>
      <c r="J193" s="1" t="s">
        <v>69</v>
      </c>
      <c r="K193" s="1" t="s">
        <v>107</v>
      </c>
      <c r="L193" s="1" t="s">
        <v>0</v>
      </c>
      <c r="M193" s="1" t="b">
        <v>1</v>
      </c>
      <c r="N193" s="1" t="b">
        <v>0</v>
      </c>
      <c r="O193" s="19">
        <v>3000.0</v>
      </c>
      <c r="P193" s="20">
        <v>2.1</v>
      </c>
      <c r="Q193" s="20">
        <v>1428.57</v>
      </c>
      <c r="R193" s="21">
        <v>0.6583436583436584</v>
      </c>
      <c r="S193" s="1" t="s">
        <v>117</v>
      </c>
      <c r="T193" s="1" t="s">
        <v>0</v>
      </c>
      <c r="U193" s="1" t="s">
        <v>166</v>
      </c>
      <c r="V193" s="1" t="s">
        <v>81</v>
      </c>
      <c r="W193" s="1" t="s">
        <v>0</v>
      </c>
      <c r="X193" s="1" t="s">
        <v>0</v>
      </c>
      <c r="Y193" s="22" t="str">
        <f t="shared" si="3"/>
        <v>CO</v>
      </c>
      <c r="Z193" s="20" t="str">
        <f>_xlfn.XLOOKUP($B193,[1]F27!$C:$C,[1]F27!$BV:$BV)</f>
        <v>#ERROR!</v>
      </c>
      <c r="AA193" s="1"/>
      <c r="AB193" s="1"/>
      <c r="AC193" s="23"/>
      <c r="AD193" s="1" t="str">
        <f>_xlfn.XLOOKUP($B193,[1]F27!$C:$C,[1]F27!$Y:$Y)</f>
        <v>#ERROR!</v>
      </c>
      <c r="AE193" s="1" t="str">
        <f>_xlfn.XLOOKUP($B193,[1]F27!$C:$C,[1]F27!$Z:$Z)</f>
        <v>#ERROR!</v>
      </c>
      <c r="AF193" s="1" t="str">
        <f>_xlfn.XLOOKUP($B193,[2]PRICING!$B:$B,[2]PRICING!$B:$B,"MISSING")</f>
        <v>#ERROR!</v>
      </c>
      <c r="AG193" s="1" t="str">
        <f>COUNTIFS([2]ACTIVE_SCO!$B:$B,$B193,[2]ACTIVE_SCO!$P:$P,"Y")</f>
        <v>#ERROR!</v>
      </c>
      <c r="AH193" s="1"/>
      <c r="AI193" s="37" t="s">
        <v>157</v>
      </c>
      <c r="AJ193" s="67" t="s">
        <v>1876</v>
      </c>
      <c r="AK193" s="39" t="s">
        <v>294</v>
      </c>
      <c r="AL193" s="39" t="s">
        <v>0</v>
      </c>
      <c r="AM193" s="1" t="s">
        <v>86</v>
      </c>
      <c r="AN193" s="40" t="s">
        <v>169</v>
      </c>
      <c r="AO193" s="41" t="s">
        <v>86</v>
      </c>
      <c r="AP193" s="41" t="s">
        <v>169</v>
      </c>
      <c r="AQ193" s="40" t="s">
        <v>0</v>
      </c>
      <c r="AR193" s="39"/>
      <c r="AS193" s="1" t="s">
        <v>68</v>
      </c>
      <c r="AT193" s="1" t="s">
        <v>89</v>
      </c>
      <c r="AU193" s="1" t="s">
        <v>90</v>
      </c>
      <c r="AV193" s="1" t="s">
        <v>91</v>
      </c>
      <c r="AW193" s="1"/>
      <c r="AX193" s="1"/>
      <c r="AY193" s="1"/>
      <c r="AZ193" s="1"/>
      <c r="BA193" s="1" t="s">
        <v>294</v>
      </c>
      <c r="BB193" s="1" t="s">
        <v>0</v>
      </c>
      <c r="BC193" s="1"/>
      <c r="BD193" s="1"/>
    </row>
    <row r="194" ht="11.25" customHeight="1">
      <c r="A194" s="1" t="b">
        <v>1</v>
      </c>
      <c r="B194" s="1" t="s">
        <v>771</v>
      </c>
      <c r="C194" s="1" t="s">
        <v>772</v>
      </c>
      <c r="D194" s="1" t="s">
        <v>65</v>
      </c>
      <c r="E194" s="1"/>
      <c r="F194" s="1"/>
      <c r="G194" s="1" t="s">
        <v>66</v>
      </c>
      <c r="H194" s="1"/>
      <c r="I194" s="1" t="s">
        <v>68</v>
      </c>
      <c r="J194" s="1" t="s">
        <v>69</v>
      </c>
      <c r="K194" s="1" t="s">
        <v>70</v>
      </c>
      <c r="L194" s="1" t="s">
        <v>0</v>
      </c>
      <c r="M194" s="1" t="b">
        <v>1</v>
      </c>
      <c r="N194" s="1" t="b">
        <v>0</v>
      </c>
      <c r="O194" s="19">
        <v>2200.0</v>
      </c>
      <c r="P194" s="20">
        <v>2.1</v>
      </c>
      <c r="Q194" s="20">
        <v>1047.62</v>
      </c>
      <c r="R194" s="21">
        <v>0.6398789637463966</v>
      </c>
      <c r="S194" s="1" t="s">
        <v>117</v>
      </c>
      <c r="T194" s="1" t="s">
        <v>0</v>
      </c>
      <c r="U194" s="1" t="s">
        <v>166</v>
      </c>
      <c r="V194" s="1" t="s">
        <v>81</v>
      </c>
      <c r="W194" s="1" t="s">
        <v>0</v>
      </c>
      <c r="X194" s="1" t="s">
        <v>0</v>
      </c>
      <c r="Y194" s="22" t="str">
        <f t="shared" si="3"/>
        <v>CO</v>
      </c>
      <c r="Z194" s="20" t="str">
        <f>_xlfn.XLOOKUP($B194,[1]F27!$C:$C,[1]F27!$BV:$BV)</f>
        <v>#ERROR!</v>
      </c>
      <c r="AA194" s="1"/>
      <c r="AB194" s="1"/>
      <c r="AC194" s="23"/>
      <c r="AD194" s="1" t="str">
        <f>_xlfn.XLOOKUP($B194,[1]F27!$C:$C,[1]F27!$Y:$Y)</f>
        <v>#ERROR!</v>
      </c>
      <c r="AE194" s="1" t="str">
        <f>_xlfn.XLOOKUP($B194,[1]F27!$C:$C,[1]F27!$Z:$Z)</f>
        <v>#ERROR!</v>
      </c>
      <c r="AF194" s="1" t="str">
        <f>_xlfn.XLOOKUP($B194,[2]PRICING!$B:$B,[2]PRICING!$B:$B,"MISSING")</f>
        <v>#ERROR!</v>
      </c>
      <c r="AG194" s="1" t="str">
        <f>COUNTIFS([2]ACTIVE_SCO!$B:$B,$B194,[2]ACTIVE_SCO!$P:$P,"Y")</f>
        <v>#ERROR!</v>
      </c>
      <c r="AH194" s="1"/>
      <c r="AI194" s="37" t="s">
        <v>157</v>
      </c>
      <c r="AJ194" s="67" t="s">
        <v>1880</v>
      </c>
      <c r="AK194" s="39" t="s">
        <v>294</v>
      </c>
      <c r="AL194" s="39" t="s">
        <v>0</v>
      </c>
      <c r="AM194" s="1" t="s">
        <v>86</v>
      </c>
      <c r="AN194" s="40" t="s">
        <v>169</v>
      </c>
      <c r="AO194" s="41" t="s">
        <v>86</v>
      </c>
      <c r="AP194" s="41" t="s">
        <v>169</v>
      </c>
      <c r="AQ194" s="40" t="s">
        <v>0</v>
      </c>
      <c r="AR194" s="39"/>
      <c r="AS194" s="1" t="s">
        <v>68</v>
      </c>
      <c r="AT194" s="1" t="s">
        <v>128</v>
      </c>
      <c r="AU194" s="1" t="s">
        <v>90</v>
      </c>
      <c r="AV194" s="1" t="s">
        <v>91</v>
      </c>
      <c r="AW194" s="1"/>
      <c r="AX194" s="1"/>
      <c r="AY194" s="1"/>
      <c r="AZ194" s="1"/>
      <c r="BA194" s="1" t="s">
        <v>294</v>
      </c>
      <c r="BB194" s="1" t="s">
        <v>0</v>
      </c>
      <c r="BC194" s="1"/>
      <c r="BD194" s="1"/>
    </row>
    <row r="195" ht="11.25" customHeight="1">
      <c r="A195" s="1" t="b">
        <v>1</v>
      </c>
      <c r="B195" s="1" t="s">
        <v>774</v>
      </c>
      <c r="C195" s="1" t="s">
        <v>775</v>
      </c>
      <c r="D195" s="1" t="s">
        <v>65</v>
      </c>
      <c r="E195" s="1"/>
      <c r="F195" s="1"/>
      <c r="G195" s="1" t="s">
        <v>66</v>
      </c>
      <c r="H195" s="1"/>
      <c r="I195" s="1" t="s">
        <v>68</v>
      </c>
      <c r="J195" s="1" t="s">
        <v>69</v>
      </c>
      <c r="K195" s="1" t="s">
        <v>107</v>
      </c>
      <c r="L195" s="1" t="s">
        <v>0</v>
      </c>
      <c r="M195" s="1" t="b">
        <v>1</v>
      </c>
      <c r="N195" s="1" t="b">
        <v>0</v>
      </c>
      <c r="O195" s="19">
        <v>2200.0</v>
      </c>
      <c r="P195" s="20">
        <v>2.1</v>
      </c>
      <c r="Q195" s="20">
        <v>1047.62</v>
      </c>
      <c r="R195" s="21">
        <v>0.651218953437315</v>
      </c>
      <c r="S195" s="1" t="s">
        <v>117</v>
      </c>
      <c r="T195" s="1" t="s">
        <v>0</v>
      </c>
      <c r="U195" s="1" t="s">
        <v>166</v>
      </c>
      <c r="V195" s="1" t="s">
        <v>81</v>
      </c>
      <c r="W195" s="1" t="s">
        <v>0</v>
      </c>
      <c r="X195" s="1" t="s">
        <v>0</v>
      </c>
      <c r="Y195" s="22" t="str">
        <f t="shared" si="3"/>
        <v>CO</v>
      </c>
      <c r="Z195" s="20" t="str">
        <f>_xlfn.XLOOKUP($B195,[1]F27!$C:$C,[1]F27!$BV:$BV)</f>
        <v>#ERROR!</v>
      </c>
      <c r="AA195" s="1"/>
      <c r="AB195" s="1"/>
      <c r="AC195" s="23"/>
      <c r="AD195" s="1" t="str">
        <f>_xlfn.XLOOKUP($B195,[1]F27!$C:$C,[1]F27!$Y:$Y)</f>
        <v>#ERROR!</v>
      </c>
      <c r="AE195" s="1" t="str">
        <f>_xlfn.XLOOKUP($B195,[1]F27!$C:$C,[1]F27!$Z:$Z)</f>
        <v>#ERROR!</v>
      </c>
      <c r="AF195" s="1" t="str">
        <f>_xlfn.XLOOKUP($B195,[2]PRICING!$B:$B,[2]PRICING!$B:$B,"MISSING")</f>
        <v>#ERROR!</v>
      </c>
      <c r="AG195" s="1" t="str">
        <f>COUNTIFS([2]ACTIVE_SCO!$B:$B,$B195,[2]ACTIVE_SCO!$P:$P,"Y")</f>
        <v>#ERROR!</v>
      </c>
      <c r="AH195" s="1"/>
      <c r="AI195" s="37" t="s">
        <v>157</v>
      </c>
      <c r="AJ195" s="67" t="s">
        <v>1883</v>
      </c>
      <c r="AK195" s="39" t="s">
        <v>294</v>
      </c>
      <c r="AL195" s="39" t="s">
        <v>0</v>
      </c>
      <c r="AM195" s="1" t="s">
        <v>86</v>
      </c>
      <c r="AN195" s="40" t="s">
        <v>169</v>
      </c>
      <c r="AO195" s="41" t="s">
        <v>86</v>
      </c>
      <c r="AP195" s="41" t="s">
        <v>169</v>
      </c>
      <c r="AQ195" s="40" t="s">
        <v>0</v>
      </c>
      <c r="AR195" s="39"/>
      <c r="AS195" s="1" t="s">
        <v>68</v>
      </c>
      <c r="AT195" s="1" t="s">
        <v>128</v>
      </c>
      <c r="AU195" s="1" t="s">
        <v>90</v>
      </c>
      <c r="AV195" s="1" t="s">
        <v>91</v>
      </c>
      <c r="AW195" s="1"/>
      <c r="AX195" s="1"/>
      <c r="AY195" s="1"/>
      <c r="AZ195" s="1"/>
      <c r="BA195" s="1" t="s">
        <v>294</v>
      </c>
      <c r="BB195" s="1" t="s">
        <v>0</v>
      </c>
      <c r="BC195" s="1"/>
      <c r="BD195" s="1"/>
    </row>
    <row r="196" ht="11.25" customHeight="1">
      <c r="A196" s="1" t="b">
        <v>1</v>
      </c>
      <c r="B196" s="1" t="s">
        <v>806</v>
      </c>
      <c r="C196" s="1" t="s">
        <v>807</v>
      </c>
      <c r="D196" s="1" t="s">
        <v>65</v>
      </c>
      <c r="E196" s="1"/>
      <c r="F196" s="1"/>
      <c r="G196" s="1" t="s">
        <v>500</v>
      </c>
      <c r="H196" s="1"/>
      <c r="I196" s="1" t="s">
        <v>355</v>
      </c>
      <c r="J196" s="1" t="s">
        <v>69</v>
      </c>
      <c r="K196" s="1" t="s">
        <v>70</v>
      </c>
      <c r="L196" s="1" t="s">
        <v>0</v>
      </c>
      <c r="M196" s="1" t="b">
        <v>1</v>
      </c>
      <c r="N196" s="1" t="b">
        <v>0</v>
      </c>
      <c r="O196" s="19">
        <v>3000.0</v>
      </c>
      <c r="P196" s="20">
        <v>2.1</v>
      </c>
      <c r="Q196" s="20">
        <v>1428.57</v>
      </c>
      <c r="R196" s="21">
        <v>0.5969255969255969</v>
      </c>
      <c r="S196" s="1" t="s">
        <v>117</v>
      </c>
      <c r="T196" s="1" t="s">
        <v>0</v>
      </c>
      <c r="U196" s="1" t="s">
        <v>359</v>
      </c>
      <c r="V196" s="1" t="s">
        <v>81</v>
      </c>
      <c r="W196" s="1" t="s">
        <v>0</v>
      </c>
      <c r="X196" s="1" t="s">
        <v>0</v>
      </c>
      <c r="Y196" s="22" t="str">
        <f t="shared" si="3"/>
        <v>CO</v>
      </c>
      <c r="Z196" s="20" t="str">
        <f>_xlfn.XLOOKUP($B196,[1]F27!$C:$C,[1]F27!$BV:$BV)</f>
        <v>#ERROR!</v>
      </c>
      <c r="AA196" s="1"/>
      <c r="AB196" s="1"/>
      <c r="AC196" s="23"/>
      <c r="AD196" s="1" t="str">
        <f>_xlfn.XLOOKUP($B196,[1]F27!$C:$C,[1]F27!$Y:$Y)</f>
        <v>#ERROR!</v>
      </c>
      <c r="AE196" s="1" t="str">
        <f>_xlfn.XLOOKUP($B196,[1]F27!$C:$C,[1]F27!$Z:$Z)</f>
        <v>#ERROR!</v>
      </c>
      <c r="AF196" s="1" t="str">
        <f>_xlfn.XLOOKUP($B196,[2]PRICING!$B:$B,[2]PRICING!$B:$B,"MISSING")</f>
        <v>#ERROR!</v>
      </c>
      <c r="AG196" s="1" t="str">
        <f>COUNTIFS([2]ACTIVE_SCO!$B:$B,$B196,[2]ACTIVE_SCO!$P:$P,"Y")</f>
        <v>#ERROR!</v>
      </c>
      <c r="AH196" s="1"/>
      <c r="AI196" s="37" t="s">
        <v>157</v>
      </c>
      <c r="AJ196" s="55" t="s">
        <v>1887</v>
      </c>
      <c r="AK196" s="39" t="s">
        <v>1561</v>
      </c>
      <c r="AL196" s="39" t="s">
        <v>0</v>
      </c>
      <c r="AM196" s="1" t="s">
        <v>125</v>
      </c>
      <c r="AN196" s="40" t="s">
        <v>127</v>
      </c>
      <c r="AO196" s="41" t="s">
        <v>125</v>
      </c>
      <c r="AP196" s="39"/>
      <c r="AQ196" s="40" t="s">
        <v>125</v>
      </c>
      <c r="AR196" s="39"/>
      <c r="AS196" s="1" t="s">
        <v>355</v>
      </c>
      <c r="AT196" s="1" t="s">
        <v>161</v>
      </c>
      <c r="AU196" s="1" t="s">
        <v>448</v>
      </c>
      <c r="AV196" s="1" t="s">
        <v>131</v>
      </c>
      <c r="AW196" s="1"/>
      <c r="AX196" s="1"/>
      <c r="AY196" s="1"/>
      <c r="AZ196" s="1"/>
      <c r="BA196" s="1" t="s">
        <v>1561</v>
      </c>
      <c r="BB196" s="1" t="s">
        <v>0</v>
      </c>
      <c r="BC196" s="1"/>
      <c r="BD196" s="1"/>
    </row>
    <row r="197" ht="11.25" customHeight="1">
      <c r="A197" s="1" t="b">
        <v>1</v>
      </c>
      <c r="B197" s="1" t="s">
        <v>811</v>
      </c>
      <c r="C197" s="1" t="s">
        <v>812</v>
      </c>
      <c r="D197" s="1" t="s">
        <v>65</v>
      </c>
      <c r="E197" s="1"/>
      <c r="F197" s="1"/>
      <c r="G197" s="1" t="s">
        <v>500</v>
      </c>
      <c r="H197" s="1"/>
      <c r="I197" s="1" t="s">
        <v>355</v>
      </c>
      <c r="J197" s="1" t="s">
        <v>69</v>
      </c>
      <c r="K197" s="1" t="s">
        <v>107</v>
      </c>
      <c r="L197" s="1" t="s">
        <v>0</v>
      </c>
      <c r="M197" s="1" t="b">
        <v>1</v>
      </c>
      <c r="N197" s="1" t="b">
        <v>0</v>
      </c>
      <c r="O197" s="19">
        <v>3000.0</v>
      </c>
      <c r="P197" s="20">
        <v>2.1</v>
      </c>
      <c r="Q197" s="20">
        <v>1428.57</v>
      </c>
      <c r="R197" s="21">
        <v>0.6212296212296212</v>
      </c>
      <c r="S197" s="1" t="s">
        <v>117</v>
      </c>
      <c r="T197" s="1" t="s">
        <v>0</v>
      </c>
      <c r="U197" s="1" t="s">
        <v>359</v>
      </c>
      <c r="V197" s="1" t="s">
        <v>81</v>
      </c>
      <c r="W197" s="1" t="s">
        <v>0</v>
      </c>
      <c r="X197" s="1" t="s">
        <v>0</v>
      </c>
      <c r="Y197" s="22" t="str">
        <f t="shared" si="3"/>
        <v>CO</v>
      </c>
      <c r="Z197" s="20" t="str">
        <f>_xlfn.XLOOKUP($B197,[1]F27!$C:$C,[1]F27!$BV:$BV)</f>
        <v>#ERROR!</v>
      </c>
      <c r="AA197" s="1"/>
      <c r="AB197" s="1"/>
      <c r="AC197" s="23"/>
      <c r="AD197" s="1" t="str">
        <f>_xlfn.XLOOKUP($B197,[1]F27!$C:$C,[1]F27!$Y:$Y)</f>
        <v>#ERROR!</v>
      </c>
      <c r="AE197" s="1" t="str">
        <f>_xlfn.XLOOKUP($B197,[1]F27!$C:$C,[1]F27!$Z:$Z)</f>
        <v>#ERROR!</v>
      </c>
      <c r="AF197" s="1" t="str">
        <f>_xlfn.XLOOKUP($B197,[2]PRICING!$B:$B,[2]PRICING!$B:$B,"MISSING")</f>
        <v>#ERROR!</v>
      </c>
      <c r="AG197" s="1" t="str">
        <f>COUNTIFS([2]ACTIVE_SCO!$B:$B,$B197,[2]ACTIVE_SCO!$P:$P,"Y")</f>
        <v>#ERROR!</v>
      </c>
      <c r="AH197" s="1"/>
      <c r="AI197" s="37" t="s">
        <v>157</v>
      </c>
      <c r="AJ197" s="55" t="s">
        <v>1890</v>
      </c>
      <c r="AK197" s="39" t="s">
        <v>1561</v>
      </c>
      <c r="AL197" s="39" t="s">
        <v>0</v>
      </c>
      <c r="AM197" s="1" t="s">
        <v>125</v>
      </c>
      <c r="AN197" s="40" t="s">
        <v>127</v>
      </c>
      <c r="AO197" s="41" t="s">
        <v>125</v>
      </c>
      <c r="AP197" s="39"/>
      <c r="AQ197" s="40" t="s">
        <v>125</v>
      </c>
      <c r="AR197" s="39"/>
      <c r="AS197" s="1" t="s">
        <v>355</v>
      </c>
      <c r="AT197" s="1" t="s">
        <v>161</v>
      </c>
      <c r="AU197" s="1" t="s">
        <v>448</v>
      </c>
      <c r="AV197" s="1" t="s">
        <v>131</v>
      </c>
      <c r="AW197" s="1"/>
      <c r="AX197" s="1"/>
      <c r="AY197" s="1"/>
      <c r="AZ197" s="1"/>
      <c r="BA197" s="1" t="s">
        <v>1561</v>
      </c>
      <c r="BB197" s="1" t="s">
        <v>0</v>
      </c>
      <c r="BC197" s="1"/>
      <c r="BD197" s="1"/>
    </row>
    <row r="198" ht="11.25" customHeight="1">
      <c r="A198" s="1" t="b">
        <v>1</v>
      </c>
      <c r="B198" s="1" t="s">
        <v>1572</v>
      </c>
      <c r="C198" s="1" t="s">
        <v>1573</v>
      </c>
      <c r="D198" s="1" t="s">
        <v>65</v>
      </c>
      <c r="E198" s="1"/>
      <c r="F198" s="1"/>
      <c r="G198" s="1" t="s">
        <v>500</v>
      </c>
      <c r="H198" s="1"/>
      <c r="I198" s="1" t="s">
        <v>355</v>
      </c>
      <c r="J198" s="1" t="s">
        <v>69</v>
      </c>
      <c r="K198" s="1" t="s">
        <v>70</v>
      </c>
      <c r="L198" s="1" t="s">
        <v>0</v>
      </c>
      <c r="M198" s="1" t="b">
        <v>1</v>
      </c>
      <c r="N198" s="1" t="b">
        <v>0</v>
      </c>
      <c r="O198" s="19">
        <v>2800.0</v>
      </c>
      <c r="P198" s="20">
        <v>2.1</v>
      </c>
      <c r="Q198" s="20">
        <v>1333.33</v>
      </c>
      <c r="R198" s="21">
        <v>0.5974889937224843</v>
      </c>
      <c r="S198" s="1" t="s">
        <v>117</v>
      </c>
      <c r="T198" s="1" t="s">
        <v>0</v>
      </c>
      <c r="U198" s="1" t="s">
        <v>359</v>
      </c>
      <c r="V198" s="1" t="s">
        <v>81</v>
      </c>
      <c r="W198" s="1" t="s">
        <v>0</v>
      </c>
      <c r="X198" s="1" t="s">
        <v>0</v>
      </c>
      <c r="Y198" s="22" t="str">
        <f t="shared" si="3"/>
        <v>CO</v>
      </c>
      <c r="Z198" s="20" t="str">
        <f>_xlfn.XLOOKUP($B198,[1]F27!$C:$C,[1]F27!$BV:$BV)</f>
        <v>#ERROR!</v>
      </c>
      <c r="AA198" s="1"/>
      <c r="AB198" s="1"/>
      <c r="AC198" s="23"/>
      <c r="AD198" s="1" t="str">
        <f>_xlfn.XLOOKUP($B198,[1]F27!$C:$C,[1]F27!$Y:$Y)</f>
        <v>#ERROR!</v>
      </c>
      <c r="AE198" s="1" t="str">
        <f>_xlfn.XLOOKUP($B198,[1]F27!$C:$C,[1]F27!$Z:$Z)</f>
        <v>#ERROR!</v>
      </c>
      <c r="AF198" s="1" t="str">
        <f>_xlfn.XLOOKUP($B198,[2]PRICING!$B:$B,[2]PRICING!$B:$B,"MISSING")</f>
        <v>#ERROR!</v>
      </c>
      <c r="AG198" s="1" t="str">
        <f>COUNTIFS([2]ACTIVE_SCO!$B:$B,$B198,[2]ACTIVE_SCO!$P:$P,"Y")</f>
        <v>#ERROR!</v>
      </c>
      <c r="AH198" s="1"/>
      <c r="AI198" s="37" t="s">
        <v>157</v>
      </c>
      <c r="AJ198" s="55" t="s">
        <v>1893</v>
      </c>
      <c r="AK198" s="39" t="s">
        <v>1561</v>
      </c>
      <c r="AL198" s="39" t="s">
        <v>0</v>
      </c>
      <c r="AM198" s="1" t="s">
        <v>125</v>
      </c>
      <c r="AN198" s="40" t="s">
        <v>127</v>
      </c>
      <c r="AO198" s="41" t="s">
        <v>125</v>
      </c>
      <c r="AP198" s="39"/>
      <c r="AQ198" s="40" t="s">
        <v>125</v>
      </c>
      <c r="AR198" s="39"/>
      <c r="AS198" s="1" t="s">
        <v>355</v>
      </c>
      <c r="AT198" s="1" t="s">
        <v>89</v>
      </c>
      <c r="AU198" s="1" t="s">
        <v>448</v>
      </c>
      <c r="AV198" s="1" t="s">
        <v>131</v>
      </c>
      <c r="AW198" s="1"/>
      <c r="AX198" s="1"/>
      <c r="AY198" s="1"/>
      <c r="AZ198" s="1"/>
      <c r="BA198" s="1" t="s">
        <v>1561</v>
      </c>
      <c r="BB198" s="1" t="s">
        <v>0</v>
      </c>
      <c r="BC198" s="1"/>
      <c r="BD198" s="1"/>
    </row>
    <row r="199" ht="11.25" customHeight="1">
      <c r="A199" s="1" t="b">
        <v>1</v>
      </c>
      <c r="B199" s="1" t="s">
        <v>1578</v>
      </c>
      <c r="C199" s="1" t="s">
        <v>1579</v>
      </c>
      <c r="D199" s="1" t="s">
        <v>65</v>
      </c>
      <c r="E199" s="1"/>
      <c r="F199" s="1"/>
      <c r="G199" s="1" t="s">
        <v>500</v>
      </c>
      <c r="H199" s="1"/>
      <c r="I199" s="1" t="s">
        <v>355</v>
      </c>
      <c r="J199" s="1" t="s">
        <v>69</v>
      </c>
      <c r="K199" s="1" t="s">
        <v>107</v>
      </c>
      <c r="L199" s="1" t="s">
        <v>0</v>
      </c>
      <c r="M199" s="1" t="b">
        <v>1</v>
      </c>
      <c r="N199" s="1" t="b">
        <v>0</v>
      </c>
      <c r="O199" s="19">
        <v>2800.0</v>
      </c>
      <c r="P199" s="20">
        <v>2.1</v>
      </c>
      <c r="Q199" s="20">
        <v>1333.33</v>
      </c>
      <c r="R199" s="21">
        <v>0.6307440768601922</v>
      </c>
      <c r="S199" s="1" t="s">
        <v>117</v>
      </c>
      <c r="T199" s="1" t="s">
        <v>0</v>
      </c>
      <c r="U199" s="1" t="s">
        <v>359</v>
      </c>
      <c r="V199" s="1" t="s">
        <v>81</v>
      </c>
      <c r="W199" s="1" t="s">
        <v>0</v>
      </c>
      <c r="X199" s="1" t="s">
        <v>0</v>
      </c>
      <c r="Y199" s="22" t="str">
        <f t="shared" si="3"/>
        <v>CO</v>
      </c>
      <c r="Z199" s="20" t="str">
        <f>_xlfn.XLOOKUP($B199,[1]F27!$C:$C,[1]F27!$BV:$BV)</f>
        <v>#ERROR!</v>
      </c>
      <c r="AA199" s="1"/>
      <c r="AB199" s="1"/>
      <c r="AC199" s="23"/>
      <c r="AD199" s="1" t="str">
        <f>_xlfn.XLOOKUP($B199,[1]F27!$C:$C,[1]F27!$Y:$Y)</f>
        <v>#ERROR!</v>
      </c>
      <c r="AE199" s="1" t="str">
        <f>_xlfn.XLOOKUP($B199,[1]F27!$C:$C,[1]F27!$Z:$Z)</f>
        <v>#ERROR!</v>
      </c>
      <c r="AF199" s="1" t="str">
        <f>_xlfn.XLOOKUP($B199,[2]PRICING!$B:$B,[2]PRICING!$B:$B,"MISSING")</f>
        <v>#ERROR!</v>
      </c>
      <c r="AG199" s="1" t="str">
        <f>COUNTIFS([2]ACTIVE_SCO!$B:$B,$B199,[2]ACTIVE_SCO!$P:$P,"Y")</f>
        <v>#ERROR!</v>
      </c>
      <c r="AH199" s="1"/>
      <c r="AI199" s="37" t="s">
        <v>157</v>
      </c>
      <c r="AJ199" s="55" t="s">
        <v>1896</v>
      </c>
      <c r="AK199" s="39" t="s">
        <v>1561</v>
      </c>
      <c r="AL199" s="39" t="s">
        <v>0</v>
      </c>
      <c r="AM199" s="1" t="s">
        <v>125</v>
      </c>
      <c r="AN199" s="40" t="s">
        <v>127</v>
      </c>
      <c r="AO199" s="41" t="s">
        <v>125</v>
      </c>
      <c r="AP199" s="39"/>
      <c r="AQ199" s="40" t="s">
        <v>125</v>
      </c>
      <c r="AR199" s="39"/>
      <c r="AS199" s="1" t="s">
        <v>355</v>
      </c>
      <c r="AT199" s="1" t="s">
        <v>89</v>
      </c>
      <c r="AU199" s="1" t="s">
        <v>448</v>
      </c>
      <c r="AV199" s="1" t="s">
        <v>131</v>
      </c>
      <c r="AW199" s="1"/>
      <c r="AX199" s="1"/>
      <c r="AY199" s="1"/>
      <c r="AZ199" s="1"/>
      <c r="BA199" s="1" t="s">
        <v>1561</v>
      </c>
      <c r="BB199" s="1" t="s">
        <v>0</v>
      </c>
      <c r="BC199" s="1"/>
      <c r="BD199" s="1"/>
    </row>
    <row r="200" ht="11.25" customHeight="1">
      <c r="A200" s="1" t="b">
        <v>1</v>
      </c>
      <c r="B200" s="1" t="s">
        <v>1580</v>
      </c>
      <c r="C200" s="1" t="s">
        <v>1581</v>
      </c>
      <c r="D200" s="1" t="s">
        <v>65</v>
      </c>
      <c r="E200" s="1"/>
      <c r="F200" s="1"/>
      <c r="G200" s="1" t="s">
        <v>500</v>
      </c>
      <c r="H200" s="1"/>
      <c r="I200" s="1" t="s">
        <v>355</v>
      </c>
      <c r="J200" s="1" t="s">
        <v>69</v>
      </c>
      <c r="K200" s="1" t="s">
        <v>70</v>
      </c>
      <c r="L200" s="1" t="s">
        <v>0</v>
      </c>
      <c r="M200" s="1" t="b">
        <v>1</v>
      </c>
      <c r="N200" s="1" t="b">
        <v>0</v>
      </c>
      <c r="O200" s="19">
        <v>2200.0</v>
      </c>
      <c r="P200" s="20">
        <v>2.1</v>
      </c>
      <c r="Q200" s="20">
        <v>1047.62</v>
      </c>
      <c r="R200" s="21">
        <v>0.6148985319104254</v>
      </c>
      <c r="S200" s="1" t="s">
        <v>117</v>
      </c>
      <c r="T200" s="1" t="s">
        <v>0</v>
      </c>
      <c r="U200" s="1" t="s">
        <v>359</v>
      </c>
      <c r="V200" s="1" t="s">
        <v>81</v>
      </c>
      <c r="W200" s="1" t="s">
        <v>0</v>
      </c>
      <c r="X200" s="1" t="s">
        <v>0</v>
      </c>
      <c r="Y200" s="22" t="str">
        <f t="shared" si="3"/>
        <v>CO</v>
      </c>
      <c r="Z200" s="20" t="str">
        <f>_xlfn.XLOOKUP($B200,[1]F27!$C:$C,[1]F27!$BV:$BV)</f>
        <v>#ERROR!</v>
      </c>
      <c r="AA200" s="1"/>
      <c r="AB200" s="1"/>
      <c r="AC200" s="23"/>
      <c r="AD200" s="1" t="str">
        <f>_xlfn.XLOOKUP($B200,[1]F27!$C:$C,[1]F27!$Y:$Y)</f>
        <v>#ERROR!</v>
      </c>
      <c r="AE200" s="1" t="str">
        <f>_xlfn.XLOOKUP($B200,[1]F27!$C:$C,[1]F27!$Z:$Z)</f>
        <v>#ERROR!</v>
      </c>
      <c r="AF200" s="1" t="str">
        <f>_xlfn.XLOOKUP($B200,[2]PRICING!$B:$B,[2]PRICING!$B:$B,"MISSING")</f>
        <v>#ERROR!</v>
      </c>
      <c r="AG200" s="1" t="str">
        <f>COUNTIFS([2]ACTIVE_SCO!$B:$B,$B200,[2]ACTIVE_SCO!$P:$P,"Y")</f>
        <v>#ERROR!</v>
      </c>
      <c r="AH200" s="1"/>
      <c r="AI200" s="37" t="s">
        <v>157</v>
      </c>
      <c r="AJ200" s="55" t="s">
        <v>1899</v>
      </c>
      <c r="AK200" s="39" t="s">
        <v>1561</v>
      </c>
      <c r="AL200" s="39" t="s">
        <v>0</v>
      </c>
      <c r="AM200" s="1" t="s">
        <v>125</v>
      </c>
      <c r="AN200" s="40" t="s">
        <v>127</v>
      </c>
      <c r="AO200" s="41" t="s">
        <v>125</v>
      </c>
      <c r="AP200" s="39"/>
      <c r="AQ200" s="40" t="s">
        <v>125</v>
      </c>
      <c r="AR200" s="39"/>
      <c r="AS200" s="1" t="s">
        <v>355</v>
      </c>
      <c r="AT200" s="1" t="s">
        <v>373</v>
      </c>
      <c r="AU200" s="1" t="s">
        <v>448</v>
      </c>
      <c r="AV200" s="1" t="s">
        <v>131</v>
      </c>
      <c r="AW200" s="1"/>
      <c r="AX200" s="1"/>
      <c r="AY200" s="1"/>
      <c r="AZ200" s="1"/>
      <c r="BA200" s="1" t="s">
        <v>1561</v>
      </c>
      <c r="BB200" s="1" t="s">
        <v>0</v>
      </c>
      <c r="BC200" s="1"/>
      <c r="BD200" s="1"/>
    </row>
    <row r="201" ht="11.25" customHeight="1">
      <c r="A201" s="1" t="b">
        <v>1</v>
      </c>
      <c r="B201" s="1" t="s">
        <v>1583</v>
      </c>
      <c r="C201" s="1" t="s">
        <v>1584</v>
      </c>
      <c r="D201" s="1" t="s">
        <v>65</v>
      </c>
      <c r="E201" s="1"/>
      <c r="F201" s="1"/>
      <c r="G201" s="1" t="s">
        <v>500</v>
      </c>
      <c r="H201" s="1"/>
      <c r="I201" s="1" t="s">
        <v>355</v>
      </c>
      <c r="J201" s="1" t="s">
        <v>69</v>
      </c>
      <c r="K201" s="1" t="s">
        <v>107</v>
      </c>
      <c r="L201" s="1" t="s">
        <v>0</v>
      </c>
      <c r="M201" s="1" t="b">
        <v>1</v>
      </c>
      <c r="N201" s="1" t="b">
        <v>0</v>
      </c>
      <c r="O201" s="19">
        <v>2200.0</v>
      </c>
      <c r="P201" s="20">
        <v>2.1</v>
      </c>
      <c r="Q201" s="20">
        <v>1047.62</v>
      </c>
      <c r="R201" s="21">
        <v>0.6513239533418607</v>
      </c>
      <c r="S201" s="1" t="s">
        <v>117</v>
      </c>
      <c r="T201" s="1" t="s">
        <v>0</v>
      </c>
      <c r="U201" s="1" t="s">
        <v>359</v>
      </c>
      <c r="V201" s="1" t="s">
        <v>81</v>
      </c>
      <c r="W201" s="1" t="s">
        <v>0</v>
      </c>
      <c r="X201" s="1" t="s">
        <v>0</v>
      </c>
      <c r="Y201" s="22" t="str">
        <f t="shared" si="3"/>
        <v>CO</v>
      </c>
      <c r="Z201" s="20" t="str">
        <f>_xlfn.XLOOKUP($B201,[1]F27!$C:$C,[1]F27!$BV:$BV)</f>
        <v>#ERROR!</v>
      </c>
      <c r="AA201" s="1"/>
      <c r="AB201" s="1"/>
      <c r="AC201" s="23"/>
      <c r="AD201" s="1" t="str">
        <f>_xlfn.XLOOKUP($B201,[1]F27!$C:$C,[1]F27!$Y:$Y)</f>
        <v>#ERROR!</v>
      </c>
      <c r="AE201" s="1" t="str">
        <f>_xlfn.XLOOKUP($B201,[1]F27!$C:$C,[1]F27!$Z:$Z)</f>
        <v>#ERROR!</v>
      </c>
      <c r="AF201" s="1" t="str">
        <f>_xlfn.XLOOKUP($B201,[2]PRICING!$B:$B,[2]PRICING!$B:$B,"MISSING")</f>
        <v>#ERROR!</v>
      </c>
      <c r="AG201" s="1" t="str">
        <f>COUNTIFS([2]ACTIVE_SCO!$B:$B,$B201,[2]ACTIVE_SCO!$P:$P,"Y")</f>
        <v>#ERROR!</v>
      </c>
      <c r="AH201" s="1"/>
      <c r="AI201" s="37" t="s">
        <v>157</v>
      </c>
      <c r="AJ201" s="55" t="s">
        <v>1900</v>
      </c>
      <c r="AK201" s="39" t="s">
        <v>1561</v>
      </c>
      <c r="AL201" s="39" t="s">
        <v>0</v>
      </c>
      <c r="AM201" s="1" t="s">
        <v>125</v>
      </c>
      <c r="AN201" s="40" t="s">
        <v>127</v>
      </c>
      <c r="AO201" s="41" t="s">
        <v>125</v>
      </c>
      <c r="AP201" s="39"/>
      <c r="AQ201" s="40" t="s">
        <v>125</v>
      </c>
      <c r="AR201" s="39"/>
      <c r="AS201" s="1" t="s">
        <v>355</v>
      </c>
      <c r="AT201" s="1" t="s">
        <v>373</v>
      </c>
      <c r="AU201" s="1" t="s">
        <v>448</v>
      </c>
      <c r="AV201" s="1" t="s">
        <v>131</v>
      </c>
      <c r="AW201" s="1"/>
      <c r="AX201" s="1"/>
      <c r="AY201" s="1"/>
      <c r="AZ201" s="1"/>
      <c r="BA201" s="1" t="s">
        <v>1561</v>
      </c>
      <c r="BB201" s="1" t="s">
        <v>0</v>
      </c>
      <c r="BC201" s="1"/>
      <c r="BD201" s="1"/>
    </row>
    <row r="202" ht="11.25" customHeight="1">
      <c r="A202" s="1" t="b">
        <v>0</v>
      </c>
      <c r="B202" s="1" t="s">
        <v>892</v>
      </c>
      <c r="C202" s="1" t="s">
        <v>893</v>
      </c>
      <c r="D202" s="1" t="s">
        <v>65</v>
      </c>
      <c r="E202" s="1"/>
      <c r="F202" s="1"/>
      <c r="G202" s="1" t="s">
        <v>66</v>
      </c>
      <c r="H202" s="1"/>
      <c r="I202" s="1" t="s">
        <v>68</v>
      </c>
      <c r="J202" s="1" t="s">
        <v>69</v>
      </c>
      <c r="K202" s="1" t="s">
        <v>70</v>
      </c>
      <c r="L202" s="1" t="s">
        <v>0</v>
      </c>
      <c r="M202" s="1" t="b">
        <v>1</v>
      </c>
      <c r="N202" s="1" t="b">
        <v>0</v>
      </c>
      <c r="O202" s="19">
        <v>2000.0</v>
      </c>
      <c r="P202" s="20">
        <v>2.1</v>
      </c>
      <c r="Q202" s="20">
        <v>952.38</v>
      </c>
      <c r="R202" s="21">
        <v>0.6713916713916714</v>
      </c>
      <c r="S202" s="1" t="s">
        <v>78</v>
      </c>
      <c r="T202" s="1" t="s">
        <v>0</v>
      </c>
      <c r="U202" s="1" t="s">
        <v>166</v>
      </c>
      <c r="V202" s="1" t="s">
        <v>81</v>
      </c>
      <c r="W202" s="1" t="s">
        <v>0</v>
      </c>
      <c r="X202" s="1" t="s">
        <v>156</v>
      </c>
      <c r="Y202" s="22" t="str">
        <f t="shared" si="3"/>
        <v>CO</v>
      </c>
      <c r="Z202" s="20" t="str">
        <f>_xlfn.XLOOKUP($B202,[1]F27!$C:$C,[1]F27!$BV:$BV)</f>
        <v>#ERROR!</v>
      </c>
      <c r="AA202" s="1"/>
      <c r="AB202" s="1"/>
      <c r="AC202" s="23"/>
      <c r="AD202" s="1" t="str">
        <f>_xlfn.XLOOKUP($B202,[1]F27!$C:$C,[1]F27!$Y:$Y)</f>
        <v>#ERROR!</v>
      </c>
      <c r="AE202" s="1" t="str">
        <f>_xlfn.XLOOKUP($B202,[1]F27!$C:$C,[1]F27!$Z:$Z)</f>
        <v>#ERROR!</v>
      </c>
      <c r="AF202" s="1" t="str">
        <f>_xlfn.XLOOKUP($B202,[2]PRICING!$B:$B,[2]PRICING!$B:$B,"MISSING")</f>
        <v>#ERROR!</v>
      </c>
      <c r="AG202" s="1" t="str">
        <f>COUNTIFS([2]ACTIVE_SCO!$B:$B,$B202,[2]ACTIVE_SCO!$P:$P,"Y")</f>
        <v>#ERROR!</v>
      </c>
      <c r="AH202" s="1"/>
      <c r="AI202" s="1" t="s">
        <v>341</v>
      </c>
      <c r="AJ202" s="1"/>
      <c r="AK202" s="1"/>
      <c r="AL202" s="1"/>
      <c r="AM202" s="1"/>
      <c r="AN202" s="1"/>
      <c r="AO202" s="1"/>
      <c r="AP202" s="1"/>
      <c r="AQ202" s="40" t="s">
        <v>0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ht="11.25" customHeight="1">
      <c r="A203" s="1" t="b">
        <v>0</v>
      </c>
      <c r="B203" s="1" t="s">
        <v>894</v>
      </c>
      <c r="C203" s="1" t="s">
        <v>895</v>
      </c>
      <c r="D203" s="1" t="s">
        <v>65</v>
      </c>
      <c r="E203" s="1"/>
      <c r="F203" s="1"/>
      <c r="G203" s="1" t="s">
        <v>66</v>
      </c>
      <c r="H203" s="1"/>
      <c r="I203" s="1" t="s">
        <v>68</v>
      </c>
      <c r="J203" s="1" t="s">
        <v>69</v>
      </c>
      <c r="K203" s="1" t="s">
        <v>107</v>
      </c>
      <c r="L203" s="1" t="s">
        <v>0</v>
      </c>
      <c r="M203" s="1" t="b">
        <v>1</v>
      </c>
      <c r="N203" s="1" t="b">
        <v>0</v>
      </c>
      <c r="O203" s="19">
        <v>2000.0</v>
      </c>
      <c r="P203" s="20">
        <v>2.1</v>
      </c>
      <c r="Q203" s="20">
        <v>952.38</v>
      </c>
      <c r="R203" s="21">
        <v>0.6765891765891766</v>
      </c>
      <c r="S203" s="1" t="s">
        <v>78</v>
      </c>
      <c r="T203" s="1" t="s">
        <v>0</v>
      </c>
      <c r="U203" s="1" t="s">
        <v>166</v>
      </c>
      <c r="V203" s="1" t="s">
        <v>81</v>
      </c>
      <c r="W203" s="1" t="s">
        <v>0</v>
      </c>
      <c r="X203" s="1" t="s">
        <v>156</v>
      </c>
      <c r="Y203" s="22" t="str">
        <f t="shared" si="3"/>
        <v>CO</v>
      </c>
      <c r="Z203" s="20" t="str">
        <f>_xlfn.XLOOKUP($B203,[1]F27!$C:$C,[1]F27!$BV:$BV)</f>
        <v>#ERROR!</v>
      </c>
      <c r="AA203" s="1"/>
      <c r="AB203" s="1"/>
      <c r="AC203" s="23"/>
      <c r="AD203" s="1" t="str">
        <f>_xlfn.XLOOKUP($B203,[1]F27!$C:$C,[1]F27!$Y:$Y)</f>
        <v>#ERROR!</v>
      </c>
      <c r="AE203" s="1" t="str">
        <f>_xlfn.XLOOKUP($B203,[1]F27!$C:$C,[1]F27!$Z:$Z)</f>
        <v>#ERROR!</v>
      </c>
      <c r="AF203" s="1" t="str">
        <f>_xlfn.XLOOKUP($B203,[2]PRICING!$B:$B,[2]PRICING!$B:$B,"MISSING")</f>
        <v>#ERROR!</v>
      </c>
      <c r="AG203" s="1" t="str">
        <f>COUNTIFS([2]ACTIVE_SCO!$B:$B,$B203,[2]ACTIVE_SCO!$P:$P,"Y")</f>
        <v>#ERROR!</v>
      </c>
      <c r="AH203" s="1"/>
      <c r="AI203" s="1" t="s">
        <v>341</v>
      </c>
      <c r="AJ203" s="1"/>
      <c r="AK203" s="1"/>
      <c r="AL203" s="1"/>
      <c r="AM203" s="1"/>
      <c r="AN203" s="1"/>
      <c r="AO203" s="1"/>
      <c r="AP203" s="1"/>
      <c r="AQ203" s="40" t="s">
        <v>0</v>
      </c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ht="11.25" customHeight="1">
      <c r="A204" s="1" t="b">
        <v>1</v>
      </c>
      <c r="B204" s="1" t="s">
        <v>1599</v>
      </c>
      <c r="C204" s="1" t="s">
        <v>1600</v>
      </c>
      <c r="D204" s="1" t="s">
        <v>65</v>
      </c>
      <c r="E204" s="1"/>
      <c r="F204" s="1"/>
      <c r="G204" s="1" t="s">
        <v>500</v>
      </c>
      <c r="H204" s="1"/>
      <c r="I204" s="1" t="s">
        <v>126</v>
      </c>
      <c r="J204" s="1" t="s">
        <v>69</v>
      </c>
      <c r="K204" s="1" t="s">
        <v>70</v>
      </c>
      <c r="L204" s="1" t="s">
        <v>0</v>
      </c>
      <c r="M204" s="1" t="b">
        <v>1</v>
      </c>
      <c r="N204" s="1" t="b">
        <v>0</v>
      </c>
      <c r="O204" s="19">
        <v>2800.0</v>
      </c>
      <c r="P204" s="20">
        <v>2.1</v>
      </c>
      <c r="Q204" s="20">
        <v>1333.33</v>
      </c>
      <c r="R204" s="21">
        <v>0.6110940277350694</v>
      </c>
      <c r="S204" s="1" t="s">
        <v>117</v>
      </c>
      <c r="T204" s="1" t="s">
        <v>0</v>
      </c>
      <c r="U204" s="1" t="s">
        <v>81</v>
      </c>
      <c r="V204" s="1" t="s">
        <v>81</v>
      </c>
      <c r="W204" s="1" t="s">
        <v>0</v>
      </c>
      <c r="X204" s="1" t="s">
        <v>0</v>
      </c>
      <c r="Y204" s="22" t="str">
        <f t="shared" si="3"/>
        <v>CO</v>
      </c>
      <c r="Z204" s="20" t="str">
        <f>_xlfn.XLOOKUP($B204,[1]F27!$C:$C,[1]F27!$BV:$BV)</f>
        <v>#ERROR!</v>
      </c>
      <c r="AA204" s="1"/>
      <c r="AB204" s="1"/>
      <c r="AC204" s="23"/>
      <c r="AD204" s="1" t="str">
        <f>_xlfn.XLOOKUP($B204,[1]F27!$C:$C,[1]F27!$Y:$Y)</f>
        <v>#ERROR!</v>
      </c>
      <c r="AE204" s="1" t="str">
        <f>_xlfn.XLOOKUP($B204,[1]F27!$C:$C,[1]F27!$Z:$Z)</f>
        <v>#ERROR!</v>
      </c>
      <c r="AF204" s="1" t="str">
        <f>_xlfn.XLOOKUP($B204,[2]PRICING!$B:$B,[2]PRICING!$B:$B,"MISSING")</f>
        <v>#ERROR!</v>
      </c>
      <c r="AG204" s="1" t="str">
        <f>COUNTIFS([2]ACTIVE_SCO!$B:$B,$B204,[2]ACTIVE_SCO!$P:$P,"Y")</f>
        <v>#ERROR!</v>
      </c>
      <c r="AH204" s="1"/>
      <c r="AI204" s="37" t="s">
        <v>100</v>
      </c>
      <c r="AJ204" s="67" t="s">
        <v>1903</v>
      </c>
      <c r="AK204" s="49" t="s">
        <v>365</v>
      </c>
      <c r="AL204" s="39" t="s">
        <v>366</v>
      </c>
      <c r="AM204" s="1" t="s">
        <v>86</v>
      </c>
      <c r="AN204" s="40" t="s">
        <v>826</v>
      </c>
      <c r="AO204" s="41" t="s">
        <v>86</v>
      </c>
      <c r="AP204" s="41" t="s">
        <v>826</v>
      </c>
      <c r="AQ204" s="40" t="s">
        <v>0</v>
      </c>
      <c r="AR204" s="39"/>
      <c r="AS204" s="1" t="s">
        <v>126</v>
      </c>
      <c r="AT204" s="1" t="s">
        <v>128</v>
      </c>
      <c r="AU204" s="1" t="s">
        <v>130</v>
      </c>
      <c r="AV204" s="1" t="s">
        <v>131</v>
      </c>
      <c r="AW204" s="1"/>
      <c r="AX204" s="1"/>
      <c r="AY204" s="1"/>
      <c r="AZ204" s="1"/>
      <c r="BA204" s="50" t="s">
        <v>365</v>
      </c>
      <c r="BB204" s="1" t="s">
        <v>366</v>
      </c>
      <c r="BC204" s="1"/>
      <c r="BD204" s="1"/>
    </row>
    <row r="205" ht="11.25" customHeight="1">
      <c r="A205" s="1" t="b">
        <v>1</v>
      </c>
      <c r="B205" s="1" t="s">
        <v>1602</v>
      </c>
      <c r="C205" s="1" t="s">
        <v>1603</v>
      </c>
      <c r="D205" s="1" t="s">
        <v>65</v>
      </c>
      <c r="E205" s="1"/>
      <c r="F205" s="1"/>
      <c r="G205" s="1" t="s">
        <v>500</v>
      </c>
      <c r="H205" s="1"/>
      <c r="I205" s="1" t="s">
        <v>126</v>
      </c>
      <c r="J205" s="1" t="s">
        <v>69</v>
      </c>
      <c r="K205" s="1" t="s">
        <v>107</v>
      </c>
      <c r="L205" s="1" t="s">
        <v>0</v>
      </c>
      <c r="M205" s="1" t="b">
        <v>1</v>
      </c>
      <c r="N205" s="1" t="b">
        <v>0</v>
      </c>
      <c r="O205" s="19">
        <v>2800.0</v>
      </c>
      <c r="P205" s="20">
        <v>2.1</v>
      </c>
      <c r="Q205" s="20">
        <v>1333.33</v>
      </c>
      <c r="R205" s="21">
        <v>0.6193890484726212</v>
      </c>
      <c r="S205" s="1" t="s">
        <v>117</v>
      </c>
      <c r="T205" s="1" t="s">
        <v>0</v>
      </c>
      <c r="U205" s="1" t="s">
        <v>81</v>
      </c>
      <c r="V205" s="1" t="s">
        <v>81</v>
      </c>
      <c r="W205" s="1" t="s">
        <v>0</v>
      </c>
      <c r="X205" s="1" t="s">
        <v>0</v>
      </c>
      <c r="Y205" s="22" t="str">
        <f t="shared" si="3"/>
        <v>CO</v>
      </c>
      <c r="Z205" s="20" t="str">
        <f>_xlfn.XLOOKUP($B205,[1]F27!$C:$C,[1]F27!$BV:$BV)</f>
        <v>#ERROR!</v>
      </c>
      <c r="AA205" s="1"/>
      <c r="AB205" s="1"/>
      <c r="AC205" s="23"/>
      <c r="AD205" s="1" t="str">
        <f>_xlfn.XLOOKUP($B205,[1]F27!$C:$C,[1]F27!$Y:$Y)</f>
        <v>#ERROR!</v>
      </c>
      <c r="AE205" s="1" t="str">
        <f>_xlfn.XLOOKUP($B205,[1]F27!$C:$C,[1]F27!$Z:$Z)</f>
        <v>#ERROR!</v>
      </c>
      <c r="AF205" s="1" t="str">
        <f>_xlfn.XLOOKUP($B205,[2]PRICING!$B:$B,[2]PRICING!$B:$B,"MISSING")</f>
        <v>#ERROR!</v>
      </c>
      <c r="AG205" s="1" t="str">
        <f>COUNTIFS([2]ACTIVE_SCO!$B:$B,$B205,[2]ACTIVE_SCO!$P:$P,"Y")</f>
        <v>#ERROR!</v>
      </c>
      <c r="AH205" s="1"/>
      <c r="AI205" s="37" t="s">
        <v>100</v>
      </c>
      <c r="AJ205" s="67" t="s">
        <v>1904</v>
      </c>
      <c r="AK205" s="49" t="s">
        <v>365</v>
      </c>
      <c r="AL205" s="39" t="s">
        <v>366</v>
      </c>
      <c r="AM205" s="1" t="s">
        <v>86</v>
      </c>
      <c r="AN205" s="40" t="s">
        <v>826</v>
      </c>
      <c r="AO205" s="41" t="s">
        <v>86</v>
      </c>
      <c r="AP205" s="41" t="s">
        <v>826</v>
      </c>
      <c r="AQ205" s="40" t="s">
        <v>0</v>
      </c>
      <c r="AR205" s="39"/>
      <c r="AS205" s="1" t="s">
        <v>126</v>
      </c>
      <c r="AT205" s="1" t="s">
        <v>128</v>
      </c>
      <c r="AU205" s="1" t="s">
        <v>130</v>
      </c>
      <c r="AV205" s="1" t="s">
        <v>131</v>
      </c>
      <c r="AW205" s="1"/>
      <c r="AX205" s="1"/>
      <c r="AY205" s="1"/>
      <c r="AZ205" s="1"/>
      <c r="BA205" s="50" t="s">
        <v>365</v>
      </c>
      <c r="BB205" s="1" t="s">
        <v>366</v>
      </c>
      <c r="BC205" s="1"/>
      <c r="BD205" s="1"/>
    </row>
    <row r="206" ht="11.25" customHeight="1">
      <c r="A206" s="1" t="b">
        <v>1</v>
      </c>
      <c r="B206" s="1" t="s">
        <v>1779</v>
      </c>
      <c r="C206" s="1" t="s">
        <v>1780</v>
      </c>
      <c r="D206" s="1" t="s">
        <v>65</v>
      </c>
      <c r="E206" s="1"/>
      <c r="F206" s="1"/>
      <c r="G206" s="1" t="s">
        <v>247</v>
      </c>
      <c r="H206" s="1"/>
      <c r="I206" s="1" t="s">
        <v>248</v>
      </c>
      <c r="J206" s="1" t="s">
        <v>69</v>
      </c>
      <c r="K206" s="1" t="s">
        <v>249</v>
      </c>
      <c r="L206" s="1" t="s">
        <v>0</v>
      </c>
      <c r="M206" s="1" t="b">
        <v>1</v>
      </c>
      <c r="N206" s="1" t="b">
        <v>0</v>
      </c>
      <c r="O206" s="19">
        <v>550.0</v>
      </c>
      <c r="P206" s="20">
        <v>2.1</v>
      </c>
      <c r="Q206" s="20">
        <v>261.9</v>
      </c>
      <c r="R206" s="21">
        <v>0.6410843833524246</v>
      </c>
      <c r="S206" s="1" t="s">
        <v>117</v>
      </c>
      <c r="T206" s="1" t="s">
        <v>0</v>
      </c>
      <c r="U206" s="1" t="s">
        <v>81</v>
      </c>
      <c r="V206" s="1" t="s">
        <v>81</v>
      </c>
      <c r="W206" s="1" t="s">
        <v>0</v>
      </c>
      <c r="X206" s="1" t="s">
        <v>0</v>
      </c>
      <c r="Y206" s="22" t="str">
        <f t="shared" si="3"/>
        <v>CO</v>
      </c>
      <c r="Z206" s="20" t="str">
        <f>_xlfn.XLOOKUP($B206,[1]F27!$C:$C,[1]F27!$BV:$BV)</f>
        <v>#ERROR!</v>
      </c>
      <c r="AA206" s="1"/>
      <c r="AB206" s="1"/>
      <c r="AC206" s="23"/>
      <c r="AD206" s="1" t="str">
        <f>_xlfn.XLOOKUP($B206,[1]F27!$C:$C,[1]F27!$Y:$Y)</f>
        <v>#ERROR!</v>
      </c>
      <c r="AE206" s="1" t="str">
        <f>_xlfn.XLOOKUP($B206,[1]F27!$C:$C,[1]F27!$Z:$Z)</f>
        <v>#ERROR!</v>
      </c>
      <c r="AF206" s="1" t="str">
        <f>_xlfn.XLOOKUP($B206,[2]PRICING!$B:$B,[2]PRICING!$B:$B,"MISSING")</f>
        <v>#ERROR!</v>
      </c>
      <c r="AG206" s="1" t="str">
        <f>COUNTIFS([2]ACTIVE_SCO!$B:$B,$B206,[2]ACTIVE_SCO!$P:$P,"Y")</f>
        <v>#ERROR!</v>
      </c>
      <c r="AH206" s="1"/>
      <c r="AI206" s="37" t="s">
        <v>157</v>
      </c>
      <c r="AJ206" s="38" t="s">
        <v>1907</v>
      </c>
      <c r="AK206" s="39" t="s">
        <v>551</v>
      </c>
      <c r="AL206" s="39" t="s">
        <v>0</v>
      </c>
      <c r="AM206" s="1" t="s">
        <v>125</v>
      </c>
      <c r="AN206" s="40" t="s">
        <v>127</v>
      </c>
      <c r="AO206" s="41" t="s">
        <v>776</v>
      </c>
      <c r="AP206" s="41" t="s">
        <v>777</v>
      </c>
      <c r="AQ206" s="40" t="s">
        <v>0</v>
      </c>
      <c r="AR206" s="54"/>
      <c r="AS206" s="1" t="s">
        <v>248</v>
      </c>
      <c r="AT206" s="1" t="s">
        <v>253</v>
      </c>
      <c r="AU206" s="1" t="s">
        <v>254</v>
      </c>
      <c r="AV206" s="1" t="s">
        <v>131</v>
      </c>
      <c r="AW206" s="1"/>
      <c r="AX206" s="1"/>
      <c r="AY206" s="1"/>
      <c r="AZ206" s="1"/>
      <c r="BA206" s="1" t="s">
        <v>551</v>
      </c>
      <c r="BB206" s="1" t="s">
        <v>0</v>
      </c>
      <c r="BC206" s="1"/>
      <c r="BD206" s="1"/>
    </row>
    <row r="207" ht="11.25" customHeight="1">
      <c r="A207" s="1" t="b">
        <v>1</v>
      </c>
      <c r="B207" s="1" t="s">
        <v>1611</v>
      </c>
      <c r="C207" s="1" t="s">
        <v>1612</v>
      </c>
      <c r="D207" s="1" t="s">
        <v>65</v>
      </c>
      <c r="E207" s="1"/>
      <c r="F207" s="1"/>
      <c r="G207" s="1" t="s">
        <v>66</v>
      </c>
      <c r="H207" s="1"/>
      <c r="I207" s="1" t="s">
        <v>355</v>
      </c>
      <c r="J207" s="1" t="s">
        <v>69</v>
      </c>
      <c r="K207" s="1" t="s">
        <v>70</v>
      </c>
      <c r="L207" s="1" t="s">
        <v>0</v>
      </c>
      <c r="M207" s="1" t="b">
        <v>1</v>
      </c>
      <c r="N207" s="1" t="b">
        <v>0</v>
      </c>
      <c r="O207" s="19">
        <v>3500.0</v>
      </c>
      <c r="P207" s="20">
        <v>2.1</v>
      </c>
      <c r="Q207" s="20">
        <v>1666.67</v>
      </c>
      <c r="R207" s="21">
        <v>0.5816808366383267</v>
      </c>
      <c r="S207" s="1" t="s">
        <v>117</v>
      </c>
      <c r="T207" s="1" t="s">
        <v>0</v>
      </c>
      <c r="U207" s="1" t="s">
        <v>359</v>
      </c>
      <c r="V207" s="1" t="s">
        <v>81</v>
      </c>
      <c r="W207" s="1" t="s">
        <v>0</v>
      </c>
      <c r="X207" s="1" t="s">
        <v>0</v>
      </c>
      <c r="Y207" s="22" t="str">
        <f t="shared" si="3"/>
        <v>CO</v>
      </c>
      <c r="Z207" s="20" t="str">
        <f>_xlfn.XLOOKUP($B207,[1]F27!$C:$C,[1]F27!$BV:$BV)</f>
        <v>#ERROR!</v>
      </c>
      <c r="AA207" s="1"/>
      <c r="AB207" s="1"/>
      <c r="AC207" s="23"/>
      <c r="AD207" s="1" t="str">
        <f>_xlfn.XLOOKUP($B207,[1]F27!$C:$C,[1]F27!$Y:$Y)</f>
        <v>#ERROR!</v>
      </c>
      <c r="AE207" s="1" t="str">
        <f>_xlfn.XLOOKUP($B207,[1]F27!$C:$C,[1]F27!$Z:$Z)</f>
        <v>#ERROR!</v>
      </c>
      <c r="AF207" s="1" t="str">
        <f>_xlfn.XLOOKUP($B207,[2]PRICING!$B:$B,[2]PRICING!$B:$B,"MISSING")</f>
        <v>#ERROR!</v>
      </c>
      <c r="AG207" s="1" t="str">
        <f>COUNTIFS([2]ACTIVE_SCO!$B:$B,$B207,[2]ACTIVE_SCO!$P:$P,"Y")</f>
        <v>#ERROR!</v>
      </c>
      <c r="AH207" s="1"/>
      <c r="AI207" s="37" t="s">
        <v>157</v>
      </c>
      <c r="AJ207" s="55" t="s">
        <v>1910</v>
      </c>
      <c r="AK207" s="39" t="s">
        <v>1561</v>
      </c>
      <c r="AL207" s="39" t="s">
        <v>0</v>
      </c>
      <c r="AM207" s="1" t="s">
        <v>125</v>
      </c>
      <c r="AN207" s="40" t="s">
        <v>127</v>
      </c>
      <c r="AO207" s="41" t="s">
        <v>125</v>
      </c>
      <c r="AP207" s="39"/>
      <c r="AQ207" s="40" t="s">
        <v>125</v>
      </c>
      <c r="AR207" s="39"/>
      <c r="AS207" s="1" t="s">
        <v>355</v>
      </c>
      <c r="AT207" s="1" t="s">
        <v>161</v>
      </c>
      <c r="AU207" s="1" t="s">
        <v>448</v>
      </c>
      <c r="AV207" s="1" t="s">
        <v>131</v>
      </c>
      <c r="AW207" s="1"/>
      <c r="AX207" s="1"/>
      <c r="AY207" s="1"/>
      <c r="AZ207" s="1"/>
      <c r="BA207" s="1" t="s">
        <v>1561</v>
      </c>
      <c r="BB207" s="1" t="s">
        <v>0</v>
      </c>
      <c r="BC207" s="1"/>
      <c r="BD207" s="1"/>
    </row>
    <row r="208" ht="11.25" customHeight="1">
      <c r="A208" s="1" t="b">
        <v>1</v>
      </c>
      <c r="B208" s="1" t="s">
        <v>1614</v>
      </c>
      <c r="C208" s="1" t="s">
        <v>1615</v>
      </c>
      <c r="D208" s="1" t="s">
        <v>65</v>
      </c>
      <c r="E208" s="1"/>
      <c r="F208" s="1"/>
      <c r="G208" s="1" t="s">
        <v>66</v>
      </c>
      <c r="H208" s="1"/>
      <c r="I208" s="1" t="s">
        <v>355</v>
      </c>
      <c r="J208" s="1" t="s">
        <v>69</v>
      </c>
      <c r="K208" s="1" t="s">
        <v>107</v>
      </c>
      <c r="L208" s="1" t="s">
        <v>0</v>
      </c>
      <c r="M208" s="1" t="b">
        <v>1</v>
      </c>
      <c r="N208" s="1" t="b">
        <v>0</v>
      </c>
      <c r="O208" s="19">
        <v>3500.0</v>
      </c>
      <c r="P208" s="20">
        <v>2.1</v>
      </c>
      <c r="Q208" s="20">
        <v>1666.67</v>
      </c>
      <c r="R208" s="21">
        <v>0.6344567310865379</v>
      </c>
      <c r="S208" s="1" t="s">
        <v>117</v>
      </c>
      <c r="T208" s="1" t="s">
        <v>0</v>
      </c>
      <c r="U208" s="1" t="s">
        <v>359</v>
      </c>
      <c r="V208" s="1" t="s">
        <v>81</v>
      </c>
      <c r="W208" s="1" t="s">
        <v>0</v>
      </c>
      <c r="X208" s="1" t="s">
        <v>0</v>
      </c>
      <c r="Y208" s="22" t="str">
        <f t="shared" si="3"/>
        <v>CO</v>
      </c>
      <c r="Z208" s="20" t="str">
        <f>_xlfn.XLOOKUP($B208,[1]F27!$C:$C,[1]F27!$BV:$BV)</f>
        <v>#ERROR!</v>
      </c>
      <c r="AA208" s="1"/>
      <c r="AB208" s="1"/>
      <c r="AC208" s="23"/>
      <c r="AD208" s="1" t="str">
        <f>_xlfn.XLOOKUP($B208,[1]F27!$C:$C,[1]F27!$Y:$Y)</f>
        <v>#ERROR!</v>
      </c>
      <c r="AE208" s="1" t="str">
        <f>_xlfn.XLOOKUP($B208,[1]F27!$C:$C,[1]F27!$Z:$Z)</f>
        <v>#ERROR!</v>
      </c>
      <c r="AF208" s="1" t="str">
        <f>_xlfn.XLOOKUP($B208,[2]PRICING!$B:$B,[2]PRICING!$B:$B,"MISSING")</f>
        <v>#ERROR!</v>
      </c>
      <c r="AG208" s="1" t="str">
        <f>COUNTIFS([2]ACTIVE_SCO!$B:$B,$B208,[2]ACTIVE_SCO!$P:$P,"Y")</f>
        <v>#ERROR!</v>
      </c>
      <c r="AH208" s="1"/>
      <c r="AI208" s="37" t="s">
        <v>157</v>
      </c>
      <c r="AJ208" s="55" t="s">
        <v>1913</v>
      </c>
      <c r="AK208" s="39" t="s">
        <v>1561</v>
      </c>
      <c r="AL208" s="39" t="s">
        <v>0</v>
      </c>
      <c r="AM208" s="1" t="s">
        <v>125</v>
      </c>
      <c r="AN208" s="40" t="s">
        <v>127</v>
      </c>
      <c r="AO208" s="41" t="s">
        <v>125</v>
      </c>
      <c r="AP208" s="39"/>
      <c r="AQ208" s="40" t="s">
        <v>125</v>
      </c>
      <c r="AR208" s="39"/>
      <c r="AS208" s="1" t="s">
        <v>355</v>
      </c>
      <c r="AT208" s="1" t="s">
        <v>161</v>
      </c>
      <c r="AU208" s="1" t="s">
        <v>448</v>
      </c>
      <c r="AV208" s="1" t="s">
        <v>131</v>
      </c>
      <c r="AW208" s="1"/>
      <c r="AX208" s="1"/>
      <c r="AY208" s="1"/>
      <c r="AZ208" s="1"/>
      <c r="BA208" s="1" t="s">
        <v>1561</v>
      </c>
      <c r="BB208" s="1" t="s">
        <v>0</v>
      </c>
      <c r="BC208" s="1"/>
      <c r="BD208" s="1"/>
    </row>
    <row r="209" ht="11.25" customHeight="1">
      <c r="A209" s="1" t="b">
        <v>1</v>
      </c>
      <c r="B209" s="1" t="s">
        <v>1618</v>
      </c>
      <c r="C209" s="1" t="s">
        <v>1619</v>
      </c>
      <c r="D209" s="1" t="s">
        <v>65</v>
      </c>
      <c r="E209" s="1"/>
      <c r="F209" s="1"/>
      <c r="G209" s="1" t="s">
        <v>66</v>
      </c>
      <c r="H209" s="1"/>
      <c r="I209" s="1" t="s">
        <v>355</v>
      </c>
      <c r="J209" s="1" t="s">
        <v>69</v>
      </c>
      <c r="K209" s="1" t="s">
        <v>70</v>
      </c>
      <c r="L209" s="1" t="s">
        <v>0</v>
      </c>
      <c r="M209" s="1" t="b">
        <v>1</v>
      </c>
      <c r="N209" s="1" t="b">
        <v>0</v>
      </c>
      <c r="O209" s="19">
        <v>4000.0</v>
      </c>
      <c r="P209" s="20">
        <v>2.1</v>
      </c>
      <c r="Q209" s="20">
        <v>1904.76</v>
      </c>
      <c r="R209" s="21">
        <v>0.6038556038556038</v>
      </c>
      <c r="S209" s="1" t="s">
        <v>117</v>
      </c>
      <c r="T209" s="1" t="s">
        <v>0</v>
      </c>
      <c r="U209" s="1" t="s">
        <v>359</v>
      </c>
      <c r="V209" s="1" t="s">
        <v>81</v>
      </c>
      <c r="W209" s="1" t="s">
        <v>0</v>
      </c>
      <c r="X209" s="1" t="s">
        <v>0</v>
      </c>
      <c r="Y209" s="22" t="str">
        <f t="shared" si="3"/>
        <v>CO</v>
      </c>
      <c r="Z209" s="20" t="str">
        <f>_xlfn.XLOOKUP($B209,[1]F27!$C:$C,[1]F27!$BV:$BV)</f>
        <v>#ERROR!</v>
      </c>
      <c r="AA209" s="1"/>
      <c r="AB209" s="1"/>
      <c r="AC209" s="23"/>
      <c r="AD209" s="1" t="str">
        <f>_xlfn.XLOOKUP($B209,[1]F27!$C:$C,[1]F27!$Y:$Y)</f>
        <v>#ERROR!</v>
      </c>
      <c r="AE209" s="1" t="str">
        <f>_xlfn.XLOOKUP($B209,[1]F27!$C:$C,[1]F27!$Z:$Z)</f>
        <v>#ERROR!</v>
      </c>
      <c r="AF209" s="1" t="str">
        <f>_xlfn.XLOOKUP($B209,[2]PRICING!$B:$B,[2]PRICING!$B:$B,"MISSING")</f>
        <v>#ERROR!</v>
      </c>
      <c r="AG209" s="1" t="str">
        <f>COUNTIFS([2]ACTIVE_SCO!$B:$B,$B209,[2]ACTIVE_SCO!$P:$P,"Y")</f>
        <v>#ERROR!</v>
      </c>
      <c r="AH209" s="1"/>
      <c r="AI209" s="37" t="s">
        <v>157</v>
      </c>
      <c r="AJ209" s="38" t="s">
        <v>1917</v>
      </c>
      <c r="AK209" s="39" t="s">
        <v>366</v>
      </c>
      <c r="AL209" s="39" t="s">
        <v>0</v>
      </c>
      <c r="AM209" s="1" t="s">
        <v>125</v>
      </c>
      <c r="AN209" s="40" t="s">
        <v>174</v>
      </c>
      <c r="AO209" s="41" t="s">
        <v>125</v>
      </c>
      <c r="AP209" s="39"/>
      <c r="AQ209" s="40" t="s">
        <v>125</v>
      </c>
      <c r="AR209" s="39"/>
      <c r="AS209" s="1" t="s">
        <v>355</v>
      </c>
      <c r="AT209" s="1" t="s">
        <v>175</v>
      </c>
      <c r="AU209" s="1" t="s">
        <v>842</v>
      </c>
      <c r="AV209" s="1" t="s">
        <v>131</v>
      </c>
      <c r="AW209" s="1"/>
      <c r="AX209" s="1"/>
      <c r="AY209" s="1"/>
      <c r="AZ209" s="1"/>
      <c r="BA209" s="1" t="s">
        <v>366</v>
      </c>
      <c r="BB209" s="1" t="s">
        <v>0</v>
      </c>
      <c r="BC209" s="1"/>
      <c r="BD209" s="1"/>
    </row>
    <row r="210" ht="11.25" customHeight="1">
      <c r="A210" s="1" t="b">
        <v>0</v>
      </c>
      <c r="B210" s="1" t="s">
        <v>931</v>
      </c>
      <c r="C210" s="1" t="s">
        <v>932</v>
      </c>
      <c r="D210" s="1" t="s">
        <v>65</v>
      </c>
      <c r="E210" s="1"/>
      <c r="F210" s="1"/>
      <c r="G210" s="1" t="s">
        <v>66</v>
      </c>
      <c r="H210" s="1"/>
      <c r="I210" s="1" t="s">
        <v>68</v>
      </c>
      <c r="J210" s="1" t="s">
        <v>141</v>
      </c>
      <c r="K210" s="1" t="s">
        <v>70</v>
      </c>
      <c r="L210" s="1" t="s">
        <v>0</v>
      </c>
      <c r="M210" s="1" t="b">
        <v>1</v>
      </c>
      <c r="N210" s="1" t="b">
        <v>0</v>
      </c>
      <c r="O210" s="19">
        <v>3500.0</v>
      </c>
      <c r="P210" s="20">
        <v>2.1</v>
      </c>
      <c r="Q210" s="20">
        <v>1666.67</v>
      </c>
      <c r="R210" s="21">
        <v>0.603262793474413</v>
      </c>
      <c r="S210" s="1" t="s">
        <v>117</v>
      </c>
      <c r="T210" s="1" t="s">
        <v>0</v>
      </c>
      <c r="U210" s="1" t="s">
        <v>166</v>
      </c>
      <c r="V210" s="1" t="s">
        <v>81</v>
      </c>
      <c r="W210" s="1" t="s">
        <v>0</v>
      </c>
      <c r="X210" s="1" t="s">
        <v>156</v>
      </c>
      <c r="Y210" s="22" t="str">
        <f t="shared" si="3"/>
        <v>CO</v>
      </c>
      <c r="Z210" s="20" t="str">
        <f>_xlfn.XLOOKUP($B210,[1]F27!$C:$C,[1]F27!$BV:$BV)</f>
        <v>#ERROR!</v>
      </c>
      <c r="AA210" s="1"/>
      <c r="AB210" s="1"/>
      <c r="AC210" s="23"/>
      <c r="AD210" s="1" t="str">
        <f>_xlfn.XLOOKUP($B210,[1]F27!$C:$C,[1]F27!$Y:$Y)</f>
        <v>#ERROR!</v>
      </c>
      <c r="AE210" s="1" t="str">
        <f>_xlfn.XLOOKUP($B210,[1]F27!$C:$C,[1]F27!$Z:$Z)</f>
        <v>#ERROR!</v>
      </c>
      <c r="AF210" s="1" t="str">
        <f>_xlfn.XLOOKUP($B210,[2]PRICING!$B:$B,[2]PRICING!$B:$B,"MISSING")</f>
        <v>#ERROR!</v>
      </c>
      <c r="AG210" s="1" t="str">
        <f>COUNTIFS([2]ACTIVE_SCO!$B:$B,$B210,[2]ACTIVE_SCO!$P:$P,"Y")</f>
        <v>#ERROR!</v>
      </c>
      <c r="AH210" s="1"/>
      <c r="AI210" s="1" t="s">
        <v>341</v>
      </c>
      <c r="AJ210" s="1"/>
      <c r="AK210" s="1"/>
      <c r="AL210" s="1"/>
      <c r="AM210" s="1"/>
      <c r="AN210" s="1"/>
      <c r="AO210" s="1"/>
      <c r="AP210" s="1"/>
      <c r="AQ210" s="40" t="s">
        <v>0</v>
      </c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ht="11.25" customHeight="1">
      <c r="A211" s="1" t="b">
        <v>0</v>
      </c>
      <c r="B211" s="1" t="s">
        <v>936</v>
      </c>
      <c r="C211" s="1" t="s">
        <v>937</v>
      </c>
      <c r="D211" s="1" t="s">
        <v>65</v>
      </c>
      <c r="E211" s="1"/>
      <c r="F211" s="1"/>
      <c r="G211" s="1" t="s">
        <v>66</v>
      </c>
      <c r="H211" s="1"/>
      <c r="I211" s="1" t="s">
        <v>68</v>
      </c>
      <c r="J211" s="1" t="s">
        <v>141</v>
      </c>
      <c r="K211" s="1" t="s">
        <v>107</v>
      </c>
      <c r="L211" s="1" t="s">
        <v>0</v>
      </c>
      <c r="M211" s="1" t="b">
        <v>1</v>
      </c>
      <c r="N211" s="1" t="b">
        <v>0</v>
      </c>
      <c r="O211" s="19">
        <v>3500.0</v>
      </c>
      <c r="P211" s="20">
        <v>2.1</v>
      </c>
      <c r="Q211" s="20">
        <v>1666.67</v>
      </c>
      <c r="R211" s="21">
        <v>0.6228527542944914</v>
      </c>
      <c r="S211" s="1" t="s">
        <v>117</v>
      </c>
      <c r="T211" s="1" t="s">
        <v>0</v>
      </c>
      <c r="U211" s="1" t="s">
        <v>166</v>
      </c>
      <c r="V211" s="1" t="s">
        <v>81</v>
      </c>
      <c r="W211" s="1" t="s">
        <v>0</v>
      </c>
      <c r="X211" s="1" t="s">
        <v>156</v>
      </c>
      <c r="Y211" s="22" t="str">
        <f t="shared" si="3"/>
        <v>CO</v>
      </c>
      <c r="Z211" s="20" t="str">
        <f>_xlfn.XLOOKUP($B211,[1]F27!$C:$C,[1]F27!$BV:$BV)</f>
        <v>#ERROR!</v>
      </c>
      <c r="AA211" s="1"/>
      <c r="AB211" s="1"/>
      <c r="AC211" s="23"/>
      <c r="AD211" s="1" t="str">
        <f>_xlfn.XLOOKUP($B211,[1]F27!$C:$C,[1]F27!$Y:$Y)</f>
        <v>#ERROR!</v>
      </c>
      <c r="AE211" s="1" t="str">
        <f>_xlfn.XLOOKUP($B211,[1]F27!$C:$C,[1]F27!$Z:$Z)</f>
        <v>#ERROR!</v>
      </c>
      <c r="AF211" s="1" t="str">
        <f>_xlfn.XLOOKUP($B211,[2]PRICING!$B:$B,[2]PRICING!$B:$B,"MISSING")</f>
        <v>#ERROR!</v>
      </c>
      <c r="AG211" s="1" t="str">
        <f>COUNTIFS([2]ACTIVE_SCO!$B:$B,$B211,[2]ACTIVE_SCO!$P:$P,"Y")</f>
        <v>#ERROR!</v>
      </c>
      <c r="AH211" s="1"/>
      <c r="AI211" s="1" t="s">
        <v>341</v>
      </c>
      <c r="AJ211" s="1"/>
      <c r="AK211" s="1"/>
      <c r="AL211" s="1"/>
      <c r="AM211" s="1"/>
      <c r="AN211" s="1"/>
      <c r="AO211" s="1"/>
      <c r="AP211" s="1"/>
      <c r="AQ211" s="40" t="s">
        <v>0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ht="11.25" customHeight="1">
      <c r="A212" s="1" t="b">
        <v>1</v>
      </c>
      <c r="B212" s="1" t="s">
        <v>1621</v>
      </c>
      <c r="C212" s="1" t="s">
        <v>1622</v>
      </c>
      <c r="D212" s="1" t="s">
        <v>65</v>
      </c>
      <c r="E212" s="1"/>
      <c r="F212" s="1"/>
      <c r="G212" s="1" t="s">
        <v>66</v>
      </c>
      <c r="H212" s="1"/>
      <c r="I212" s="1" t="s">
        <v>355</v>
      </c>
      <c r="J212" s="1" t="s">
        <v>69</v>
      </c>
      <c r="K212" s="1" t="s">
        <v>107</v>
      </c>
      <c r="L212" s="1" t="s">
        <v>0</v>
      </c>
      <c r="M212" s="1" t="b">
        <v>1</v>
      </c>
      <c r="N212" s="1" t="b">
        <v>0</v>
      </c>
      <c r="O212" s="19">
        <v>4000.0</v>
      </c>
      <c r="P212" s="20">
        <v>2.1</v>
      </c>
      <c r="Q212" s="20">
        <v>1904.76</v>
      </c>
      <c r="R212" s="21">
        <v>0.6355341355341355</v>
      </c>
      <c r="S212" s="1" t="s">
        <v>117</v>
      </c>
      <c r="T212" s="1" t="s">
        <v>0</v>
      </c>
      <c r="U212" s="1" t="s">
        <v>359</v>
      </c>
      <c r="V212" s="1" t="s">
        <v>81</v>
      </c>
      <c r="W212" s="1" t="s">
        <v>0</v>
      </c>
      <c r="X212" s="1" t="s">
        <v>0</v>
      </c>
      <c r="Y212" s="22" t="str">
        <f t="shared" si="3"/>
        <v>CO</v>
      </c>
      <c r="Z212" s="20" t="str">
        <f>_xlfn.XLOOKUP($B212,[1]F27!$C:$C,[1]F27!$BV:$BV)</f>
        <v>#ERROR!</v>
      </c>
      <c r="AA212" s="1"/>
      <c r="AB212" s="1"/>
      <c r="AC212" s="23"/>
      <c r="AD212" s="1" t="str">
        <f>_xlfn.XLOOKUP($B212,[1]F27!$C:$C,[1]F27!$Y:$Y)</f>
        <v>#ERROR!</v>
      </c>
      <c r="AE212" s="1" t="str">
        <f>_xlfn.XLOOKUP($B212,[1]F27!$C:$C,[1]F27!$Z:$Z)</f>
        <v>#ERROR!</v>
      </c>
      <c r="AF212" s="1" t="str">
        <f>_xlfn.XLOOKUP($B212,[2]PRICING!$B:$B,[2]PRICING!$B:$B,"MISSING")</f>
        <v>#ERROR!</v>
      </c>
      <c r="AG212" s="1" t="str">
        <f>COUNTIFS([2]ACTIVE_SCO!$B:$B,$B212,[2]ACTIVE_SCO!$P:$P,"Y")</f>
        <v>#ERROR!</v>
      </c>
      <c r="AH212" s="1"/>
      <c r="AI212" s="37" t="s">
        <v>157</v>
      </c>
      <c r="AJ212" s="38" t="s">
        <v>1921</v>
      </c>
      <c r="AK212" s="39" t="s">
        <v>366</v>
      </c>
      <c r="AL212" s="39" t="s">
        <v>0</v>
      </c>
      <c r="AM212" s="1" t="s">
        <v>125</v>
      </c>
      <c r="AN212" s="40" t="s">
        <v>174</v>
      </c>
      <c r="AO212" s="41" t="s">
        <v>125</v>
      </c>
      <c r="AP212" s="39"/>
      <c r="AQ212" s="40" t="s">
        <v>125</v>
      </c>
      <c r="AR212" s="39"/>
      <c r="AS212" s="1" t="s">
        <v>355</v>
      </c>
      <c r="AT212" s="1" t="s">
        <v>175</v>
      </c>
      <c r="AU212" s="1" t="s">
        <v>842</v>
      </c>
      <c r="AV212" s="1" t="s">
        <v>131</v>
      </c>
      <c r="AW212" s="1"/>
      <c r="AX212" s="1"/>
      <c r="AY212" s="1"/>
      <c r="AZ212" s="1"/>
      <c r="BA212" s="1" t="s">
        <v>366</v>
      </c>
      <c r="BB212" s="1" t="s">
        <v>0</v>
      </c>
      <c r="BC212" s="1"/>
      <c r="BD212" s="1"/>
    </row>
    <row r="213" ht="11.25" customHeight="1">
      <c r="A213" s="1" t="b">
        <v>1</v>
      </c>
      <c r="B213" s="1" t="s">
        <v>1790</v>
      </c>
      <c r="C213" s="1" t="s">
        <v>1791</v>
      </c>
      <c r="D213" s="1" t="s">
        <v>65</v>
      </c>
      <c r="E213" s="1"/>
      <c r="F213" s="1"/>
      <c r="G213" s="1" t="s">
        <v>220</v>
      </c>
      <c r="H213" s="1"/>
      <c r="I213" s="1" t="s">
        <v>248</v>
      </c>
      <c r="J213" s="1" t="s">
        <v>69</v>
      </c>
      <c r="K213" s="1" t="s">
        <v>249</v>
      </c>
      <c r="L213" s="1" t="s">
        <v>0</v>
      </c>
      <c r="M213" s="1" t="b">
        <v>0</v>
      </c>
      <c r="N213" s="1" t="b">
        <v>1</v>
      </c>
      <c r="O213" s="19">
        <v>500.0</v>
      </c>
      <c r="P213" s="20">
        <v>1.9</v>
      </c>
      <c r="Q213" s="20">
        <v>263.16</v>
      </c>
      <c r="R213" s="21">
        <v>0.6098951208390333</v>
      </c>
      <c r="S213" s="1" t="s">
        <v>117</v>
      </c>
      <c r="T213" s="1" t="s">
        <v>0</v>
      </c>
      <c r="U213" s="1" t="s">
        <v>81</v>
      </c>
      <c r="V213" s="1" t="s">
        <v>81</v>
      </c>
      <c r="W213" s="1" t="s">
        <v>0</v>
      </c>
      <c r="X213" s="1" t="s">
        <v>0</v>
      </c>
      <c r="Y213" s="22" t="str">
        <f t="shared" si="3"/>
        <v>UPDATE</v>
      </c>
      <c r="Z213" s="20" t="str">
        <f>_xlfn.XLOOKUP($B213,[1]F27!$C:$C,[1]F27!$BV:$BV)</f>
        <v>#ERROR!</v>
      </c>
      <c r="AA213" s="1"/>
      <c r="AB213" s="1"/>
      <c r="AC213" s="23"/>
      <c r="AD213" s="1" t="str">
        <f>_xlfn.XLOOKUP($B213,[1]F27!$C:$C,[1]F27!$Y:$Y)</f>
        <v>#ERROR!</v>
      </c>
      <c r="AE213" s="1" t="str">
        <f>_xlfn.XLOOKUP($B213,[1]F27!$C:$C,[1]F27!$Z:$Z)</f>
        <v>#ERROR!</v>
      </c>
      <c r="AF213" s="1" t="str">
        <f>_xlfn.XLOOKUP($B213,[2]PRICING!$B:$B,[2]PRICING!$B:$B,"MISSING")</f>
        <v>#ERROR!</v>
      </c>
      <c r="AG213" s="1" t="str">
        <f>COUNTIFS([2]ACTIVE_SCO!$B:$B,$B213,[2]ACTIVE_SCO!$P:$P,"Y")</f>
        <v>#ERROR!</v>
      </c>
      <c r="AH213" s="1"/>
      <c r="AI213" s="37" t="s">
        <v>157</v>
      </c>
      <c r="AJ213" s="38" t="s">
        <v>1924</v>
      </c>
      <c r="AK213" s="39" t="s">
        <v>366</v>
      </c>
      <c r="AL213" s="39" t="s">
        <v>551</v>
      </c>
      <c r="AM213" s="1" t="s">
        <v>125</v>
      </c>
      <c r="AN213" s="40" t="s">
        <v>127</v>
      </c>
      <c r="AO213" s="41" t="s">
        <v>125</v>
      </c>
      <c r="AP213" s="39"/>
      <c r="AQ213" s="1"/>
      <c r="AR213" s="54"/>
      <c r="AS213" s="1" t="s">
        <v>248</v>
      </c>
      <c r="AT213" s="1" t="s">
        <v>253</v>
      </c>
      <c r="AU213" s="1" t="s">
        <v>291</v>
      </c>
      <c r="AV213" s="1" t="s">
        <v>131</v>
      </c>
      <c r="AW213" s="1"/>
      <c r="AX213" s="1"/>
      <c r="AY213" s="1"/>
      <c r="AZ213" s="1"/>
      <c r="BA213" s="1" t="s">
        <v>366</v>
      </c>
      <c r="BB213" s="1" t="s">
        <v>551</v>
      </c>
      <c r="BC213" s="1"/>
      <c r="BD213" s="1"/>
    </row>
    <row r="214" ht="11.25" customHeight="1">
      <c r="A214" s="1" t="b">
        <v>1</v>
      </c>
      <c r="B214" s="1" t="s">
        <v>1629</v>
      </c>
      <c r="C214" s="1" t="s">
        <v>1630</v>
      </c>
      <c r="D214" s="1" t="s">
        <v>65</v>
      </c>
      <c r="E214" s="1"/>
      <c r="F214" s="1"/>
      <c r="G214" s="1" t="s">
        <v>66</v>
      </c>
      <c r="H214" s="1"/>
      <c r="I214" s="1" t="s">
        <v>270</v>
      </c>
      <c r="J214" s="1" t="s">
        <v>69</v>
      </c>
      <c r="K214" s="1" t="s">
        <v>70</v>
      </c>
      <c r="L214" s="1" t="s">
        <v>0</v>
      </c>
      <c r="M214" s="1" t="b">
        <v>0</v>
      </c>
      <c r="N214" s="1" t="b">
        <v>1</v>
      </c>
      <c r="O214" s="19">
        <v>1000.0</v>
      </c>
      <c r="P214" s="20">
        <v>2.1</v>
      </c>
      <c r="Q214" s="20">
        <v>476.19</v>
      </c>
      <c r="R214" s="21">
        <v>0.6174006174006175</v>
      </c>
      <c r="S214" s="1" t="s">
        <v>78</v>
      </c>
      <c r="T214" s="1" t="s">
        <v>0</v>
      </c>
      <c r="U214" s="1" t="s">
        <v>81</v>
      </c>
      <c r="V214" s="1" t="s">
        <v>81</v>
      </c>
      <c r="W214" s="1" t="s">
        <v>0</v>
      </c>
      <c r="X214" s="1" t="s">
        <v>0</v>
      </c>
      <c r="Y214" s="22" t="str">
        <f t="shared" si="3"/>
        <v>UPDATE</v>
      </c>
      <c r="Z214" s="20" t="str">
        <f>_xlfn.XLOOKUP($B214,[1]F27!$C:$C,[1]F27!$BV:$BV)</f>
        <v>#ERROR!</v>
      </c>
      <c r="AA214" s="1"/>
      <c r="AB214" s="1"/>
      <c r="AC214" s="23"/>
      <c r="AD214" s="1" t="str">
        <f>_xlfn.XLOOKUP($B214,[1]F27!$C:$C,[1]F27!$Y:$Y)</f>
        <v>#ERROR!</v>
      </c>
      <c r="AE214" s="1" t="str">
        <f>_xlfn.XLOOKUP($B214,[1]F27!$C:$C,[1]F27!$Z:$Z)</f>
        <v>#ERROR!</v>
      </c>
      <c r="AF214" s="1" t="str">
        <f>_xlfn.XLOOKUP($B214,[2]PRICING!$B:$B,[2]PRICING!$B:$B,"MISSING")</f>
        <v>#ERROR!</v>
      </c>
      <c r="AG214" s="1" t="str">
        <f>COUNTIFS([2]ACTIVE_SCO!$B:$B,$B214,[2]ACTIVE_SCO!$P:$P,"Y")</f>
        <v>#ERROR!</v>
      </c>
      <c r="AH214" s="1"/>
      <c r="AI214" s="37" t="s">
        <v>157</v>
      </c>
      <c r="AJ214" s="38" t="s">
        <v>1930</v>
      </c>
      <c r="AK214" s="39" t="s">
        <v>366</v>
      </c>
      <c r="AL214" s="39" t="s">
        <v>551</v>
      </c>
      <c r="AM214" s="1" t="s">
        <v>125</v>
      </c>
      <c r="AN214" s="40" t="s">
        <v>127</v>
      </c>
      <c r="AO214" s="41" t="s">
        <v>125</v>
      </c>
      <c r="AP214" s="39"/>
      <c r="AQ214" s="40" t="s">
        <v>0</v>
      </c>
      <c r="AR214" s="39"/>
      <c r="AS214" s="1" t="s">
        <v>276</v>
      </c>
      <c r="AT214" s="1" t="s">
        <v>1032</v>
      </c>
      <c r="AU214" s="1" t="s">
        <v>277</v>
      </c>
      <c r="AV214" s="1" t="s">
        <v>131</v>
      </c>
      <c r="AW214" s="1"/>
      <c r="AX214" s="1"/>
      <c r="AY214" s="1"/>
      <c r="AZ214" s="1"/>
      <c r="BA214" s="1" t="s">
        <v>366</v>
      </c>
      <c r="BB214" s="1" t="s">
        <v>551</v>
      </c>
      <c r="BC214" s="1"/>
      <c r="BD214" s="1"/>
    </row>
    <row r="215" ht="11.25" customHeight="1">
      <c r="A215" s="1" t="b">
        <v>1</v>
      </c>
      <c r="B215" s="1" t="s">
        <v>1631</v>
      </c>
      <c r="C215" s="1" t="s">
        <v>1632</v>
      </c>
      <c r="D215" s="1" t="s">
        <v>65</v>
      </c>
      <c r="E215" s="1"/>
      <c r="F215" s="1"/>
      <c r="G215" s="1" t="s">
        <v>66</v>
      </c>
      <c r="H215" s="1"/>
      <c r="I215" s="1" t="s">
        <v>270</v>
      </c>
      <c r="J215" s="1" t="s">
        <v>69</v>
      </c>
      <c r="K215" s="1" t="s">
        <v>107</v>
      </c>
      <c r="L215" s="1" t="s">
        <v>0</v>
      </c>
      <c r="M215" s="1" t="b">
        <v>0</v>
      </c>
      <c r="N215" s="1" t="b">
        <v>1</v>
      </c>
      <c r="O215" s="19">
        <v>1000.0</v>
      </c>
      <c r="P215" s="20">
        <v>2.1</v>
      </c>
      <c r="Q215" s="20">
        <v>476.19</v>
      </c>
      <c r="R215" s="21">
        <v>0.6333816333816333</v>
      </c>
      <c r="S215" s="1" t="s">
        <v>78</v>
      </c>
      <c r="T215" s="1" t="s">
        <v>0</v>
      </c>
      <c r="U215" s="1" t="s">
        <v>81</v>
      </c>
      <c r="V215" s="1" t="s">
        <v>81</v>
      </c>
      <c r="W215" s="1" t="s">
        <v>0</v>
      </c>
      <c r="X215" s="1" t="s">
        <v>0</v>
      </c>
      <c r="Y215" s="22" t="str">
        <f t="shared" si="3"/>
        <v>UPDATE</v>
      </c>
      <c r="Z215" s="20" t="str">
        <f>_xlfn.XLOOKUP($B215,[1]F27!$C:$C,[1]F27!$BV:$BV)</f>
        <v>#ERROR!</v>
      </c>
      <c r="AA215" s="1"/>
      <c r="AB215" s="1"/>
      <c r="AC215" s="23"/>
      <c r="AD215" s="1" t="str">
        <f>_xlfn.XLOOKUP($B215,[1]F27!$C:$C,[1]F27!$Y:$Y)</f>
        <v>#ERROR!</v>
      </c>
      <c r="AE215" s="1" t="str">
        <f>_xlfn.XLOOKUP($B215,[1]F27!$C:$C,[1]F27!$Z:$Z)</f>
        <v>#ERROR!</v>
      </c>
      <c r="AF215" s="1" t="str">
        <f>_xlfn.XLOOKUP($B215,[2]PRICING!$B:$B,[2]PRICING!$B:$B,"MISSING")</f>
        <v>#ERROR!</v>
      </c>
      <c r="AG215" s="1" t="str">
        <f>COUNTIFS([2]ACTIVE_SCO!$B:$B,$B215,[2]ACTIVE_SCO!$P:$P,"Y")</f>
        <v>#ERROR!</v>
      </c>
      <c r="AH215" s="1"/>
      <c r="AI215" s="37" t="s">
        <v>157</v>
      </c>
      <c r="AJ215" s="38" t="s">
        <v>1931</v>
      </c>
      <c r="AK215" s="39" t="s">
        <v>366</v>
      </c>
      <c r="AL215" s="39" t="s">
        <v>551</v>
      </c>
      <c r="AM215" s="1" t="s">
        <v>125</v>
      </c>
      <c r="AN215" s="40" t="s">
        <v>127</v>
      </c>
      <c r="AO215" s="41" t="s">
        <v>125</v>
      </c>
      <c r="AP215" s="39"/>
      <c r="AQ215" s="40" t="s">
        <v>0</v>
      </c>
      <c r="AR215" s="39"/>
      <c r="AS215" s="1" t="s">
        <v>276</v>
      </c>
      <c r="AT215" s="1" t="s">
        <v>1032</v>
      </c>
      <c r="AU215" s="1" t="s">
        <v>277</v>
      </c>
      <c r="AV215" s="1" t="s">
        <v>131</v>
      </c>
      <c r="AW215" s="1"/>
      <c r="AX215" s="1"/>
      <c r="AY215" s="1"/>
      <c r="AZ215" s="1"/>
      <c r="BA215" s="1" t="s">
        <v>366</v>
      </c>
      <c r="BB215" s="1" t="s">
        <v>551</v>
      </c>
      <c r="BC215" s="1"/>
      <c r="BD215" s="1"/>
    </row>
    <row r="216" ht="11.25" customHeight="1">
      <c r="A216" s="1" t="b">
        <v>1</v>
      </c>
      <c r="B216" s="1" t="s">
        <v>832</v>
      </c>
      <c r="C216" s="1" t="s">
        <v>833</v>
      </c>
      <c r="D216" s="1" t="s">
        <v>65</v>
      </c>
      <c r="E216" s="1"/>
      <c r="F216" s="1"/>
      <c r="G216" s="1" t="s">
        <v>66</v>
      </c>
      <c r="H216" s="1"/>
      <c r="I216" s="1" t="s">
        <v>270</v>
      </c>
      <c r="J216" s="1" t="s">
        <v>69</v>
      </c>
      <c r="K216" s="1" t="s">
        <v>70</v>
      </c>
      <c r="L216" s="1" t="s">
        <v>0</v>
      </c>
      <c r="M216" s="1" t="b">
        <v>1</v>
      </c>
      <c r="N216" s="1" t="b">
        <v>0</v>
      </c>
      <c r="O216" s="19">
        <v>1400.0</v>
      </c>
      <c r="P216" s="20">
        <v>2.1</v>
      </c>
      <c r="Q216" s="20">
        <v>666.67</v>
      </c>
      <c r="R216" s="21">
        <v>0.636236818815906</v>
      </c>
      <c r="S216" s="1" t="s">
        <v>117</v>
      </c>
      <c r="T216" s="1" t="s">
        <v>0</v>
      </c>
      <c r="U216" s="1" t="s">
        <v>81</v>
      </c>
      <c r="V216" s="1" t="s">
        <v>81</v>
      </c>
      <c r="W216" s="1" t="s">
        <v>0</v>
      </c>
      <c r="X216" s="1" t="s">
        <v>0</v>
      </c>
      <c r="Y216" s="22" t="str">
        <f t="shared" si="3"/>
        <v>CO</v>
      </c>
      <c r="Z216" s="20" t="str">
        <f>_xlfn.XLOOKUP($B216,[1]F27!$C:$C,[1]F27!$BV:$BV)</f>
        <v>#ERROR!</v>
      </c>
      <c r="AA216" s="1"/>
      <c r="AB216" s="1"/>
      <c r="AC216" s="23"/>
      <c r="AD216" s="1" t="str">
        <f>_xlfn.XLOOKUP($B216,[1]F27!$C:$C,[1]F27!$Y:$Y)</f>
        <v>#ERROR!</v>
      </c>
      <c r="AE216" s="1" t="str">
        <f>_xlfn.XLOOKUP($B216,[1]F27!$C:$C,[1]F27!$Z:$Z)</f>
        <v>#ERROR!</v>
      </c>
      <c r="AF216" s="1" t="str">
        <f>_xlfn.XLOOKUP($B216,[2]PRICING!$B:$B,[2]PRICING!$B:$B,"MISSING")</f>
        <v>#ERROR!</v>
      </c>
      <c r="AG216" s="1" t="str">
        <f>COUNTIFS([2]ACTIVE_SCO!$B:$B,$B216,[2]ACTIVE_SCO!$P:$P,"Y")</f>
        <v>#ERROR!</v>
      </c>
      <c r="AH216" s="1"/>
      <c r="AI216" s="37" t="s">
        <v>157</v>
      </c>
      <c r="AJ216" s="55" t="s">
        <v>1935</v>
      </c>
      <c r="AK216" s="39" t="s">
        <v>60</v>
      </c>
      <c r="AL216" s="39" t="s">
        <v>0</v>
      </c>
      <c r="AM216" s="1" t="s">
        <v>125</v>
      </c>
      <c r="AN216" s="40" t="s">
        <v>127</v>
      </c>
      <c r="AO216" s="41" t="s">
        <v>125</v>
      </c>
      <c r="AP216" s="39"/>
      <c r="AQ216" s="40" t="s">
        <v>125</v>
      </c>
      <c r="AR216" s="39"/>
      <c r="AS216" s="1" t="s">
        <v>276</v>
      </c>
      <c r="AT216" s="1" t="s">
        <v>161</v>
      </c>
      <c r="AU216" s="1" t="s">
        <v>277</v>
      </c>
      <c r="AV216" s="1" t="s">
        <v>131</v>
      </c>
      <c r="AW216" s="1"/>
      <c r="AX216" s="1"/>
      <c r="AY216" s="1"/>
      <c r="AZ216" s="1"/>
      <c r="BA216" s="1" t="s">
        <v>60</v>
      </c>
      <c r="BB216" s="1" t="s">
        <v>0</v>
      </c>
      <c r="BC216" s="1"/>
      <c r="BD216" s="1"/>
    </row>
    <row r="217" ht="11.25" customHeight="1">
      <c r="A217" s="1" t="b">
        <v>1</v>
      </c>
      <c r="B217" s="1" t="s">
        <v>837</v>
      </c>
      <c r="C217" s="1" t="s">
        <v>839</v>
      </c>
      <c r="D217" s="1" t="s">
        <v>65</v>
      </c>
      <c r="E217" s="1"/>
      <c r="F217" s="1"/>
      <c r="G217" s="1" t="s">
        <v>66</v>
      </c>
      <c r="H217" s="1"/>
      <c r="I217" s="1" t="s">
        <v>270</v>
      </c>
      <c r="J217" s="1" t="s">
        <v>69</v>
      </c>
      <c r="K217" s="1" t="s">
        <v>107</v>
      </c>
      <c r="L217" s="1" t="s">
        <v>0</v>
      </c>
      <c r="M217" s="1" t="b">
        <v>1</v>
      </c>
      <c r="N217" s="1" t="b">
        <v>0</v>
      </c>
      <c r="O217" s="19">
        <v>1400.0</v>
      </c>
      <c r="P217" s="20">
        <v>2.1</v>
      </c>
      <c r="Q217" s="20">
        <v>666.67</v>
      </c>
      <c r="R217" s="21">
        <v>0.666281668591657</v>
      </c>
      <c r="S217" s="1" t="s">
        <v>117</v>
      </c>
      <c r="T217" s="1" t="s">
        <v>0</v>
      </c>
      <c r="U217" s="1" t="s">
        <v>81</v>
      </c>
      <c r="V217" s="1" t="s">
        <v>81</v>
      </c>
      <c r="W217" s="1" t="s">
        <v>0</v>
      </c>
      <c r="X217" s="1" t="s">
        <v>0</v>
      </c>
      <c r="Y217" s="22" t="str">
        <f t="shared" si="3"/>
        <v>CO</v>
      </c>
      <c r="Z217" s="20" t="str">
        <f>_xlfn.XLOOKUP($B217,[1]F27!$C:$C,[1]F27!$BV:$BV)</f>
        <v>#ERROR!</v>
      </c>
      <c r="AA217" s="1"/>
      <c r="AB217" s="1"/>
      <c r="AC217" s="23"/>
      <c r="AD217" s="1" t="str">
        <f>_xlfn.XLOOKUP($B217,[1]F27!$C:$C,[1]F27!$Y:$Y)</f>
        <v>#ERROR!</v>
      </c>
      <c r="AE217" s="1" t="str">
        <f>_xlfn.XLOOKUP($B217,[1]F27!$C:$C,[1]F27!$Z:$Z)</f>
        <v>#ERROR!</v>
      </c>
      <c r="AF217" s="1" t="str">
        <f>_xlfn.XLOOKUP($B217,[2]PRICING!$B:$B,[2]PRICING!$B:$B,"MISSING")</f>
        <v>#ERROR!</v>
      </c>
      <c r="AG217" s="1" t="str">
        <f>COUNTIFS([2]ACTIVE_SCO!$B:$B,$B217,[2]ACTIVE_SCO!$P:$P,"Y")</f>
        <v>#ERROR!</v>
      </c>
      <c r="AH217" s="1"/>
      <c r="AI217" s="37" t="s">
        <v>157</v>
      </c>
      <c r="AJ217" s="55" t="s">
        <v>1937</v>
      </c>
      <c r="AK217" s="39" t="s">
        <v>60</v>
      </c>
      <c r="AL217" s="39" t="s">
        <v>0</v>
      </c>
      <c r="AM217" s="1" t="s">
        <v>125</v>
      </c>
      <c r="AN217" s="40" t="s">
        <v>127</v>
      </c>
      <c r="AO217" s="41" t="s">
        <v>125</v>
      </c>
      <c r="AP217" s="39"/>
      <c r="AQ217" s="40" t="s">
        <v>125</v>
      </c>
      <c r="AR217" s="39"/>
      <c r="AS217" s="1" t="s">
        <v>276</v>
      </c>
      <c r="AT217" s="1" t="s">
        <v>161</v>
      </c>
      <c r="AU217" s="1" t="s">
        <v>277</v>
      </c>
      <c r="AV217" s="1" t="s">
        <v>131</v>
      </c>
      <c r="AW217" s="1"/>
      <c r="AX217" s="1"/>
      <c r="AY217" s="1"/>
      <c r="AZ217" s="1"/>
      <c r="BA217" s="1" t="s">
        <v>60</v>
      </c>
      <c r="BB217" s="1" t="s">
        <v>0</v>
      </c>
      <c r="BC217" s="1"/>
      <c r="BD217" s="1"/>
    </row>
    <row r="218" ht="11.25" customHeight="1">
      <c r="A218" s="1" t="b">
        <v>1</v>
      </c>
      <c r="B218" s="1" t="s">
        <v>845</v>
      </c>
      <c r="C218" s="1" t="s">
        <v>846</v>
      </c>
      <c r="D218" s="1" t="s">
        <v>65</v>
      </c>
      <c r="E218" s="1"/>
      <c r="F218" s="1"/>
      <c r="G218" s="1" t="s">
        <v>66</v>
      </c>
      <c r="H218" s="1"/>
      <c r="I218" s="1" t="s">
        <v>270</v>
      </c>
      <c r="J218" s="1" t="s">
        <v>69</v>
      </c>
      <c r="K218" s="1" t="s">
        <v>70</v>
      </c>
      <c r="L218" s="1" t="s">
        <v>0</v>
      </c>
      <c r="M218" s="1" t="b">
        <v>1</v>
      </c>
      <c r="N218" s="1" t="b">
        <v>0</v>
      </c>
      <c r="O218" s="19">
        <v>1200.0</v>
      </c>
      <c r="P218" s="20">
        <v>2.1</v>
      </c>
      <c r="Q218" s="20">
        <v>571.43</v>
      </c>
      <c r="R218" s="21">
        <v>0.5994960012599968</v>
      </c>
      <c r="S218" s="1" t="s">
        <v>117</v>
      </c>
      <c r="T218" s="1" t="s">
        <v>0</v>
      </c>
      <c r="U218" s="1" t="s">
        <v>81</v>
      </c>
      <c r="V218" s="1" t="s">
        <v>81</v>
      </c>
      <c r="W218" s="1" t="s">
        <v>0</v>
      </c>
      <c r="X218" s="1" t="s">
        <v>0</v>
      </c>
      <c r="Y218" s="22" t="str">
        <f t="shared" si="3"/>
        <v>CO</v>
      </c>
      <c r="Z218" s="20" t="str">
        <f>_xlfn.XLOOKUP($B218,[1]F27!$C:$C,[1]F27!$BV:$BV)</f>
        <v>#ERROR!</v>
      </c>
      <c r="AA218" s="1"/>
      <c r="AB218" s="1"/>
      <c r="AC218" s="23"/>
      <c r="AD218" s="1" t="str">
        <f>_xlfn.XLOOKUP($B218,[1]F27!$C:$C,[1]F27!$Y:$Y)</f>
        <v>#ERROR!</v>
      </c>
      <c r="AE218" s="1" t="str">
        <f>_xlfn.XLOOKUP($B218,[1]F27!$C:$C,[1]F27!$Z:$Z)</f>
        <v>#ERROR!</v>
      </c>
      <c r="AF218" s="1" t="str">
        <f>_xlfn.XLOOKUP($B218,[2]PRICING!$B:$B,[2]PRICING!$B:$B,"MISSING")</f>
        <v>#ERROR!</v>
      </c>
      <c r="AG218" s="1" t="str">
        <f>COUNTIFS([2]ACTIVE_SCO!$B:$B,$B218,[2]ACTIVE_SCO!$P:$P,"Y")</f>
        <v>#ERROR!</v>
      </c>
      <c r="AH218" s="1"/>
      <c r="AI218" s="37" t="s">
        <v>157</v>
      </c>
      <c r="AJ218" s="55" t="s">
        <v>1939</v>
      </c>
      <c r="AK218" s="39" t="s">
        <v>60</v>
      </c>
      <c r="AL218" s="39" t="s">
        <v>0</v>
      </c>
      <c r="AM218" s="1" t="s">
        <v>125</v>
      </c>
      <c r="AN218" s="40" t="s">
        <v>127</v>
      </c>
      <c r="AO218" s="41" t="s">
        <v>125</v>
      </c>
      <c r="AP218" s="39"/>
      <c r="AQ218" s="40" t="s">
        <v>125</v>
      </c>
      <c r="AR218" s="39"/>
      <c r="AS218" s="1" t="s">
        <v>276</v>
      </c>
      <c r="AT218" s="1" t="s">
        <v>89</v>
      </c>
      <c r="AU218" s="1" t="s">
        <v>277</v>
      </c>
      <c r="AV218" s="1" t="s">
        <v>131</v>
      </c>
      <c r="AW218" s="1"/>
      <c r="AX218" s="1"/>
      <c r="AY218" s="1"/>
      <c r="AZ218" s="1"/>
      <c r="BA218" s="1" t="s">
        <v>60</v>
      </c>
      <c r="BB218" s="1" t="s">
        <v>0</v>
      </c>
      <c r="BC218" s="1"/>
      <c r="BD218" s="1"/>
    </row>
    <row r="219" ht="11.25" customHeight="1">
      <c r="A219" s="1" t="b">
        <v>1</v>
      </c>
      <c r="B219" s="1" t="s">
        <v>850</v>
      </c>
      <c r="C219" s="1" t="s">
        <v>851</v>
      </c>
      <c r="D219" s="1" t="s">
        <v>65</v>
      </c>
      <c r="E219" s="1"/>
      <c r="F219" s="1"/>
      <c r="G219" s="1" t="s">
        <v>66</v>
      </c>
      <c r="H219" s="1"/>
      <c r="I219" s="1" t="s">
        <v>270</v>
      </c>
      <c r="J219" s="1" t="s">
        <v>69</v>
      </c>
      <c r="K219" s="1" t="s">
        <v>107</v>
      </c>
      <c r="L219" s="1" t="s">
        <v>0</v>
      </c>
      <c r="M219" s="1" t="b">
        <v>1</v>
      </c>
      <c r="N219" s="1" t="b">
        <v>0</v>
      </c>
      <c r="O219" s="19">
        <v>1200.0</v>
      </c>
      <c r="P219" s="20">
        <v>2.1</v>
      </c>
      <c r="Q219" s="20">
        <v>571.43</v>
      </c>
      <c r="R219" s="21">
        <v>0.6237684405788986</v>
      </c>
      <c r="S219" s="1" t="s">
        <v>117</v>
      </c>
      <c r="T219" s="1" t="s">
        <v>0</v>
      </c>
      <c r="U219" s="1" t="s">
        <v>81</v>
      </c>
      <c r="V219" s="1" t="s">
        <v>81</v>
      </c>
      <c r="W219" s="1" t="s">
        <v>0</v>
      </c>
      <c r="X219" s="1" t="s">
        <v>0</v>
      </c>
      <c r="Y219" s="22" t="str">
        <f t="shared" si="3"/>
        <v>CO</v>
      </c>
      <c r="Z219" s="20" t="str">
        <f>_xlfn.XLOOKUP($B219,[1]F27!$C:$C,[1]F27!$BV:$BV)</f>
        <v>#ERROR!</v>
      </c>
      <c r="AA219" s="1"/>
      <c r="AB219" s="1"/>
      <c r="AC219" s="23"/>
      <c r="AD219" s="1" t="str">
        <f>_xlfn.XLOOKUP($B219,[1]F27!$C:$C,[1]F27!$Y:$Y)</f>
        <v>#ERROR!</v>
      </c>
      <c r="AE219" s="1" t="str">
        <f>_xlfn.XLOOKUP($B219,[1]F27!$C:$C,[1]F27!$Z:$Z)</f>
        <v>#ERROR!</v>
      </c>
      <c r="AF219" s="1" t="str">
        <f>_xlfn.XLOOKUP($B219,[2]PRICING!$B:$B,[2]PRICING!$B:$B,"MISSING")</f>
        <v>#ERROR!</v>
      </c>
      <c r="AG219" s="1" t="str">
        <f>COUNTIFS([2]ACTIVE_SCO!$B:$B,$B219,[2]ACTIVE_SCO!$P:$P,"Y")</f>
        <v>#ERROR!</v>
      </c>
      <c r="AH219" s="1"/>
      <c r="AI219" s="37" t="s">
        <v>157</v>
      </c>
      <c r="AJ219" s="55" t="s">
        <v>1940</v>
      </c>
      <c r="AK219" s="39" t="s">
        <v>60</v>
      </c>
      <c r="AL219" s="39" t="s">
        <v>0</v>
      </c>
      <c r="AM219" s="1" t="s">
        <v>125</v>
      </c>
      <c r="AN219" s="40" t="s">
        <v>127</v>
      </c>
      <c r="AO219" s="41" t="s">
        <v>125</v>
      </c>
      <c r="AP219" s="39"/>
      <c r="AQ219" s="40" t="s">
        <v>125</v>
      </c>
      <c r="AR219" s="39"/>
      <c r="AS219" s="1" t="s">
        <v>276</v>
      </c>
      <c r="AT219" s="1" t="s">
        <v>89</v>
      </c>
      <c r="AU219" s="1" t="s">
        <v>277</v>
      </c>
      <c r="AV219" s="1" t="s">
        <v>131</v>
      </c>
      <c r="AW219" s="1"/>
      <c r="AX219" s="1"/>
      <c r="AY219" s="1"/>
      <c r="AZ219" s="1"/>
      <c r="BA219" s="1" t="s">
        <v>60</v>
      </c>
      <c r="BB219" s="1" t="s">
        <v>0</v>
      </c>
      <c r="BC219" s="1"/>
      <c r="BD219" s="1"/>
    </row>
    <row r="220" ht="11.25" customHeight="1">
      <c r="A220" s="1" t="b">
        <v>1</v>
      </c>
      <c r="B220" s="1" t="s">
        <v>822</v>
      </c>
      <c r="C220" s="1" t="s">
        <v>823</v>
      </c>
      <c r="D220" s="1" t="s">
        <v>65</v>
      </c>
      <c r="E220" s="1"/>
      <c r="F220" s="1"/>
      <c r="G220" s="1" t="s">
        <v>500</v>
      </c>
      <c r="H220" s="1"/>
      <c r="I220" s="1" t="s">
        <v>68</v>
      </c>
      <c r="J220" s="1" t="s">
        <v>69</v>
      </c>
      <c r="K220" s="1" t="s">
        <v>70</v>
      </c>
      <c r="L220" s="1" t="s">
        <v>0</v>
      </c>
      <c r="M220" s="1" t="b">
        <v>1</v>
      </c>
      <c r="N220" s="1" t="b">
        <v>0</v>
      </c>
      <c r="O220" s="19">
        <v>5000.0</v>
      </c>
      <c r="P220" s="20">
        <v>2.1</v>
      </c>
      <c r="Q220" s="20">
        <v>2380.95</v>
      </c>
      <c r="R220" s="21">
        <v>0.46853146853146843</v>
      </c>
      <c r="S220" s="1" t="s">
        <v>242</v>
      </c>
      <c r="T220" s="1" t="s">
        <v>0</v>
      </c>
      <c r="U220" s="1" t="s">
        <v>80</v>
      </c>
      <c r="V220" s="1" t="s">
        <v>81</v>
      </c>
      <c r="W220" s="1" t="s">
        <v>0</v>
      </c>
      <c r="X220" s="1" t="s">
        <v>0</v>
      </c>
      <c r="Y220" s="22" t="str">
        <f t="shared" si="3"/>
        <v>CO</v>
      </c>
      <c r="Z220" s="20" t="str">
        <f>_xlfn.XLOOKUP($B220,[1]F27!$C:$C,[1]F27!$BV:$BV)</f>
        <v>#ERROR!</v>
      </c>
      <c r="AA220" s="1"/>
      <c r="AB220" s="1"/>
      <c r="AC220" s="23"/>
      <c r="AD220" s="1" t="str">
        <f>_xlfn.XLOOKUP($B220,[1]F27!$C:$C,[1]F27!$Y:$Y)</f>
        <v>#ERROR!</v>
      </c>
      <c r="AE220" s="1" t="str">
        <f>_xlfn.XLOOKUP($B220,[1]F27!$C:$C,[1]F27!$Z:$Z)</f>
        <v>#ERROR!</v>
      </c>
      <c r="AF220" s="1" t="str">
        <f>_xlfn.XLOOKUP($B220,[2]PRICING!$B:$B,[2]PRICING!$B:$B,"MISSING")</f>
        <v>#ERROR!</v>
      </c>
      <c r="AG220" s="1" t="str">
        <f>COUNTIFS([2]ACTIVE_SCO!$B:$B,$B220,[2]ACTIVE_SCO!$P:$P,"Y")</f>
        <v>#ERROR!</v>
      </c>
      <c r="AH220" s="1"/>
      <c r="AI220" s="37" t="s">
        <v>100</v>
      </c>
      <c r="AJ220" s="77" t="s">
        <v>1941</v>
      </c>
      <c r="AK220" s="75" t="s">
        <v>0</v>
      </c>
      <c r="AL220" s="39" t="s">
        <v>0</v>
      </c>
      <c r="AM220" s="1" t="s">
        <v>86</v>
      </c>
      <c r="AN220" s="40" t="s">
        <v>826</v>
      </c>
      <c r="AO220" s="41" t="s">
        <v>86</v>
      </c>
      <c r="AP220" s="41" t="s">
        <v>826</v>
      </c>
      <c r="AQ220" s="40" t="s">
        <v>0</v>
      </c>
      <c r="AR220" s="39"/>
      <c r="AS220" s="1" t="s">
        <v>68</v>
      </c>
      <c r="AT220" s="1" t="s">
        <v>89</v>
      </c>
      <c r="AU220" s="1" t="s">
        <v>132</v>
      </c>
      <c r="AV220" s="1" t="s">
        <v>91</v>
      </c>
      <c r="AW220" s="1"/>
      <c r="AX220" s="1" t="s">
        <v>1942</v>
      </c>
      <c r="AY220" s="1"/>
      <c r="AZ220" s="1"/>
      <c r="BA220" s="76" t="s">
        <v>0</v>
      </c>
      <c r="BB220" s="1" t="s">
        <v>0</v>
      </c>
      <c r="BC220" s="1"/>
      <c r="BD220" s="1"/>
    </row>
    <row r="221" ht="11.25" customHeight="1">
      <c r="A221" s="1" t="b">
        <v>1</v>
      </c>
      <c r="B221" s="1" t="s">
        <v>828</v>
      </c>
      <c r="C221" s="1" t="s">
        <v>829</v>
      </c>
      <c r="D221" s="1" t="s">
        <v>65</v>
      </c>
      <c r="E221" s="1"/>
      <c r="F221" s="1"/>
      <c r="G221" s="1" t="s">
        <v>500</v>
      </c>
      <c r="H221" s="1"/>
      <c r="I221" s="1" t="s">
        <v>68</v>
      </c>
      <c r="J221" s="1" t="s">
        <v>69</v>
      </c>
      <c r="K221" s="1" t="s">
        <v>107</v>
      </c>
      <c r="L221" s="1" t="s">
        <v>0</v>
      </c>
      <c r="M221" s="1" t="b">
        <v>1</v>
      </c>
      <c r="N221" s="1" t="b">
        <v>0</v>
      </c>
      <c r="O221" s="19">
        <v>5000.0</v>
      </c>
      <c r="P221" s="20">
        <v>2.1</v>
      </c>
      <c r="Q221" s="20">
        <v>2380.95</v>
      </c>
      <c r="R221" s="21">
        <v>0.49593229593229593</v>
      </c>
      <c r="S221" s="1" t="s">
        <v>242</v>
      </c>
      <c r="T221" s="1" t="s">
        <v>0</v>
      </c>
      <c r="U221" s="1" t="s">
        <v>80</v>
      </c>
      <c r="V221" s="1" t="s">
        <v>81</v>
      </c>
      <c r="W221" s="1" t="s">
        <v>0</v>
      </c>
      <c r="X221" s="1" t="s">
        <v>0</v>
      </c>
      <c r="Y221" s="22" t="str">
        <f t="shared" si="3"/>
        <v>CO</v>
      </c>
      <c r="Z221" s="20" t="str">
        <f>_xlfn.XLOOKUP($B221,[1]F27!$C:$C,[1]F27!$BV:$BV)</f>
        <v>#ERROR!</v>
      </c>
      <c r="AA221" s="1"/>
      <c r="AB221" s="1"/>
      <c r="AC221" s="23"/>
      <c r="AD221" s="1" t="str">
        <f>_xlfn.XLOOKUP($B221,[1]F27!$C:$C,[1]F27!$Y:$Y)</f>
        <v>#ERROR!</v>
      </c>
      <c r="AE221" s="1" t="str">
        <f>_xlfn.XLOOKUP($B221,[1]F27!$C:$C,[1]F27!$Z:$Z)</f>
        <v>#ERROR!</v>
      </c>
      <c r="AF221" s="1" t="str">
        <f>_xlfn.XLOOKUP($B221,[2]PRICING!$B:$B,[2]PRICING!$B:$B,"MISSING")</f>
        <v>#ERROR!</v>
      </c>
      <c r="AG221" s="1" t="str">
        <f>COUNTIFS([2]ACTIVE_SCO!$B:$B,$B221,[2]ACTIVE_SCO!$P:$P,"Y")</f>
        <v>#ERROR!</v>
      </c>
      <c r="AH221" s="1"/>
      <c r="AI221" s="37" t="s">
        <v>100</v>
      </c>
      <c r="AJ221" s="77" t="s">
        <v>1944</v>
      </c>
      <c r="AK221" s="75" t="s">
        <v>0</v>
      </c>
      <c r="AL221" s="39" t="s">
        <v>0</v>
      </c>
      <c r="AM221" s="1" t="s">
        <v>86</v>
      </c>
      <c r="AN221" s="40" t="s">
        <v>826</v>
      </c>
      <c r="AO221" s="41" t="s">
        <v>86</v>
      </c>
      <c r="AP221" s="41" t="s">
        <v>826</v>
      </c>
      <c r="AQ221" s="40" t="s">
        <v>0</v>
      </c>
      <c r="AR221" s="39"/>
      <c r="AS221" s="1" t="s">
        <v>68</v>
      </c>
      <c r="AT221" s="1" t="s">
        <v>89</v>
      </c>
      <c r="AU221" s="1" t="s">
        <v>132</v>
      </c>
      <c r="AV221" s="1" t="s">
        <v>91</v>
      </c>
      <c r="AW221" s="1"/>
      <c r="AX221" s="1" t="s">
        <v>1942</v>
      </c>
      <c r="AY221" s="1"/>
      <c r="AZ221" s="1"/>
      <c r="BA221" s="76" t="s">
        <v>0</v>
      </c>
      <c r="BB221" s="1" t="s">
        <v>0</v>
      </c>
      <c r="BC221" s="1"/>
      <c r="BD221" s="1"/>
    </row>
    <row r="222" ht="11.25" customHeight="1">
      <c r="A222" s="1" t="b">
        <v>1</v>
      </c>
      <c r="B222" s="1" t="s">
        <v>879</v>
      </c>
      <c r="C222" s="1" t="s">
        <v>880</v>
      </c>
      <c r="D222" s="1" t="s">
        <v>65</v>
      </c>
      <c r="E222" s="1"/>
      <c r="F222" s="1"/>
      <c r="G222" s="1" t="s">
        <v>66</v>
      </c>
      <c r="H222" s="1"/>
      <c r="I222" s="1" t="s">
        <v>355</v>
      </c>
      <c r="J222" s="1" t="s">
        <v>69</v>
      </c>
      <c r="K222" s="1" t="s">
        <v>70</v>
      </c>
      <c r="L222" s="1" t="s">
        <v>0</v>
      </c>
      <c r="M222" s="1" t="b">
        <v>1</v>
      </c>
      <c r="N222" s="1" t="b">
        <v>0</v>
      </c>
      <c r="O222" s="19">
        <v>2200.0</v>
      </c>
      <c r="P222" s="20">
        <v>2.1</v>
      </c>
      <c r="Q222" s="20">
        <v>1047.62</v>
      </c>
      <c r="R222" s="21">
        <v>0.726083885378286</v>
      </c>
      <c r="S222" s="1" t="s">
        <v>78</v>
      </c>
      <c r="T222" s="1" t="s">
        <v>0</v>
      </c>
      <c r="U222" s="1" t="s">
        <v>198</v>
      </c>
      <c r="V222" s="1" t="s">
        <v>81</v>
      </c>
      <c r="W222" s="1" t="s">
        <v>0</v>
      </c>
      <c r="X222" s="1" t="s">
        <v>146</v>
      </c>
      <c r="Y222" s="22" t="str">
        <f t="shared" si="3"/>
        <v>CO</v>
      </c>
      <c r="Z222" s="20" t="str">
        <f>_xlfn.XLOOKUP($B222,[1]F27!$C:$C,[1]F27!$BV:$BV)</f>
        <v>#ERROR!</v>
      </c>
      <c r="AA222" s="1"/>
      <c r="AB222" s="1"/>
      <c r="AC222" s="23"/>
      <c r="AD222" s="1" t="str">
        <f>_xlfn.XLOOKUP($B222,[1]F27!$C:$C,[1]F27!$Y:$Y)</f>
        <v>#ERROR!</v>
      </c>
      <c r="AE222" s="1" t="str">
        <f>_xlfn.XLOOKUP($B222,[1]F27!$C:$C,[1]F27!$Z:$Z)</f>
        <v>#ERROR!</v>
      </c>
      <c r="AF222" s="1" t="str">
        <f>_xlfn.XLOOKUP($B222,[2]PRICING!$B:$B,[2]PRICING!$B:$B,"MISSING")</f>
        <v>#ERROR!</v>
      </c>
      <c r="AG222" s="1" t="str">
        <f>COUNTIFS([2]ACTIVE_SCO!$B:$B,$B222,[2]ACTIVE_SCO!$P:$P,"Y")</f>
        <v>#ERROR!</v>
      </c>
      <c r="AH222" s="1"/>
      <c r="AI222" s="37" t="s">
        <v>157</v>
      </c>
      <c r="AJ222" s="55" t="s">
        <v>1946</v>
      </c>
      <c r="AK222" s="49" t="s">
        <v>365</v>
      </c>
      <c r="AL222" s="39" t="s">
        <v>204</v>
      </c>
      <c r="AM222" s="1" t="s">
        <v>125</v>
      </c>
      <c r="AN222" s="40" t="s">
        <v>127</v>
      </c>
      <c r="AO222" s="41" t="s">
        <v>125</v>
      </c>
      <c r="AP222" s="39"/>
      <c r="AQ222" s="40" t="s">
        <v>125</v>
      </c>
      <c r="AR222" s="39"/>
      <c r="AS222" s="1" t="s">
        <v>355</v>
      </c>
      <c r="AT222" s="1" t="s">
        <v>161</v>
      </c>
      <c r="AU222" s="1" t="s">
        <v>367</v>
      </c>
      <c r="AV222" s="1" t="s">
        <v>131</v>
      </c>
      <c r="AW222" s="1"/>
      <c r="AX222" s="1"/>
      <c r="AY222" s="1"/>
      <c r="AZ222" s="1"/>
      <c r="BA222" s="50" t="s">
        <v>365</v>
      </c>
      <c r="BB222" s="1" t="s">
        <v>204</v>
      </c>
      <c r="BC222" s="25"/>
      <c r="BD222" s="25" t="s">
        <v>1947</v>
      </c>
    </row>
    <row r="223" ht="11.25" customHeight="1">
      <c r="A223" s="1" t="b">
        <v>1</v>
      </c>
      <c r="B223" s="1" t="s">
        <v>886</v>
      </c>
      <c r="C223" s="1" t="s">
        <v>887</v>
      </c>
      <c r="D223" s="1" t="s">
        <v>65</v>
      </c>
      <c r="E223" s="1"/>
      <c r="F223" s="1"/>
      <c r="G223" s="1" t="s">
        <v>66</v>
      </c>
      <c r="H223" s="1"/>
      <c r="I223" s="1" t="s">
        <v>355</v>
      </c>
      <c r="J223" s="1" t="s">
        <v>69</v>
      </c>
      <c r="K223" s="1" t="s">
        <v>107</v>
      </c>
      <c r="L223" s="1" t="s">
        <v>0</v>
      </c>
      <c r="M223" s="1" t="b">
        <v>1</v>
      </c>
      <c r="N223" s="1" t="b">
        <v>0</v>
      </c>
      <c r="O223" s="19">
        <v>2200.0</v>
      </c>
      <c r="P223" s="20">
        <v>2.1</v>
      </c>
      <c r="Q223" s="20">
        <v>1047.62</v>
      </c>
      <c r="R223" s="21">
        <v>0.7416811439262327</v>
      </c>
      <c r="S223" s="1" t="s">
        <v>78</v>
      </c>
      <c r="T223" s="1" t="s">
        <v>0</v>
      </c>
      <c r="U223" s="1" t="s">
        <v>198</v>
      </c>
      <c r="V223" s="1" t="s">
        <v>81</v>
      </c>
      <c r="W223" s="1" t="s">
        <v>0</v>
      </c>
      <c r="X223" s="1" t="s">
        <v>146</v>
      </c>
      <c r="Y223" s="22" t="str">
        <f t="shared" si="3"/>
        <v>CO</v>
      </c>
      <c r="Z223" s="20" t="str">
        <f>_xlfn.XLOOKUP($B223,[1]F27!$C:$C,[1]F27!$BV:$BV)</f>
        <v>#ERROR!</v>
      </c>
      <c r="AA223" s="1"/>
      <c r="AB223" s="1"/>
      <c r="AC223" s="23"/>
      <c r="AD223" s="1" t="str">
        <f>_xlfn.XLOOKUP($B223,[1]F27!$C:$C,[1]F27!$Y:$Y)</f>
        <v>#ERROR!</v>
      </c>
      <c r="AE223" s="1" t="str">
        <f>_xlfn.XLOOKUP($B223,[1]F27!$C:$C,[1]F27!$Z:$Z)</f>
        <v>#ERROR!</v>
      </c>
      <c r="AF223" s="1" t="str">
        <f>_xlfn.XLOOKUP($B223,[2]PRICING!$B:$B,[2]PRICING!$B:$B,"MISSING")</f>
        <v>#ERROR!</v>
      </c>
      <c r="AG223" s="1" t="str">
        <f>COUNTIFS([2]ACTIVE_SCO!$B:$B,$B223,[2]ACTIVE_SCO!$P:$P,"Y")</f>
        <v>#ERROR!</v>
      </c>
      <c r="AH223" s="1"/>
      <c r="AI223" s="37" t="s">
        <v>157</v>
      </c>
      <c r="AJ223" s="55" t="s">
        <v>1949</v>
      </c>
      <c r="AK223" s="49" t="s">
        <v>365</v>
      </c>
      <c r="AL223" s="39" t="s">
        <v>204</v>
      </c>
      <c r="AM223" s="1" t="s">
        <v>125</v>
      </c>
      <c r="AN223" s="40" t="s">
        <v>127</v>
      </c>
      <c r="AO223" s="41" t="s">
        <v>125</v>
      </c>
      <c r="AP223" s="39"/>
      <c r="AQ223" s="40" t="s">
        <v>125</v>
      </c>
      <c r="AR223" s="39"/>
      <c r="AS223" s="1" t="s">
        <v>355</v>
      </c>
      <c r="AT223" s="1" t="s">
        <v>161</v>
      </c>
      <c r="AU223" s="1" t="s">
        <v>367</v>
      </c>
      <c r="AV223" s="1" t="s">
        <v>131</v>
      </c>
      <c r="AW223" s="1"/>
      <c r="AX223" s="1"/>
      <c r="AY223" s="1"/>
      <c r="AZ223" s="1"/>
      <c r="BA223" s="50" t="s">
        <v>365</v>
      </c>
      <c r="BB223" s="1" t="s">
        <v>204</v>
      </c>
      <c r="BC223" s="25"/>
      <c r="BD223" s="25" t="s">
        <v>1947</v>
      </c>
    </row>
    <row r="224" ht="11.25" customHeight="1">
      <c r="A224" s="1" t="b">
        <v>1</v>
      </c>
      <c r="B224" s="1" t="s">
        <v>1652</v>
      </c>
      <c r="C224" s="1" t="s">
        <v>1653</v>
      </c>
      <c r="D224" s="1" t="s">
        <v>65</v>
      </c>
      <c r="E224" s="1"/>
      <c r="F224" s="1"/>
      <c r="G224" s="1" t="s">
        <v>66</v>
      </c>
      <c r="H224" s="1"/>
      <c r="I224" s="1" t="s">
        <v>355</v>
      </c>
      <c r="J224" s="1" t="s">
        <v>69</v>
      </c>
      <c r="K224" s="1" t="s">
        <v>70</v>
      </c>
      <c r="L224" s="1" t="s">
        <v>0</v>
      </c>
      <c r="M224" s="1" t="b">
        <v>1</v>
      </c>
      <c r="N224" s="1" t="b">
        <v>0</v>
      </c>
      <c r="O224" s="19">
        <v>2700.0</v>
      </c>
      <c r="P224" s="20">
        <v>2.1</v>
      </c>
      <c r="Q224" s="20">
        <v>1285.71</v>
      </c>
      <c r="R224" s="21">
        <v>0.6534521781739273</v>
      </c>
      <c r="S224" s="1" t="s">
        <v>78</v>
      </c>
      <c r="T224" s="1" t="s">
        <v>0</v>
      </c>
      <c r="U224" s="1" t="s">
        <v>166</v>
      </c>
      <c r="V224" s="1" t="s">
        <v>198</v>
      </c>
      <c r="W224" s="1" t="s">
        <v>0</v>
      </c>
      <c r="X224" s="1" t="s">
        <v>0</v>
      </c>
      <c r="Y224" s="22" t="str">
        <f t="shared" si="3"/>
        <v>CO</v>
      </c>
      <c r="Z224" s="20" t="str">
        <f>_xlfn.XLOOKUP($B224,[1]F27!$C:$C,[1]F27!$BV:$BV)</f>
        <v>#ERROR!</v>
      </c>
      <c r="AA224" s="1"/>
      <c r="AB224" s="1"/>
      <c r="AC224" s="23"/>
      <c r="AD224" s="1" t="str">
        <f>_xlfn.XLOOKUP($B224,[1]F27!$C:$C,[1]F27!$Y:$Y)</f>
        <v>#ERROR!</v>
      </c>
      <c r="AE224" s="1" t="str">
        <f>_xlfn.XLOOKUP($B224,[1]F27!$C:$C,[1]F27!$Z:$Z)</f>
        <v>#ERROR!</v>
      </c>
      <c r="AF224" s="1" t="str">
        <f>_xlfn.XLOOKUP($B224,[2]PRICING!$B:$B,[2]PRICING!$B:$B,"MISSING")</f>
        <v>#ERROR!</v>
      </c>
      <c r="AG224" s="1" t="str">
        <f>COUNTIFS([2]ACTIVE_SCO!$B:$B,$B224,[2]ACTIVE_SCO!$P:$P,"Y")</f>
        <v>#ERROR!</v>
      </c>
      <c r="AH224" s="1"/>
      <c r="AI224" s="37" t="s">
        <v>157</v>
      </c>
      <c r="AJ224" s="38" t="s">
        <v>1950</v>
      </c>
      <c r="AK224" s="49" t="s">
        <v>365</v>
      </c>
      <c r="AL224" s="39" t="s">
        <v>366</v>
      </c>
      <c r="AM224" s="1" t="s">
        <v>125</v>
      </c>
      <c r="AN224" s="40" t="s">
        <v>174</v>
      </c>
      <c r="AO224" s="41" t="s">
        <v>125</v>
      </c>
      <c r="AP224" s="39"/>
      <c r="AQ224" s="40" t="s">
        <v>0</v>
      </c>
      <c r="AR224" s="39"/>
      <c r="AS224" s="78" t="s">
        <v>355</v>
      </c>
      <c r="AT224" s="1" t="s">
        <v>175</v>
      </c>
      <c r="AU224" s="1" t="s">
        <v>206</v>
      </c>
      <c r="AV224" s="1" t="s">
        <v>91</v>
      </c>
      <c r="AW224" s="1"/>
      <c r="AX224" s="1"/>
      <c r="AY224" s="1"/>
      <c r="AZ224" s="1"/>
      <c r="BA224" s="50" t="s">
        <v>365</v>
      </c>
      <c r="BB224" s="1" t="s">
        <v>366</v>
      </c>
      <c r="BC224" s="25"/>
      <c r="BD224" s="25" t="s">
        <v>1947</v>
      </c>
    </row>
    <row r="225" ht="11.25" customHeight="1">
      <c r="A225" s="1" t="b">
        <v>1</v>
      </c>
      <c r="B225" s="1" t="s">
        <v>1656</v>
      </c>
      <c r="C225" s="1" t="s">
        <v>1657</v>
      </c>
      <c r="D225" s="1" t="s">
        <v>65</v>
      </c>
      <c r="E225" s="1"/>
      <c r="F225" s="1"/>
      <c r="G225" s="1" t="s">
        <v>66</v>
      </c>
      <c r="H225" s="1"/>
      <c r="I225" s="1" t="s">
        <v>355</v>
      </c>
      <c r="J225" s="1" t="s">
        <v>69</v>
      </c>
      <c r="K225" s="1" t="s">
        <v>107</v>
      </c>
      <c r="L225" s="1" t="s">
        <v>0</v>
      </c>
      <c r="M225" s="1" t="b">
        <v>1</v>
      </c>
      <c r="N225" s="1" t="b">
        <v>0</v>
      </c>
      <c r="O225" s="19">
        <v>2700.0</v>
      </c>
      <c r="P225" s="20">
        <v>2.1</v>
      </c>
      <c r="Q225" s="20">
        <v>1285.71</v>
      </c>
      <c r="R225" s="21">
        <v>0.6541366248998608</v>
      </c>
      <c r="S225" s="1" t="s">
        <v>78</v>
      </c>
      <c r="T225" s="1" t="s">
        <v>0</v>
      </c>
      <c r="U225" s="1" t="s">
        <v>166</v>
      </c>
      <c r="V225" s="1" t="s">
        <v>198</v>
      </c>
      <c r="W225" s="1" t="s">
        <v>0</v>
      </c>
      <c r="X225" s="1" t="s">
        <v>0</v>
      </c>
      <c r="Y225" s="22" t="str">
        <f t="shared" si="3"/>
        <v>CO</v>
      </c>
      <c r="Z225" s="20" t="str">
        <f>_xlfn.XLOOKUP($B225,[1]F27!$C:$C,[1]F27!$BV:$BV)</f>
        <v>#ERROR!</v>
      </c>
      <c r="AA225" s="1"/>
      <c r="AB225" s="1"/>
      <c r="AC225" s="23"/>
      <c r="AD225" s="1" t="str">
        <f>_xlfn.XLOOKUP($B225,[1]F27!$C:$C,[1]F27!$Y:$Y)</f>
        <v>#ERROR!</v>
      </c>
      <c r="AE225" s="1" t="str">
        <f>_xlfn.XLOOKUP($B225,[1]F27!$C:$C,[1]F27!$Z:$Z)</f>
        <v>#ERROR!</v>
      </c>
      <c r="AF225" s="1" t="str">
        <f>_xlfn.XLOOKUP($B225,[2]PRICING!$B:$B,[2]PRICING!$B:$B,"MISSING")</f>
        <v>#ERROR!</v>
      </c>
      <c r="AG225" s="1" t="str">
        <f>COUNTIFS([2]ACTIVE_SCO!$B:$B,$B225,[2]ACTIVE_SCO!$P:$P,"Y")</f>
        <v>#ERROR!</v>
      </c>
      <c r="AH225" s="1"/>
      <c r="AI225" s="37" t="s">
        <v>157</v>
      </c>
      <c r="AJ225" s="38" t="s">
        <v>1951</v>
      </c>
      <c r="AK225" s="49" t="s">
        <v>365</v>
      </c>
      <c r="AL225" s="39" t="s">
        <v>366</v>
      </c>
      <c r="AM225" s="1" t="s">
        <v>125</v>
      </c>
      <c r="AN225" s="40" t="s">
        <v>174</v>
      </c>
      <c r="AO225" s="41" t="s">
        <v>125</v>
      </c>
      <c r="AP225" s="39"/>
      <c r="AQ225" s="40" t="s">
        <v>0</v>
      </c>
      <c r="AR225" s="39"/>
      <c r="AS225" s="78" t="s">
        <v>355</v>
      </c>
      <c r="AT225" s="1" t="s">
        <v>175</v>
      </c>
      <c r="AU225" s="1" t="s">
        <v>206</v>
      </c>
      <c r="AV225" s="1" t="s">
        <v>91</v>
      </c>
      <c r="AW225" s="1"/>
      <c r="AX225" s="1"/>
      <c r="AY225" s="1"/>
      <c r="AZ225" s="1"/>
      <c r="BA225" s="50" t="s">
        <v>365</v>
      </c>
      <c r="BB225" s="1" t="s">
        <v>366</v>
      </c>
      <c r="BC225" s="25"/>
      <c r="BD225" s="25" t="s">
        <v>1947</v>
      </c>
    </row>
    <row r="226" ht="11.25" customHeight="1">
      <c r="A226" s="1" t="b">
        <v>1</v>
      </c>
      <c r="B226" s="1" t="s">
        <v>1663</v>
      </c>
      <c r="C226" s="1" t="s">
        <v>1664</v>
      </c>
      <c r="D226" s="1" t="s">
        <v>65</v>
      </c>
      <c r="E226" s="1"/>
      <c r="F226" s="1"/>
      <c r="G226" s="1" t="s">
        <v>220</v>
      </c>
      <c r="H226" s="1"/>
      <c r="I226" s="1" t="s">
        <v>68</v>
      </c>
      <c r="J226" s="1" t="s">
        <v>69</v>
      </c>
      <c r="K226" s="1" t="s">
        <v>70</v>
      </c>
      <c r="L226" s="1" t="s">
        <v>0</v>
      </c>
      <c r="M226" s="1" t="b">
        <v>0</v>
      </c>
      <c r="N226" s="1" t="b">
        <v>0</v>
      </c>
      <c r="O226" s="19">
        <v>3200.0</v>
      </c>
      <c r="P226" s="20">
        <v>2.1</v>
      </c>
      <c r="Q226" s="20">
        <v>1523.81</v>
      </c>
      <c r="R226" s="21">
        <v>0.61487980785006</v>
      </c>
      <c r="S226" s="1" t="s">
        <v>78</v>
      </c>
      <c r="T226" s="1" t="s">
        <v>0</v>
      </c>
      <c r="U226" s="1" t="s">
        <v>166</v>
      </c>
      <c r="V226" s="1" t="s">
        <v>81</v>
      </c>
      <c r="W226" s="1" t="s">
        <v>0</v>
      </c>
      <c r="X226" s="1" t="s">
        <v>0</v>
      </c>
      <c r="Y226" s="22" t="str">
        <f t="shared" si="3"/>
        <v>NEW</v>
      </c>
      <c r="Z226" s="20" t="str">
        <f>_xlfn.XLOOKUP($B226,[1]F27!$C:$C,[1]F27!$BV:$BV)</f>
        <v>#ERROR!</v>
      </c>
      <c r="AA226" s="1"/>
      <c r="AB226" s="1"/>
      <c r="AC226" s="23"/>
      <c r="AD226" s="1" t="str">
        <f>_xlfn.XLOOKUP($B226,[1]F27!$C:$C,[1]F27!$Y:$Y)</f>
        <v>#ERROR!</v>
      </c>
      <c r="AE226" s="1" t="str">
        <f>_xlfn.XLOOKUP($B226,[1]F27!$C:$C,[1]F27!$Z:$Z)</f>
        <v>#ERROR!</v>
      </c>
      <c r="AF226" s="1" t="str">
        <f>_xlfn.XLOOKUP($B226,[2]PRICING!$B:$B,[2]PRICING!$B:$B,"MISSING")</f>
        <v>#ERROR!</v>
      </c>
      <c r="AG226" s="1" t="str">
        <f>COUNTIFS([2]ACTIVE_SCO!$B:$B,$B226,[2]ACTIVE_SCO!$P:$P,"Y")</f>
        <v>#ERROR!</v>
      </c>
      <c r="AH226" s="1"/>
      <c r="AI226" s="37" t="s">
        <v>157</v>
      </c>
      <c r="AJ226" s="38" t="s">
        <v>1952</v>
      </c>
      <c r="AK226" s="39" t="s">
        <v>551</v>
      </c>
      <c r="AL226" s="39" t="s">
        <v>0</v>
      </c>
      <c r="AM226" s="1" t="s">
        <v>226</v>
      </c>
      <c r="AN226" s="40" t="s">
        <v>227</v>
      </c>
      <c r="AO226" s="41" t="s">
        <v>226</v>
      </c>
      <c r="AP226" s="41" t="s">
        <v>227</v>
      </c>
      <c r="AQ226" s="40" t="s">
        <v>0</v>
      </c>
      <c r="AR226" s="39"/>
      <c r="AS226" s="1" t="s">
        <v>68</v>
      </c>
      <c r="AT226" s="1" t="s">
        <v>89</v>
      </c>
      <c r="AU226" s="1" t="s">
        <v>90</v>
      </c>
      <c r="AV226" s="1" t="s">
        <v>91</v>
      </c>
      <c r="AW226" s="1"/>
      <c r="AX226" s="1"/>
      <c r="AY226" s="1"/>
      <c r="AZ226" s="1"/>
      <c r="BA226" s="1" t="s">
        <v>551</v>
      </c>
      <c r="BB226" s="1" t="s">
        <v>0</v>
      </c>
      <c r="BC226" s="1"/>
      <c r="BD226" s="1"/>
    </row>
    <row r="227" ht="11.25" customHeight="1">
      <c r="A227" s="1" t="b">
        <v>1</v>
      </c>
      <c r="B227" s="1" t="s">
        <v>1666</v>
      </c>
      <c r="C227" s="1" t="s">
        <v>1667</v>
      </c>
      <c r="D227" s="1" t="s">
        <v>65</v>
      </c>
      <c r="E227" s="1"/>
      <c r="F227" s="1"/>
      <c r="G227" s="1" t="s">
        <v>220</v>
      </c>
      <c r="H227" s="1"/>
      <c r="I227" s="1" t="s">
        <v>68</v>
      </c>
      <c r="J227" s="1" t="s">
        <v>69</v>
      </c>
      <c r="K227" s="1" t="s">
        <v>107</v>
      </c>
      <c r="L227" s="1" t="s">
        <v>0</v>
      </c>
      <c r="M227" s="1" t="b">
        <v>0</v>
      </c>
      <c r="N227" s="1" t="b">
        <v>0</v>
      </c>
      <c r="O227" s="19">
        <v>3200.0</v>
      </c>
      <c r="P227" s="20">
        <v>2.1</v>
      </c>
      <c r="Q227" s="20">
        <v>1523.81</v>
      </c>
      <c r="R227" s="21">
        <v>0.6340029268740853</v>
      </c>
      <c r="S227" s="1" t="s">
        <v>78</v>
      </c>
      <c r="T227" s="1" t="s">
        <v>0</v>
      </c>
      <c r="U227" s="1" t="s">
        <v>166</v>
      </c>
      <c r="V227" s="1" t="s">
        <v>81</v>
      </c>
      <c r="W227" s="1" t="s">
        <v>0</v>
      </c>
      <c r="X227" s="1" t="s">
        <v>0</v>
      </c>
      <c r="Y227" s="22" t="str">
        <f t="shared" si="3"/>
        <v>NEW</v>
      </c>
      <c r="Z227" s="20" t="str">
        <f>_xlfn.XLOOKUP($B227,[1]F27!$C:$C,[1]F27!$BV:$BV)</f>
        <v>#ERROR!</v>
      </c>
      <c r="AA227" s="1"/>
      <c r="AB227" s="1"/>
      <c r="AC227" s="23"/>
      <c r="AD227" s="1" t="str">
        <f>_xlfn.XLOOKUP($B227,[1]F27!$C:$C,[1]F27!$Y:$Y)</f>
        <v>#ERROR!</v>
      </c>
      <c r="AE227" s="1" t="str">
        <f>_xlfn.XLOOKUP($B227,[1]F27!$C:$C,[1]F27!$Z:$Z)</f>
        <v>#ERROR!</v>
      </c>
      <c r="AF227" s="1" t="str">
        <f>_xlfn.XLOOKUP($B227,[2]PRICING!$B:$B,[2]PRICING!$B:$B,"MISSING")</f>
        <v>#ERROR!</v>
      </c>
      <c r="AG227" s="1" t="str">
        <f>COUNTIFS([2]ACTIVE_SCO!$B:$B,$B227,[2]ACTIVE_SCO!$P:$P,"Y")</f>
        <v>#ERROR!</v>
      </c>
      <c r="AH227" s="1"/>
      <c r="AI227" s="37" t="s">
        <v>157</v>
      </c>
      <c r="AJ227" s="38" t="s">
        <v>1953</v>
      </c>
      <c r="AK227" s="39" t="s">
        <v>551</v>
      </c>
      <c r="AL227" s="39" t="s">
        <v>0</v>
      </c>
      <c r="AM227" s="1" t="s">
        <v>226</v>
      </c>
      <c r="AN227" s="40" t="s">
        <v>227</v>
      </c>
      <c r="AO227" s="41" t="s">
        <v>226</v>
      </c>
      <c r="AP227" s="41" t="s">
        <v>227</v>
      </c>
      <c r="AQ227" s="40" t="s">
        <v>0</v>
      </c>
      <c r="AR227" s="39"/>
      <c r="AS227" s="1" t="s">
        <v>68</v>
      </c>
      <c r="AT227" s="1" t="s">
        <v>89</v>
      </c>
      <c r="AU227" s="1" t="s">
        <v>90</v>
      </c>
      <c r="AV227" s="1" t="s">
        <v>91</v>
      </c>
      <c r="AW227" s="1"/>
      <c r="AX227" s="1"/>
      <c r="AY227" s="1"/>
      <c r="AZ227" s="1"/>
      <c r="BA227" s="1" t="s">
        <v>551</v>
      </c>
      <c r="BB227" s="1" t="s">
        <v>0</v>
      </c>
      <c r="BC227" s="1"/>
      <c r="BD227" s="1"/>
    </row>
    <row r="228" ht="11.25" customHeight="1">
      <c r="A228" s="1" t="b">
        <v>1</v>
      </c>
      <c r="B228" s="1" t="s">
        <v>1817</v>
      </c>
      <c r="C228" s="1" t="s">
        <v>1818</v>
      </c>
      <c r="D228" s="1" t="s">
        <v>65</v>
      </c>
      <c r="E228" s="1"/>
      <c r="F228" s="1"/>
      <c r="G228" s="1" t="s">
        <v>66</v>
      </c>
      <c r="H228" s="1"/>
      <c r="I228" s="1" t="s">
        <v>126</v>
      </c>
      <c r="J228" s="1" t="s">
        <v>69</v>
      </c>
      <c r="K228" s="1" t="s">
        <v>70</v>
      </c>
      <c r="L228" s="1" t="s">
        <v>0</v>
      </c>
      <c r="M228" s="1" t="b">
        <v>1</v>
      </c>
      <c r="N228" s="1" t="b">
        <v>0</v>
      </c>
      <c r="O228" s="19">
        <v>2000.0</v>
      </c>
      <c r="P228" s="20">
        <v>2.1</v>
      </c>
      <c r="Q228" s="20">
        <v>952.38</v>
      </c>
      <c r="R228" s="21">
        <v>0.6257481257481257</v>
      </c>
      <c r="S228" s="1" t="s">
        <v>78</v>
      </c>
      <c r="T228" s="1" t="s">
        <v>0</v>
      </c>
      <c r="U228" s="1" t="s">
        <v>81</v>
      </c>
      <c r="V228" s="1" t="s">
        <v>81</v>
      </c>
      <c r="W228" s="1" t="s">
        <v>0</v>
      </c>
      <c r="X228" s="1" t="s">
        <v>0</v>
      </c>
      <c r="Y228" s="22" t="str">
        <f t="shared" si="3"/>
        <v>CO</v>
      </c>
      <c r="Z228" s="20" t="str">
        <f>_xlfn.XLOOKUP($B228,[1]F27!$C:$C,[1]F27!$BV:$BV)</f>
        <v>#ERROR!</v>
      </c>
      <c r="AA228" s="1"/>
      <c r="AB228" s="1"/>
      <c r="AC228" s="23"/>
      <c r="AD228" s="1" t="str">
        <f>_xlfn.XLOOKUP($B228,[1]F27!$C:$C,[1]F27!$Y:$Y)</f>
        <v>#ERROR!</v>
      </c>
      <c r="AE228" s="1" t="str">
        <f>_xlfn.XLOOKUP($B228,[1]F27!$C:$C,[1]F27!$Z:$Z)</f>
        <v>#ERROR!</v>
      </c>
      <c r="AF228" s="1" t="str">
        <f>_xlfn.XLOOKUP($B228,[2]PRICING!$B:$B,[2]PRICING!$B:$B,"MISSING")</f>
        <v>#ERROR!</v>
      </c>
      <c r="AG228" s="1" t="str">
        <f>COUNTIFS([2]ACTIVE_SCO!$B:$B,$B228,[2]ACTIVE_SCO!$P:$P,"Y")</f>
        <v>#ERROR!</v>
      </c>
      <c r="AH228" s="1"/>
      <c r="AI228" s="37" t="s">
        <v>157</v>
      </c>
      <c r="AJ228" s="38" t="s">
        <v>1954</v>
      </c>
      <c r="AK228" s="39" t="s">
        <v>366</v>
      </c>
      <c r="AL228" s="39" t="s">
        <v>0</v>
      </c>
      <c r="AM228" s="1" t="s">
        <v>125</v>
      </c>
      <c r="AN228" s="40" t="s">
        <v>127</v>
      </c>
      <c r="AO228" s="41" t="s">
        <v>86</v>
      </c>
      <c r="AP228" s="41" t="s">
        <v>169</v>
      </c>
      <c r="AQ228" s="40" t="s">
        <v>0</v>
      </c>
      <c r="AR228" s="70"/>
      <c r="AS228" s="1" t="s">
        <v>126</v>
      </c>
      <c r="AT228" s="1" t="s">
        <v>128</v>
      </c>
      <c r="AU228" s="1" t="s">
        <v>130</v>
      </c>
      <c r="AV228" s="1" t="s">
        <v>131</v>
      </c>
      <c r="AW228" s="1"/>
      <c r="AX228" s="1"/>
      <c r="AY228" s="1"/>
      <c r="AZ228" s="1"/>
      <c r="BA228" s="1" t="s">
        <v>366</v>
      </c>
      <c r="BB228" s="1" t="s">
        <v>0</v>
      </c>
      <c r="BC228" s="1"/>
      <c r="BD228" s="1"/>
    </row>
    <row r="229" ht="11.25" customHeight="1">
      <c r="A229" s="1" t="b">
        <v>1</v>
      </c>
      <c r="B229" s="1" t="s">
        <v>1819</v>
      </c>
      <c r="C229" s="1" t="s">
        <v>1820</v>
      </c>
      <c r="D229" s="1" t="s">
        <v>65</v>
      </c>
      <c r="E229" s="1"/>
      <c r="F229" s="1"/>
      <c r="G229" s="1" t="s">
        <v>66</v>
      </c>
      <c r="H229" s="1"/>
      <c r="I229" s="1" t="s">
        <v>126</v>
      </c>
      <c r="J229" s="1" t="s">
        <v>69</v>
      </c>
      <c r="K229" s="1" t="s">
        <v>107</v>
      </c>
      <c r="L229" s="1" t="s">
        <v>0</v>
      </c>
      <c r="M229" s="1" t="b">
        <v>1</v>
      </c>
      <c r="N229" s="1" t="b">
        <v>0</v>
      </c>
      <c r="O229" s="19">
        <v>2000.0</v>
      </c>
      <c r="P229" s="20">
        <v>2.1</v>
      </c>
      <c r="Q229" s="20">
        <v>952.38</v>
      </c>
      <c r="R229" s="21">
        <v>0.6482706482706483</v>
      </c>
      <c r="S229" s="1" t="s">
        <v>78</v>
      </c>
      <c r="T229" s="1" t="s">
        <v>0</v>
      </c>
      <c r="U229" s="1" t="s">
        <v>81</v>
      </c>
      <c r="V229" s="1" t="s">
        <v>81</v>
      </c>
      <c r="W229" s="1" t="s">
        <v>0</v>
      </c>
      <c r="X229" s="1" t="s">
        <v>0</v>
      </c>
      <c r="Y229" s="22" t="str">
        <f t="shared" si="3"/>
        <v>CO</v>
      </c>
      <c r="Z229" s="20" t="str">
        <f>_xlfn.XLOOKUP($B229,[1]F27!$C:$C,[1]F27!$BV:$BV)</f>
        <v>#ERROR!</v>
      </c>
      <c r="AA229" s="1"/>
      <c r="AB229" s="1"/>
      <c r="AC229" s="23"/>
      <c r="AD229" s="1" t="str">
        <f>_xlfn.XLOOKUP($B229,[1]F27!$C:$C,[1]F27!$Y:$Y)</f>
        <v>#ERROR!</v>
      </c>
      <c r="AE229" s="1" t="str">
        <f>_xlfn.XLOOKUP($B229,[1]F27!$C:$C,[1]F27!$Z:$Z)</f>
        <v>#ERROR!</v>
      </c>
      <c r="AF229" s="1" t="str">
        <f>_xlfn.XLOOKUP($B229,[2]PRICING!$B:$B,[2]PRICING!$B:$B,"MISSING")</f>
        <v>#ERROR!</v>
      </c>
      <c r="AG229" s="1" t="str">
        <f>COUNTIFS([2]ACTIVE_SCO!$B:$B,$B229,[2]ACTIVE_SCO!$P:$P,"Y")</f>
        <v>#ERROR!</v>
      </c>
      <c r="AH229" s="1"/>
      <c r="AI229" s="37" t="s">
        <v>157</v>
      </c>
      <c r="AJ229" s="38" t="s">
        <v>1955</v>
      </c>
      <c r="AK229" s="39" t="s">
        <v>366</v>
      </c>
      <c r="AL229" s="39" t="s">
        <v>0</v>
      </c>
      <c r="AM229" s="1" t="s">
        <v>125</v>
      </c>
      <c r="AN229" s="40" t="s">
        <v>127</v>
      </c>
      <c r="AO229" s="41" t="s">
        <v>86</v>
      </c>
      <c r="AP229" s="41" t="s">
        <v>169</v>
      </c>
      <c r="AQ229" s="40" t="s">
        <v>0</v>
      </c>
      <c r="AR229" s="70"/>
      <c r="AS229" s="1" t="s">
        <v>126</v>
      </c>
      <c r="AT229" s="1" t="s">
        <v>128</v>
      </c>
      <c r="AU229" s="1" t="s">
        <v>130</v>
      </c>
      <c r="AV229" s="1" t="s">
        <v>131</v>
      </c>
      <c r="AW229" s="1"/>
      <c r="AX229" s="1"/>
      <c r="AY229" s="1"/>
      <c r="AZ229" s="1"/>
      <c r="BA229" s="1" t="s">
        <v>366</v>
      </c>
      <c r="BB229" s="1" t="s">
        <v>0</v>
      </c>
      <c r="BC229" s="1"/>
      <c r="BD229" s="1"/>
    </row>
    <row r="230" ht="11.25" customHeight="1">
      <c r="A230" s="1" t="b">
        <v>1</v>
      </c>
      <c r="B230" s="1" t="s">
        <v>1732</v>
      </c>
      <c r="C230" s="1" t="s">
        <v>1733</v>
      </c>
      <c r="D230" s="1" t="s">
        <v>65</v>
      </c>
      <c r="E230" s="1"/>
      <c r="F230" s="1"/>
      <c r="G230" s="1" t="s">
        <v>500</v>
      </c>
      <c r="H230" s="1"/>
      <c r="I230" s="1" t="s">
        <v>355</v>
      </c>
      <c r="J230" s="1" t="s">
        <v>69</v>
      </c>
      <c r="K230" s="1" t="s">
        <v>70</v>
      </c>
      <c r="L230" s="1" t="s">
        <v>0</v>
      </c>
      <c r="M230" s="1" t="b">
        <v>1</v>
      </c>
      <c r="N230" s="1" t="b">
        <v>0</v>
      </c>
      <c r="O230" s="19">
        <v>4500.0</v>
      </c>
      <c r="P230" s="20">
        <v>2.1</v>
      </c>
      <c r="Q230" s="20">
        <v>2142.86</v>
      </c>
      <c r="R230" s="21">
        <v>0.5431899424134101</v>
      </c>
      <c r="S230" s="1" t="s">
        <v>242</v>
      </c>
      <c r="T230" s="1" t="s">
        <v>0</v>
      </c>
      <c r="U230" s="1" t="s">
        <v>359</v>
      </c>
      <c r="V230" s="1" t="s">
        <v>81</v>
      </c>
      <c r="W230" s="1" t="s">
        <v>0</v>
      </c>
      <c r="X230" s="1" t="s">
        <v>0</v>
      </c>
      <c r="Y230" s="22" t="str">
        <f t="shared" si="3"/>
        <v>CO</v>
      </c>
      <c r="Z230" s="20" t="str">
        <f>_xlfn.XLOOKUP($B230,[1]F27!$C:$C,[1]F27!$BV:$BV)</f>
        <v>#ERROR!</v>
      </c>
      <c r="AA230" s="1"/>
      <c r="AB230" s="1"/>
      <c r="AC230" s="23"/>
      <c r="AD230" s="1" t="str">
        <f>_xlfn.XLOOKUP($B230,[1]F27!$C:$C,[1]F27!$Y:$Y)</f>
        <v>#ERROR!</v>
      </c>
      <c r="AE230" s="1" t="str">
        <f>_xlfn.XLOOKUP($B230,[1]F27!$C:$C,[1]F27!$Z:$Z)</f>
        <v>#ERROR!</v>
      </c>
      <c r="AF230" s="1" t="str">
        <f>_xlfn.XLOOKUP($B230,[2]PRICING!$B:$B,[2]PRICING!$B:$B,"MISSING")</f>
        <v>#ERROR!</v>
      </c>
      <c r="AG230" s="1" t="str">
        <f>COUNTIFS([2]ACTIVE_SCO!$B:$B,$B230,[2]ACTIVE_SCO!$P:$P,"Y")</f>
        <v>#ERROR!</v>
      </c>
      <c r="AH230" s="1"/>
      <c r="AI230" s="37" t="s">
        <v>157</v>
      </c>
      <c r="AJ230" s="38" t="s">
        <v>1956</v>
      </c>
      <c r="AK230" s="39" t="s">
        <v>1561</v>
      </c>
      <c r="AL230" s="39" t="s">
        <v>0</v>
      </c>
      <c r="AM230" s="1" t="s">
        <v>86</v>
      </c>
      <c r="AN230" s="40" t="s">
        <v>826</v>
      </c>
      <c r="AO230" s="41" t="s">
        <v>86</v>
      </c>
      <c r="AP230" s="41" t="s">
        <v>826</v>
      </c>
      <c r="AQ230" s="40" t="s">
        <v>0</v>
      </c>
      <c r="AR230" s="39"/>
      <c r="AS230" s="1" t="s">
        <v>355</v>
      </c>
      <c r="AT230" s="1" t="s">
        <v>161</v>
      </c>
      <c r="AU230" s="1" t="s">
        <v>448</v>
      </c>
      <c r="AV230" s="1" t="s">
        <v>131</v>
      </c>
      <c r="AW230" s="1"/>
      <c r="AX230" s="1"/>
      <c r="AY230" s="1"/>
      <c r="AZ230" s="1"/>
      <c r="BA230" s="1" t="s">
        <v>1561</v>
      </c>
      <c r="BB230" s="1" t="s">
        <v>0</v>
      </c>
      <c r="BC230" s="1"/>
      <c r="BD230" s="1"/>
    </row>
    <row r="231" ht="11.25" customHeight="1">
      <c r="A231" s="1" t="b">
        <v>1</v>
      </c>
      <c r="B231" s="1" t="s">
        <v>1736</v>
      </c>
      <c r="C231" s="1" t="s">
        <v>1737</v>
      </c>
      <c r="D231" s="1" t="s">
        <v>65</v>
      </c>
      <c r="E231" s="1"/>
      <c r="F231" s="1"/>
      <c r="G231" s="1" t="s">
        <v>500</v>
      </c>
      <c r="H231" s="1"/>
      <c r="I231" s="1" t="s">
        <v>355</v>
      </c>
      <c r="J231" s="1" t="s">
        <v>69</v>
      </c>
      <c r="K231" s="1" t="s">
        <v>107</v>
      </c>
      <c r="L231" s="1" t="s">
        <v>0</v>
      </c>
      <c r="M231" s="1" t="b">
        <v>1</v>
      </c>
      <c r="N231" s="1" t="b">
        <v>0</v>
      </c>
      <c r="O231" s="19">
        <v>4500.0</v>
      </c>
      <c r="P231" s="20">
        <v>2.1</v>
      </c>
      <c r="Q231" s="20">
        <v>2142.86</v>
      </c>
      <c r="R231" s="21">
        <v>0.603973194702407</v>
      </c>
      <c r="S231" s="1" t="s">
        <v>242</v>
      </c>
      <c r="T231" s="1" t="s">
        <v>0</v>
      </c>
      <c r="U231" s="1" t="s">
        <v>359</v>
      </c>
      <c r="V231" s="1" t="s">
        <v>81</v>
      </c>
      <c r="W231" s="1" t="s">
        <v>0</v>
      </c>
      <c r="X231" s="1" t="s">
        <v>0</v>
      </c>
      <c r="Y231" s="22" t="str">
        <f t="shared" si="3"/>
        <v>CO</v>
      </c>
      <c r="Z231" s="20" t="str">
        <f>_xlfn.XLOOKUP($B231,[1]F27!$C:$C,[1]F27!$BV:$BV)</f>
        <v>#ERROR!</v>
      </c>
      <c r="AA231" s="1"/>
      <c r="AB231" s="1"/>
      <c r="AC231" s="23"/>
      <c r="AD231" s="1" t="str">
        <f>_xlfn.XLOOKUP($B231,[1]F27!$C:$C,[1]F27!$Y:$Y)</f>
        <v>#ERROR!</v>
      </c>
      <c r="AE231" s="1" t="str">
        <f>_xlfn.XLOOKUP($B231,[1]F27!$C:$C,[1]F27!$Z:$Z)</f>
        <v>#ERROR!</v>
      </c>
      <c r="AF231" s="1" t="str">
        <f>_xlfn.XLOOKUP($B231,[2]PRICING!$B:$B,[2]PRICING!$B:$B,"MISSING")</f>
        <v>#ERROR!</v>
      </c>
      <c r="AG231" s="1" t="str">
        <f>COUNTIFS([2]ACTIVE_SCO!$B:$B,$B231,[2]ACTIVE_SCO!$P:$P,"Y")</f>
        <v>#ERROR!</v>
      </c>
      <c r="AH231" s="1"/>
      <c r="AI231" s="37" t="s">
        <v>157</v>
      </c>
      <c r="AJ231" s="38" t="s">
        <v>1957</v>
      </c>
      <c r="AK231" s="39" t="s">
        <v>1561</v>
      </c>
      <c r="AL231" s="39" t="s">
        <v>0</v>
      </c>
      <c r="AM231" s="1" t="s">
        <v>86</v>
      </c>
      <c r="AN231" s="40" t="s">
        <v>826</v>
      </c>
      <c r="AO231" s="41" t="s">
        <v>86</v>
      </c>
      <c r="AP231" s="41" t="s">
        <v>826</v>
      </c>
      <c r="AQ231" s="40" t="s">
        <v>0</v>
      </c>
      <c r="AR231" s="39"/>
      <c r="AS231" s="1" t="s">
        <v>355</v>
      </c>
      <c r="AT231" s="1" t="s">
        <v>161</v>
      </c>
      <c r="AU231" s="1" t="s">
        <v>448</v>
      </c>
      <c r="AV231" s="1" t="s">
        <v>131</v>
      </c>
      <c r="AW231" s="1"/>
      <c r="AX231" s="1"/>
      <c r="AY231" s="1"/>
      <c r="AZ231" s="1"/>
      <c r="BA231" s="1" t="s">
        <v>1561</v>
      </c>
      <c r="BB231" s="1" t="s">
        <v>0</v>
      </c>
      <c r="BC231" s="1"/>
      <c r="BD231" s="1"/>
    </row>
    <row r="232" ht="11.25" customHeight="1">
      <c r="A232" s="1" t="b">
        <v>1</v>
      </c>
      <c r="B232" s="1" t="s">
        <v>1668</v>
      </c>
      <c r="C232" s="1" t="s">
        <v>1669</v>
      </c>
      <c r="D232" s="1" t="s">
        <v>65</v>
      </c>
      <c r="E232" s="1"/>
      <c r="F232" s="1"/>
      <c r="G232" s="1" t="s">
        <v>220</v>
      </c>
      <c r="H232" s="1"/>
      <c r="I232" s="1" t="s">
        <v>68</v>
      </c>
      <c r="J232" s="1" t="s">
        <v>69</v>
      </c>
      <c r="K232" s="1" t="s">
        <v>70</v>
      </c>
      <c r="L232" s="1" t="s">
        <v>0</v>
      </c>
      <c r="M232" s="1" t="b">
        <v>0</v>
      </c>
      <c r="N232" s="1" t="b">
        <v>0</v>
      </c>
      <c r="O232" s="19">
        <v>2800.0</v>
      </c>
      <c r="P232" s="20">
        <v>2.1</v>
      </c>
      <c r="Q232" s="20">
        <v>1333.33</v>
      </c>
      <c r="R232" s="21">
        <v>0.6673066682666706</v>
      </c>
      <c r="S232" s="1" t="s">
        <v>78</v>
      </c>
      <c r="T232" s="1" t="s">
        <v>0</v>
      </c>
      <c r="U232" s="1" t="s">
        <v>166</v>
      </c>
      <c r="V232" s="1" t="s">
        <v>81</v>
      </c>
      <c r="W232" s="1" t="s">
        <v>0</v>
      </c>
      <c r="X232" s="1" t="s">
        <v>0</v>
      </c>
      <c r="Y232" s="22" t="str">
        <f t="shared" si="3"/>
        <v>NEW</v>
      </c>
      <c r="Z232" s="20" t="str">
        <f>_xlfn.XLOOKUP($B232,[1]F27!$C:$C,[1]F27!$BV:$BV)</f>
        <v>#ERROR!</v>
      </c>
      <c r="AA232" s="1"/>
      <c r="AB232" s="1"/>
      <c r="AC232" s="23"/>
      <c r="AD232" s="1" t="str">
        <f>_xlfn.XLOOKUP($B232,[1]F27!$C:$C,[1]F27!$Y:$Y)</f>
        <v>#ERROR!</v>
      </c>
      <c r="AE232" s="1" t="str">
        <f>_xlfn.XLOOKUP($B232,[1]F27!$C:$C,[1]F27!$Z:$Z)</f>
        <v>#ERROR!</v>
      </c>
      <c r="AF232" s="1" t="str">
        <f>_xlfn.XLOOKUP($B232,[2]PRICING!$B:$B,[2]PRICING!$B:$B,"MISSING")</f>
        <v>#ERROR!</v>
      </c>
      <c r="AG232" s="1" t="str">
        <f>COUNTIFS([2]ACTIVE_SCO!$B:$B,$B232,[2]ACTIVE_SCO!$P:$P,"Y")</f>
        <v>#ERROR!</v>
      </c>
      <c r="AH232" s="1"/>
      <c r="AI232" s="37" t="s">
        <v>157</v>
      </c>
      <c r="AJ232" s="38" t="s">
        <v>1958</v>
      </c>
      <c r="AK232" s="39" t="s">
        <v>551</v>
      </c>
      <c r="AL232" s="39" t="s">
        <v>0</v>
      </c>
      <c r="AM232" s="1" t="s">
        <v>226</v>
      </c>
      <c r="AN232" s="40" t="s">
        <v>227</v>
      </c>
      <c r="AO232" s="41" t="s">
        <v>226</v>
      </c>
      <c r="AP232" s="41" t="s">
        <v>227</v>
      </c>
      <c r="AQ232" s="40" t="s">
        <v>0</v>
      </c>
      <c r="AR232" s="39"/>
      <c r="AS232" s="1" t="s">
        <v>68</v>
      </c>
      <c r="AT232" s="1" t="s">
        <v>128</v>
      </c>
      <c r="AU232" s="1" t="s">
        <v>90</v>
      </c>
      <c r="AV232" s="1" t="s">
        <v>91</v>
      </c>
      <c r="AW232" s="1"/>
      <c r="AX232" s="1"/>
      <c r="AY232" s="1"/>
      <c r="AZ232" s="1"/>
      <c r="BA232" s="1" t="s">
        <v>551</v>
      </c>
      <c r="BB232" s="1" t="s">
        <v>0</v>
      </c>
      <c r="BC232" s="1"/>
      <c r="BD232" s="1"/>
    </row>
    <row r="233" ht="11.25" customHeight="1">
      <c r="A233" s="1" t="b">
        <v>1</v>
      </c>
      <c r="B233" s="1" t="s">
        <v>1670</v>
      </c>
      <c r="C233" s="1" t="s">
        <v>1671</v>
      </c>
      <c r="D233" s="1" t="s">
        <v>65</v>
      </c>
      <c r="E233" s="1"/>
      <c r="F233" s="1"/>
      <c r="G233" s="1" t="s">
        <v>220</v>
      </c>
      <c r="H233" s="1"/>
      <c r="I233" s="1" t="s">
        <v>68</v>
      </c>
      <c r="J233" s="1" t="s">
        <v>69</v>
      </c>
      <c r="K233" s="1" t="s">
        <v>107</v>
      </c>
      <c r="L233" s="1" t="s">
        <v>0</v>
      </c>
      <c r="M233" s="1" t="b">
        <v>0</v>
      </c>
      <c r="N233" s="1" t="b">
        <v>0</v>
      </c>
      <c r="O233" s="19">
        <v>2800.0</v>
      </c>
      <c r="P233" s="20">
        <v>2.1</v>
      </c>
      <c r="Q233" s="20">
        <v>1333.33</v>
      </c>
      <c r="R233" s="21">
        <v>0.6851717129292823</v>
      </c>
      <c r="S233" s="1" t="s">
        <v>78</v>
      </c>
      <c r="T233" s="1" t="s">
        <v>0</v>
      </c>
      <c r="U233" s="1" t="s">
        <v>166</v>
      </c>
      <c r="V233" s="1" t="s">
        <v>81</v>
      </c>
      <c r="W233" s="1" t="s">
        <v>0</v>
      </c>
      <c r="X233" s="1" t="s">
        <v>0</v>
      </c>
      <c r="Y233" s="22" t="str">
        <f t="shared" si="3"/>
        <v>NEW</v>
      </c>
      <c r="Z233" s="20" t="str">
        <f>_xlfn.XLOOKUP($B233,[1]F27!$C:$C,[1]F27!$BV:$BV)</f>
        <v>#ERROR!</v>
      </c>
      <c r="AA233" s="1"/>
      <c r="AB233" s="1"/>
      <c r="AC233" s="23"/>
      <c r="AD233" s="1" t="str">
        <f>_xlfn.XLOOKUP($B233,[1]F27!$C:$C,[1]F27!$Y:$Y)</f>
        <v>#ERROR!</v>
      </c>
      <c r="AE233" s="1" t="str">
        <f>_xlfn.XLOOKUP($B233,[1]F27!$C:$C,[1]F27!$Z:$Z)</f>
        <v>#ERROR!</v>
      </c>
      <c r="AF233" s="1" t="str">
        <f>_xlfn.XLOOKUP($B233,[2]PRICING!$B:$B,[2]PRICING!$B:$B,"MISSING")</f>
        <v>#ERROR!</v>
      </c>
      <c r="AG233" s="1" t="str">
        <f>COUNTIFS([2]ACTIVE_SCO!$B:$B,$B233,[2]ACTIVE_SCO!$P:$P,"Y")</f>
        <v>#ERROR!</v>
      </c>
      <c r="AH233" s="1"/>
      <c r="AI233" s="37" t="s">
        <v>157</v>
      </c>
      <c r="AJ233" s="38" t="s">
        <v>1959</v>
      </c>
      <c r="AK233" s="39" t="s">
        <v>551</v>
      </c>
      <c r="AL233" s="39" t="s">
        <v>0</v>
      </c>
      <c r="AM233" s="1" t="s">
        <v>226</v>
      </c>
      <c r="AN233" s="40" t="s">
        <v>227</v>
      </c>
      <c r="AO233" s="41" t="s">
        <v>226</v>
      </c>
      <c r="AP233" s="41" t="s">
        <v>227</v>
      </c>
      <c r="AQ233" s="40" t="s">
        <v>0</v>
      </c>
      <c r="AR233" s="39"/>
      <c r="AS233" s="1" t="s">
        <v>68</v>
      </c>
      <c r="AT233" s="1" t="s">
        <v>128</v>
      </c>
      <c r="AU233" s="1" t="s">
        <v>90</v>
      </c>
      <c r="AV233" s="1" t="s">
        <v>91</v>
      </c>
      <c r="AW233" s="1"/>
      <c r="AX233" s="1"/>
      <c r="AY233" s="1"/>
      <c r="AZ233" s="1"/>
      <c r="BA233" s="1" t="s">
        <v>551</v>
      </c>
      <c r="BB233" s="1" t="s">
        <v>0</v>
      </c>
      <c r="BC233" s="1"/>
      <c r="BD233" s="1"/>
    </row>
    <row r="234" ht="11.25" customHeight="1">
      <c r="A234" s="1" t="b">
        <v>1</v>
      </c>
      <c r="B234" s="1" t="s">
        <v>1808</v>
      </c>
      <c r="C234" s="1" t="s">
        <v>1809</v>
      </c>
      <c r="D234" s="1" t="s">
        <v>65</v>
      </c>
      <c r="E234" s="1"/>
      <c r="F234" s="1"/>
      <c r="G234" s="1" t="s">
        <v>220</v>
      </c>
      <c r="H234" s="1"/>
      <c r="I234" s="1" t="s">
        <v>248</v>
      </c>
      <c r="J234" s="1" t="s">
        <v>69</v>
      </c>
      <c r="K234" s="1" t="s">
        <v>249</v>
      </c>
      <c r="L234" s="1" t="s">
        <v>0</v>
      </c>
      <c r="M234" s="1" t="b">
        <v>1</v>
      </c>
      <c r="N234" s="1" t="b">
        <v>0</v>
      </c>
      <c r="O234" s="19">
        <v>400.0</v>
      </c>
      <c r="P234" s="20">
        <v>1.9</v>
      </c>
      <c r="Q234" s="20">
        <v>210.53</v>
      </c>
      <c r="R234" s="21">
        <v>0.6043319241913266</v>
      </c>
      <c r="S234" s="1" t="s">
        <v>117</v>
      </c>
      <c r="T234" s="1" t="s">
        <v>0</v>
      </c>
      <c r="U234" s="1" t="s">
        <v>81</v>
      </c>
      <c r="V234" s="1" t="s">
        <v>81</v>
      </c>
      <c r="W234" s="1" t="s">
        <v>0</v>
      </c>
      <c r="X234" s="1" t="s">
        <v>0</v>
      </c>
      <c r="Y234" s="22" t="str">
        <f t="shared" si="3"/>
        <v>CO</v>
      </c>
      <c r="Z234" s="20" t="str">
        <f>_xlfn.XLOOKUP($B234,[1]F27!$C:$C,[1]F27!$BV:$BV)</f>
        <v>#ERROR!</v>
      </c>
      <c r="AA234" s="1"/>
      <c r="AB234" s="1"/>
      <c r="AC234" s="23"/>
      <c r="AD234" s="1" t="str">
        <f>_xlfn.XLOOKUP($B234,[1]F27!$C:$C,[1]F27!$Y:$Y)</f>
        <v>#ERROR!</v>
      </c>
      <c r="AE234" s="1" t="str">
        <f>_xlfn.XLOOKUP($B234,[1]F27!$C:$C,[1]F27!$Z:$Z)</f>
        <v>#ERROR!</v>
      </c>
      <c r="AF234" s="1" t="str">
        <f>_xlfn.XLOOKUP($B234,[2]PRICING!$B:$B,[2]PRICING!$B:$B,"MISSING")</f>
        <v>#ERROR!</v>
      </c>
      <c r="AG234" s="1" t="str">
        <f>COUNTIFS([2]ACTIVE_SCO!$B:$B,$B234,[2]ACTIVE_SCO!$P:$P,"Y")</f>
        <v>#ERROR!</v>
      </c>
      <c r="AH234" s="1"/>
      <c r="AI234" s="37" t="s">
        <v>157</v>
      </c>
      <c r="AJ234" s="38" t="s">
        <v>1962</v>
      </c>
      <c r="AK234" s="49" t="s">
        <v>365</v>
      </c>
      <c r="AL234" s="39" t="s">
        <v>0</v>
      </c>
      <c r="AM234" s="1" t="s">
        <v>125</v>
      </c>
      <c r="AN234" s="40" t="s">
        <v>127</v>
      </c>
      <c r="AO234" s="41" t="s">
        <v>125</v>
      </c>
      <c r="AP234" s="39"/>
      <c r="AQ234" s="40" t="s">
        <v>125</v>
      </c>
      <c r="AR234" s="54"/>
      <c r="AS234" s="1" t="s">
        <v>248</v>
      </c>
      <c r="AT234" s="1" t="s">
        <v>253</v>
      </c>
      <c r="AU234" s="1" t="s">
        <v>1891</v>
      </c>
      <c r="AV234" s="1" t="s">
        <v>131</v>
      </c>
      <c r="AW234" s="1"/>
      <c r="AX234" s="1"/>
      <c r="AY234" s="1"/>
      <c r="AZ234" s="1"/>
      <c r="BA234" s="50" t="s">
        <v>365</v>
      </c>
      <c r="BB234" s="1" t="s">
        <v>0</v>
      </c>
      <c r="BC234" s="1"/>
      <c r="BD234" s="1"/>
    </row>
    <row r="235" ht="11.25" customHeight="1">
      <c r="A235" s="1" t="b">
        <v>1</v>
      </c>
      <c r="B235" s="1" t="s">
        <v>1753</v>
      </c>
      <c r="C235" s="1" t="s">
        <v>1845</v>
      </c>
      <c r="D235" s="1" t="s">
        <v>65</v>
      </c>
      <c r="E235" s="1"/>
      <c r="F235" s="1"/>
      <c r="G235" s="1" t="s">
        <v>247</v>
      </c>
      <c r="H235" s="1"/>
      <c r="I235" s="1" t="s">
        <v>334</v>
      </c>
      <c r="J235" s="1" t="s">
        <v>69</v>
      </c>
      <c r="K235" s="1" t="s">
        <v>70</v>
      </c>
      <c r="L235" s="1" t="s">
        <v>0</v>
      </c>
      <c r="M235" s="1" t="b">
        <v>0</v>
      </c>
      <c r="N235" s="1" t="b">
        <v>0</v>
      </c>
      <c r="O235" s="19">
        <v>1200.0</v>
      </c>
      <c r="P235" s="20">
        <v>2.1</v>
      </c>
      <c r="Q235" s="20">
        <v>571.43</v>
      </c>
      <c r="R235" s="21">
        <v>0.6434208914477714</v>
      </c>
      <c r="S235" s="1" t="s">
        <v>242</v>
      </c>
      <c r="T235" s="1" t="s">
        <v>0</v>
      </c>
      <c r="U235" s="1" t="s">
        <v>81</v>
      </c>
      <c r="V235" s="1" t="s">
        <v>81</v>
      </c>
      <c r="W235" s="1" t="s">
        <v>0</v>
      </c>
      <c r="X235" s="1" t="s">
        <v>0</v>
      </c>
      <c r="Y235" s="22" t="str">
        <f t="shared" si="3"/>
        <v>NEW</v>
      </c>
      <c r="Z235" s="20" t="str">
        <f>_xlfn.XLOOKUP($B235,[1]F27!$C:$C,[1]F27!$BV:$BV)</f>
        <v>#ERROR!</v>
      </c>
      <c r="AA235" s="1"/>
      <c r="AB235" s="1"/>
      <c r="AC235" s="23"/>
      <c r="AD235" s="1" t="str">
        <f>_xlfn.XLOOKUP($B235,[1]F27!$C:$C,[1]F27!$Y:$Y)</f>
        <v>#ERROR!</v>
      </c>
      <c r="AE235" s="1" t="str">
        <f>_xlfn.XLOOKUP($B235,[1]F27!$C:$C,[1]F27!$Z:$Z)</f>
        <v>#ERROR!</v>
      </c>
      <c r="AF235" s="1" t="str">
        <f>_xlfn.XLOOKUP($B235,[2]PRICING!$B:$B,[2]PRICING!$B:$B,"MISSING")</f>
        <v>#ERROR!</v>
      </c>
      <c r="AG235" s="1" t="str">
        <f>COUNTIFS([2]ACTIVE_SCO!$B:$B,$B235,[2]ACTIVE_SCO!$P:$P,"Y")</f>
        <v>#ERROR!</v>
      </c>
      <c r="AH235" s="1"/>
      <c r="AI235" s="37" t="s">
        <v>157</v>
      </c>
      <c r="AJ235" s="38" t="s">
        <v>1964</v>
      </c>
      <c r="AK235" s="39" t="s">
        <v>551</v>
      </c>
      <c r="AL235" s="39" t="s">
        <v>0</v>
      </c>
      <c r="AM235" s="1" t="s">
        <v>125</v>
      </c>
      <c r="AN235" s="40" t="s">
        <v>127</v>
      </c>
      <c r="AO235" s="41" t="s">
        <v>776</v>
      </c>
      <c r="AP235" s="41" t="s">
        <v>777</v>
      </c>
      <c r="AQ235" s="40" t="s">
        <v>0</v>
      </c>
      <c r="AR235" s="54"/>
      <c r="AS235" s="1" t="s">
        <v>334</v>
      </c>
      <c r="AT235" s="1" t="s">
        <v>751</v>
      </c>
      <c r="AU235" s="1" t="s">
        <v>338</v>
      </c>
      <c r="AV235" s="1" t="s">
        <v>131</v>
      </c>
      <c r="AW235" s="1"/>
      <c r="AX235" s="1"/>
      <c r="AY235" s="1" t="s">
        <v>1967</v>
      </c>
      <c r="AZ235" s="1"/>
      <c r="BA235" s="1" t="s">
        <v>551</v>
      </c>
      <c r="BB235" s="1" t="s">
        <v>0</v>
      </c>
      <c r="BC235" s="1"/>
      <c r="BD235" s="1"/>
    </row>
    <row r="236" ht="11.25" customHeight="1">
      <c r="A236" s="1" t="b">
        <v>1</v>
      </c>
      <c r="B236" s="1" t="s">
        <v>1755</v>
      </c>
      <c r="C236" s="1" t="s">
        <v>1846</v>
      </c>
      <c r="D236" s="1" t="s">
        <v>65</v>
      </c>
      <c r="E236" s="1"/>
      <c r="F236" s="1"/>
      <c r="G236" s="1" t="s">
        <v>247</v>
      </c>
      <c r="H236" s="1"/>
      <c r="I236" s="1" t="s">
        <v>334</v>
      </c>
      <c r="J236" s="1" t="s">
        <v>69</v>
      </c>
      <c r="K236" s="1" t="s">
        <v>107</v>
      </c>
      <c r="L236" s="1" t="s">
        <v>0</v>
      </c>
      <c r="M236" s="1" t="b">
        <v>0</v>
      </c>
      <c r="N236" s="1" t="b">
        <v>0</v>
      </c>
      <c r="O236" s="19">
        <v>1200.0</v>
      </c>
      <c r="P236" s="20">
        <v>2.1</v>
      </c>
      <c r="Q236" s="20">
        <v>571.43</v>
      </c>
      <c r="R236" s="21">
        <v>0.6927357681605796</v>
      </c>
      <c r="S236" s="1" t="s">
        <v>242</v>
      </c>
      <c r="T236" s="1" t="s">
        <v>0</v>
      </c>
      <c r="U236" s="1" t="s">
        <v>81</v>
      </c>
      <c r="V236" s="1" t="s">
        <v>81</v>
      </c>
      <c r="W236" s="1" t="s">
        <v>0</v>
      </c>
      <c r="X236" s="1" t="s">
        <v>0</v>
      </c>
      <c r="Y236" s="22" t="str">
        <f t="shared" si="3"/>
        <v>NEW</v>
      </c>
      <c r="Z236" s="20" t="str">
        <f>_xlfn.XLOOKUP($B236,[1]F27!$C:$C,[1]F27!$BV:$BV)</f>
        <v>#ERROR!</v>
      </c>
      <c r="AA236" s="1"/>
      <c r="AB236" s="1"/>
      <c r="AC236" s="23"/>
      <c r="AD236" s="1" t="str">
        <f>_xlfn.XLOOKUP($B236,[1]F27!$C:$C,[1]F27!$Y:$Y)</f>
        <v>#ERROR!</v>
      </c>
      <c r="AE236" s="1" t="str">
        <f>_xlfn.XLOOKUP($B236,[1]F27!$C:$C,[1]F27!$Z:$Z)</f>
        <v>#ERROR!</v>
      </c>
      <c r="AF236" s="1" t="str">
        <f>_xlfn.XLOOKUP($B236,[2]PRICING!$B:$B,[2]PRICING!$B:$B,"MISSING")</f>
        <v>#ERROR!</v>
      </c>
      <c r="AG236" s="1" t="str">
        <f>COUNTIFS([2]ACTIVE_SCO!$B:$B,$B236,[2]ACTIVE_SCO!$P:$P,"Y")</f>
        <v>#ERROR!</v>
      </c>
      <c r="AH236" s="1"/>
      <c r="AI236" s="37" t="s">
        <v>157</v>
      </c>
      <c r="AJ236" s="38" t="s">
        <v>1970</v>
      </c>
      <c r="AK236" s="39" t="s">
        <v>551</v>
      </c>
      <c r="AL236" s="39" t="s">
        <v>0</v>
      </c>
      <c r="AM236" s="1" t="s">
        <v>125</v>
      </c>
      <c r="AN236" s="40" t="s">
        <v>127</v>
      </c>
      <c r="AO236" s="41" t="s">
        <v>776</v>
      </c>
      <c r="AP236" s="41" t="s">
        <v>777</v>
      </c>
      <c r="AQ236" s="40" t="s">
        <v>0</v>
      </c>
      <c r="AR236" s="54"/>
      <c r="AS236" s="1" t="s">
        <v>334</v>
      </c>
      <c r="AT236" s="1" t="s">
        <v>751</v>
      </c>
      <c r="AU236" s="1" t="s">
        <v>338</v>
      </c>
      <c r="AV236" s="1" t="s">
        <v>131</v>
      </c>
      <c r="AW236" s="1"/>
      <c r="AX236" s="1"/>
      <c r="AY236" s="1" t="s">
        <v>1967</v>
      </c>
      <c r="AZ236" s="1"/>
      <c r="BA236" s="1" t="s">
        <v>551</v>
      </c>
      <c r="BB236" s="1" t="s">
        <v>0</v>
      </c>
      <c r="BC236" s="1"/>
      <c r="BD236" s="1"/>
    </row>
    <row r="237" ht="11.25" customHeight="1">
      <c r="A237" s="1" t="b">
        <v>1</v>
      </c>
      <c r="B237" s="1" t="s">
        <v>947</v>
      </c>
      <c r="C237" s="1" t="s">
        <v>948</v>
      </c>
      <c r="D237" s="1" t="s">
        <v>65</v>
      </c>
      <c r="E237" s="1"/>
      <c r="F237" s="1"/>
      <c r="G237" s="1" t="s">
        <v>66</v>
      </c>
      <c r="H237" s="1"/>
      <c r="I237" s="1" t="s">
        <v>270</v>
      </c>
      <c r="J237" s="1" t="s">
        <v>69</v>
      </c>
      <c r="K237" s="1" t="s">
        <v>70</v>
      </c>
      <c r="L237" s="1" t="s">
        <v>0</v>
      </c>
      <c r="M237" s="1" t="b">
        <v>1</v>
      </c>
      <c r="N237" s="1" t="b">
        <v>0</v>
      </c>
      <c r="O237" s="19">
        <v>1700.0</v>
      </c>
      <c r="P237" s="20">
        <v>2.1</v>
      </c>
      <c r="Q237" s="20">
        <v>809.52</v>
      </c>
      <c r="R237" s="21">
        <v>0.635277695424449</v>
      </c>
      <c r="S237" s="1" t="s">
        <v>117</v>
      </c>
      <c r="T237" s="1" t="s">
        <v>0</v>
      </c>
      <c r="U237" s="1" t="s">
        <v>81</v>
      </c>
      <c r="V237" s="1" t="s">
        <v>81</v>
      </c>
      <c r="W237" s="1" t="s">
        <v>0</v>
      </c>
      <c r="X237" s="1" t="s">
        <v>0</v>
      </c>
      <c r="Y237" s="22" t="str">
        <f t="shared" si="3"/>
        <v>CO</v>
      </c>
      <c r="Z237" s="20" t="str">
        <f>_xlfn.XLOOKUP($B237,[1]F27!$C:$C,[1]F27!$BV:$BV)</f>
        <v>#ERROR!</v>
      </c>
      <c r="AA237" s="1"/>
      <c r="AB237" s="1"/>
      <c r="AC237" s="23"/>
      <c r="AD237" s="1" t="str">
        <f>_xlfn.XLOOKUP($B237,[1]F27!$C:$C,[1]F27!$Y:$Y)</f>
        <v>#ERROR!</v>
      </c>
      <c r="AE237" s="1" t="str">
        <f>_xlfn.XLOOKUP($B237,[1]F27!$C:$C,[1]F27!$Z:$Z)</f>
        <v>#ERROR!</v>
      </c>
      <c r="AF237" s="1" t="str">
        <f>_xlfn.XLOOKUP($B237,[2]PRICING!$B:$B,[2]PRICING!$B:$B,"MISSING")</f>
        <v>#ERROR!</v>
      </c>
      <c r="AG237" s="1" t="str">
        <f>COUNTIFS([2]ACTIVE_SCO!$B:$B,$B237,[2]ACTIVE_SCO!$P:$P,"Y")</f>
        <v>#ERROR!</v>
      </c>
      <c r="AH237" s="1"/>
      <c r="AI237" s="37" t="s">
        <v>157</v>
      </c>
      <c r="AJ237" s="38" t="s">
        <v>1975</v>
      </c>
      <c r="AK237" s="39" t="s">
        <v>294</v>
      </c>
      <c r="AL237" s="39" t="s">
        <v>0</v>
      </c>
      <c r="AM237" s="1" t="s">
        <v>125</v>
      </c>
      <c r="AN237" s="40" t="s">
        <v>174</v>
      </c>
      <c r="AO237" s="41" t="s">
        <v>125</v>
      </c>
      <c r="AP237" s="39"/>
      <c r="AQ237" s="40" t="s">
        <v>125</v>
      </c>
      <c r="AR237" s="39"/>
      <c r="AS237" s="1" t="s">
        <v>276</v>
      </c>
      <c r="AT237" s="1" t="s">
        <v>161</v>
      </c>
      <c r="AU237" s="1" t="s">
        <v>277</v>
      </c>
      <c r="AV237" s="1" t="s">
        <v>131</v>
      </c>
      <c r="AW237" s="1"/>
      <c r="AX237" s="1"/>
      <c r="AY237" s="1"/>
      <c r="AZ237" s="1"/>
      <c r="BA237" s="1" t="s">
        <v>294</v>
      </c>
      <c r="BB237" s="1" t="s">
        <v>0</v>
      </c>
      <c r="BC237" s="1"/>
      <c r="BD237" s="1"/>
    </row>
    <row r="238" ht="11.25" customHeight="1">
      <c r="A238" s="1" t="b">
        <v>1</v>
      </c>
      <c r="B238" s="1" t="s">
        <v>952</v>
      </c>
      <c r="C238" s="1" t="s">
        <v>953</v>
      </c>
      <c r="D238" s="1" t="s">
        <v>65</v>
      </c>
      <c r="E238" s="1"/>
      <c r="F238" s="1"/>
      <c r="G238" s="1" t="s">
        <v>66</v>
      </c>
      <c r="H238" s="1"/>
      <c r="I238" s="1" t="s">
        <v>270</v>
      </c>
      <c r="J238" s="1" t="s">
        <v>69</v>
      </c>
      <c r="K238" s="1" t="s">
        <v>107</v>
      </c>
      <c r="L238" s="1" t="s">
        <v>0</v>
      </c>
      <c r="M238" s="1" t="b">
        <v>1</v>
      </c>
      <c r="N238" s="1" t="b">
        <v>0</v>
      </c>
      <c r="O238" s="19">
        <v>1700.0</v>
      </c>
      <c r="P238" s="20">
        <v>2.1</v>
      </c>
      <c r="Q238" s="20">
        <v>809.52</v>
      </c>
      <c r="R238" s="21">
        <v>0.669557268504793</v>
      </c>
      <c r="S238" s="1" t="s">
        <v>117</v>
      </c>
      <c r="T238" s="1" t="s">
        <v>0</v>
      </c>
      <c r="U238" s="1" t="s">
        <v>81</v>
      </c>
      <c r="V238" s="1" t="s">
        <v>81</v>
      </c>
      <c r="W238" s="1" t="s">
        <v>0</v>
      </c>
      <c r="X238" s="1" t="s">
        <v>0</v>
      </c>
      <c r="Y238" s="22" t="str">
        <f t="shared" si="3"/>
        <v>CO</v>
      </c>
      <c r="Z238" s="20" t="str">
        <f>_xlfn.XLOOKUP($B238,[1]F27!$C:$C,[1]F27!$BV:$BV)</f>
        <v>#ERROR!</v>
      </c>
      <c r="AA238" s="1"/>
      <c r="AB238" s="1"/>
      <c r="AC238" s="23"/>
      <c r="AD238" s="1" t="str">
        <f>_xlfn.XLOOKUP($B238,[1]F27!$C:$C,[1]F27!$Y:$Y)</f>
        <v>#ERROR!</v>
      </c>
      <c r="AE238" s="1" t="str">
        <f>_xlfn.XLOOKUP($B238,[1]F27!$C:$C,[1]F27!$Z:$Z)</f>
        <v>#ERROR!</v>
      </c>
      <c r="AF238" s="1" t="str">
        <f>_xlfn.XLOOKUP($B238,[2]PRICING!$B:$B,[2]PRICING!$B:$B,"MISSING")</f>
        <v>#ERROR!</v>
      </c>
      <c r="AG238" s="1" t="str">
        <f>COUNTIFS([2]ACTIVE_SCO!$B:$B,$B238,[2]ACTIVE_SCO!$P:$P,"Y")</f>
        <v>#ERROR!</v>
      </c>
      <c r="AH238" s="1"/>
      <c r="AI238" s="37" t="s">
        <v>157</v>
      </c>
      <c r="AJ238" s="38" t="s">
        <v>1977</v>
      </c>
      <c r="AK238" s="39" t="s">
        <v>294</v>
      </c>
      <c r="AL238" s="39" t="s">
        <v>0</v>
      </c>
      <c r="AM238" s="1" t="s">
        <v>125</v>
      </c>
      <c r="AN238" s="40" t="s">
        <v>174</v>
      </c>
      <c r="AO238" s="41" t="s">
        <v>125</v>
      </c>
      <c r="AP238" s="39"/>
      <c r="AQ238" s="40" t="s">
        <v>125</v>
      </c>
      <c r="AR238" s="39"/>
      <c r="AS238" s="1" t="s">
        <v>276</v>
      </c>
      <c r="AT238" s="1" t="s">
        <v>161</v>
      </c>
      <c r="AU238" s="1" t="s">
        <v>277</v>
      </c>
      <c r="AV238" s="1" t="s">
        <v>131</v>
      </c>
      <c r="AW238" s="1"/>
      <c r="AX238" s="1"/>
      <c r="AY238" s="1"/>
      <c r="AZ238" s="1"/>
      <c r="BA238" s="1" t="s">
        <v>294</v>
      </c>
      <c r="BB238" s="1" t="s">
        <v>0</v>
      </c>
      <c r="BC238" s="1"/>
      <c r="BD238" s="1"/>
    </row>
    <row r="239" ht="11.25" customHeight="1">
      <c r="A239" s="1" t="b">
        <v>1</v>
      </c>
      <c r="B239" s="1" t="s">
        <v>955</v>
      </c>
      <c r="C239" s="1" t="s">
        <v>956</v>
      </c>
      <c r="D239" s="1" t="s">
        <v>65</v>
      </c>
      <c r="E239" s="1"/>
      <c r="F239" s="1"/>
      <c r="G239" s="1" t="s">
        <v>66</v>
      </c>
      <c r="H239" s="1"/>
      <c r="I239" s="1" t="s">
        <v>270</v>
      </c>
      <c r="J239" s="1" t="s">
        <v>69</v>
      </c>
      <c r="K239" s="1" t="s">
        <v>70</v>
      </c>
      <c r="L239" s="1" t="s">
        <v>0</v>
      </c>
      <c r="M239" s="1" t="b">
        <v>1</v>
      </c>
      <c r="N239" s="1" t="b">
        <v>0</v>
      </c>
      <c r="O239" s="19">
        <v>1500.0</v>
      </c>
      <c r="P239" s="20">
        <v>2.1</v>
      </c>
      <c r="Q239" s="20">
        <v>714.29</v>
      </c>
      <c r="R239" s="21">
        <v>0.6270422377465735</v>
      </c>
      <c r="S239" s="1" t="s">
        <v>117</v>
      </c>
      <c r="T239" s="1" t="s">
        <v>0</v>
      </c>
      <c r="U239" s="1" t="s">
        <v>81</v>
      </c>
      <c r="V239" s="1" t="s">
        <v>81</v>
      </c>
      <c r="W239" s="1" t="s">
        <v>0</v>
      </c>
      <c r="X239" s="1" t="s">
        <v>0</v>
      </c>
      <c r="Y239" s="22" t="str">
        <f t="shared" si="3"/>
        <v>CO</v>
      </c>
      <c r="Z239" s="20" t="str">
        <f>_xlfn.XLOOKUP($B239,[1]F27!$C:$C,[1]F27!$BV:$BV)</f>
        <v>#ERROR!</v>
      </c>
      <c r="AA239" s="1"/>
      <c r="AB239" s="1"/>
      <c r="AC239" s="23"/>
      <c r="AD239" s="1" t="str">
        <f>_xlfn.XLOOKUP($B239,[1]F27!$C:$C,[1]F27!$Y:$Y)</f>
        <v>#ERROR!</v>
      </c>
      <c r="AE239" s="1" t="str">
        <f>_xlfn.XLOOKUP($B239,[1]F27!$C:$C,[1]F27!$Z:$Z)</f>
        <v>#ERROR!</v>
      </c>
      <c r="AF239" s="1" t="str">
        <f>_xlfn.XLOOKUP($B239,[2]PRICING!$B:$B,[2]PRICING!$B:$B,"MISSING")</f>
        <v>#ERROR!</v>
      </c>
      <c r="AG239" s="1" t="str">
        <f>COUNTIFS([2]ACTIVE_SCO!$B:$B,$B239,[2]ACTIVE_SCO!$P:$P,"Y")</f>
        <v>#ERROR!</v>
      </c>
      <c r="AH239" s="1"/>
      <c r="AI239" s="37" t="s">
        <v>157</v>
      </c>
      <c r="AJ239" s="38" t="s">
        <v>1978</v>
      </c>
      <c r="AK239" s="39" t="s">
        <v>294</v>
      </c>
      <c r="AL239" s="39" t="s">
        <v>0</v>
      </c>
      <c r="AM239" s="1" t="s">
        <v>125</v>
      </c>
      <c r="AN239" s="40" t="s">
        <v>174</v>
      </c>
      <c r="AO239" s="41" t="s">
        <v>125</v>
      </c>
      <c r="AP239" s="39"/>
      <c r="AQ239" s="40" t="s">
        <v>125</v>
      </c>
      <c r="AR239" s="39"/>
      <c r="AS239" s="1" t="s">
        <v>276</v>
      </c>
      <c r="AT239" s="1" t="s">
        <v>89</v>
      </c>
      <c r="AU239" s="1" t="s">
        <v>277</v>
      </c>
      <c r="AV239" s="1" t="s">
        <v>131</v>
      </c>
      <c r="AW239" s="1"/>
      <c r="AX239" s="1"/>
      <c r="AY239" s="1"/>
      <c r="AZ239" s="1"/>
      <c r="BA239" s="1" t="s">
        <v>294</v>
      </c>
      <c r="BB239" s="1" t="s">
        <v>0</v>
      </c>
      <c r="BC239" s="1"/>
      <c r="BD239" s="1"/>
    </row>
    <row r="240" ht="11.25" customHeight="1">
      <c r="A240" s="1" t="b">
        <v>1</v>
      </c>
      <c r="B240" s="1" t="s">
        <v>957</v>
      </c>
      <c r="C240" s="1" t="s">
        <v>958</v>
      </c>
      <c r="D240" s="1" t="s">
        <v>65</v>
      </c>
      <c r="E240" s="1"/>
      <c r="F240" s="1"/>
      <c r="G240" s="1" t="s">
        <v>66</v>
      </c>
      <c r="H240" s="1"/>
      <c r="I240" s="1" t="s">
        <v>270</v>
      </c>
      <c r="J240" s="1" t="s">
        <v>69</v>
      </c>
      <c r="K240" s="1" t="s">
        <v>107</v>
      </c>
      <c r="L240" s="1" t="s">
        <v>0</v>
      </c>
      <c r="M240" s="1" t="b">
        <v>1</v>
      </c>
      <c r="N240" s="1" t="b">
        <v>0</v>
      </c>
      <c r="O240" s="19">
        <v>1500.0</v>
      </c>
      <c r="P240" s="20">
        <v>2.1</v>
      </c>
      <c r="Q240" s="20">
        <v>714.29</v>
      </c>
      <c r="R240" s="21">
        <v>0.6626440241358551</v>
      </c>
      <c r="S240" s="1" t="s">
        <v>117</v>
      </c>
      <c r="T240" s="1" t="s">
        <v>0</v>
      </c>
      <c r="U240" s="1" t="s">
        <v>81</v>
      </c>
      <c r="V240" s="1" t="s">
        <v>81</v>
      </c>
      <c r="W240" s="1" t="s">
        <v>0</v>
      </c>
      <c r="X240" s="1" t="s">
        <v>0</v>
      </c>
      <c r="Y240" s="22" t="str">
        <f t="shared" si="3"/>
        <v>CO</v>
      </c>
      <c r="Z240" s="20" t="str">
        <f>_xlfn.XLOOKUP($B240,[1]F27!$C:$C,[1]F27!$BV:$BV)</f>
        <v>#ERROR!</v>
      </c>
      <c r="AA240" s="1"/>
      <c r="AB240" s="1"/>
      <c r="AC240" s="23"/>
      <c r="AD240" s="1" t="str">
        <f>_xlfn.XLOOKUP($B240,[1]F27!$C:$C,[1]F27!$Y:$Y)</f>
        <v>#ERROR!</v>
      </c>
      <c r="AE240" s="1" t="str">
        <f>_xlfn.XLOOKUP($B240,[1]F27!$C:$C,[1]F27!$Z:$Z)</f>
        <v>#ERROR!</v>
      </c>
      <c r="AF240" s="1" t="str">
        <f>_xlfn.XLOOKUP($B240,[2]PRICING!$B:$B,[2]PRICING!$B:$B,"MISSING")</f>
        <v>#ERROR!</v>
      </c>
      <c r="AG240" s="1" t="str">
        <f>COUNTIFS([2]ACTIVE_SCO!$B:$B,$B240,[2]ACTIVE_SCO!$P:$P,"Y")</f>
        <v>#ERROR!</v>
      </c>
      <c r="AH240" s="1"/>
      <c r="AI240" s="37" t="s">
        <v>157</v>
      </c>
      <c r="AJ240" s="38" t="s">
        <v>1979</v>
      </c>
      <c r="AK240" s="39" t="s">
        <v>294</v>
      </c>
      <c r="AL240" s="39" t="s">
        <v>0</v>
      </c>
      <c r="AM240" s="1" t="s">
        <v>125</v>
      </c>
      <c r="AN240" s="40" t="s">
        <v>174</v>
      </c>
      <c r="AO240" s="41" t="s">
        <v>125</v>
      </c>
      <c r="AP240" s="39"/>
      <c r="AQ240" s="40" t="s">
        <v>125</v>
      </c>
      <c r="AR240" s="39"/>
      <c r="AS240" s="1" t="s">
        <v>276</v>
      </c>
      <c r="AT240" s="1" t="s">
        <v>89</v>
      </c>
      <c r="AU240" s="1" t="s">
        <v>277</v>
      </c>
      <c r="AV240" s="1" t="s">
        <v>131</v>
      </c>
      <c r="AW240" s="1"/>
      <c r="AX240" s="1"/>
      <c r="AY240" s="1"/>
      <c r="AZ240" s="1"/>
      <c r="BA240" s="1" t="s">
        <v>294</v>
      </c>
      <c r="BB240" s="1" t="s">
        <v>0</v>
      </c>
      <c r="BC240" s="1"/>
      <c r="BD240" s="1"/>
    </row>
    <row r="241" ht="11.25" customHeight="1">
      <c r="A241" s="1" t="b">
        <v>1</v>
      </c>
      <c r="B241" s="1" t="s">
        <v>1761</v>
      </c>
      <c r="C241" s="1" t="s">
        <v>1762</v>
      </c>
      <c r="D241" s="1" t="s">
        <v>65</v>
      </c>
      <c r="E241" s="1"/>
      <c r="F241" s="1"/>
      <c r="G241" s="1" t="s">
        <v>66</v>
      </c>
      <c r="H241" s="1"/>
      <c r="I241" s="1" t="s">
        <v>270</v>
      </c>
      <c r="J241" s="1" t="s">
        <v>69</v>
      </c>
      <c r="K241" s="1" t="s">
        <v>107</v>
      </c>
      <c r="L241" s="1" t="s">
        <v>0</v>
      </c>
      <c r="M241" s="1" t="b">
        <v>0</v>
      </c>
      <c r="N241" s="1" t="b">
        <v>0</v>
      </c>
      <c r="O241" s="19">
        <v>1600.0</v>
      </c>
      <c r="P241" s="20">
        <v>2.1</v>
      </c>
      <c r="Q241" s="20">
        <v>761.9</v>
      </c>
      <c r="R241" s="21">
        <v>0.6249114056962857</v>
      </c>
      <c r="S241" s="1" t="s">
        <v>117</v>
      </c>
      <c r="T241" s="1" t="s">
        <v>0</v>
      </c>
      <c r="U241" s="1" t="s">
        <v>81</v>
      </c>
      <c r="V241" s="1" t="s">
        <v>81</v>
      </c>
      <c r="W241" s="1" t="s">
        <v>0</v>
      </c>
      <c r="X241" s="1" t="s">
        <v>0</v>
      </c>
      <c r="Y241" s="22" t="str">
        <f t="shared" si="3"/>
        <v>NEW</v>
      </c>
      <c r="Z241" s="20" t="str">
        <f>_xlfn.XLOOKUP($B241,[1]F27!$C:$C,[1]F27!$BV:$BV)</f>
        <v>#ERROR!</v>
      </c>
      <c r="AA241" s="1"/>
      <c r="AB241" s="1"/>
      <c r="AC241" s="23"/>
      <c r="AD241" s="1" t="str">
        <f>_xlfn.XLOOKUP($B241,[1]F27!$C:$C,[1]F27!$Y:$Y)</f>
        <v>#ERROR!</v>
      </c>
      <c r="AE241" s="1" t="str">
        <f>_xlfn.XLOOKUP($B241,[1]F27!$C:$C,[1]F27!$Z:$Z)</f>
        <v>#ERROR!</v>
      </c>
      <c r="AF241" s="1" t="str">
        <f>_xlfn.XLOOKUP($B241,[2]PRICING!$B:$B,[2]PRICING!$B:$B,"MISSING")</f>
        <v>#ERROR!</v>
      </c>
      <c r="AG241" s="1" t="str">
        <f>COUNTIFS([2]ACTIVE_SCO!$B:$B,$B241,[2]ACTIVE_SCO!$P:$P,"Y")</f>
        <v>#ERROR!</v>
      </c>
      <c r="AH241" s="1"/>
      <c r="AI241" s="37" t="s">
        <v>157</v>
      </c>
      <c r="AJ241" s="38" t="s">
        <v>1983</v>
      </c>
      <c r="AK241" s="39" t="s">
        <v>551</v>
      </c>
      <c r="AL241" s="39" t="s">
        <v>0</v>
      </c>
      <c r="AM241" s="1" t="s">
        <v>125</v>
      </c>
      <c r="AN241" s="40" t="s">
        <v>174</v>
      </c>
      <c r="AO241" s="41" t="s">
        <v>125</v>
      </c>
      <c r="AP241" s="39"/>
      <c r="AQ241" s="40" t="s">
        <v>125</v>
      </c>
      <c r="AR241" s="39"/>
      <c r="AS241" s="1" t="s">
        <v>276</v>
      </c>
      <c r="AT241" s="1" t="s">
        <v>457</v>
      </c>
      <c r="AU241" s="1" t="s">
        <v>277</v>
      </c>
      <c r="AV241" s="1" t="s">
        <v>131</v>
      </c>
      <c r="AW241" s="1"/>
      <c r="AX241" s="1"/>
      <c r="AY241" s="1"/>
      <c r="AZ241" s="1"/>
      <c r="BA241" s="1" t="s">
        <v>551</v>
      </c>
      <c r="BB241" s="1" t="s">
        <v>0</v>
      </c>
      <c r="BC241" s="1"/>
      <c r="BD241" s="1"/>
    </row>
    <row r="242" ht="11.25" customHeight="1">
      <c r="A242" s="1" t="b">
        <v>1</v>
      </c>
      <c r="B242" s="1" t="s">
        <v>1763</v>
      </c>
      <c r="C242" s="1" t="s">
        <v>1764</v>
      </c>
      <c r="D242" s="1" t="s">
        <v>65</v>
      </c>
      <c r="E242" s="1"/>
      <c r="F242" s="1"/>
      <c r="G242" s="1" t="s">
        <v>66</v>
      </c>
      <c r="H242" s="1"/>
      <c r="I242" s="1" t="s">
        <v>270</v>
      </c>
      <c r="J242" s="1" t="s">
        <v>69</v>
      </c>
      <c r="K242" s="1" t="s">
        <v>70</v>
      </c>
      <c r="L242" s="1" t="s">
        <v>0</v>
      </c>
      <c r="M242" s="1" t="b">
        <v>0</v>
      </c>
      <c r="N242" s="1" t="b">
        <v>0</v>
      </c>
      <c r="O242" s="19">
        <v>1400.0</v>
      </c>
      <c r="P242" s="20">
        <v>2.1</v>
      </c>
      <c r="Q242" s="20">
        <v>666.67</v>
      </c>
      <c r="R242" s="21">
        <v>0.6060119699401503</v>
      </c>
      <c r="S242" s="1" t="s">
        <v>117</v>
      </c>
      <c r="T242" s="1" t="s">
        <v>0</v>
      </c>
      <c r="U242" s="1" t="s">
        <v>81</v>
      </c>
      <c r="V242" s="1" t="s">
        <v>81</v>
      </c>
      <c r="W242" s="1" t="s">
        <v>0</v>
      </c>
      <c r="X242" s="1" t="s">
        <v>0</v>
      </c>
      <c r="Y242" s="22" t="str">
        <f t="shared" si="3"/>
        <v>NEW</v>
      </c>
      <c r="Z242" s="20" t="str">
        <f>_xlfn.XLOOKUP($B242,[1]F27!$C:$C,[1]F27!$BV:$BV)</f>
        <v>#ERROR!</v>
      </c>
      <c r="AA242" s="1"/>
      <c r="AB242" s="1"/>
      <c r="AC242" s="23"/>
      <c r="AD242" s="1" t="str">
        <f>_xlfn.XLOOKUP($B242,[1]F27!$C:$C,[1]F27!$Y:$Y)</f>
        <v>#ERROR!</v>
      </c>
      <c r="AE242" s="1" t="str">
        <f>_xlfn.XLOOKUP($B242,[1]F27!$C:$C,[1]F27!$Z:$Z)</f>
        <v>#ERROR!</v>
      </c>
      <c r="AF242" s="1" t="str">
        <f>_xlfn.XLOOKUP($B242,[2]PRICING!$B:$B,[2]PRICING!$B:$B,"MISSING")</f>
        <v>#ERROR!</v>
      </c>
      <c r="AG242" s="1" t="str">
        <f>COUNTIFS([2]ACTIVE_SCO!$B:$B,$B242,[2]ACTIVE_SCO!$P:$P,"Y")</f>
        <v>#ERROR!</v>
      </c>
      <c r="AH242" s="1"/>
      <c r="AI242" s="37" t="s">
        <v>157</v>
      </c>
      <c r="AJ242" s="38" t="s">
        <v>1985</v>
      </c>
      <c r="AK242" s="39" t="s">
        <v>551</v>
      </c>
      <c r="AL242" s="39" t="s">
        <v>0</v>
      </c>
      <c r="AM242" s="1" t="s">
        <v>125</v>
      </c>
      <c r="AN242" s="40" t="s">
        <v>174</v>
      </c>
      <c r="AO242" s="41" t="s">
        <v>125</v>
      </c>
      <c r="AP242" s="39"/>
      <c r="AQ242" s="40" t="s">
        <v>125</v>
      </c>
      <c r="AR242" s="39"/>
      <c r="AS242" s="1" t="s">
        <v>276</v>
      </c>
      <c r="AT242" s="1" t="s">
        <v>751</v>
      </c>
      <c r="AU242" s="1" t="s">
        <v>277</v>
      </c>
      <c r="AV242" s="1" t="s">
        <v>131</v>
      </c>
      <c r="AW242" s="1"/>
      <c r="AX242" s="1"/>
      <c r="AY242" s="1"/>
      <c r="AZ242" s="1"/>
      <c r="BA242" s="1" t="s">
        <v>551</v>
      </c>
      <c r="BB242" s="1" t="s">
        <v>0</v>
      </c>
      <c r="BC242" s="1"/>
      <c r="BD242" s="1"/>
    </row>
    <row r="243" ht="11.25" customHeight="1">
      <c r="A243" s="1" t="b">
        <v>1</v>
      </c>
      <c r="B243" s="1" t="s">
        <v>925</v>
      </c>
      <c r="C243" s="1" t="s">
        <v>926</v>
      </c>
      <c r="D243" s="1" t="s">
        <v>65</v>
      </c>
      <c r="E243" s="1"/>
      <c r="F243" s="1"/>
      <c r="G243" s="1" t="s">
        <v>500</v>
      </c>
      <c r="H243" s="1"/>
      <c r="I243" s="1" t="s">
        <v>68</v>
      </c>
      <c r="J243" s="1" t="s">
        <v>69</v>
      </c>
      <c r="K243" s="1" t="s">
        <v>70</v>
      </c>
      <c r="L243" s="1" t="s">
        <v>0</v>
      </c>
      <c r="M243" s="1" t="b">
        <v>1</v>
      </c>
      <c r="N243" s="1" t="b">
        <v>0</v>
      </c>
      <c r="O243" s="19">
        <v>7500.0</v>
      </c>
      <c r="P243" s="20">
        <v>2.1</v>
      </c>
      <c r="Q243" s="20">
        <v>3571.43</v>
      </c>
      <c r="R243" s="21">
        <v>0.4848086060765575</v>
      </c>
      <c r="S243" s="1" t="s">
        <v>242</v>
      </c>
      <c r="T243" s="1" t="s">
        <v>0</v>
      </c>
      <c r="U243" s="1" t="s">
        <v>80</v>
      </c>
      <c r="V243" s="1" t="s">
        <v>81</v>
      </c>
      <c r="W243" s="1" t="s">
        <v>0</v>
      </c>
      <c r="X243" s="1" t="s">
        <v>0</v>
      </c>
      <c r="Y243" s="22" t="str">
        <f t="shared" si="3"/>
        <v>CO</v>
      </c>
      <c r="Z243" s="20" t="str">
        <f>_xlfn.XLOOKUP($B243,[1]F27!$C:$C,[1]F27!$BV:$BV)</f>
        <v>#ERROR!</v>
      </c>
      <c r="AA243" s="1"/>
      <c r="AB243" s="1"/>
      <c r="AC243" s="23"/>
      <c r="AD243" s="1" t="str">
        <f>_xlfn.XLOOKUP($B243,[1]F27!$C:$C,[1]F27!$Y:$Y)</f>
        <v>#ERROR!</v>
      </c>
      <c r="AE243" s="1" t="str">
        <f>_xlfn.XLOOKUP($B243,[1]F27!$C:$C,[1]F27!$Z:$Z)</f>
        <v>#ERROR!</v>
      </c>
      <c r="AF243" s="1" t="str">
        <f>_xlfn.XLOOKUP($B243,[2]PRICING!$B:$B,[2]PRICING!$B:$B,"MISSING")</f>
        <v>#ERROR!</v>
      </c>
      <c r="AG243" s="1" t="str">
        <f>COUNTIFS([2]ACTIVE_SCO!$B:$B,$B243,[2]ACTIVE_SCO!$P:$P,"Y")</f>
        <v>#ERROR!</v>
      </c>
      <c r="AH243" s="1"/>
      <c r="AI243" s="37" t="s">
        <v>100</v>
      </c>
      <c r="AJ243" s="55" t="s">
        <v>1986</v>
      </c>
      <c r="AK243" s="39" t="s">
        <v>294</v>
      </c>
      <c r="AL243" s="39" t="s">
        <v>0</v>
      </c>
      <c r="AM243" s="1" t="s">
        <v>86</v>
      </c>
      <c r="AN243" s="40" t="s">
        <v>826</v>
      </c>
      <c r="AO243" s="41" t="s">
        <v>86</v>
      </c>
      <c r="AP243" s="41" t="s">
        <v>826</v>
      </c>
      <c r="AQ243" s="40" t="s">
        <v>0</v>
      </c>
      <c r="AR243" s="39"/>
      <c r="AS243" s="1" t="s">
        <v>68</v>
      </c>
      <c r="AT243" s="1" t="s">
        <v>89</v>
      </c>
      <c r="AU243" s="1" t="s">
        <v>132</v>
      </c>
      <c r="AV243" s="1" t="s">
        <v>91</v>
      </c>
      <c r="AW243" s="1"/>
      <c r="AX243" s="1"/>
      <c r="AY243" s="1"/>
      <c r="AZ243" s="1"/>
      <c r="BA243" s="1" t="s">
        <v>294</v>
      </c>
      <c r="BB243" s="1" t="s">
        <v>0</v>
      </c>
      <c r="BC243" s="1"/>
      <c r="BD243" s="1"/>
    </row>
    <row r="244" ht="11.25" customHeight="1">
      <c r="A244" s="1" t="b">
        <v>1</v>
      </c>
      <c r="B244" s="1" t="s">
        <v>929</v>
      </c>
      <c r="C244" s="1" t="s">
        <v>930</v>
      </c>
      <c r="D244" s="1" t="s">
        <v>65</v>
      </c>
      <c r="E244" s="1"/>
      <c r="F244" s="1"/>
      <c r="G244" s="1" t="s">
        <v>500</v>
      </c>
      <c r="H244" s="1"/>
      <c r="I244" s="1" t="s">
        <v>68</v>
      </c>
      <c r="J244" s="1" t="s">
        <v>69</v>
      </c>
      <c r="K244" s="1" t="s">
        <v>107</v>
      </c>
      <c r="L244" s="1" t="s">
        <v>0</v>
      </c>
      <c r="M244" s="1" t="b">
        <v>1</v>
      </c>
      <c r="N244" s="1" t="b">
        <v>0</v>
      </c>
      <c r="O244" s="19">
        <v>7500.0</v>
      </c>
      <c r="P244" s="20">
        <v>2.1</v>
      </c>
      <c r="Q244" s="20">
        <v>3571.43</v>
      </c>
      <c r="R244" s="21">
        <v>0.5156449937420025</v>
      </c>
      <c r="S244" s="1" t="s">
        <v>242</v>
      </c>
      <c r="T244" s="1" t="s">
        <v>0</v>
      </c>
      <c r="U244" s="1" t="s">
        <v>80</v>
      </c>
      <c r="V244" s="1" t="s">
        <v>81</v>
      </c>
      <c r="W244" s="1" t="s">
        <v>0</v>
      </c>
      <c r="X244" s="1" t="s">
        <v>0</v>
      </c>
      <c r="Y244" s="22" t="str">
        <f t="shared" si="3"/>
        <v>CO</v>
      </c>
      <c r="Z244" s="20" t="str">
        <f>_xlfn.XLOOKUP($B244,[1]F27!$C:$C,[1]F27!$BV:$BV)</f>
        <v>#ERROR!</v>
      </c>
      <c r="AA244" s="1"/>
      <c r="AB244" s="1"/>
      <c r="AC244" s="23"/>
      <c r="AD244" s="1" t="str">
        <f>_xlfn.XLOOKUP($B244,[1]F27!$C:$C,[1]F27!$Y:$Y)</f>
        <v>#ERROR!</v>
      </c>
      <c r="AE244" s="1" t="str">
        <f>_xlfn.XLOOKUP($B244,[1]F27!$C:$C,[1]F27!$Z:$Z)</f>
        <v>#ERROR!</v>
      </c>
      <c r="AF244" s="1" t="str">
        <f>_xlfn.XLOOKUP($B244,[2]PRICING!$B:$B,[2]PRICING!$B:$B,"MISSING")</f>
        <v>#ERROR!</v>
      </c>
      <c r="AG244" s="1" t="str">
        <f>COUNTIFS([2]ACTIVE_SCO!$B:$B,$B244,[2]ACTIVE_SCO!$P:$P,"Y")</f>
        <v>#ERROR!</v>
      </c>
      <c r="AH244" s="1"/>
      <c r="AI244" s="37" t="s">
        <v>100</v>
      </c>
      <c r="AJ244" s="55" t="s">
        <v>1987</v>
      </c>
      <c r="AK244" s="39" t="s">
        <v>294</v>
      </c>
      <c r="AL244" s="39" t="s">
        <v>0</v>
      </c>
      <c r="AM244" s="1" t="s">
        <v>86</v>
      </c>
      <c r="AN244" s="40" t="s">
        <v>826</v>
      </c>
      <c r="AO244" s="41" t="s">
        <v>86</v>
      </c>
      <c r="AP244" s="41" t="s">
        <v>826</v>
      </c>
      <c r="AQ244" s="40" t="s">
        <v>0</v>
      </c>
      <c r="AR244" s="39"/>
      <c r="AS244" s="1" t="s">
        <v>68</v>
      </c>
      <c r="AT244" s="1" t="s">
        <v>89</v>
      </c>
      <c r="AU244" s="1" t="s">
        <v>132</v>
      </c>
      <c r="AV244" s="1" t="s">
        <v>91</v>
      </c>
      <c r="AW244" s="1"/>
      <c r="AX244" s="1"/>
      <c r="AY244" s="1"/>
      <c r="AZ244" s="1"/>
      <c r="BA244" s="1" t="s">
        <v>294</v>
      </c>
      <c r="BB244" s="1" t="s">
        <v>0</v>
      </c>
      <c r="BC244" s="1"/>
      <c r="BD244" s="1"/>
    </row>
    <row r="245" ht="11.25" customHeight="1">
      <c r="A245" s="1" t="b">
        <v>1</v>
      </c>
      <c r="B245" s="1" t="s">
        <v>1020</v>
      </c>
      <c r="C245" s="1" t="s">
        <v>1021</v>
      </c>
      <c r="D245" s="1" t="s">
        <v>1002</v>
      </c>
      <c r="E245" s="1"/>
      <c r="F245" s="1"/>
      <c r="G245" s="1" t="s">
        <v>66</v>
      </c>
      <c r="H245" s="1"/>
      <c r="I245" s="1" t="s">
        <v>1003</v>
      </c>
      <c r="J245" s="34" t="s">
        <v>141</v>
      </c>
      <c r="K245" s="1" t="s">
        <v>70</v>
      </c>
      <c r="L245" s="1" t="s">
        <v>0</v>
      </c>
      <c r="M245" s="1" t="b">
        <v>1</v>
      </c>
      <c r="N245" s="1" t="b">
        <v>0</v>
      </c>
      <c r="O245" s="19">
        <v>2000.0</v>
      </c>
      <c r="P245" s="20">
        <v>2.08</v>
      </c>
      <c r="Q245" s="20">
        <v>961.54</v>
      </c>
      <c r="R245" s="21">
        <v>0.5923934521704766</v>
      </c>
      <c r="S245" s="1" t="s">
        <v>78</v>
      </c>
      <c r="T245" s="1" t="s">
        <v>0</v>
      </c>
      <c r="U245" s="1" t="s">
        <v>80</v>
      </c>
      <c r="V245" s="1" t="s">
        <v>81</v>
      </c>
      <c r="W245" s="1" t="s">
        <v>0</v>
      </c>
      <c r="X245" s="1" t="s">
        <v>146</v>
      </c>
      <c r="Y245" s="22" t="str">
        <f t="shared" si="3"/>
        <v>CO</v>
      </c>
      <c r="Z245" s="20" t="str">
        <f>_xlfn.XLOOKUP($B245,[1]F27!$C:$C,[1]F27!$BV:$BV)</f>
        <v>#ERROR!</v>
      </c>
      <c r="AA245" s="1"/>
      <c r="AB245" s="1"/>
      <c r="AC245" s="23"/>
      <c r="AD245" s="1" t="str">
        <f>_xlfn.XLOOKUP($B245,[1]F27!$C:$C,[1]F27!$Y:$Y)</f>
        <v>#ERROR!</v>
      </c>
      <c r="AE245" s="1" t="str">
        <f>_xlfn.XLOOKUP($B245,[1]F27!$C:$C,[1]F27!$Z:$Z)</f>
        <v>#ERROR!</v>
      </c>
      <c r="AF245" s="1" t="str">
        <f>_xlfn.XLOOKUP($B245,[2]PRICING!$B:$B,[2]PRICING!$B:$B,"MISSING")</f>
        <v>#ERROR!</v>
      </c>
      <c r="AG245" s="1" t="str">
        <f>COUNTIFS([2]ACTIVE_SCO!$B:$B,$B245,[2]ACTIVE_SCO!$P:$P,"Y")</f>
        <v>#ERROR!</v>
      </c>
      <c r="AH245" s="1"/>
      <c r="AI245" s="37" t="s">
        <v>157</v>
      </c>
      <c r="AJ245" s="37"/>
      <c r="AK245" s="49" t="s">
        <v>365</v>
      </c>
      <c r="AL245" s="39" t="s">
        <v>551</v>
      </c>
      <c r="AM245" s="1" t="s">
        <v>86</v>
      </c>
      <c r="AN245" s="40" t="s">
        <v>87</v>
      </c>
      <c r="AO245" s="41" t="s">
        <v>86</v>
      </c>
      <c r="AP245" s="41" t="s">
        <v>169</v>
      </c>
      <c r="AQ245" s="40" t="s">
        <v>0</v>
      </c>
      <c r="AR245" s="39"/>
      <c r="AS245" s="1" t="s">
        <v>1002</v>
      </c>
      <c r="AT245" s="1" t="s">
        <v>1005</v>
      </c>
      <c r="AU245" s="1" t="s">
        <v>1016</v>
      </c>
      <c r="AV245" s="1" t="s">
        <v>91</v>
      </c>
      <c r="AW245" s="1"/>
      <c r="AX245" s="1"/>
      <c r="AY245" s="1"/>
      <c r="AZ245" s="1"/>
      <c r="BA245" s="50" t="s">
        <v>365</v>
      </c>
      <c r="BB245" s="1" t="s">
        <v>551</v>
      </c>
      <c r="BC245" s="1"/>
      <c r="BD245" s="1"/>
    </row>
    <row r="246" ht="11.25" customHeight="1">
      <c r="A246" s="1" t="b">
        <v>1</v>
      </c>
      <c r="B246" s="1" t="s">
        <v>1023</v>
      </c>
      <c r="C246" s="1" t="s">
        <v>1024</v>
      </c>
      <c r="D246" s="1" t="s">
        <v>1002</v>
      </c>
      <c r="E246" s="1"/>
      <c r="F246" s="1"/>
      <c r="G246" s="1" t="s">
        <v>66</v>
      </c>
      <c r="H246" s="1"/>
      <c r="I246" s="1" t="s">
        <v>1003</v>
      </c>
      <c r="J246" s="34" t="s">
        <v>141</v>
      </c>
      <c r="K246" s="1" t="s">
        <v>107</v>
      </c>
      <c r="L246" s="1" t="s">
        <v>0</v>
      </c>
      <c r="M246" s="1" t="b">
        <v>1</v>
      </c>
      <c r="N246" s="1" t="b">
        <v>0</v>
      </c>
      <c r="O246" s="19">
        <v>2000.0</v>
      </c>
      <c r="P246" s="20">
        <v>2.08</v>
      </c>
      <c r="Q246" s="20">
        <v>961.54</v>
      </c>
      <c r="R246" s="21">
        <v>0.5935374503400794</v>
      </c>
      <c r="S246" s="1" t="s">
        <v>78</v>
      </c>
      <c r="T246" s="1" t="s">
        <v>0</v>
      </c>
      <c r="U246" s="1" t="s">
        <v>80</v>
      </c>
      <c r="V246" s="1" t="s">
        <v>81</v>
      </c>
      <c r="W246" s="1" t="s">
        <v>0</v>
      </c>
      <c r="X246" s="1" t="s">
        <v>146</v>
      </c>
      <c r="Y246" s="22" t="str">
        <f t="shared" si="3"/>
        <v>CO</v>
      </c>
      <c r="Z246" s="20" t="str">
        <f>_xlfn.XLOOKUP($B246,[1]F27!$C:$C,[1]F27!$BV:$BV)</f>
        <v>#ERROR!</v>
      </c>
      <c r="AA246" s="1"/>
      <c r="AB246" s="1"/>
      <c r="AC246" s="23"/>
      <c r="AD246" s="1" t="str">
        <f>_xlfn.XLOOKUP($B246,[1]F27!$C:$C,[1]F27!$Y:$Y)</f>
        <v>#ERROR!</v>
      </c>
      <c r="AE246" s="1" t="str">
        <f>_xlfn.XLOOKUP($B246,[1]F27!$C:$C,[1]F27!$Z:$Z)</f>
        <v>#ERROR!</v>
      </c>
      <c r="AF246" s="1" t="str">
        <f>_xlfn.XLOOKUP($B246,[2]PRICING!$B:$B,[2]PRICING!$B:$B,"MISSING")</f>
        <v>#ERROR!</v>
      </c>
      <c r="AG246" s="1" t="str">
        <f>COUNTIFS([2]ACTIVE_SCO!$B:$B,$B246,[2]ACTIVE_SCO!$P:$P,"Y")</f>
        <v>#ERROR!</v>
      </c>
      <c r="AH246" s="1"/>
      <c r="AI246" s="37" t="s">
        <v>157</v>
      </c>
      <c r="AJ246" s="37"/>
      <c r="AK246" s="39" t="s">
        <v>551</v>
      </c>
      <c r="AL246" s="39" t="s">
        <v>0</v>
      </c>
      <c r="AM246" s="1" t="s">
        <v>86</v>
      </c>
      <c r="AN246" s="40" t="s">
        <v>87</v>
      </c>
      <c r="AO246" s="41" t="s">
        <v>86</v>
      </c>
      <c r="AP246" s="41" t="s">
        <v>169</v>
      </c>
      <c r="AQ246" s="40" t="s">
        <v>0</v>
      </c>
      <c r="AR246" s="39"/>
      <c r="AS246" s="1" t="s">
        <v>1002</v>
      </c>
      <c r="AT246" s="1" t="s">
        <v>1005</v>
      </c>
      <c r="AU246" s="1" t="s">
        <v>1016</v>
      </c>
      <c r="AV246" s="1" t="s">
        <v>91</v>
      </c>
      <c r="AW246" s="1"/>
      <c r="AX246" s="1"/>
      <c r="AY246" s="1"/>
      <c r="AZ246" s="1"/>
      <c r="BA246" s="1" t="s">
        <v>551</v>
      </c>
      <c r="BB246" s="1" t="s">
        <v>0</v>
      </c>
      <c r="BC246" s="1"/>
      <c r="BD246" s="1"/>
    </row>
    <row r="247" ht="11.25" customHeight="1">
      <c r="A247" s="1" t="b">
        <v>1</v>
      </c>
      <c r="B247" s="1" t="s">
        <v>1058</v>
      </c>
      <c r="C247" s="1" t="s">
        <v>1059</v>
      </c>
      <c r="D247" s="1" t="s">
        <v>1002</v>
      </c>
      <c r="E247" s="1"/>
      <c r="F247" s="1"/>
      <c r="G247" s="1" t="s">
        <v>66</v>
      </c>
      <c r="H247" s="1"/>
      <c r="I247" s="1" t="s">
        <v>1003</v>
      </c>
      <c r="J247" s="34" t="s">
        <v>141</v>
      </c>
      <c r="K247" s="1" t="s">
        <v>70</v>
      </c>
      <c r="L247" s="1" t="s">
        <v>0</v>
      </c>
      <c r="M247" s="1" t="b">
        <v>1</v>
      </c>
      <c r="N247" s="1" t="b">
        <v>0</v>
      </c>
      <c r="O247" s="19">
        <v>2100.0</v>
      </c>
      <c r="P247" s="20">
        <v>2.08</v>
      </c>
      <c r="Q247" s="20">
        <v>1009.62</v>
      </c>
      <c r="R247" s="21">
        <v>0.5902517778966343</v>
      </c>
      <c r="S247" s="1" t="s">
        <v>117</v>
      </c>
      <c r="T247" s="1" t="s">
        <v>0</v>
      </c>
      <c r="U247" s="1" t="s">
        <v>80</v>
      </c>
      <c r="V247" s="1" t="s">
        <v>81</v>
      </c>
      <c r="W247" s="1" t="s">
        <v>0</v>
      </c>
      <c r="X247" s="1" t="s">
        <v>1062</v>
      </c>
      <c r="Y247" s="22" t="str">
        <f t="shared" si="3"/>
        <v>CO</v>
      </c>
      <c r="Z247" s="20" t="str">
        <f>_xlfn.XLOOKUP($B247,[1]F27!$C:$C,[1]F27!$BV:$BV)</f>
        <v>#ERROR!</v>
      </c>
      <c r="AA247" s="1"/>
      <c r="AB247" s="1"/>
      <c r="AC247" s="23"/>
      <c r="AD247" s="1" t="str">
        <f>_xlfn.XLOOKUP($B247,[1]F27!$C:$C,[1]F27!$Y:$Y)</f>
        <v>#ERROR!</v>
      </c>
      <c r="AE247" s="1" t="str">
        <f>_xlfn.XLOOKUP($B247,[1]F27!$C:$C,[1]F27!$Z:$Z)</f>
        <v>#ERROR!</v>
      </c>
      <c r="AF247" s="1" t="str">
        <f>_xlfn.XLOOKUP($B247,[2]PRICING!$B:$B,[2]PRICING!$B:$B,"MISSING")</f>
        <v>#ERROR!</v>
      </c>
      <c r="AG247" s="1" t="str">
        <f>COUNTIFS([2]ACTIVE_SCO!$B:$B,$B247,[2]ACTIVE_SCO!$P:$P,"Y")</f>
        <v>#ERROR!</v>
      </c>
      <c r="AH247" s="1"/>
      <c r="AI247" s="37" t="s">
        <v>157</v>
      </c>
      <c r="AJ247" s="37"/>
      <c r="AK247" s="39" t="s">
        <v>204</v>
      </c>
      <c r="AL247" s="39" t="s">
        <v>0</v>
      </c>
      <c r="AM247" s="1" t="s">
        <v>86</v>
      </c>
      <c r="AN247" s="40" t="s">
        <v>87</v>
      </c>
      <c r="AO247" s="41" t="s">
        <v>86</v>
      </c>
      <c r="AP247" s="41" t="s">
        <v>169</v>
      </c>
      <c r="AQ247" s="40" t="s">
        <v>0</v>
      </c>
      <c r="AR247" s="39"/>
      <c r="AS247" s="1" t="s">
        <v>1002</v>
      </c>
      <c r="AT247" s="1" t="s">
        <v>1005</v>
      </c>
      <c r="AU247" s="1" t="s">
        <v>1016</v>
      </c>
      <c r="AV247" s="1" t="s">
        <v>91</v>
      </c>
      <c r="AW247" s="1"/>
      <c r="AX247" s="1"/>
      <c r="AY247" s="1"/>
      <c r="AZ247" s="1"/>
      <c r="BA247" s="1" t="s">
        <v>204</v>
      </c>
      <c r="BB247" s="1" t="s">
        <v>0</v>
      </c>
      <c r="BC247" s="1"/>
      <c r="BD247" s="1"/>
    </row>
    <row r="248" ht="11.25" customHeight="1">
      <c r="A248" s="1" t="b">
        <v>1</v>
      </c>
      <c r="B248" s="1" t="s">
        <v>1781</v>
      </c>
      <c r="C248" s="1" t="s">
        <v>1782</v>
      </c>
      <c r="D248" s="1" t="s">
        <v>65</v>
      </c>
      <c r="E248" s="1"/>
      <c r="F248" s="1"/>
      <c r="G248" s="1" t="s">
        <v>247</v>
      </c>
      <c r="H248" s="1"/>
      <c r="I248" s="1" t="s">
        <v>270</v>
      </c>
      <c r="J248" s="1" t="s">
        <v>69</v>
      </c>
      <c r="K248" s="1" t="s">
        <v>70</v>
      </c>
      <c r="L248" s="1" t="s">
        <v>0</v>
      </c>
      <c r="M248" s="1" t="b">
        <v>1</v>
      </c>
      <c r="N248" s="1" t="b">
        <v>0</v>
      </c>
      <c r="O248" s="19">
        <v>1500.0</v>
      </c>
      <c r="P248" s="20">
        <v>2.1</v>
      </c>
      <c r="Q248" s="20">
        <v>714.29</v>
      </c>
      <c r="R248" s="21">
        <v>0.626888238670568</v>
      </c>
      <c r="S248" s="1" t="s">
        <v>117</v>
      </c>
      <c r="T248" s="1" t="s">
        <v>0</v>
      </c>
      <c r="U248" s="1" t="s">
        <v>81</v>
      </c>
      <c r="V248" s="1" t="s">
        <v>81</v>
      </c>
      <c r="W248" s="1" t="s">
        <v>0</v>
      </c>
      <c r="X248" s="1" t="s">
        <v>0</v>
      </c>
      <c r="Y248" s="22" t="str">
        <f t="shared" si="3"/>
        <v>CO</v>
      </c>
      <c r="Z248" s="20" t="str">
        <f>_xlfn.XLOOKUP($B248,[1]F27!$C:$C,[1]F27!$BV:$BV)</f>
        <v>#ERROR!</v>
      </c>
      <c r="AA248" s="1"/>
      <c r="AB248" s="1"/>
      <c r="AC248" s="23"/>
      <c r="AD248" s="1" t="str">
        <f>_xlfn.XLOOKUP($B248,[1]F27!$C:$C,[1]F27!$Y:$Y)</f>
        <v>#ERROR!</v>
      </c>
      <c r="AE248" s="1" t="str">
        <f>_xlfn.XLOOKUP($B248,[1]F27!$C:$C,[1]F27!$Z:$Z)</f>
        <v>#ERROR!</v>
      </c>
      <c r="AF248" s="1" t="str">
        <f>_xlfn.XLOOKUP($B248,[2]PRICING!$B:$B,[2]PRICING!$B:$B,"MISSING")</f>
        <v>#ERROR!</v>
      </c>
      <c r="AG248" s="1" t="str">
        <f>COUNTIFS([2]ACTIVE_SCO!$B:$B,$B248,[2]ACTIVE_SCO!$P:$P,"Y")</f>
        <v>#ERROR!</v>
      </c>
      <c r="AH248" s="1"/>
      <c r="AI248" s="37" t="s">
        <v>157</v>
      </c>
      <c r="AJ248" s="38" t="s">
        <v>1991</v>
      </c>
      <c r="AK248" s="39" t="s">
        <v>204</v>
      </c>
      <c r="AL248" s="39" t="s">
        <v>0</v>
      </c>
      <c r="AM248" s="1" t="s">
        <v>125</v>
      </c>
      <c r="AN248" s="40" t="s">
        <v>174</v>
      </c>
      <c r="AO248" s="41" t="s">
        <v>776</v>
      </c>
      <c r="AP248" s="41" t="s">
        <v>777</v>
      </c>
      <c r="AQ248" s="40" t="s">
        <v>0</v>
      </c>
      <c r="AR248" s="54"/>
      <c r="AS248" s="1" t="s">
        <v>276</v>
      </c>
      <c r="AT248" s="1" t="s">
        <v>751</v>
      </c>
      <c r="AU248" s="1" t="s">
        <v>501</v>
      </c>
      <c r="AV248" s="1" t="s">
        <v>131</v>
      </c>
      <c r="AW248" s="1"/>
      <c r="AX248" s="1"/>
      <c r="AY248" s="1"/>
      <c r="AZ248" s="1"/>
      <c r="BA248" s="1" t="s">
        <v>204</v>
      </c>
      <c r="BB248" s="1" t="s">
        <v>0</v>
      </c>
      <c r="BC248" s="1"/>
      <c r="BD248" s="1"/>
    </row>
    <row r="249" ht="11.25" customHeight="1">
      <c r="A249" s="1" t="b">
        <v>1</v>
      </c>
      <c r="B249" s="1" t="s">
        <v>1783</v>
      </c>
      <c r="C249" s="1" t="s">
        <v>1785</v>
      </c>
      <c r="D249" s="1" t="s">
        <v>65</v>
      </c>
      <c r="E249" s="1"/>
      <c r="F249" s="1"/>
      <c r="G249" s="1" t="s">
        <v>247</v>
      </c>
      <c r="H249" s="1"/>
      <c r="I249" s="1" t="s">
        <v>270</v>
      </c>
      <c r="J249" s="1" t="s">
        <v>69</v>
      </c>
      <c r="K249" s="1" t="s">
        <v>107</v>
      </c>
      <c r="L249" s="1" t="s">
        <v>0</v>
      </c>
      <c r="M249" s="1" t="b">
        <v>1</v>
      </c>
      <c r="N249" s="1" t="b">
        <v>0</v>
      </c>
      <c r="O249" s="19">
        <v>1500.0</v>
      </c>
      <c r="P249" s="20">
        <v>2.1</v>
      </c>
      <c r="Q249" s="20">
        <v>714.29</v>
      </c>
      <c r="R249" s="21">
        <v>0.6712819723081662</v>
      </c>
      <c r="S249" s="1" t="s">
        <v>117</v>
      </c>
      <c r="T249" s="1" t="s">
        <v>0</v>
      </c>
      <c r="U249" s="1" t="s">
        <v>81</v>
      </c>
      <c r="V249" s="1" t="s">
        <v>81</v>
      </c>
      <c r="W249" s="1" t="s">
        <v>0</v>
      </c>
      <c r="X249" s="1" t="s">
        <v>0</v>
      </c>
      <c r="Y249" s="22" t="str">
        <f t="shared" si="3"/>
        <v>CO</v>
      </c>
      <c r="Z249" s="20" t="str">
        <f>_xlfn.XLOOKUP($B249,[1]F27!$C:$C,[1]F27!$BV:$BV)</f>
        <v>#ERROR!</v>
      </c>
      <c r="AA249" s="1"/>
      <c r="AB249" s="1"/>
      <c r="AC249" s="23"/>
      <c r="AD249" s="1" t="str">
        <f>_xlfn.XLOOKUP($B249,[1]F27!$C:$C,[1]F27!$Y:$Y)</f>
        <v>#ERROR!</v>
      </c>
      <c r="AE249" s="1" t="str">
        <f>_xlfn.XLOOKUP($B249,[1]F27!$C:$C,[1]F27!$Z:$Z)</f>
        <v>#ERROR!</v>
      </c>
      <c r="AF249" s="1" t="str">
        <f>_xlfn.XLOOKUP($B249,[2]PRICING!$B:$B,[2]PRICING!$B:$B,"MISSING")</f>
        <v>#ERROR!</v>
      </c>
      <c r="AG249" s="1" t="str">
        <f>COUNTIFS([2]ACTIVE_SCO!$B:$B,$B249,[2]ACTIVE_SCO!$P:$P,"Y")</f>
        <v>#ERROR!</v>
      </c>
      <c r="AH249" s="1"/>
      <c r="AI249" s="37" t="s">
        <v>157</v>
      </c>
      <c r="AJ249" s="38" t="s">
        <v>1992</v>
      </c>
      <c r="AK249" s="39" t="s">
        <v>204</v>
      </c>
      <c r="AL249" s="39" t="s">
        <v>0</v>
      </c>
      <c r="AM249" s="1" t="s">
        <v>125</v>
      </c>
      <c r="AN249" s="40" t="s">
        <v>174</v>
      </c>
      <c r="AO249" s="41" t="s">
        <v>776</v>
      </c>
      <c r="AP249" s="41" t="s">
        <v>777</v>
      </c>
      <c r="AQ249" s="40" t="s">
        <v>0</v>
      </c>
      <c r="AR249" s="54"/>
      <c r="AS249" s="1" t="s">
        <v>276</v>
      </c>
      <c r="AT249" s="1" t="s">
        <v>751</v>
      </c>
      <c r="AU249" s="1" t="s">
        <v>501</v>
      </c>
      <c r="AV249" s="1" t="s">
        <v>131</v>
      </c>
      <c r="AW249" s="1"/>
      <c r="AX249" s="1"/>
      <c r="AY249" s="1"/>
      <c r="AZ249" s="1"/>
      <c r="BA249" s="1" t="s">
        <v>204</v>
      </c>
      <c r="BB249" s="1" t="s">
        <v>0</v>
      </c>
      <c r="BC249" s="1"/>
      <c r="BD249" s="1"/>
    </row>
    <row r="250" ht="11.25" customHeight="1">
      <c r="A250" s="1" t="b">
        <v>1</v>
      </c>
      <c r="B250" s="1" t="s">
        <v>1063</v>
      </c>
      <c r="C250" s="1" t="s">
        <v>1064</v>
      </c>
      <c r="D250" s="1" t="s">
        <v>1002</v>
      </c>
      <c r="E250" s="1"/>
      <c r="F250" s="1"/>
      <c r="G250" s="1" t="s">
        <v>66</v>
      </c>
      <c r="H250" s="1"/>
      <c r="I250" s="1" t="s">
        <v>1003</v>
      </c>
      <c r="J250" s="34" t="s">
        <v>141</v>
      </c>
      <c r="K250" s="1" t="s">
        <v>107</v>
      </c>
      <c r="L250" s="1" t="s">
        <v>0</v>
      </c>
      <c r="M250" s="1" t="b">
        <v>1</v>
      </c>
      <c r="N250" s="1" t="b">
        <v>0</v>
      </c>
      <c r="O250" s="19">
        <v>2100.0</v>
      </c>
      <c r="P250" s="20">
        <v>2.08</v>
      </c>
      <c r="Q250" s="20">
        <v>1009.62</v>
      </c>
      <c r="R250" s="21">
        <v>0.5914106297418831</v>
      </c>
      <c r="S250" s="1" t="s">
        <v>117</v>
      </c>
      <c r="T250" s="1" t="s">
        <v>0</v>
      </c>
      <c r="U250" s="1" t="s">
        <v>80</v>
      </c>
      <c r="V250" s="1" t="s">
        <v>81</v>
      </c>
      <c r="W250" s="1" t="s">
        <v>0</v>
      </c>
      <c r="X250" s="1" t="s">
        <v>1062</v>
      </c>
      <c r="Y250" s="22" t="str">
        <f t="shared" si="3"/>
        <v>CO</v>
      </c>
      <c r="Z250" s="20" t="str">
        <f>_xlfn.XLOOKUP($B250,[1]F27!$C:$C,[1]F27!$BV:$BV)</f>
        <v>#ERROR!</v>
      </c>
      <c r="AA250" s="1"/>
      <c r="AB250" s="1"/>
      <c r="AC250" s="23"/>
      <c r="AD250" s="1" t="str">
        <f>_xlfn.XLOOKUP($B250,[1]F27!$C:$C,[1]F27!$Y:$Y)</f>
        <v>#ERROR!</v>
      </c>
      <c r="AE250" s="1" t="str">
        <f>_xlfn.XLOOKUP($B250,[1]F27!$C:$C,[1]F27!$Z:$Z)</f>
        <v>#ERROR!</v>
      </c>
      <c r="AF250" s="1" t="str">
        <f>_xlfn.XLOOKUP($B250,[2]PRICING!$B:$B,[2]PRICING!$B:$B,"MISSING")</f>
        <v>#ERROR!</v>
      </c>
      <c r="AG250" s="1" t="str">
        <f>COUNTIFS([2]ACTIVE_SCO!$B:$B,$B250,[2]ACTIVE_SCO!$P:$P,"Y")</f>
        <v>#ERROR!</v>
      </c>
      <c r="AH250" s="1"/>
      <c r="AI250" s="37" t="s">
        <v>157</v>
      </c>
      <c r="AJ250" s="23"/>
      <c r="AK250" s="39" t="s">
        <v>1993</v>
      </c>
      <c r="AL250" s="39" t="s">
        <v>551</v>
      </c>
      <c r="AM250" s="1" t="s">
        <v>86</v>
      </c>
      <c r="AN250" s="40" t="s">
        <v>87</v>
      </c>
      <c r="AO250" s="41" t="s">
        <v>86</v>
      </c>
      <c r="AP250" s="41" t="s">
        <v>169</v>
      </c>
      <c r="AQ250" s="40" t="s">
        <v>0</v>
      </c>
      <c r="AR250" s="39"/>
      <c r="AS250" s="1" t="s">
        <v>1002</v>
      </c>
      <c r="AT250" s="1" t="s">
        <v>1005</v>
      </c>
      <c r="AU250" s="1" t="s">
        <v>1016</v>
      </c>
      <c r="AV250" s="1" t="s">
        <v>91</v>
      </c>
      <c r="AW250" s="1"/>
      <c r="AX250" s="1"/>
      <c r="AY250" s="1"/>
      <c r="AZ250" s="1"/>
      <c r="BA250" s="1" t="s">
        <v>1993</v>
      </c>
      <c r="BB250" s="1" t="s">
        <v>551</v>
      </c>
      <c r="BC250" s="1"/>
      <c r="BD250" s="1"/>
    </row>
    <row r="251" ht="11.25" customHeight="1">
      <c r="A251" s="1" t="b">
        <v>0</v>
      </c>
      <c r="B251" s="1" t="s">
        <v>965</v>
      </c>
      <c r="C251" s="1" t="s">
        <v>1895</v>
      </c>
      <c r="D251" s="1" t="s">
        <v>65</v>
      </c>
      <c r="E251" s="1"/>
      <c r="F251" s="1"/>
      <c r="G251" s="1" t="s">
        <v>66</v>
      </c>
      <c r="H251" s="1"/>
      <c r="I251" s="1" t="s">
        <v>68</v>
      </c>
      <c r="J251" s="1" t="s">
        <v>69</v>
      </c>
      <c r="K251" s="1" t="s">
        <v>70</v>
      </c>
      <c r="L251" s="1" t="s">
        <v>0</v>
      </c>
      <c r="M251" s="1" t="b">
        <v>1</v>
      </c>
      <c r="N251" s="1" t="b">
        <v>0</v>
      </c>
      <c r="O251" s="19">
        <v>2500.0</v>
      </c>
      <c r="P251" s="20">
        <v>2.1</v>
      </c>
      <c r="Q251" s="20">
        <v>1190.48</v>
      </c>
      <c r="R251" s="21">
        <v>0.7047073449364962</v>
      </c>
      <c r="S251" s="1" t="s">
        <v>78</v>
      </c>
      <c r="T251" s="1" t="s">
        <v>0</v>
      </c>
      <c r="U251" s="1" t="s">
        <v>166</v>
      </c>
      <c r="V251" s="1" t="s">
        <v>81</v>
      </c>
      <c r="W251" s="1" t="s">
        <v>0</v>
      </c>
      <c r="X251" s="1" t="s">
        <v>156</v>
      </c>
      <c r="Y251" s="22" t="str">
        <f t="shared" si="3"/>
        <v>CO</v>
      </c>
      <c r="Z251" s="20" t="str">
        <f>_xlfn.XLOOKUP($B251,[1]F27!$C:$C,[1]F27!$BV:$BV)</f>
        <v>#ERROR!</v>
      </c>
      <c r="AA251" s="1"/>
      <c r="AB251" s="1"/>
      <c r="AC251" s="23"/>
      <c r="AD251" s="1" t="str">
        <f>_xlfn.XLOOKUP($B251,[1]F27!$C:$C,[1]F27!$Y:$Y)</f>
        <v>#ERROR!</v>
      </c>
      <c r="AE251" s="1" t="str">
        <f>_xlfn.XLOOKUP($B251,[1]F27!$C:$C,[1]F27!$Z:$Z)</f>
        <v>#ERROR!</v>
      </c>
      <c r="AF251" s="1" t="str">
        <f>_xlfn.XLOOKUP($B251,[2]PRICING!$B:$B,[2]PRICING!$B:$B,"MISSING")</f>
        <v>#ERROR!</v>
      </c>
      <c r="AG251" s="1" t="str">
        <f>COUNTIFS([2]ACTIVE_SCO!$B:$B,$B251,[2]ACTIVE_SCO!$P:$P,"Y")</f>
        <v>#ERROR!</v>
      </c>
      <c r="AH251" s="1"/>
      <c r="AI251" s="1" t="s">
        <v>341</v>
      </c>
      <c r="AJ251" s="1"/>
      <c r="AK251" s="1"/>
      <c r="AL251" s="1"/>
      <c r="AM251" s="1"/>
      <c r="AN251" s="1"/>
      <c r="AO251" s="1"/>
      <c r="AP251" s="1"/>
      <c r="AQ251" s="40" t="s">
        <v>0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ht="11.25" customHeight="1">
      <c r="A252" s="1" t="b">
        <v>0</v>
      </c>
      <c r="B252" s="1" t="s">
        <v>967</v>
      </c>
      <c r="C252" s="1" t="s">
        <v>1898</v>
      </c>
      <c r="D252" s="1" t="s">
        <v>65</v>
      </c>
      <c r="E252" s="1"/>
      <c r="F252" s="1"/>
      <c r="G252" s="1" t="s">
        <v>66</v>
      </c>
      <c r="H252" s="1"/>
      <c r="I252" s="1" t="s">
        <v>68</v>
      </c>
      <c r="J252" s="1" t="s">
        <v>69</v>
      </c>
      <c r="K252" s="1" t="s">
        <v>107</v>
      </c>
      <c r="L252" s="1" t="s">
        <v>0</v>
      </c>
      <c r="M252" s="1" t="b">
        <v>1</v>
      </c>
      <c r="N252" s="1" t="b">
        <v>0</v>
      </c>
      <c r="O252" s="19">
        <v>2500.0</v>
      </c>
      <c r="P252" s="20">
        <v>2.1</v>
      </c>
      <c r="Q252" s="20">
        <v>1190.48</v>
      </c>
      <c r="R252" s="21">
        <v>0.7213224917680263</v>
      </c>
      <c r="S252" s="1" t="s">
        <v>78</v>
      </c>
      <c r="T252" s="1" t="s">
        <v>0</v>
      </c>
      <c r="U252" s="1" t="s">
        <v>166</v>
      </c>
      <c r="V252" s="1" t="s">
        <v>81</v>
      </c>
      <c r="W252" s="1" t="s">
        <v>0</v>
      </c>
      <c r="X252" s="1" t="s">
        <v>156</v>
      </c>
      <c r="Y252" s="22" t="str">
        <f t="shared" si="3"/>
        <v>CO</v>
      </c>
      <c r="Z252" s="20" t="str">
        <f>_xlfn.XLOOKUP($B252,[1]F27!$C:$C,[1]F27!$BV:$BV)</f>
        <v>#ERROR!</v>
      </c>
      <c r="AA252" s="1"/>
      <c r="AB252" s="1"/>
      <c r="AC252" s="23"/>
      <c r="AD252" s="1" t="str">
        <f>_xlfn.XLOOKUP($B252,[1]F27!$C:$C,[1]F27!$Y:$Y)</f>
        <v>#ERROR!</v>
      </c>
      <c r="AE252" s="1" t="str">
        <f>_xlfn.XLOOKUP($B252,[1]F27!$C:$C,[1]F27!$Z:$Z)</f>
        <v>#ERROR!</v>
      </c>
      <c r="AF252" s="1" t="str">
        <f>_xlfn.XLOOKUP($B252,[2]PRICING!$B:$B,[2]PRICING!$B:$B,"MISSING")</f>
        <v>#ERROR!</v>
      </c>
      <c r="AG252" s="1" t="str">
        <f>COUNTIFS([2]ACTIVE_SCO!$B:$B,$B252,[2]ACTIVE_SCO!$P:$P,"Y")</f>
        <v>#ERROR!</v>
      </c>
      <c r="AH252" s="1"/>
      <c r="AI252" s="1" t="s">
        <v>341</v>
      </c>
      <c r="AJ252" s="1"/>
      <c r="AK252" s="1"/>
      <c r="AL252" s="1"/>
      <c r="AM252" s="1"/>
      <c r="AN252" s="1"/>
      <c r="AO252" s="1"/>
      <c r="AP252" s="1"/>
      <c r="AQ252" s="40" t="s">
        <v>0</v>
      </c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ht="11.25" customHeight="1">
      <c r="A253" s="1" t="b">
        <v>1</v>
      </c>
      <c r="B253" s="1" t="s">
        <v>1765</v>
      </c>
      <c r="C253" s="1" t="s">
        <v>1766</v>
      </c>
      <c r="D253" s="1" t="s">
        <v>65</v>
      </c>
      <c r="E253" s="1"/>
      <c r="F253" s="1"/>
      <c r="G253" s="1" t="s">
        <v>220</v>
      </c>
      <c r="H253" s="1"/>
      <c r="I253" s="1" t="s">
        <v>68</v>
      </c>
      <c r="J253" s="1" t="s">
        <v>69</v>
      </c>
      <c r="K253" s="1" t="s">
        <v>70</v>
      </c>
      <c r="L253" s="1" t="s">
        <v>0</v>
      </c>
      <c r="M253" s="1" t="b">
        <v>0</v>
      </c>
      <c r="N253" s="1" t="b">
        <v>0</v>
      </c>
      <c r="O253" s="19">
        <v>3500.0</v>
      </c>
      <c r="P253" s="20">
        <v>2.1</v>
      </c>
      <c r="Q253" s="20">
        <v>1666.67</v>
      </c>
      <c r="R253" s="21">
        <v>0.5998668002663994</v>
      </c>
      <c r="S253" s="1" t="s">
        <v>78</v>
      </c>
      <c r="T253" s="1" t="s">
        <v>0</v>
      </c>
      <c r="U253" s="1" t="s">
        <v>198</v>
      </c>
      <c r="V253" s="1" t="s">
        <v>166</v>
      </c>
      <c r="W253" s="1" t="s">
        <v>0</v>
      </c>
      <c r="X253" s="1" t="s">
        <v>0</v>
      </c>
      <c r="Y253" s="22" t="str">
        <f t="shared" si="3"/>
        <v>NEW</v>
      </c>
      <c r="Z253" s="20" t="str">
        <f>_xlfn.XLOOKUP($B253,[1]F27!$C:$C,[1]F27!$BV:$BV)</f>
        <v>#ERROR!</v>
      </c>
      <c r="AA253" s="1"/>
      <c r="AB253" s="1"/>
      <c r="AC253" s="23"/>
      <c r="AD253" s="1" t="str">
        <f>_xlfn.XLOOKUP($B253,[1]F27!$C:$C,[1]F27!$Y:$Y)</f>
        <v>#ERROR!</v>
      </c>
      <c r="AE253" s="1" t="str">
        <f>_xlfn.XLOOKUP($B253,[1]F27!$C:$C,[1]F27!$Z:$Z)</f>
        <v>#ERROR!</v>
      </c>
      <c r="AF253" s="1" t="str">
        <f>_xlfn.XLOOKUP($B253,[2]PRICING!$B:$B,[2]PRICING!$B:$B,"MISSING")</f>
        <v>#ERROR!</v>
      </c>
      <c r="AG253" s="1" t="str">
        <f>COUNTIFS([2]ACTIVE_SCO!$B:$B,$B253,[2]ACTIVE_SCO!$P:$P,"Y")</f>
        <v>#ERROR!</v>
      </c>
      <c r="AH253" s="1"/>
      <c r="AI253" s="37" t="s">
        <v>157</v>
      </c>
      <c r="AJ253" s="38" t="s">
        <v>1995</v>
      </c>
      <c r="AK253" s="39" t="s">
        <v>551</v>
      </c>
      <c r="AL253" s="39" t="s">
        <v>0</v>
      </c>
      <c r="AM253" s="1" t="s">
        <v>226</v>
      </c>
      <c r="AN253" s="40" t="s">
        <v>227</v>
      </c>
      <c r="AO253" s="41" t="s">
        <v>226</v>
      </c>
      <c r="AP253" s="41" t="s">
        <v>227</v>
      </c>
      <c r="AQ253" s="40" t="s">
        <v>0</v>
      </c>
      <c r="AR253" s="39"/>
      <c r="AS253" s="1" t="s">
        <v>68</v>
      </c>
      <c r="AT253" s="1" t="s">
        <v>89</v>
      </c>
      <c r="AU253" s="1" t="s">
        <v>206</v>
      </c>
      <c r="AV253" s="1" t="s">
        <v>91</v>
      </c>
      <c r="AW253" s="1"/>
      <c r="AX253" s="1"/>
      <c r="AY253" s="1"/>
      <c r="AZ253" s="1"/>
      <c r="BA253" s="1" t="s">
        <v>551</v>
      </c>
      <c r="BB253" s="1" t="s">
        <v>0</v>
      </c>
      <c r="BC253" s="1"/>
      <c r="BD253" s="1"/>
    </row>
    <row r="254" ht="11.25" customHeight="1">
      <c r="A254" s="1" t="b">
        <v>1</v>
      </c>
      <c r="B254" s="1" t="s">
        <v>1767</v>
      </c>
      <c r="C254" s="1" t="s">
        <v>1768</v>
      </c>
      <c r="D254" s="1" t="s">
        <v>65</v>
      </c>
      <c r="E254" s="1"/>
      <c r="F254" s="1"/>
      <c r="G254" s="1" t="s">
        <v>220</v>
      </c>
      <c r="H254" s="1"/>
      <c r="I254" s="1" t="s">
        <v>68</v>
      </c>
      <c r="J254" s="1" t="s">
        <v>69</v>
      </c>
      <c r="K254" s="1" t="s">
        <v>107</v>
      </c>
      <c r="L254" s="1" t="s">
        <v>0</v>
      </c>
      <c r="M254" s="1" t="b">
        <v>0</v>
      </c>
      <c r="N254" s="1" t="b">
        <v>0</v>
      </c>
      <c r="O254" s="19">
        <v>3500.0</v>
      </c>
      <c r="P254" s="20">
        <v>2.1</v>
      </c>
      <c r="Q254" s="20">
        <v>1666.67</v>
      </c>
      <c r="R254" s="21">
        <v>0.6276887446225108</v>
      </c>
      <c r="S254" s="1" t="s">
        <v>78</v>
      </c>
      <c r="T254" s="1" t="s">
        <v>0</v>
      </c>
      <c r="U254" s="1" t="s">
        <v>198</v>
      </c>
      <c r="V254" s="1" t="s">
        <v>166</v>
      </c>
      <c r="W254" s="1" t="s">
        <v>0</v>
      </c>
      <c r="X254" s="1" t="s">
        <v>0</v>
      </c>
      <c r="Y254" s="22" t="str">
        <f t="shared" si="3"/>
        <v>NEW</v>
      </c>
      <c r="Z254" s="20" t="str">
        <f>_xlfn.XLOOKUP($B254,[1]F27!$C:$C,[1]F27!$BV:$BV)</f>
        <v>#ERROR!</v>
      </c>
      <c r="AA254" s="1"/>
      <c r="AB254" s="1"/>
      <c r="AC254" s="23"/>
      <c r="AD254" s="1" t="str">
        <f>_xlfn.XLOOKUP($B254,[1]F27!$C:$C,[1]F27!$Y:$Y)</f>
        <v>#ERROR!</v>
      </c>
      <c r="AE254" s="1" t="str">
        <f>_xlfn.XLOOKUP($B254,[1]F27!$C:$C,[1]F27!$Z:$Z)</f>
        <v>#ERROR!</v>
      </c>
      <c r="AF254" s="1" t="str">
        <f>_xlfn.XLOOKUP($B254,[2]PRICING!$B:$B,[2]PRICING!$B:$B,"MISSING")</f>
        <v>#ERROR!</v>
      </c>
      <c r="AG254" s="1" t="str">
        <f>COUNTIFS([2]ACTIVE_SCO!$B:$B,$B254,[2]ACTIVE_SCO!$P:$P,"Y")</f>
        <v>#ERROR!</v>
      </c>
      <c r="AH254" s="1"/>
      <c r="AI254" s="37" t="s">
        <v>157</v>
      </c>
      <c r="AJ254" s="38" t="s">
        <v>1996</v>
      </c>
      <c r="AK254" s="39" t="s">
        <v>551</v>
      </c>
      <c r="AL254" s="39" t="s">
        <v>0</v>
      </c>
      <c r="AM254" s="1" t="s">
        <v>226</v>
      </c>
      <c r="AN254" s="40" t="s">
        <v>227</v>
      </c>
      <c r="AO254" s="41" t="s">
        <v>226</v>
      </c>
      <c r="AP254" s="41" t="s">
        <v>227</v>
      </c>
      <c r="AQ254" s="40" t="s">
        <v>0</v>
      </c>
      <c r="AR254" s="39"/>
      <c r="AS254" s="1" t="s">
        <v>68</v>
      </c>
      <c r="AT254" s="1" t="s">
        <v>89</v>
      </c>
      <c r="AU254" s="1" t="s">
        <v>206</v>
      </c>
      <c r="AV254" s="1" t="s">
        <v>91</v>
      </c>
      <c r="AW254" s="1"/>
      <c r="AX254" s="1"/>
      <c r="AY254" s="1"/>
      <c r="AZ254" s="1"/>
      <c r="BA254" s="1" t="s">
        <v>551</v>
      </c>
      <c r="BB254" s="1" t="s">
        <v>0</v>
      </c>
      <c r="BC254" s="1"/>
      <c r="BD254" s="1"/>
    </row>
    <row r="255" ht="11.25" customHeight="1">
      <c r="A255" s="1" t="b">
        <v>1</v>
      </c>
      <c r="B255" s="1" t="s">
        <v>1769</v>
      </c>
      <c r="C255" s="1" t="s">
        <v>1770</v>
      </c>
      <c r="D255" s="1" t="s">
        <v>65</v>
      </c>
      <c r="E255" s="1"/>
      <c r="F255" s="1"/>
      <c r="G255" s="1" t="s">
        <v>220</v>
      </c>
      <c r="H255" s="1"/>
      <c r="I255" s="1" t="s">
        <v>68</v>
      </c>
      <c r="J255" s="1" t="s">
        <v>69</v>
      </c>
      <c r="K255" s="1" t="s">
        <v>70</v>
      </c>
      <c r="L255" s="1" t="s">
        <v>0</v>
      </c>
      <c r="M255" s="1" t="b">
        <v>0</v>
      </c>
      <c r="N255" s="1" t="b">
        <v>0</v>
      </c>
      <c r="O255" s="19">
        <v>3000.0</v>
      </c>
      <c r="P255" s="20">
        <v>2.1</v>
      </c>
      <c r="Q255" s="20">
        <v>1428.57</v>
      </c>
      <c r="R255" s="21">
        <v>0.6973336973336973</v>
      </c>
      <c r="S255" s="1" t="s">
        <v>78</v>
      </c>
      <c r="T255" s="1" t="s">
        <v>0</v>
      </c>
      <c r="U255" s="1" t="s">
        <v>198</v>
      </c>
      <c r="V255" s="1" t="s">
        <v>166</v>
      </c>
      <c r="W255" s="1" t="s">
        <v>0</v>
      </c>
      <c r="X255" s="1" t="s">
        <v>0</v>
      </c>
      <c r="Y255" s="22" t="str">
        <f t="shared" si="3"/>
        <v>NEW</v>
      </c>
      <c r="Z255" s="20" t="str">
        <f>_xlfn.XLOOKUP($B255,[1]F27!$C:$C,[1]F27!$BV:$BV)</f>
        <v>#ERROR!</v>
      </c>
      <c r="AA255" s="1"/>
      <c r="AB255" s="1"/>
      <c r="AC255" s="23"/>
      <c r="AD255" s="1" t="str">
        <f>_xlfn.XLOOKUP($B255,[1]F27!$C:$C,[1]F27!$Y:$Y)</f>
        <v>#ERROR!</v>
      </c>
      <c r="AE255" s="1" t="str">
        <f>_xlfn.XLOOKUP($B255,[1]F27!$C:$C,[1]F27!$Z:$Z)</f>
        <v>#ERROR!</v>
      </c>
      <c r="AF255" s="1" t="str">
        <f>_xlfn.XLOOKUP($B255,[2]PRICING!$B:$B,[2]PRICING!$B:$B,"MISSING")</f>
        <v>#ERROR!</v>
      </c>
      <c r="AG255" s="1" t="str">
        <f>COUNTIFS([2]ACTIVE_SCO!$B:$B,$B255,[2]ACTIVE_SCO!$P:$P,"Y")</f>
        <v>#ERROR!</v>
      </c>
      <c r="AH255" s="1"/>
      <c r="AI255" s="37" t="s">
        <v>157</v>
      </c>
      <c r="AJ255" s="38" t="s">
        <v>1997</v>
      </c>
      <c r="AK255" s="39" t="s">
        <v>551</v>
      </c>
      <c r="AL255" s="39" t="s">
        <v>0</v>
      </c>
      <c r="AM255" s="1" t="s">
        <v>226</v>
      </c>
      <c r="AN255" s="40" t="s">
        <v>227</v>
      </c>
      <c r="AO255" s="41" t="s">
        <v>226</v>
      </c>
      <c r="AP255" s="41" t="s">
        <v>227</v>
      </c>
      <c r="AQ255" s="40" t="s">
        <v>0</v>
      </c>
      <c r="AR255" s="39"/>
      <c r="AS255" s="1" t="s">
        <v>68</v>
      </c>
      <c r="AT255" s="1" t="s">
        <v>128</v>
      </c>
      <c r="AU255" s="1" t="s">
        <v>206</v>
      </c>
      <c r="AV255" s="1" t="s">
        <v>91</v>
      </c>
      <c r="AW255" s="1"/>
      <c r="AX255" s="1"/>
      <c r="AY255" s="1"/>
      <c r="AZ255" s="1"/>
      <c r="BA255" s="1" t="s">
        <v>551</v>
      </c>
      <c r="BB255" s="1" t="s">
        <v>0</v>
      </c>
      <c r="BC255" s="1"/>
      <c r="BD255" s="1"/>
    </row>
    <row r="256" ht="11.25" customHeight="1">
      <c r="A256" s="1" t="b">
        <v>1</v>
      </c>
      <c r="B256" s="1" t="s">
        <v>1771</v>
      </c>
      <c r="C256" s="1" t="s">
        <v>1772</v>
      </c>
      <c r="D256" s="1" t="s">
        <v>65</v>
      </c>
      <c r="E256" s="1"/>
      <c r="F256" s="1"/>
      <c r="G256" s="1" t="s">
        <v>220</v>
      </c>
      <c r="H256" s="1"/>
      <c r="I256" s="1" t="s">
        <v>68</v>
      </c>
      <c r="J256" s="1" t="s">
        <v>69</v>
      </c>
      <c r="K256" s="1" t="s">
        <v>107</v>
      </c>
      <c r="L256" s="1" t="s">
        <v>0</v>
      </c>
      <c r="M256" s="1" t="b">
        <v>0</v>
      </c>
      <c r="N256" s="1" t="b">
        <v>0</v>
      </c>
      <c r="O256" s="19">
        <v>3000.0</v>
      </c>
      <c r="P256" s="20">
        <v>2.1</v>
      </c>
      <c r="Q256" s="20">
        <v>1428.57</v>
      </c>
      <c r="R256" s="21">
        <v>0.7147077147077148</v>
      </c>
      <c r="S256" s="1" t="s">
        <v>78</v>
      </c>
      <c r="T256" s="1" t="s">
        <v>0</v>
      </c>
      <c r="U256" s="1" t="s">
        <v>198</v>
      </c>
      <c r="V256" s="1" t="s">
        <v>166</v>
      </c>
      <c r="W256" s="1" t="s">
        <v>0</v>
      </c>
      <c r="X256" s="1" t="s">
        <v>0</v>
      </c>
      <c r="Y256" s="22" t="str">
        <f t="shared" si="3"/>
        <v>NEW</v>
      </c>
      <c r="Z256" s="20" t="str">
        <f>_xlfn.XLOOKUP($B256,[1]F27!$C:$C,[1]F27!$BV:$BV)</f>
        <v>#ERROR!</v>
      </c>
      <c r="AA256" s="1"/>
      <c r="AB256" s="1"/>
      <c r="AC256" s="23"/>
      <c r="AD256" s="1" t="str">
        <f>_xlfn.XLOOKUP($B256,[1]F27!$C:$C,[1]F27!$Y:$Y)</f>
        <v>#ERROR!</v>
      </c>
      <c r="AE256" s="1" t="str">
        <f>_xlfn.XLOOKUP($B256,[1]F27!$C:$C,[1]F27!$Z:$Z)</f>
        <v>#ERROR!</v>
      </c>
      <c r="AF256" s="1" t="str">
        <f>_xlfn.XLOOKUP($B256,[2]PRICING!$B:$B,[2]PRICING!$B:$B,"MISSING")</f>
        <v>#ERROR!</v>
      </c>
      <c r="AG256" s="1" t="str">
        <f>COUNTIFS([2]ACTIVE_SCO!$B:$B,$B256,[2]ACTIVE_SCO!$P:$P,"Y")</f>
        <v>#ERROR!</v>
      </c>
      <c r="AH256" s="1"/>
      <c r="AI256" s="37" t="s">
        <v>157</v>
      </c>
      <c r="AJ256" s="38" t="s">
        <v>1998</v>
      </c>
      <c r="AK256" s="39" t="s">
        <v>551</v>
      </c>
      <c r="AL256" s="39" t="s">
        <v>0</v>
      </c>
      <c r="AM256" s="1" t="s">
        <v>226</v>
      </c>
      <c r="AN256" s="40" t="s">
        <v>227</v>
      </c>
      <c r="AO256" s="41" t="s">
        <v>226</v>
      </c>
      <c r="AP256" s="41" t="s">
        <v>227</v>
      </c>
      <c r="AQ256" s="40" t="s">
        <v>0</v>
      </c>
      <c r="AR256" s="39"/>
      <c r="AS256" s="1" t="s">
        <v>68</v>
      </c>
      <c r="AT256" s="1" t="s">
        <v>128</v>
      </c>
      <c r="AU256" s="1" t="s">
        <v>206</v>
      </c>
      <c r="AV256" s="1" t="s">
        <v>91</v>
      </c>
      <c r="AW256" s="1"/>
      <c r="AX256" s="1"/>
      <c r="AY256" s="1"/>
      <c r="AZ256" s="1"/>
      <c r="BA256" s="1" t="s">
        <v>551</v>
      </c>
      <c r="BB256" s="1" t="s">
        <v>0</v>
      </c>
      <c r="BC256" s="1"/>
      <c r="BD256" s="1"/>
    </row>
    <row r="257" ht="11.25" customHeight="1">
      <c r="A257" s="1" t="b">
        <v>0</v>
      </c>
      <c r="B257" s="1" t="s">
        <v>968</v>
      </c>
      <c r="C257" s="1" t="s">
        <v>969</v>
      </c>
      <c r="D257" s="1" t="s">
        <v>65</v>
      </c>
      <c r="E257" s="1"/>
      <c r="F257" s="1"/>
      <c r="G257" s="1" t="s">
        <v>66</v>
      </c>
      <c r="H257" s="1"/>
      <c r="I257" s="1" t="s">
        <v>68</v>
      </c>
      <c r="J257" s="1" t="s">
        <v>69</v>
      </c>
      <c r="K257" s="1" t="s">
        <v>70</v>
      </c>
      <c r="L257" s="1" t="s">
        <v>0</v>
      </c>
      <c r="M257" s="1" t="b">
        <v>1</v>
      </c>
      <c r="N257" s="1" t="b">
        <v>0</v>
      </c>
      <c r="O257" s="19">
        <v>2800.0</v>
      </c>
      <c r="P257" s="20">
        <v>2.1</v>
      </c>
      <c r="Q257" s="20">
        <v>1333.33</v>
      </c>
      <c r="R257" s="21">
        <v>0.7267443168607921</v>
      </c>
      <c r="S257" s="1" t="s">
        <v>78</v>
      </c>
      <c r="T257" s="1" t="s">
        <v>0</v>
      </c>
      <c r="U257" s="1" t="s">
        <v>166</v>
      </c>
      <c r="V257" s="1" t="s">
        <v>81</v>
      </c>
      <c r="W257" s="1" t="s">
        <v>0</v>
      </c>
      <c r="X257" s="1" t="s">
        <v>156</v>
      </c>
      <c r="Y257" s="22" t="str">
        <f t="shared" si="3"/>
        <v>CO</v>
      </c>
      <c r="Z257" s="20" t="str">
        <f>_xlfn.XLOOKUP($B257,[1]F27!$C:$C,[1]F27!$BV:$BV)</f>
        <v>#ERROR!</v>
      </c>
      <c r="AA257" s="1"/>
      <c r="AB257" s="1"/>
      <c r="AC257" s="23"/>
      <c r="AD257" s="1" t="str">
        <f>_xlfn.XLOOKUP($B257,[1]F27!$C:$C,[1]F27!$Y:$Y)</f>
        <v>#ERROR!</v>
      </c>
      <c r="AE257" s="1" t="str">
        <f>_xlfn.XLOOKUP($B257,[1]F27!$C:$C,[1]F27!$Z:$Z)</f>
        <v>#ERROR!</v>
      </c>
      <c r="AF257" s="1" t="str">
        <f>_xlfn.XLOOKUP($B257,[2]PRICING!$B:$B,[2]PRICING!$B:$B,"MISSING")</f>
        <v>#ERROR!</v>
      </c>
      <c r="AG257" s="1" t="str">
        <f>COUNTIFS([2]ACTIVE_SCO!$B:$B,$B257,[2]ACTIVE_SCO!$P:$P,"Y")</f>
        <v>#ERROR!</v>
      </c>
      <c r="AH257" s="1"/>
      <c r="AI257" s="1" t="s">
        <v>341</v>
      </c>
      <c r="AJ257" s="1"/>
      <c r="AK257" s="1"/>
      <c r="AL257" s="1"/>
      <c r="AM257" s="1"/>
      <c r="AN257" s="1"/>
      <c r="AO257" s="1"/>
      <c r="AP257" s="1"/>
      <c r="AQ257" s="40" t="s">
        <v>0</v>
      </c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ht="11.25" customHeight="1">
      <c r="A258" s="1" t="b">
        <v>0</v>
      </c>
      <c r="B258" s="1" t="s">
        <v>972</v>
      </c>
      <c r="C258" s="1" t="s">
        <v>973</v>
      </c>
      <c r="D258" s="1" t="s">
        <v>65</v>
      </c>
      <c r="E258" s="1"/>
      <c r="F258" s="1"/>
      <c r="G258" s="1" t="s">
        <v>66</v>
      </c>
      <c r="H258" s="1"/>
      <c r="I258" s="1" t="s">
        <v>68</v>
      </c>
      <c r="J258" s="1" t="s">
        <v>69</v>
      </c>
      <c r="K258" s="1" t="s">
        <v>107</v>
      </c>
      <c r="L258" s="1" t="s">
        <v>0</v>
      </c>
      <c r="M258" s="1" t="b">
        <v>1</v>
      </c>
      <c r="N258" s="1" t="b">
        <v>0</v>
      </c>
      <c r="O258" s="19">
        <v>2800.0</v>
      </c>
      <c r="P258" s="20">
        <v>2.1</v>
      </c>
      <c r="Q258" s="20">
        <v>1333.33</v>
      </c>
      <c r="R258" s="21">
        <v>0.740326850817127</v>
      </c>
      <c r="S258" s="1" t="s">
        <v>78</v>
      </c>
      <c r="T258" s="1" t="s">
        <v>0</v>
      </c>
      <c r="U258" s="1" t="s">
        <v>166</v>
      </c>
      <c r="V258" s="1" t="s">
        <v>81</v>
      </c>
      <c r="W258" s="1" t="s">
        <v>0</v>
      </c>
      <c r="X258" s="1" t="s">
        <v>156</v>
      </c>
      <c r="Y258" s="22" t="str">
        <f t="shared" si="3"/>
        <v>CO</v>
      </c>
      <c r="Z258" s="20" t="str">
        <f>_xlfn.XLOOKUP($B258,[1]F27!$C:$C,[1]F27!$BV:$BV)</f>
        <v>#ERROR!</v>
      </c>
      <c r="AA258" s="1"/>
      <c r="AB258" s="1"/>
      <c r="AC258" s="23"/>
      <c r="AD258" s="1" t="str">
        <f>_xlfn.XLOOKUP($B258,[1]F27!$C:$C,[1]F27!$Y:$Y)</f>
        <v>#ERROR!</v>
      </c>
      <c r="AE258" s="1" t="str">
        <f>_xlfn.XLOOKUP($B258,[1]F27!$C:$C,[1]F27!$Z:$Z)</f>
        <v>#ERROR!</v>
      </c>
      <c r="AF258" s="1" t="str">
        <f>_xlfn.XLOOKUP($B258,[2]PRICING!$B:$B,[2]PRICING!$B:$B,"MISSING")</f>
        <v>#ERROR!</v>
      </c>
      <c r="AG258" s="1" t="str">
        <f>COUNTIFS([2]ACTIVE_SCO!$B:$B,$B258,[2]ACTIVE_SCO!$P:$P,"Y")</f>
        <v>#ERROR!</v>
      </c>
      <c r="AH258" s="1"/>
      <c r="AI258" s="1" t="s">
        <v>341</v>
      </c>
      <c r="AJ258" s="1"/>
      <c r="AK258" s="1"/>
      <c r="AL258" s="1"/>
      <c r="AM258" s="1"/>
      <c r="AN258" s="1"/>
      <c r="AO258" s="1"/>
      <c r="AP258" s="1"/>
      <c r="AQ258" s="40" t="s">
        <v>0</v>
      </c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ht="11.25" customHeight="1">
      <c r="A259" s="1" t="b">
        <v>0</v>
      </c>
      <c r="B259" s="1" t="s">
        <v>978</v>
      </c>
      <c r="C259" s="1" t="s">
        <v>1908</v>
      </c>
      <c r="D259" s="1" t="s">
        <v>65</v>
      </c>
      <c r="E259" s="1"/>
      <c r="F259" s="1"/>
      <c r="G259" s="1" t="s">
        <v>66</v>
      </c>
      <c r="H259" s="1"/>
      <c r="I259" s="1" t="s">
        <v>113</v>
      </c>
      <c r="J259" s="1" t="s">
        <v>69</v>
      </c>
      <c r="K259" s="1" t="s">
        <v>70</v>
      </c>
      <c r="L259" s="1" t="s">
        <v>0</v>
      </c>
      <c r="M259" s="1" t="b">
        <v>1</v>
      </c>
      <c r="N259" s="1" t="b">
        <v>0</v>
      </c>
      <c r="O259" s="19">
        <v>2000.0</v>
      </c>
      <c r="P259" s="20">
        <v>2.1</v>
      </c>
      <c r="Q259" s="20">
        <v>952.38</v>
      </c>
      <c r="R259" s="21">
        <v>0.7063462063462063</v>
      </c>
      <c r="S259" s="1" t="s">
        <v>117</v>
      </c>
      <c r="T259" s="1" t="s">
        <v>0</v>
      </c>
      <c r="U259" s="1" t="s">
        <v>81</v>
      </c>
      <c r="V259" s="1" t="s">
        <v>81</v>
      </c>
      <c r="W259" s="1" t="s">
        <v>0</v>
      </c>
      <c r="X259" s="1" t="s">
        <v>156</v>
      </c>
      <c r="Y259" s="22" t="str">
        <f t="shared" si="3"/>
        <v>CO</v>
      </c>
      <c r="Z259" s="20" t="str">
        <f>_xlfn.XLOOKUP($B259,[1]F27!$C:$C,[1]F27!$BV:$BV)</f>
        <v>#ERROR!</v>
      </c>
      <c r="AA259" s="1"/>
      <c r="AB259" s="1"/>
      <c r="AC259" s="23"/>
      <c r="AD259" s="1" t="str">
        <f>_xlfn.XLOOKUP($B259,[1]F27!$C:$C,[1]F27!$Y:$Y)</f>
        <v>#ERROR!</v>
      </c>
      <c r="AE259" s="1" t="str">
        <f>_xlfn.XLOOKUP($B259,[1]F27!$C:$C,[1]F27!$Z:$Z)</f>
        <v>#ERROR!</v>
      </c>
      <c r="AF259" s="1" t="str">
        <f>_xlfn.XLOOKUP($B259,[2]PRICING!$B:$B,[2]PRICING!$B:$B,"MISSING")</f>
        <v>#ERROR!</v>
      </c>
      <c r="AG259" s="1" t="str">
        <f>COUNTIFS([2]ACTIVE_SCO!$B:$B,$B259,[2]ACTIVE_SCO!$P:$P,"Y")</f>
        <v>#ERROR!</v>
      </c>
      <c r="AH259" s="1"/>
      <c r="AI259" s="1" t="s">
        <v>341</v>
      </c>
      <c r="AJ259" s="1"/>
      <c r="AK259" s="1"/>
      <c r="AL259" s="1"/>
      <c r="AM259" s="1"/>
      <c r="AN259" s="1"/>
      <c r="AO259" s="1"/>
      <c r="AP259" s="1"/>
      <c r="AQ259" s="40" t="s">
        <v>0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ht="11.25" customHeight="1">
      <c r="A260" s="1" t="b">
        <v>0</v>
      </c>
      <c r="B260" s="1" t="s">
        <v>982</v>
      </c>
      <c r="C260" s="1" t="s">
        <v>1912</v>
      </c>
      <c r="D260" s="1" t="s">
        <v>65</v>
      </c>
      <c r="E260" s="1"/>
      <c r="F260" s="1"/>
      <c r="G260" s="1" t="s">
        <v>66</v>
      </c>
      <c r="H260" s="1"/>
      <c r="I260" s="1" t="s">
        <v>113</v>
      </c>
      <c r="J260" s="1" t="s">
        <v>69</v>
      </c>
      <c r="K260" s="1" t="s">
        <v>107</v>
      </c>
      <c r="L260" s="1" t="s">
        <v>0</v>
      </c>
      <c r="M260" s="1" t="b">
        <v>1</v>
      </c>
      <c r="N260" s="1" t="b">
        <v>0</v>
      </c>
      <c r="O260" s="19">
        <v>2000.0</v>
      </c>
      <c r="P260" s="20">
        <v>2.1</v>
      </c>
      <c r="Q260" s="20">
        <v>952.38</v>
      </c>
      <c r="R260" s="21">
        <v>0.7018942018942019</v>
      </c>
      <c r="S260" s="1" t="s">
        <v>117</v>
      </c>
      <c r="T260" s="1" t="s">
        <v>0</v>
      </c>
      <c r="U260" s="1" t="s">
        <v>81</v>
      </c>
      <c r="V260" s="1" t="s">
        <v>81</v>
      </c>
      <c r="W260" s="1" t="s">
        <v>0</v>
      </c>
      <c r="X260" s="1" t="s">
        <v>156</v>
      </c>
      <c r="Y260" s="22" t="str">
        <f t="shared" si="3"/>
        <v>CO</v>
      </c>
      <c r="Z260" s="20" t="str">
        <f>_xlfn.XLOOKUP($B260,[1]F27!$C:$C,[1]F27!$BV:$BV)</f>
        <v>#ERROR!</v>
      </c>
      <c r="AA260" s="1"/>
      <c r="AB260" s="1"/>
      <c r="AC260" s="23"/>
      <c r="AD260" s="1" t="str">
        <f>_xlfn.XLOOKUP($B260,[1]F27!$C:$C,[1]F27!$Y:$Y)</f>
        <v>#ERROR!</v>
      </c>
      <c r="AE260" s="1" t="str">
        <f>_xlfn.XLOOKUP($B260,[1]F27!$C:$C,[1]F27!$Z:$Z)</f>
        <v>#ERROR!</v>
      </c>
      <c r="AF260" s="1" t="str">
        <f>_xlfn.XLOOKUP($B260,[2]PRICING!$B:$B,[2]PRICING!$B:$B,"MISSING")</f>
        <v>#ERROR!</v>
      </c>
      <c r="AG260" s="1" t="str">
        <f>COUNTIFS([2]ACTIVE_SCO!$B:$B,$B260,[2]ACTIVE_SCO!$P:$P,"Y")</f>
        <v>#ERROR!</v>
      </c>
      <c r="AH260" s="1"/>
      <c r="AI260" s="1" t="s">
        <v>341</v>
      </c>
      <c r="AJ260" s="1"/>
      <c r="AK260" s="1"/>
      <c r="AL260" s="1"/>
      <c r="AM260" s="1"/>
      <c r="AN260" s="1"/>
      <c r="AO260" s="1"/>
      <c r="AP260" s="1"/>
      <c r="AQ260" s="40" t="s">
        <v>0</v>
      </c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ht="11.25" customHeight="1">
      <c r="A261" s="1" t="b">
        <v>0</v>
      </c>
      <c r="B261" s="1" t="s">
        <v>984</v>
      </c>
      <c r="C261" s="1" t="s">
        <v>1914</v>
      </c>
      <c r="D261" s="1" t="s">
        <v>65</v>
      </c>
      <c r="E261" s="1"/>
      <c r="F261" s="1"/>
      <c r="G261" s="1" t="s">
        <v>66</v>
      </c>
      <c r="H261" s="1"/>
      <c r="I261" s="1" t="s">
        <v>68</v>
      </c>
      <c r="J261" s="1" t="s">
        <v>69</v>
      </c>
      <c r="K261" s="1" t="s">
        <v>70</v>
      </c>
      <c r="L261" s="1" t="s">
        <v>0</v>
      </c>
      <c r="M261" s="1" t="b">
        <v>1</v>
      </c>
      <c r="N261" s="1" t="b">
        <v>0</v>
      </c>
      <c r="O261" s="19">
        <v>4000.0</v>
      </c>
      <c r="P261" s="20">
        <v>2.1</v>
      </c>
      <c r="Q261" s="20">
        <v>1904.76</v>
      </c>
      <c r="R261" s="21">
        <v>0.5652628152628152</v>
      </c>
      <c r="S261" s="1" t="s">
        <v>117</v>
      </c>
      <c r="T261" s="1" t="s">
        <v>0</v>
      </c>
      <c r="U261" s="1" t="s">
        <v>80</v>
      </c>
      <c r="V261" s="1" t="s">
        <v>81</v>
      </c>
      <c r="W261" s="1" t="s">
        <v>0</v>
      </c>
      <c r="X261" s="1" t="s">
        <v>156</v>
      </c>
      <c r="Y261" s="22" t="str">
        <f t="shared" si="3"/>
        <v>CO</v>
      </c>
      <c r="Z261" s="20" t="str">
        <f>_xlfn.XLOOKUP($B261,[1]F27!$C:$C,[1]F27!$BV:$BV)</f>
        <v>#ERROR!</v>
      </c>
      <c r="AA261" s="1"/>
      <c r="AB261" s="1"/>
      <c r="AC261" s="23"/>
      <c r="AD261" s="1" t="str">
        <f>_xlfn.XLOOKUP($B261,[1]F27!$C:$C,[1]F27!$Y:$Y)</f>
        <v>#ERROR!</v>
      </c>
      <c r="AE261" s="1" t="str">
        <f>_xlfn.XLOOKUP($B261,[1]F27!$C:$C,[1]F27!$Z:$Z)</f>
        <v>#ERROR!</v>
      </c>
      <c r="AF261" s="1" t="str">
        <f>_xlfn.XLOOKUP($B261,[2]PRICING!$B:$B,[2]PRICING!$B:$B,"MISSING")</f>
        <v>#ERROR!</v>
      </c>
      <c r="AG261" s="1" t="str">
        <f>COUNTIFS([2]ACTIVE_SCO!$B:$B,$B261,[2]ACTIVE_SCO!$P:$P,"Y")</f>
        <v>#ERROR!</v>
      </c>
      <c r="AH261" s="1"/>
      <c r="AI261" s="1" t="s">
        <v>341</v>
      </c>
      <c r="AJ261" s="1"/>
      <c r="AK261" s="1"/>
      <c r="AL261" s="1"/>
      <c r="AM261" s="1"/>
      <c r="AN261" s="1"/>
      <c r="AO261" s="1"/>
      <c r="AP261" s="1"/>
      <c r="AQ261" s="40" t="s">
        <v>0</v>
      </c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ht="11.25" customHeight="1">
      <c r="A262" s="1" t="b">
        <v>0</v>
      </c>
      <c r="B262" s="1" t="s">
        <v>988</v>
      </c>
      <c r="C262" s="1" t="s">
        <v>1916</v>
      </c>
      <c r="D262" s="1" t="s">
        <v>65</v>
      </c>
      <c r="E262" s="1"/>
      <c r="F262" s="1"/>
      <c r="G262" s="1" t="s">
        <v>66</v>
      </c>
      <c r="H262" s="1"/>
      <c r="I262" s="1" t="s">
        <v>68</v>
      </c>
      <c r="J262" s="1" t="s">
        <v>69</v>
      </c>
      <c r="K262" s="1" t="s">
        <v>107</v>
      </c>
      <c r="L262" s="1" t="s">
        <v>0</v>
      </c>
      <c r="M262" s="1" t="b">
        <v>1</v>
      </c>
      <c r="N262" s="1" t="b">
        <v>0</v>
      </c>
      <c r="O262" s="19">
        <v>4000.0</v>
      </c>
      <c r="P262" s="20">
        <v>2.1</v>
      </c>
      <c r="Q262" s="20">
        <v>1904.76</v>
      </c>
      <c r="R262" s="21">
        <v>0.5949935949935949</v>
      </c>
      <c r="S262" s="1" t="s">
        <v>117</v>
      </c>
      <c r="T262" s="1" t="s">
        <v>0</v>
      </c>
      <c r="U262" s="1" t="s">
        <v>80</v>
      </c>
      <c r="V262" s="1" t="s">
        <v>81</v>
      </c>
      <c r="W262" s="1" t="s">
        <v>0</v>
      </c>
      <c r="X262" s="1" t="s">
        <v>156</v>
      </c>
      <c r="Y262" s="22" t="str">
        <f t="shared" si="3"/>
        <v>CO</v>
      </c>
      <c r="Z262" s="20" t="str">
        <f>_xlfn.XLOOKUP($B262,[1]F27!$C:$C,[1]F27!$BV:$BV)</f>
        <v>#ERROR!</v>
      </c>
      <c r="AA262" s="1"/>
      <c r="AB262" s="1"/>
      <c r="AC262" s="23"/>
      <c r="AD262" s="1" t="str">
        <f>_xlfn.XLOOKUP($B262,[1]F27!$C:$C,[1]F27!$Y:$Y)</f>
        <v>#ERROR!</v>
      </c>
      <c r="AE262" s="1" t="str">
        <f>_xlfn.XLOOKUP($B262,[1]F27!$C:$C,[1]F27!$Z:$Z)</f>
        <v>#ERROR!</v>
      </c>
      <c r="AF262" s="1" t="str">
        <f>_xlfn.XLOOKUP($B262,[2]PRICING!$B:$B,[2]PRICING!$B:$B,"MISSING")</f>
        <v>#ERROR!</v>
      </c>
      <c r="AG262" s="1" t="str">
        <f>COUNTIFS([2]ACTIVE_SCO!$B:$B,$B262,[2]ACTIVE_SCO!$P:$P,"Y")</f>
        <v>#ERROR!</v>
      </c>
      <c r="AH262" s="1"/>
      <c r="AI262" s="1" t="s">
        <v>341</v>
      </c>
      <c r="AJ262" s="1"/>
      <c r="AK262" s="1"/>
      <c r="AL262" s="1"/>
      <c r="AM262" s="1"/>
      <c r="AN262" s="1"/>
      <c r="AO262" s="1"/>
      <c r="AP262" s="1"/>
      <c r="AQ262" s="40" t="s">
        <v>0</v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ht="11.25" customHeight="1">
      <c r="A263" s="1" t="b">
        <v>1</v>
      </c>
      <c r="B263" s="1" t="s">
        <v>1786</v>
      </c>
      <c r="C263" s="1" t="s">
        <v>1787</v>
      </c>
      <c r="D263" s="1" t="s">
        <v>65</v>
      </c>
      <c r="E263" s="1"/>
      <c r="F263" s="1"/>
      <c r="G263" s="1" t="s">
        <v>247</v>
      </c>
      <c r="H263" s="1"/>
      <c r="I263" s="1" t="s">
        <v>68</v>
      </c>
      <c r="J263" s="1" t="s">
        <v>69</v>
      </c>
      <c r="K263" s="1" t="s">
        <v>70</v>
      </c>
      <c r="L263" s="1" t="s">
        <v>0</v>
      </c>
      <c r="M263" s="1" t="b">
        <v>1</v>
      </c>
      <c r="N263" s="1" t="b">
        <v>0</v>
      </c>
      <c r="O263" s="19">
        <v>8000.0</v>
      </c>
      <c r="P263" s="20">
        <v>2.1</v>
      </c>
      <c r="Q263" s="20">
        <v>3809.52</v>
      </c>
      <c r="R263" s="21">
        <v>0.5833622083622083</v>
      </c>
      <c r="S263" s="1" t="s">
        <v>242</v>
      </c>
      <c r="T263" s="1" t="s">
        <v>0</v>
      </c>
      <c r="U263" s="1" t="s">
        <v>80</v>
      </c>
      <c r="V263" s="1" t="s">
        <v>359</v>
      </c>
      <c r="W263" s="1" t="s">
        <v>0</v>
      </c>
      <c r="X263" s="1" t="s">
        <v>0</v>
      </c>
      <c r="Y263" s="22" t="str">
        <f t="shared" si="3"/>
        <v>CO</v>
      </c>
      <c r="Z263" s="20" t="str">
        <f>_xlfn.XLOOKUP($B263,[1]F27!$C:$C,[1]F27!$BV:$BV)</f>
        <v>#ERROR!</v>
      </c>
      <c r="AA263" s="1"/>
      <c r="AB263" s="1"/>
      <c r="AC263" s="23"/>
      <c r="AD263" s="1" t="str">
        <f>_xlfn.XLOOKUP($B263,[1]F27!$C:$C,[1]F27!$Y:$Y)</f>
        <v>#ERROR!</v>
      </c>
      <c r="AE263" s="1" t="str">
        <f>_xlfn.XLOOKUP($B263,[1]F27!$C:$C,[1]F27!$Z:$Z)</f>
        <v>#ERROR!</v>
      </c>
      <c r="AF263" s="1" t="str">
        <f>_xlfn.XLOOKUP($B263,[2]PRICING!$B:$B,[2]PRICING!$B:$B,"MISSING")</f>
        <v>#ERROR!</v>
      </c>
      <c r="AG263" s="1" t="str">
        <f>COUNTIFS([2]ACTIVE_SCO!$B:$B,$B263,[2]ACTIVE_SCO!$P:$P,"Y")</f>
        <v>#ERROR!</v>
      </c>
      <c r="AH263" s="1"/>
      <c r="AI263" s="37" t="s">
        <v>157</v>
      </c>
      <c r="AJ263" s="38" t="s">
        <v>2000</v>
      </c>
      <c r="AK263" s="39" t="s">
        <v>204</v>
      </c>
      <c r="AL263" s="39" t="s">
        <v>0</v>
      </c>
      <c r="AM263" s="1" t="s">
        <v>125</v>
      </c>
      <c r="AN263" s="40" t="s">
        <v>174</v>
      </c>
      <c r="AO263" s="41" t="s">
        <v>776</v>
      </c>
      <c r="AP263" s="41" t="s">
        <v>777</v>
      </c>
      <c r="AQ263" s="40" t="s">
        <v>0</v>
      </c>
      <c r="AR263" s="54"/>
      <c r="AS263" s="1" t="s">
        <v>68</v>
      </c>
      <c r="AT263" s="1" t="s">
        <v>175</v>
      </c>
      <c r="AU263" s="1" t="s">
        <v>206</v>
      </c>
      <c r="AV263" s="1" t="s">
        <v>91</v>
      </c>
      <c r="AW263" s="1"/>
      <c r="AX263" s="1"/>
      <c r="AY263" s="1"/>
      <c r="AZ263" s="1"/>
      <c r="BA263" s="1" t="s">
        <v>204</v>
      </c>
      <c r="BB263" s="1" t="s">
        <v>0</v>
      </c>
      <c r="BC263" s="1"/>
      <c r="BD263" s="1"/>
    </row>
    <row r="264" ht="11.25" customHeight="1">
      <c r="A264" s="1" t="b">
        <v>1</v>
      </c>
      <c r="B264" s="1" t="s">
        <v>1788</v>
      </c>
      <c r="C264" s="1" t="s">
        <v>1789</v>
      </c>
      <c r="D264" s="1" t="s">
        <v>65</v>
      </c>
      <c r="E264" s="1"/>
      <c r="F264" s="1"/>
      <c r="G264" s="1" t="s">
        <v>247</v>
      </c>
      <c r="H264" s="1"/>
      <c r="I264" s="1" t="s">
        <v>68</v>
      </c>
      <c r="J264" s="1" t="s">
        <v>69</v>
      </c>
      <c r="K264" s="1" t="s">
        <v>107</v>
      </c>
      <c r="L264" s="1" t="s">
        <v>0</v>
      </c>
      <c r="M264" s="1" t="b">
        <v>1</v>
      </c>
      <c r="N264" s="1" t="b">
        <v>0</v>
      </c>
      <c r="O264" s="19">
        <v>8000.0</v>
      </c>
      <c r="P264" s="20">
        <v>2.1</v>
      </c>
      <c r="Q264" s="20">
        <v>3809.52</v>
      </c>
      <c r="R264" s="21">
        <v>0.594972594972595</v>
      </c>
      <c r="S264" s="1" t="s">
        <v>242</v>
      </c>
      <c r="T264" s="1" t="s">
        <v>0</v>
      </c>
      <c r="U264" s="1" t="s">
        <v>80</v>
      </c>
      <c r="V264" s="1" t="s">
        <v>359</v>
      </c>
      <c r="W264" s="1" t="s">
        <v>0</v>
      </c>
      <c r="X264" s="1" t="s">
        <v>0</v>
      </c>
      <c r="Y264" s="22" t="str">
        <f t="shared" si="3"/>
        <v>CO</v>
      </c>
      <c r="Z264" s="20" t="str">
        <f>_xlfn.XLOOKUP($B264,[1]F27!$C:$C,[1]F27!$BV:$BV)</f>
        <v>#ERROR!</v>
      </c>
      <c r="AA264" s="1"/>
      <c r="AB264" s="1"/>
      <c r="AC264" s="23"/>
      <c r="AD264" s="1" t="str">
        <f>_xlfn.XLOOKUP($B264,[1]F27!$C:$C,[1]F27!$Y:$Y)</f>
        <v>#ERROR!</v>
      </c>
      <c r="AE264" s="1" t="str">
        <f>_xlfn.XLOOKUP($B264,[1]F27!$C:$C,[1]F27!$Z:$Z)</f>
        <v>#ERROR!</v>
      </c>
      <c r="AF264" s="1" t="str">
        <f>_xlfn.XLOOKUP($B264,[2]PRICING!$B:$B,[2]PRICING!$B:$B,"MISSING")</f>
        <v>#ERROR!</v>
      </c>
      <c r="AG264" s="1" t="str">
        <f>COUNTIFS([2]ACTIVE_SCO!$B:$B,$B264,[2]ACTIVE_SCO!$P:$P,"Y")</f>
        <v>#ERROR!</v>
      </c>
      <c r="AH264" s="1"/>
      <c r="AI264" s="37" t="s">
        <v>157</v>
      </c>
      <c r="AJ264" s="38" t="s">
        <v>2001</v>
      </c>
      <c r="AK264" s="39" t="s">
        <v>204</v>
      </c>
      <c r="AL264" s="39" t="s">
        <v>0</v>
      </c>
      <c r="AM264" s="1" t="s">
        <v>125</v>
      </c>
      <c r="AN264" s="40" t="s">
        <v>174</v>
      </c>
      <c r="AO264" s="41" t="s">
        <v>776</v>
      </c>
      <c r="AP264" s="41" t="s">
        <v>777</v>
      </c>
      <c r="AQ264" s="40" t="s">
        <v>0</v>
      </c>
      <c r="AR264" s="54"/>
      <c r="AS264" s="1" t="s">
        <v>68</v>
      </c>
      <c r="AT264" s="1" t="s">
        <v>175</v>
      </c>
      <c r="AU264" s="1" t="s">
        <v>206</v>
      </c>
      <c r="AV264" s="1" t="s">
        <v>91</v>
      </c>
      <c r="AW264" s="1"/>
      <c r="AX264" s="1"/>
      <c r="AY264" s="1"/>
      <c r="AZ264" s="1"/>
      <c r="BA264" s="1" t="s">
        <v>204</v>
      </c>
      <c r="BB264" s="1" t="s">
        <v>0</v>
      </c>
      <c r="BC264" s="1"/>
      <c r="BD264" s="1"/>
    </row>
    <row r="265" ht="11.25" customHeight="1">
      <c r="A265" s="1" t="b">
        <v>1</v>
      </c>
      <c r="B265" s="1" t="s">
        <v>1792</v>
      </c>
      <c r="C265" s="1" t="s">
        <v>1793</v>
      </c>
      <c r="D265" s="1" t="s">
        <v>65</v>
      </c>
      <c r="E265" s="1"/>
      <c r="F265" s="1"/>
      <c r="G265" s="1" t="s">
        <v>220</v>
      </c>
      <c r="H265" s="1"/>
      <c r="I265" s="1" t="s">
        <v>68</v>
      </c>
      <c r="J265" s="1" t="s">
        <v>69</v>
      </c>
      <c r="K265" s="1" t="s">
        <v>70</v>
      </c>
      <c r="L265" s="1" t="s">
        <v>0</v>
      </c>
      <c r="M265" s="1" t="b">
        <v>1</v>
      </c>
      <c r="N265" s="1" t="b">
        <v>0</v>
      </c>
      <c r="O265" s="19">
        <v>6500.0</v>
      </c>
      <c r="P265" s="20">
        <v>1.9</v>
      </c>
      <c r="Q265" s="20">
        <v>3421.05</v>
      </c>
      <c r="R265" s="21">
        <v>0.5118107013928472</v>
      </c>
      <c r="S265" s="1" t="s">
        <v>117</v>
      </c>
      <c r="T265" s="1" t="s">
        <v>0</v>
      </c>
      <c r="U265" s="1" t="s">
        <v>80</v>
      </c>
      <c r="V265" s="1" t="s">
        <v>81</v>
      </c>
      <c r="W265" s="1" t="s">
        <v>0</v>
      </c>
      <c r="X265" s="1" t="s">
        <v>0</v>
      </c>
      <c r="Y265" s="22" t="str">
        <f t="shared" si="3"/>
        <v>CO</v>
      </c>
      <c r="Z265" s="20" t="str">
        <f>_xlfn.XLOOKUP($B265,[1]F27!$C:$C,[1]F27!$BV:$BV)</f>
        <v>#ERROR!</v>
      </c>
      <c r="AA265" s="1"/>
      <c r="AB265" s="1"/>
      <c r="AC265" s="23"/>
      <c r="AD265" s="1" t="str">
        <f>_xlfn.XLOOKUP($B265,[1]F27!$C:$C,[1]F27!$Y:$Y)</f>
        <v>#ERROR!</v>
      </c>
      <c r="AE265" s="1" t="str">
        <f>_xlfn.XLOOKUP($B265,[1]F27!$C:$C,[1]F27!$Z:$Z)</f>
        <v>#ERROR!</v>
      </c>
      <c r="AF265" s="1" t="str">
        <f>_xlfn.XLOOKUP($B265,[2]PRICING!$B:$B,[2]PRICING!$B:$B,"MISSING")</f>
        <v>#ERROR!</v>
      </c>
      <c r="AG265" s="1" t="str">
        <f>COUNTIFS([2]ACTIVE_SCO!$B:$B,$B265,[2]ACTIVE_SCO!$P:$P,"Y")</f>
        <v>#ERROR!</v>
      </c>
      <c r="AH265" s="1"/>
      <c r="AI265" s="37" t="s">
        <v>157</v>
      </c>
      <c r="AJ265" s="38" t="s">
        <v>2005</v>
      </c>
      <c r="AK265" s="39" t="s">
        <v>204</v>
      </c>
      <c r="AL265" s="39" t="s">
        <v>0</v>
      </c>
      <c r="AM265" s="1" t="s">
        <v>226</v>
      </c>
      <c r="AN265" s="40" t="s">
        <v>1641</v>
      </c>
      <c r="AO265" s="41" t="s">
        <v>226</v>
      </c>
      <c r="AP265" s="41" t="s">
        <v>1641</v>
      </c>
      <c r="AQ265" s="40" t="s">
        <v>0</v>
      </c>
      <c r="AR265" s="39"/>
      <c r="AS265" s="1" t="s">
        <v>68</v>
      </c>
      <c r="AT265" s="1" t="s">
        <v>89</v>
      </c>
      <c r="AU265" s="1" t="s">
        <v>132</v>
      </c>
      <c r="AV265" s="1" t="s">
        <v>91</v>
      </c>
      <c r="AW265" s="1"/>
      <c r="AX265" s="1"/>
      <c r="AY265" s="1"/>
      <c r="AZ265" s="1"/>
      <c r="BA265" s="1" t="s">
        <v>204</v>
      </c>
      <c r="BB265" s="1" t="s">
        <v>0</v>
      </c>
      <c r="BC265" s="1"/>
      <c r="BD265" s="1"/>
    </row>
    <row r="266" ht="11.25" customHeight="1">
      <c r="A266" s="1" t="b">
        <v>1</v>
      </c>
      <c r="B266" s="1" t="s">
        <v>1794</v>
      </c>
      <c r="C266" s="1" t="s">
        <v>1795</v>
      </c>
      <c r="D266" s="1" t="s">
        <v>65</v>
      </c>
      <c r="E266" s="1"/>
      <c r="F266" s="1"/>
      <c r="G266" s="1" t="s">
        <v>220</v>
      </c>
      <c r="H266" s="1"/>
      <c r="I266" s="1" t="s">
        <v>68</v>
      </c>
      <c r="J266" s="1" t="s">
        <v>69</v>
      </c>
      <c r="K266" s="1" t="s">
        <v>107</v>
      </c>
      <c r="L266" s="1" t="s">
        <v>0</v>
      </c>
      <c r="M266" s="1" t="b">
        <v>1</v>
      </c>
      <c r="N266" s="1" t="b">
        <v>0</v>
      </c>
      <c r="O266" s="19">
        <v>6500.0</v>
      </c>
      <c r="P266" s="20">
        <v>1.9</v>
      </c>
      <c r="Q266" s="20">
        <v>3421.05</v>
      </c>
      <c r="R266" s="21">
        <v>0.5328188713991319</v>
      </c>
      <c r="S266" s="1" t="s">
        <v>117</v>
      </c>
      <c r="T266" s="1" t="s">
        <v>0</v>
      </c>
      <c r="U266" s="1" t="s">
        <v>80</v>
      </c>
      <c r="V266" s="1" t="s">
        <v>81</v>
      </c>
      <c r="W266" s="1" t="s">
        <v>0</v>
      </c>
      <c r="X266" s="1" t="s">
        <v>0</v>
      </c>
      <c r="Y266" s="22" t="str">
        <f t="shared" si="3"/>
        <v>CO</v>
      </c>
      <c r="Z266" s="20" t="str">
        <f>_xlfn.XLOOKUP($B266,[1]F27!$C:$C,[1]F27!$BV:$BV)</f>
        <v>#ERROR!</v>
      </c>
      <c r="AA266" s="1"/>
      <c r="AB266" s="1"/>
      <c r="AC266" s="23"/>
      <c r="AD266" s="1" t="str">
        <f>_xlfn.XLOOKUP($B266,[1]F27!$C:$C,[1]F27!$Y:$Y)</f>
        <v>#ERROR!</v>
      </c>
      <c r="AE266" s="1" t="str">
        <f>_xlfn.XLOOKUP($B266,[1]F27!$C:$C,[1]F27!$Z:$Z)</f>
        <v>#ERROR!</v>
      </c>
      <c r="AF266" s="1" t="str">
        <f>_xlfn.XLOOKUP($B266,[2]PRICING!$B:$B,[2]PRICING!$B:$B,"MISSING")</f>
        <v>#ERROR!</v>
      </c>
      <c r="AG266" s="1" t="str">
        <f>COUNTIFS([2]ACTIVE_SCO!$B:$B,$B266,[2]ACTIVE_SCO!$P:$P,"Y")</f>
        <v>#ERROR!</v>
      </c>
      <c r="AH266" s="1"/>
      <c r="AI266" s="37" t="s">
        <v>157</v>
      </c>
      <c r="AJ266" s="38" t="s">
        <v>2010</v>
      </c>
      <c r="AK266" s="39" t="s">
        <v>204</v>
      </c>
      <c r="AL266" s="39" t="s">
        <v>0</v>
      </c>
      <c r="AM266" s="1" t="s">
        <v>226</v>
      </c>
      <c r="AN266" s="40" t="s">
        <v>1641</v>
      </c>
      <c r="AO266" s="41" t="s">
        <v>226</v>
      </c>
      <c r="AP266" s="41" t="s">
        <v>1641</v>
      </c>
      <c r="AQ266" s="40" t="s">
        <v>0</v>
      </c>
      <c r="AR266" s="39"/>
      <c r="AS266" s="1" t="s">
        <v>68</v>
      </c>
      <c r="AT266" s="1" t="s">
        <v>89</v>
      </c>
      <c r="AU266" s="1" t="s">
        <v>132</v>
      </c>
      <c r="AV266" s="1" t="s">
        <v>91</v>
      </c>
      <c r="AW266" s="1"/>
      <c r="AX266" s="1"/>
      <c r="AY266" s="1"/>
      <c r="AZ266" s="1"/>
      <c r="BA266" s="1" t="s">
        <v>204</v>
      </c>
      <c r="BB266" s="1" t="s">
        <v>0</v>
      </c>
      <c r="BC266" s="1"/>
      <c r="BD266" s="1"/>
    </row>
    <row r="267" ht="11.25" customHeight="1">
      <c r="A267" s="1" t="b">
        <v>1</v>
      </c>
      <c r="B267" s="1" t="s">
        <v>1000</v>
      </c>
      <c r="C267" s="1" t="s">
        <v>1001</v>
      </c>
      <c r="D267" s="1" t="s">
        <v>1002</v>
      </c>
      <c r="E267" s="1"/>
      <c r="F267" s="1"/>
      <c r="G267" s="1" t="s">
        <v>66</v>
      </c>
      <c r="H267" s="1"/>
      <c r="I267" s="1" t="s">
        <v>1003</v>
      </c>
      <c r="J267" s="1" t="s">
        <v>69</v>
      </c>
      <c r="K267" s="1" t="s">
        <v>70</v>
      </c>
      <c r="L267" s="1" t="s">
        <v>0</v>
      </c>
      <c r="M267" s="1" t="b">
        <v>1</v>
      </c>
      <c r="N267" s="1" t="b">
        <v>0</v>
      </c>
      <c r="O267" s="19">
        <v>1700.0</v>
      </c>
      <c r="P267" s="20">
        <v>2.08</v>
      </c>
      <c r="Q267" s="20">
        <v>817.31</v>
      </c>
      <c r="R267" s="21">
        <v>0.5859343455971417</v>
      </c>
      <c r="S267" s="1" t="s">
        <v>117</v>
      </c>
      <c r="T267" s="1" t="s">
        <v>0</v>
      </c>
      <c r="U267" s="1" t="s">
        <v>81</v>
      </c>
      <c r="V267" s="1" t="s">
        <v>81</v>
      </c>
      <c r="W267" s="1" t="s">
        <v>0</v>
      </c>
      <c r="X267" s="1" t="s">
        <v>0</v>
      </c>
      <c r="Y267" s="22" t="str">
        <f t="shared" si="3"/>
        <v>CO</v>
      </c>
      <c r="Z267" s="20" t="str">
        <f>_xlfn.XLOOKUP($B267,[1]F27!$C:$C,[1]F27!$BV:$BV)</f>
        <v>#ERROR!</v>
      </c>
      <c r="AA267" s="1"/>
      <c r="AB267" s="1"/>
      <c r="AC267" s="23"/>
      <c r="AD267" s="1" t="str">
        <f>_xlfn.XLOOKUP($B267,[1]F27!$C:$C,[1]F27!$Y:$Y)</f>
        <v>#ERROR!</v>
      </c>
      <c r="AE267" s="1" t="str">
        <f>_xlfn.XLOOKUP($B267,[1]F27!$C:$C,[1]F27!$Z:$Z)</f>
        <v>#ERROR!</v>
      </c>
      <c r="AF267" s="1" t="str">
        <f>_xlfn.XLOOKUP($B267,[2]PRICING!$B:$B,[2]PRICING!$B:$B,"MISSING")</f>
        <v>#ERROR!</v>
      </c>
      <c r="AG267" s="1" t="str">
        <f>COUNTIFS([2]ACTIVE_SCO!$B:$B,$B267,[2]ACTIVE_SCO!$P:$P,"Y")</f>
        <v>#ERROR!</v>
      </c>
      <c r="AH267" s="1"/>
      <c r="AI267" s="37" t="s">
        <v>157</v>
      </c>
      <c r="AJ267" s="23"/>
      <c r="AK267" s="39" t="s">
        <v>366</v>
      </c>
      <c r="AL267" s="39" t="s">
        <v>0</v>
      </c>
      <c r="AM267" s="1" t="s">
        <v>86</v>
      </c>
      <c r="AN267" s="40" t="s">
        <v>512</v>
      </c>
      <c r="AO267" s="41" t="s">
        <v>86</v>
      </c>
      <c r="AP267" s="41" t="s">
        <v>169</v>
      </c>
      <c r="AQ267" s="40" t="s">
        <v>0</v>
      </c>
      <c r="AR267" s="39"/>
      <c r="AS267" s="1" t="s">
        <v>1002</v>
      </c>
      <c r="AT267" s="1" t="s">
        <v>1005</v>
      </c>
      <c r="AU267" s="1" t="s">
        <v>1006</v>
      </c>
      <c r="AV267" s="1" t="s">
        <v>131</v>
      </c>
      <c r="AW267" s="1"/>
      <c r="AX267" s="1"/>
      <c r="AY267" s="1"/>
      <c r="AZ267" s="1"/>
      <c r="BA267" s="1" t="s">
        <v>366</v>
      </c>
      <c r="BB267" s="1" t="s">
        <v>0</v>
      </c>
      <c r="BC267" s="1"/>
      <c r="BD267" s="1"/>
    </row>
    <row r="268" ht="11.25" customHeight="1">
      <c r="A268" s="1" t="b">
        <v>1</v>
      </c>
      <c r="B268" s="1" t="s">
        <v>1810</v>
      </c>
      <c r="C268" s="1" t="s">
        <v>1811</v>
      </c>
      <c r="D268" s="1" t="s">
        <v>65</v>
      </c>
      <c r="E268" s="1"/>
      <c r="F268" s="1"/>
      <c r="G268" s="1" t="s">
        <v>220</v>
      </c>
      <c r="H268" s="1"/>
      <c r="I268" s="1" t="s">
        <v>270</v>
      </c>
      <c r="J268" s="1" t="s">
        <v>69</v>
      </c>
      <c r="K268" s="1" t="s">
        <v>70</v>
      </c>
      <c r="L268" s="1" t="s">
        <v>0</v>
      </c>
      <c r="M268" s="1" t="b">
        <v>1</v>
      </c>
      <c r="N268" s="1" t="b">
        <v>0</v>
      </c>
      <c r="O268" s="19">
        <v>2200.0</v>
      </c>
      <c r="P268" s="20">
        <v>1.9</v>
      </c>
      <c r="Q268" s="20">
        <v>1157.89</v>
      </c>
      <c r="R268" s="21">
        <v>0.5128120978676731</v>
      </c>
      <c r="S268" s="1" t="s">
        <v>117</v>
      </c>
      <c r="T268" s="1" t="s">
        <v>0</v>
      </c>
      <c r="U268" s="1" t="s">
        <v>273</v>
      </c>
      <c r="V268" s="1" t="s">
        <v>81</v>
      </c>
      <c r="W268" s="1" t="s">
        <v>0</v>
      </c>
      <c r="X268" s="1" t="s">
        <v>0</v>
      </c>
      <c r="Y268" s="22" t="str">
        <f t="shared" si="3"/>
        <v>CO</v>
      </c>
      <c r="Z268" s="20" t="str">
        <f>_xlfn.XLOOKUP($B268,[1]F27!$C:$C,[1]F27!$BV:$BV)</f>
        <v>#ERROR!</v>
      </c>
      <c r="AA268" s="1"/>
      <c r="AB268" s="1"/>
      <c r="AC268" s="23"/>
      <c r="AD268" s="1" t="str">
        <f>_xlfn.XLOOKUP($B268,[1]F27!$C:$C,[1]F27!$Y:$Y)</f>
        <v>#ERROR!</v>
      </c>
      <c r="AE268" s="1" t="str">
        <f>_xlfn.XLOOKUP($B268,[1]F27!$C:$C,[1]F27!$Z:$Z)</f>
        <v>#ERROR!</v>
      </c>
      <c r="AF268" s="1" t="str">
        <f>_xlfn.XLOOKUP($B268,[2]PRICING!$B:$B,[2]PRICING!$B:$B,"MISSING")</f>
        <v>#ERROR!</v>
      </c>
      <c r="AG268" s="1" t="str">
        <f>COUNTIFS([2]ACTIVE_SCO!$B:$B,$B268,[2]ACTIVE_SCO!$P:$P,"Y")</f>
        <v>#ERROR!</v>
      </c>
      <c r="AH268" s="1"/>
      <c r="AI268" s="37" t="s">
        <v>157</v>
      </c>
      <c r="AJ268" s="38" t="s">
        <v>2015</v>
      </c>
      <c r="AK268" s="39" t="s">
        <v>1993</v>
      </c>
      <c r="AL268" s="39" t="s">
        <v>0</v>
      </c>
      <c r="AM268" s="1" t="s">
        <v>226</v>
      </c>
      <c r="AN268" s="40" t="s">
        <v>1641</v>
      </c>
      <c r="AO268" s="41" t="s">
        <v>226</v>
      </c>
      <c r="AP268" s="41" t="s">
        <v>1641</v>
      </c>
      <c r="AQ268" s="40" t="s">
        <v>0</v>
      </c>
      <c r="AR268" s="39"/>
      <c r="AS268" s="1" t="s">
        <v>276</v>
      </c>
      <c r="AT268" s="1" t="s">
        <v>161</v>
      </c>
      <c r="AU268" s="1" t="s">
        <v>501</v>
      </c>
      <c r="AV268" s="1" t="s">
        <v>131</v>
      </c>
      <c r="AW268" s="1"/>
      <c r="AX268" s="1"/>
      <c r="AY268" s="1"/>
      <c r="AZ268" s="1"/>
      <c r="BA268" s="1" t="s">
        <v>1993</v>
      </c>
      <c r="BB268" s="1" t="s">
        <v>0</v>
      </c>
      <c r="BC268" s="1"/>
      <c r="BD268" s="1"/>
    </row>
    <row r="269" ht="11.25" customHeight="1">
      <c r="A269" s="1" t="b">
        <v>1</v>
      </c>
      <c r="B269" s="1" t="s">
        <v>1812</v>
      </c>
      <c r="C269" s="1" t="s">
        <v>1813</v>
      </c>
      <c r="D269" s="1" t="s">
        <v>65</v>
      </c>
      <c r="E269" s="1"/>
      <c r="F269" s="1"/>
      <c r="G269" s="1" t="s">
        <v>220</v>
      </c>
      <c r="H269" s="1"/>
      <c r="I269" s="1" t="s">
        <v>270</v>
      </c>
      <c r="J269" s="1" t="s">
        <v>69</v>
      </c>
      <c r="K269" s="1" t="s">
        <v>107</v>
      </c>
      <c r="L269" s="1" t="s">
        <v>0</v>
      </c>
      <c r="M269" s="1" t="b">
        <v>1</v>
      </c>
      <c r="N269" s="1" t="b">
        <v>0</v>
      </c>
      <c r="O269" s="19">
        <v>2200.0</v>
      </c>
      <c r="P269" s="20">
        <v>1.9</v>
      </c>
      <c r="Q269" s="20">
        <v>1157.89</v>
      </c>
      <c r="R269" s="21">
        <v>0.5259998790904145</v>
      </c>
      <c r="S269" s="1" t="s">
        <v>117</v>
      </c>
      <c r="T269" s="1" t="s">
        <v>0</v>
      </c>
      <c r="U269" s="1" t="s">
        <v>273</v>
      </c>
      <c r="V269" s="1" t="s">
        <v>81</v>
      </c>
      <c r="W269" s="1" t="s">
        <v>0</v>
      </c>
      <c r="X269" s="1" t="s">
        <v>0</v>
      </c>
      <c r="Y269" s="22" t="str">
        <f t="shared" si="3"/>
        <v>CO</v>
      </c>
      <c r="Z269" s="20" t="str">
        <f>_xlfn.XLOOKUP($B269,[1]F27!$C:$C,[1]F27!$BV:$BV)</f>
        <v>#ERROR!</v>
      </c>
      <c r="AA269" s="1"/>
      <c r="AB269" s="1"/>
      <c r="AC269" s="23"/>
      <c r="AD269" s="1" t="str">
        <f>_xlfn.XLOOKUP($B269,[1]F27!$C:$C,[1]F27!$Y:$Y)</f>
        <v>#ERROR!</v>
      </c>
      <c r="AE269" s="1" t="str">
        <f>_xlfn.XLOOKUP($B269,[1]F27!$C:$C,[1]F27!$Z:$Z)</f>
        <v>#ERROR!</v>
      </c>
      <c r="AF269" s="1" t="str">
        <f>_xlfn.XLOOKUP($B269,[2]PRICING!$B:$B,[2]PRICING!$B:$B,"MISSING")</f>
        <v>#ERROR!</v>
      </c>
      <c r="AG269" s="1" t="str">
        <f>COUNTIFS([2]ACTIVE_SCO!$B:$B,$B269,[2]ACTIVE_SCO!$P:$P,"Y")</f>
        <v>#ERROR!</v>
      </c>
      <c r="AH269" s="1"/>
      <c r="AI269" s="37" t="s">
        <v>157</v>
      </c>
      <c r="AJ269" s="38" t="s">
        <v>2016</v>
      </c>
      <c r="AK269" s="39" t="s">
        <v>1993</v>
      </c>
      <c r="AL269" s="39" t="s">
        <v>0</v>
      </c>
      <c r="AM269" s="1" t="s">
        <v>226</v>
      </c>
      <c r="AN269" s="40" t="s">
        <v>1641</v>
      </c>
      <c r="AO269" s="41" t="s">
        <v>226</v>
      </c>
      <c r="AP269" s="41" t="s">
        <v>1641</v>
      </c>
      <c r="AQ269" s="40" t="s">
        <v>0</v>
      </c>
      <c r="AR269" s="39"/>
      <c r="AS269" s="1" t="s">
        <v>276</v>
      </c>
      <c r="AT269" s="1" t="s">
        <v>161</v>
      </c>
      <c r="AU269" s="1" t="s">
        <v>501</v>
      </c>
      <c r="AV269" s="1" t="s">
        <v>131</v>
      </c>
      <c r="AW269" s="1"/>
      <c r="AX269" s="1"/>
      <c r="AY269" s="1"/>
      <c r="AZ269" s="1"/>
      <c r="BA269" s="1" t="s">
        <v>1993</v>
      </c>
      <c r="BB269" s="1" t="s">
        <v>0</v>
      </c>
      <c r="BC269" s="1"/>
      <c r="BD269" s="1"/>
    </row>
    <row r="270" ht="11.25" customHeight="1">
      <c r="A270" s="1" t="b">
        <v>1</v>
      </c>
      <c r="B270" s="1" t="s">
        <v>1796</v>
      </c>
      <c r="C270" s="1" t="s">
        <v>1797</v>
      </c>
      <c r="D270" s="1" t="s">
        <v>65</v>
      </c>
      <c r="E270" s="1"/>
      <c r="F270" s="1"/>
      <c r="G270" s="1" t="s">
        <v>220</v>
      </c>
      <c r="H270" s="1"/>
      <c r="I270" s="1" t="s">
        <v>68</v>
      </c>
      <c r="J270" s="1" t="s">
        <v>69</v>
      </c>
      <c r="K270" s="1" t="s">
        <v>70</v>
      </c>
      <c r="L270" s="1" t="s">
        <v>0</v>
      </c>
      <c r="M270" s="1" t="b">
        <v>1</v>
      </c>
      <c r="N270" s="1" t="b">
        <v>0</v>
      </c>
      <c r="O270" s="19">
        <v>5500.0</v>
      </c>
      <c r="P270" s="20">
        <v>1.9</v>
      </c>
      <c r="Q270" s="20">
        <v>2894.74</v>
      </c>
      <c r="R270" s="21">
        <v>0.5575146645294569</v>
      </c>
      <c r="S270" s="1" t="s">
        <v>117</v>
      </c>
      <c r="T270" s="1" t="s">
        <v>0</v>
      </c>
      <c r="U270" s="1" t="s">
        <v>80</v>
      </c>
      <c r="V270" s="1" t="s">
        <v>81</v>
      </c>
      <c r="W270" s="1" t="s">
        <v>0</v>
      </c>
      <c r="X270" s="1" t="s">
        <v>0</v>
      </c>
      <c r="Y270" s="22" t="str">
        <f t="shared" si="3"/>
        <v>CO</v>
      </c>
      <c r="Z270" s="20" t="str">
        <f>_xlfn.XLOOKUP($B270,[1]F27!$C:$C,[1]F27!$BV:$BV)</f>
        <v>#ERROR!</v>
      </c>
      <c r="AA270" s="1"/>
      <c r="AB270" s="1"/>
      <c r="AC270" s="23"/>
      <c r="AD270" s="1" t="str">
        <f>_xlfn.XLOOKUP($B270,[1]F27!$C:$C,[1]F27!$Y:$Y)</f>
        <v>#ERROR!</v>
      </c>
      <c r="AE270" s="1" t="str">
        <f>_xlfn.XLOOKUP($B270,[1]F27!$C:$C,[1]F27!$Z:$Z)</f>
        <v>#ERROR!</v>
      </c>
      <c r="AF270" s="1" t="str">
        <f>_xlfn.XLOOKUP($B270,[2]PRICING!$B:$B,[2]PRICING!$B:$B,"MISSING")</f>
        <v>#ERROR!</v>
      </c>
      <c r="AG270" s="1" t="str">
        <f>COUNTIFS([2]ACTIVE_SCO!$B:$B,$B270,[2]ACTIVE_SCO!$P:$P,"Y")</f>
        <v>#ERROR!</v>
      </c>
      <c r="AH270" s="1"/>
      <c r="AI270" s="37" t="s">
        <v>157</v>
      </c>
      <c r="AJ270" s="38" t="s">
        <v>2017</v>
      </c>
      <c r="AK270" s="39" t="s">
        <v>204</v>
      </c>
      <c r="AL270" s="39" t="s">
        <v>0</v>
      </c>
      <c r="AM270" s="1" t="s">
        <v>226</v>
      </c>
      <c r="AN270" s="40" t="s">
        <v>1641</v>
      </c>
      <c r="AO270" s="41" t="s">
        <v>226</v>
      </c>
      <c r="AP270" s="41" t="s">
        <v>1641</v>
      </c>
      <c r="AQ270" s="40" t="s">
        <v>0</v>
      </c>
      <c r="AR270" s="39"/>
      <c r="AS270" s="1" t="s">
        <v>68</v>
      </c>
      <c r="AT270" s="1" t="s">
        <v>128</v>
      </c>
      <c r="AU270" s="1" t="s">
        <v>132</v>
      </c>
      <c r="AV270" s="1" t="s">
        <v>91</v>
      </c>
      <c r="AW270" s="1"/>
      <c r="AX270" s="1"/>
      <c r="AY270" s="1"/>
      <c r="AZ270" s="1"/>
      <c r="BA270" s="1" t="s">
        <v>204</v>
      </c>
      <c r="BB270" s="1" t="s">
        <v>0</v>
      </c>
      <c r="BC270" s="1"/>
      <c r="BD270" s="1"/>
    </row>
    <row r="271" ht="11.25" customHeight="1">
      <c r="A271" s="1" t="b">
        <v>1</v>
      </c>
      <c r="B271" s="1" t="s">
        <v>1798</v>
      </c>
      <c r="C271" s="1" t="s">
        <v>1799</v>
      </c>
      <c r="D271" s="1" t="s">
        <v>65</v>
      </c>
      <c r="E271" s="1"/>
      <c r="F271" s="1"/>
      <c r="G271" s="1" t="s">
        <v>220</v>
      </c>
      <c r="H271" s="1"/>
      <c r="I271" s="1" t="s">
        <v>68</v>
      </c>
      <c r="J271" s="1" t="s">
        <v>69</v>
      </c>
      <c r="K271" s="1" t="s">
        <v>107</v>
      </c>
      <c r="L271" s="1" t="s">
        <v>0</v>
      </c>
      <c r="M271" s="1" t="b">
        <v>1</v>
      </c>
      <c r="N271" s="1" t="b">
        <v>0</v>
      </c>
      <c r="O271" s="19">
        <v>5500.0</v>
      </c>
      <c r="P271" s="20">
        <v>1.9</v>
      </c>
      <c r="Q271" s="20">
        <v>2894.74</v>
      </c>
      <c r="R271" s="21">
        <v>0.569356833428909</v>
      </c>
      <c r="S271" s="1" t="s">
        <v>117</v>
      </c>
      <c r="T271" s="1" t="s">
        <v>0</v>
      </c>
      <c r="U271" s="1" t="s">
        <v>80</v>
      </c>
      <c r="V271" s="1" t="s">
        <v>81</v>
      </c>
      <c r="W271" s="1" t="s">
        <v>0</v>
      </c>
      <c r="X271" s="1" t="s">
        <v>0</v>
      </c>
      <c r="Y271" s="22" t="str">
        <f t="shared" si="3"/>
        <v>CO</v>
      </c>
      <c r="Z271" s="20" t="str">
        <f>_xlfn.XLOOKUP($B271,[1]F27!$C:$C,[1]F27!$BV:$BV)</f>
        <v>#ERROR!</v>
      </c>
      <c r="AA271" s="1"/>
      <c r="AB271" s="1"/>
      <c r="AC271" s="23"/>
      <c r="AD271" s="1" t="str">
        <f>_xlfn.XLOOKUP($B271,[1]F27!$C:$C,[1]F27!$Y:$Y)</f>
        <v>#ERROR!</v>
      </c>
      <c r="AE271" s="1" t="str">
        <f>_xlfn.XLOOKUP($B271,[1]F27!$C:$C,[1]F27!$Z:$Z)</f>
        <v>#ERROR!</v>
      </c>
      <c r="AF271" s="1" t="str">
        <f>_xlfn.XLOOKUP($B271,[2]PRICING!$B:$B,[2]PRICING!$B:$B,"MISSING")</f>
        <v>#ERROR!</v>
      </c>
      <c r="AG271" s="1" t="str">
        <f>COUNTIFS([2]ACTIVE_SCO!$B:$B,$B271,[2]ACTIVE_SCO!$P:$P,"Y")</f>
        <v>#ERROR!</v>
      </c>
      <c r="AH271" s="1"/>
      <c r="AI271" s="37" t="s">
        <v>157</v>
      </c>
      <c r="AJ271" s="38" t="s">
        <v>2018</v>
      </c>
      <c r="AK271" s="39" t="s">
        <v>204</v>
      </c>
      <c r="AL271" s="39" t="s">
        <v>0</v>
      </c>
      <c r="AM271" s="1" t="s">
        <v>226</v>
      </c>
      <c r="AN271" s="40" t="s">
        <v>1641</v>
      </c>
      <c r="AO271" s="41" t="s">
        <v>226</v>
      </c>
      <c r="AP271" s="41" t="s">
        <v>1641</v>
      </c>
      <c r="AQ271" s="40" t="s">
        <v>0</v>
      </c>
      <c r="AR271" s="39"/>
      <c r="AS271" s="1" t="s">
        <v>68</v>
      </c>
      <c r="AT271" s="1" t="s">
        <v>128</v>
      </c>
      <c r="AU271" s="1" t="s">
        <v>132</v>
      </c>
      <c r="AV271" s="1" t="s">
        <v>91</v>
      </c>
      <c r="AW271" s="1"/>
      <c r="AX271" s="1"/>
      <c r="AY271" s="1"/>
      <c r="AZ271" s="1"/>
      <c r="BA271" s="1" t="s">
        <v>204</v>
      </c>
      <c r="BB271" s="1" t="s">
        <v>0</v>
      </c>
      <c r="BC271" s="1"/>
      <c r="BD271" s="1"/>
    </row>
    <row r="272" ht="11.25" customHeight="1">
      <c r="A272" s="1" t="b">
        <v>1</v>
      </c>
      <c r="B272" s="1" t="s">
        <v>1007</v>
      </c>
      <c r="C272" s="1" t="s">
        <v>1008</v>
      </c>
      <c r="D272" s="1" t="s">
        <v>1002</v>
      </c>
      <c r="E272" s="1"/>
      <c r="F272" s="1"/>
      <c r="G272" s="1" t="s">
        <v>66</v>
      </c>
      <c r="H272" s="1"/>
      <c r="I272" s="1" t="s">
        <v>1003</v>
      </c>
      <c r="J272" s="1" t="s">
        <v>69</v>
      </c>
      <c r="K272" s="1" t="s">
        <v>107</v>
      </c>
      <c r="L272" s="1" t="s">
        <v>0</v>
      </c>
      <c r="M272" s="1" t="b">
        <v>1</v>
      </c>
      <c r="N272" s="1" t="b">
        <v>0</v>
      </c>
      <c r="O272" s="19">
        <v>1700.0</v>
      </c>
      <c r="P272" s="20">
        <v>2.08</v>
      </c>
      <c r="Q272" s="20">
        <v>817.31</v>
      </c>
      <c r="R272" s="21">
        <v>0.5859343455971417</v>
      </c>
      <c r="S272" s="1" t="s">
        <v>117</v>
      </c>
      <c r="T272" s="1" t="s">
        <v>0</v>
      </c>
      <c r="U272" s="1" t="s">
        <v>81</v>
      </c>
      <c r="V272" s="1" t="s">
        <v>81</v>
      </c>
      <c r="W272" s="1" t="s">
        <v>0</v>
      </c>
      <c r="X272" s="1" t="s">
        <v>0</v>
      </c>
      <c r="Y272" s="22" t="str">
        <f t="shared" si="3"/>
        <v>CO</v>
      </c>
      <c r="Z272" s="20" t="str">
        <f>_xlfn.XLOOKUP($B272,[1]F27!$C:$C,[1]F27!$BV:$BV)</f>
        <v>#ERROR!</v>
      </c>
      <c r="AA272" s="1"/>
      <c r="AB272" s="1"/>
      <c r="AC272" s="23"/>
      <c r="AD272" s="1" t="str">
        <f>_xlfn.XLOOKUP($B272,[1]F27!$C:$C,[1]F27!$Y:$Y)</f>
        <v>#ERROR!</v>
      </c>
      <c r="AE272" s="1" t="str">
        <f>_xlfn.XLOOKUP($B272,[1]F27!$C:$C,[1]F27!$Z:$Z)</f>
        <v>#ERROR!</v>
      </c>
      <c r="AF272" s="1" t="str">
        <f>_xlfn.XLOOKUP($B272,[2]PRICING!$B:$B,[2]PRICING!$B:$B,"MISSING")</f>
        <v>#ERROR!</v>
      </c>
      <c r="AG272" s="1" t="str">
        <f>COUNTIFS([2]ACTIVE_SCO!$B:$B,$B272,[2]ACTIVE_SCO!$P:$P,"Y")</f>
        <v>#ERROR!</v>
      </c>
      <c r="AH272" s="1"/>
      <c r="AI272" s="37" t="s">
        <v>157</v>
      </c>
      <c r="AJ272" s="23"/>
      <c r="AK272" s="39"/>
      <c r="AL272" s="39"/>
      <c r="AM272" s="1" t="s">
        <v>86</v>
      </c>
      <c r="AN272" s="40" t="s">
        <v>512</v>
      </c>
      <c r="AO272" s="41" t="s">
        <v>86</v>
      </c>
      <c r="AP272" s="41" t="s">
        <v>169</v>
      </c>
      <c r="AQ272" s="40" t="s">
        <v>0</v>
      </c>
      <c r="AR272" s="39"/>
      <c r="AS272" s="1" t="s">
        <v>1002</v>
      </c>
      <c r="AT272" s="1" t="s">
        <v>1005</v>
      </c>
      <c r="AU272" s="1" t="s">
        <v>1006</v>
      </c>
      <c r="AV272" s="1" t="s">
        <v>131</v>
      </c>
      <c r="AW272" s="1"/>
      <c r="AX272" s="1"/>
      <c r="AY272" s="1"/>
      <c r="AZ272" s="1"/>
      <c r="BA272" s="1"/>
      <c r="BB272" s="1"/>
      <c r="BC272" s="1"/>
      <c r="BD272" s="1"/>
    </row>
    <row r="273" ht="11.25" customHeight="1">
      <c r="A273" s="1" t="b">
        <v>1</v>
      </c>
      <c r="B273" s="1" t="s">
        <v>1696</v>
      </c>
      <c r="C273" s="1" t="s">
        <v>1697</v>
      </c>
      <c r="D273" s="1" t="s">
        <v>1002</v>
      </c>
      <c r="E273" s="1"/>
      <c r="F273" s="1"/>
      <c r="G273" s="1" t="s">
        <v>66</v>
      </c>
      <c r="H273" s="1"/>
      <c r="I273" s="1" t="s">
        <v>1003</v>
      </c>
      <c r="J273" s="1" t="s">
        <v>69</v>
      </c>
      <c r="K273" s="1" t="s">
        <v>70</v>
      </c>
      <c r="L273" s="1" t="s">
        <v>0</v>
      </c>
      <c r="M273" s="1" t="b">
        <v>0</v>
      </c>
      <c r="N273" s="1" t="b">
        <v>0</v>
      </c>
      <c r="O273" s="19">
        <v>1900.0</v>
      </c>
      <c r="P273" s="20">
        <v>2.08</v>
      </c>
      <c r="Q273" s="20">
        <v>913.46</v>
      </c>
      <c r="R273" s="21">
        <v>0.5868894094979529</v>
      </c>
      <c r="S273" s="1" t="s">
        <v>0</v>
      </c>
      <c r="T273" s="1" t="s">
        <v>0</v>
      </c>
      <c r="U273" s="1" t="s">
        <v>166</v>
      </c>
      <c r="V273" s="1" t="s">
        <v>81</v>
      </c>
      <c r="W273" s="1" t="s">
        <v>0</v>
      </c>
      <c r="X273" s="1" t="s">
        <v>0</v>
      </c>
      <c r="Y273" s="22" t="str">
        <f t="shared" si="3"/>
        <v>NEW</v>
      </c>
      <c r="Z273" s="20" t="str">
        <f>_xlfn.XLOOKUP($B273,[1]F27!$C:$C,[1]F27!$BV:$BV)</f>
        <v>#ERROR!</v>
      </c>
      <c r="AA273" s="1"/>
      <c r="AB273" s="1"/>
      <c r="AC273" s="23"/>
      <c r="AD273" s="1" t="str">
        <f>_xlfn.XLOOKUP($B273,[1]F27!$C:$C,[1]F27!$Y:$Y)</f>
        <v>#ERROR!</v>
      </c>
      <c r="AE273" s="1" t="str">
        <f>_xlfn.XLOOKUP($B273,[1]F27!$C:$C,[1]F27!$Z:$Z)</f>
        <v>#ERROR!</v>
      </c>
      <c r="AF273" s="1" t="str">
        <f>_xlfn.XLOOKUP($B273,[2]PRICING!$B:$B,[2]PRICING!$B:$B,"MISSING")</f>
        <v>#ERROR!</v>
      </c>
      <c r="AG273" s="1" t="str">
        <f>COUNTIFS([2]ACTIVE_SCO!$B:$B,$B273,[2]ACTIVE_SCO!$P:$P,"Y")</f>
        <v>#ERROR!</v>
      </c>
      <c r="AH273" s="1"/>
      <c r="AI273" s="37" t="s">
        <v>157</v>
      </c>
      <c r="AJ273" s="23"/>
      <c r="AK273" s="39"/>
      <c r="AL273" s="39"/>
      <c r="AM273" s="1" t="s">
        <v>86</v>
      </c>
      <c r="AN273" s="40" t="s">
        <v>512</v>
      </c>
      <c r="AO273" s="41" t="s">
        <v>86</v>
      </c>
      <c r="AP273" s="41" t="s">
        <v>169</v>
      </c>
      <c r="AQ273" s="40" t="s">
        <v>0</v>
      </c>
      <c r="AR273" s="39"/>
      <c r="AS273" s="1" t="s">
        <v>1002</v>
      </c>
      <c r="AT273" s="1" t="s">
        <v>1005</v>
      </c>
      <c r="AU273" s="1" t="s">
        <v>1016</v>
      </c>
      <c r="AV273" s="1" t="s">
        <v>91</v>
      </c>
      <c r="AW273" s="1"/>
      <c r="AX273" s="1"/>
      <c r="AY273" s="1"/>
      <c r="AZ273" s="1"/>
      <c r="BA273" s="1"/>
      <c r="BB273" s="1"/>
      <c r="BC273" s="1"/>
      <c r="BD273" s="1"/>
    </row>
    <row r="274" ht="11.25" customHeight="1">
      <c r="A274" s="1" t="b">
        <v>1</v>
      </c>
      <c r="B274" s="1" t="s">
        <v>1698</v>
      </c>
      <c r="C274" s="1" t="s">
        <v>1699</v>
      </c>
      <c r="D274" s="1" t="s">
        <v>1002</v>
      </c>
      <c r="E274" s="1"/>
      <c r="F274" s="1"/>
      <c r="G274" s="1" t="s">
        <v>66</v>
      </c>
      <c r="H274" s="1"/>
      <c r="I274" s="1" t="s">
        <v>1003</v>
      </c>
      <c r="J274" s="1" t="s">
        <v>69</v>
      </c>
      <c r="K274" s="1" t="s">
        <v>107</v>
      </c>
      <c r="L274" s="1" t="s">
        <v>0</v>
      </c>
      <c r="M274" s="1" t="b">
        <v>0</v>
      </c>
      <c r="N274" s="1" t="b">
        <v>0</v>
      </c>
      <c r="O274" s="19">
        <v>1900.0</v>
      </c>
      <c r="P274" s="20">
        <v>2.08</v>
      </c>
      <c r="Q274" s="20">
        <v>913.46</v>
      </c>
      <c r="R274" s="21">
        <v>0.577430867251987</v>
      </c>
      <c r="S274" s="1" t="s">
        <v>0</v>
      </c>
      <c r="T274" s="1" t="s">
        <v>0</v>
      </c>
      <c r="U274" s="1" t="s">
        <v>166</v>
      </c>
      <c r="V274" s="1" t="s">
        <v>81</v>
      </c>
      <c r="W274" s="1" t="s">
        <v>0</v>
      </c>
      <c r="X274" s="1" t="s">
        <v>0</v>
      </c>
      <c r="Y274" s="22" t="str">
        <f t="shared" si="3"/>
        <v>NEW</v>
      </c>
      <c r="Z274" s="20" t="str">
        <f>_xlfn.XLOOKUP($B274,[1]F27!$C:$C,[1]F27!$BV:$BV)</f>
        <v>#ERROR!</v>
      </c>
      <c r="AA274" s="1"/>
      <c r="AB274" s="1"/>
      <c r="AC274" s="23"/>
      <c r="AD274" s="1" t="str">
        <f>_xlfn.XLOOKUP($B274,[1]F27!$C:$C,[1]F27!$Y:$Y)</f>
        <v>#ERROR!</v>
      </c>
      <c r="AE274" s="1" t="str">
        <f>_xlfn.XLOOKUP($B274,[1]F27!$C:$C,[1]F27!$Z:$Z)</f>
        <v>#ERROR!</v>
      </c>
      <c r="AF274" s="1" t="str">
        <f>_xlfn.XLOOKUP($B274,[2]PRICING!$B:$B,[2]PRICING!$B:$B,"MISSING")</f>
        <v>#ERROR!</v>
      </c>
      <c r="AG274" s="1" t="str">
        <f>COUNTIFS([2]ACTIVE_SCO!$B:$B,$B274,[2]ACTIVE_SCO!$P:$P,"Y")</f>
        <v>#ERROR!</v>
      </c>
      <c r="AH274" s="1"/>
      <c r="AI274" s="37" t="s">
        <v>157</v>
      </c>
      <c r="AJ274" s="23"/>
      <c r="AK274" s="39"/>
      <c r="AL274" s="39"/>
      <c r="AM274" s="1" t="s">
        <v>86</v>
      </c>
      <c r="AN274" s="40" t="s">
        <v>512</v>
      </c>
      <c r="AO274" s="41" t="s">
        <v>86</v>
      </c>
      <c r="AP274" s="41" t="s">
        <v>169</v>
      </c>
      <c r="AQ274" s="40" t="s">
        <v>0</v>
      </c>
      <c r="AR274" s="39"/>
      <c r="AS274" s="1" t="s">
        <v>1002</v>
      </c>
      <c r="AT274" s="1" t="s">
        <v>1005</v>
      </c>
      <c r="AU274" s="1" t="s">
        <v>1016</v>
      </c>
      <c r="AV274" s="1" t="s">
        <v>91</v>
      </c>
      <c r="AW274" s="1"/>
      <c r="AX274" s="1"/>
      <c r="AY274" s="1"/>
      <c r="AZ274" s="1"/>
      <c r="BA274" s="1"/>
      <c r="BB274" s="1"/>
      <c r="BC274" s="1"/>
      <c r="BD274" s="1"/>
    </row>
    <row r="275" ht="11.25" customHeight="1">
      <c r="A275" s="1" t="b">
        <v>1</v>
      </c>
      <c r="B275" s="1" t="s">
        <v>1700</v>
      </c>
      <c r="C275" s="1" t="s">
        <v>1701</v>
      </c>
      <c r="D275" s="1" t="s">
        <v>1002</v>
      </c>
      <c r="E275" s="1"/>
      <c r="F275" s="1"/>
      <c r="G275" s="1" t="s">
        <v>66</v>
      </c>
      <c r="H275" s="1"/>
      <c r="I275" s="1" t="s">
        <v>1003</v>
      </c>
      <c r="J275" s="1" t="s">
        <v>69</v>
      </c>
      <c r="K275" s="1" t="s">
        <v>70</v>
      </c>
      <c r="L275" s="1" t="s">
        <v>0</v>
      </c>
      <c r="M275" s="1" t="b">
        <v>1</v>
      </c>
      <c r="N275" s="1" t="b">
        <v>0</v>
      </c>
      <c r="O275" s="19">
        <v>2600.0</v>
      </c>
      <c r="P275" s="20">
        <v>2.08</v>
      </c>
      <c r="Q275" s="20">
        <v>1250.0</v>
      </c>
      <c r="R275" s="21">
        <v>0.61752</v>
      </c>
      <c r="S275" s="1" t="s">
        <v>117</v>
      </c>
      <c r="T275" s="1" t="s">
        <v>0</v>
      </c>
      <c r="U275" s="1" t="s">
        <v>80</v>
      </c>
      <c r="V275" s="1" t="s">
        <v>81</v>
      </c>
      <c r="W275" s="1" t="s">
        <v>0</v>
      </c>
      <c r="X275" s="1" t="s">
        <v>0</v>
      </c>
      <c r="Y275" s="22" t="str">
        <f t="shared" si="3"/>
        <v>CO</v>
      </c>
      <c r="Z275" s="20" t="str">
        <f>_xlfn.XLOOKUP($B275,[1]F27!$C:$C,[1]F27!$BV:$BV)</f>
        <v>#ERROR!</v>
      </c>
      <c r="AA275" s="1"/>
      <c r="AB275" s="1"/>
      <c r="AC275" s="23"/>
      <c r="AD275" s="1" t="str">
        <f>_xlfn.XLOOKUP($B275,[1]F27!$C:$C,[1]F27!$Y:$Y)</f>
        <v>#ERROR!</v>
      </c>
      <c r="AE275" s="1" t="str">
        <f>_xlfn.XLOOKUP($B275,[1]F27!$C:$C,[1]F27!$Z:$Z)</f>
        <v>#ERROR!</v>
      </c>
      <c r="AF275" s="1" t="str">
        <f>_xlfn.XLOOKUP($B275,[2]PRICING!$B:$B,[2]PRICING!$B:$B,"MISSING")</f>
        <v>#ERROR!</v>
      </c>
      <c r="AG275" s="1" t="str">
        <f>COUNTIFS([2]ACTIVE_SCO!$B:$B,$B275,[2]ACTIVE_SCO!$P:$P,"Y")</f>
        <v>#ERROR!</v>
      </c>
      <c r="AH275" s="1"/>
      <c r="AI275" s="37" t="s">
        <v>157</v>
      </c>
      <c r="AJ275" s="38" t="s">
        <v>2019</v>
      </c>
      <c r="AK275" s="39"/>
      <c r="AL275" s="39"/>
      <c r="AM275" s="1" t="s">
        <v>86</v>
      </c>
      <c r="AN275" s="40" t="s">
        <v>87</v>
      </c>
      <c r="AO275" s="41" t="s">
        <v>86</v>
      </c>
      <c r="AP275" s="41" t="s">
        <v>169</v>
      </c>
      <c r="AQ275" s="40" t="s">
        <v>0</v>
      </c>
      <c r="AR275" s="39"/>
      <c r="AS275" s="1" t="s">
        <v>1002</v>
      </c>
      <c r="AT275" s="1" t="s">
        <v>1015</v>
      </c>
      <c r="AU275" s="1" t="s">
        <v>1016</v>
      </c>
      <c r="AV275" s="1" t="s">
        <v>91</v>
      </c>
      <c r="AW275" s="1"/>
      <c r="AX275" s="1"/>
      <c r="AY275" s="1"/>
      <c r="AZ275" s="1"/>
      <c r="BA275" s="1"/>
      <c r="BB275" s="1"/>
      <c r="BC275" s="1"/>
      <c r="BD275" s="1"/>
    </row>
    <row r="276" ht="11.25" customHeight="1">
      <c r="A276" s="1" t="b">
        <v>1</v>
      </c>
      <c r="B276" s="1" t="s">
        <v>1703</v>
      </c>
      <c r="C276" s="1" t="s">
        <v>1704</v>
      </c>
      <c r="D276" s="1" t="s">
        <v>1002</v>
      </c>
      <c r="E276" s="1"/>
      <c r="F276" s="1"/>
      <c r="G276" s="1" t="s">
        <v>66</v>
      </c>
      <c r="H276" s="1"/>
      <c r="I276" s="1" t="s">
        <v>1003</v>
      </c>
      <c r="J276" s="1" t="s">
        <v>69</v>
      </c>
      <c r="K276" s="1" t="s">
        <v>107</v>
      </c>
      <c r="L276" s="1" t="s">
        <v>0</v>
      </c>
      <c r="M276" s="1" t="b">
        <v>1</v>
      </c>
      <c r="N276" s="1" t="b">
        <v>0</v>
      </c>
      <c r="O276" s="19">
        <v>2600.0</v>
      </c>
      <c r="P276" s="20">
        <v>2.08</v>
      </c>
      <c r="Q276" s="20">
        <v>1250.0</v>
      </c>
      <c r="R276" s="21">
        <v>0.61752</v>
      </c>
      <c r="S276" s="1" t="s">
        <v>117</v>
      </c>
      <c r="T276" s="1" t="s">
        <v>0</v>
      </c>
      <c r="U276" s="1" t="s">
        <v>80</v>
      </c>
      <c r="V276" s="1" t="s">
        <v>81</v>
      </c>
      <c r="W276" s="1" t="s">
        <v>0</v>
      </c>
      <c r="X276" s="1" t="s">
        <v>0</v>
      </c>
      <c r="Y276" s="22" t="str">
        <f t="shared" si="3"/>
        <v>CO</v>
      </c>
      <c r="Z276" s="20" t="str">
        <f>_xlfn.XLOOKUP($B276,[1]F27!$C:$C,[1]F27!$BV:$BV)</f>
        <v>#ERROR!</v>
      </c>
      <c r="AA276" s="1"/>
      <c r="AB276" s="1"/>
      <c r="AC276" s="23"/>
      <c r="AD276" s="1" t="str">
        <f>_xlfn.XLOOKUP($B276,[1]F27!$C:$C,[1]F27!$Y:$Y)</f>
        <v>#ERROR!</v>
      </c>
      <c r="AE276" s="1" t="str">
        <f>_xlfn.XLOOKUP($B276,[1]F27!$C:$C,[1]F27!$Z:$Z)</f>
        <v>#ERROR!</v>
      </c>
      <c r="AF276" s="1" t="str">
        <f>_xlfn.XLOOKUP($B276,[2]PRICING!$B:$B,[2]PRICING!$B:$B,"MISSING")</f>
        <v>#ERROR!</v>
      </c>
      <c r="AG276" s="1" t="str">
        <f>COUNTIFS([2]ACTIVE_SCO!$B:$B,$B276,[2]ACTIVE_SCO!$P:$P,"Y")</f>
        <v>#ERROR!</v>
      </c>
      <c r="AH276" s="1"/>
      <c r="AI276" s="37" t="s">
        <v>157</v>
      </c>
      <c r="AJ276" s="38" t="s">
        <v>2022</v>
      </c>
      <c r="AK276" s="39"/>
      <c r="AL276" s="39"/>
      <c r="AM276" s="1" t="s">
        <v>86</v>
      </c>
      <c r="AN276" s="40" t="s">
        <v>87</v>
      </c>
      <c r="AO276" s="41" t="s">
        <v>86</v>
      </c>
      <c r="AP276" s="41" t="s">
        <v>169</v>
      </c>
      <c r="AQ276" s="40" t="s">
        <v>0</v>
      </c>
      <c r="AR276" s="39"/>
      <c r="AS276" s="1" t="s">
        <v>1002</v>
      </c>
      <c r="AT276" s="1" t="s">
        <v>1015</v>
      </c>
      <c r="AU276" s="1" t="s">
        <v>1016</v>
      </c>
      <c r="AV276" s="1" t="s">
        <v>91</v>
      </c>
      <c r="AW276" s="1"/>
      <c r="AX276" s="1"/>
      <c r="AY276" s="1"/>
      <c r="AZ276" s="1"/>
      <c r="BA276" s="1"/>
      <c r="BB276" s="1"/>
      <c r="BC276" s="1"/>
      <c r="BD276" s="1"/>
    </row>
    <row r="277" ht="11.25" customHeight="1">
      <c r="A277" s="1" t="b">
        <v>1</v>
      </c>
      <c r="B277" s="1" t="s">
        <v>1010</v>
      </c>
      <c r="C277" s="1" t="s">
        <v>1011</v>
      </c>
      <c r="D277" s="1" t="s">
        <v>1002</v>
      </c>
      <c r="E277" s="1"/>
      <c r="F277" s="1"/>
      <c r="G277" s="1" t="s">
        <v>66</v>
      </c>
      <c r="H277" s="1"/>
      <c r="I277" s="1" t="s">
        <v>1012</v>
      </c>
      <c r="J277" s="1" t="s">
        <v>69</v>
      </c>
      <c r="K277" s="1" t="s">
        <v>249</v>
      </c>
      <c r="L277" s="1" t="s">
        <v>0</v>
      </c>
      <c r="M277" s="1" t="b">
        <v>1</v>
      </c>
      <c r="N277" s="1" t="b">
        <v>0</v>
      </c>
      <c r="O277" s="19">
        <v>3000.0</v>
      </c>
      <c r="P277" s="20">
        <v>2.08</v>
      </c>
      <c r="Q277" s="20">
        <v>1442.31</v>
      </c>
      <c r="R277" s="21">
        <v>0.5931041177000783</v>
      </c>
      <c r="S277" s="1" t="s">
        <v>117</v>
      </c>
      <c r="T277" s="1" t="s">
        <v>0</v>
      </c>
      <c r="U277" s="1" t="s">
        <v>80</v>
      </c>
      <c r="V277" s="1" t="s">
        <v>81</v>
      </c>
      <c r="W277" s="1" t="s">
        <v>0</v>
      </c>
      <c r="X277" s="1" t="s">
        <v>0</v>
      </c>
      <c r="Y277" s="22" t="str">
        <f t="shared" si="3"/>
        <v>CO</v>
      </c>
      <c r="Z277" s="20" t="str">
        <f>_xlfn.XLOOKUP($B277,[1]F27!$C:$C,[1]F27!$BV:$BV)</f>
        <v>#ERROR!</v>
      </c>
      <c r="AA277" s="1"/>
      <c r="AB277" s="1"/>
      <c r="AC277" s="23"/>
      <c r="AD277" s="1" t="str">
        <f>_xlfn.XLOOKUP($B277,[1]F27!$C:$C,[1]F27!$Y:$Y)</f>
        <v>#ERROR!</v>
      </c>
      <c r="AE277" s="1" t="str">
        <f>_xlfn.XLOOKUP($B277,[1]F27!$C:$C,[1]F27!$Z:$Z)</f>
        <v>#ERROR!</v>
      </c>
      <c r="AF277" s="1" t="str">
        <f>_xlfn.XLOOKUP($B277,[2]PRICING!$B:$B,[2]PRICING!$B:$B,"MISSING")</f>
        <v>#ERROR!</v>
      </c>
      <c r="AG277" s="1" t="str">
        <f>COUNTIFS([2]ACTIVE_SCO!$B:$B,$B277,[2]ACTIVE_SCO!$P:$P,"Y")</f>
        <v>#ERROR!</v>
      </c>
      <c r="AH277" s="1"/>
      <c r="AI277" s="37" t="s">
        <v>157</v>
      </c>
      <c r="AJ277" s="23"/>
      <c r="AK277" s="39"/>
      <c r="AL277" s="39"/>
      <c r="AM277" s="1" t="s">
        <v>86</v>
      </c>
      <c r="AN277" s="40" t="s">
        <v>121</v>
      </c>
      <c r="AO277" s="41" t="s">
        <v>86</v>
      </c>
      <c r="AP277" s="41" t="s">
        <v>121</v>
      </c>
      <c r="AQ277" s="40" t="s">
        <v>0</v>
      </c>
      <c r="AR277" s="39"/>
      <c r="AS277" s="1" t="s">
        <v>1002</v>
      </c>
      <c r="AT277" s="1" t="s">
        <v>1015</v>
      </c>
      <c r="AU277" s="1" t="s">
        <v>1016</v>
      </c>
      <c r="AV277" s="1" t="s">
        <v>91</v>
      </c>
      <c r="AW277" s="1"/>
      <c r="AX277" s="1"/>
      <c r="AY277" s="1"/>
      <c r="AZ277" s="1"/>
      <c r="BA277" s="1"/>
      <c r="BB277" s="1"/>
      <c r="BC277" s="1"/>
      <c r="BD277" s="1"/>
    </row>
    <row r="278" ht="11.25" customHeight="1">
      <c r="A278" s="1" t="b">
        <v>1</v>
      </c>
      <c r="B278" s="1" t="s">
        <v>1017</v>
      </c>
      <c r="C278" s="1" t="s">
        <v>1018</v>
      </c>
      <c r="D278" s="1" t="s">
        <v>1002</v>
      </c>
      <c r="E278" s="1"/>
      <c r="F278" s="1"/>
      <c r="G278" s="1" t="s">
        <v>500</v>
      </c>
      <c r="H278" s="1"/>
      <c r="I278" s="1" t="s">
        <v>1012</v>
      </c>
      <c r="J278" s="1" t="s">
        <v>69</v>
      </c>
      <c r="K278" s="1" t="s">
        <v>249</v>
      </c>
      <c r="L278" s="1" t="s">
        <v>0</v>
      </c>
      <c r="M278" s="1" t="b">
        <v>1</v>
      </c>
      <c r="N278" s="1" t="b">
        <v>0</v>
      </c>
      <c r="O278" s="19">
        <v>3800.0</v>
      </c>
      <c r="P278" s="20">
        <v>2.08</v>
      </c>
      <c r="Q278" s="20">
        <v>1826.92</v>
      </c>
      <c r="R278" s="21">
        <v>0.5986359555973989</v>
      </c>
      <c r="S278" s="1" t="s">
        <v>242</v>
      </c>
      <c r="T278" s="1" t="s">
        <v>0</v>
      </c>
      <c r="U278" s="1" t="s">
        <v>80</v>
      </c>
      <c r="V278" s="1" t="s">
        <v>81</v>
      </c>
      <c r="W278" s="1" t="s">
        <v>0</v>
      </c>
      <c r="X278" s="1" t="s">
        <v>0</v>
      </c>
      <c r="Y278" s="22" t="str">
        <f t="shared" si="3"/>
        <v>CO</v>
      </c>
      <c r="Z278" s="20" t="str">
        <f>_xlfn.XLOOKUP($B278,[1]F27!$C:$C,[1]F27!$BV:$BV)</f>
        <v>#ERROR!</v>
      </c>
      <c r="AA278" s="1"/>
      <c r="AB278" s="1"/>
      <c r="AC278" s="23"/>
      <c r="AD278" s="1" t="str">
        <f>_xlfn.XLOOKUP($B278,[1]F27!$C:$C,[1]F27!$Y:$Y)</f>
        <v>#ERROR!</v>
      </c>
      <c r="AE278" s="1" t="str">
        <f>_xlfn.XLOOKUP($B278,[1]F27!$C:$C,[1]F27!$Z:$Z)</f>
        <v>#ERROR!</v>
      </c>
      <c r="AF278" s="1" t="str">
        <f>_xlfn.XLOOKUP($B278,[2]PRICING!$B:$B,[2]PRICING!$B:$B,"MISSING")</f>
        <v>#ERROR!</v>
      </c>
      <c r="AG278" s="1" t="str">
        <f>COUNTIFS([2]ACTIVE_SCO!$B:$B,$B278,[2]ACTIVE_SCO!$P:$P,"Y")</f>
        <v>#ERROR!</v>
      </c>
      <c r="AH278" s="1"/>
      <c r="AI278" s="37" t="s">
        <v>157</v>
      </c>
      <c r="AJ278" s="23"/>
      <c r="AK278" s="39"/>
      <c r="AL278" s="39"/>
      <c r="AM278" s="1" t="s">
        <v>86</v>
      </c>
      <c r="AN278" s="40" t="s">
        <v>121</v>
      </c>
      <c r="AO278" s="41" t="s">
        <v>86</v>
      </c>
      <c r="AP278" s="41" t="s">
        <v>121</v>
      </c>
      <c r="AQ278" s="40" t="s">
        <v>0</v>
      </c>
      <c r="AR278" s="54"/>
      <c r="AS278" s="1" t="s">
        <v>1002</v>
      </c>
      <c r="AT278" s="1" t="s">
        <v>1019</v>
      </c>
      <c r="AU278" s="1" t="s">
        <v>1016</v>
      </c>
      <c r="AV278" s="1" t="s">
        <v>91</v>
      </c>
      <c r="AW278" s="1"/>
      <c r="AX278" s="1"/>
      <c r="AY278" s="1"/>
      <c r="AZ278" s="1"/>
      <c r="BA278" s="1"/>
      <c r="BB278" s="1"/>
      <c r="BC278" s="1"/>
      <c r="BD278" s="1"/>
    </row>
    <row r="279" ht="11.25" customHeight="1">
      <c r="A279" s="1" t="b">
        <v>1</v>
      </c>
      <c r="B279" s="1" t="s">
        <v>1025</v>
      </c>
      <c r="C279" s="1" t="s">
        <v>1026</v>
      </c>
      <c r="D279" s="1" t="s">
        <v>1002</v>
      </c>
      <c r="E279" s="1"/>
      <c r="F279" s="1"/>
      <c r="G279" s="1" t="s">
        <v>109</v>
      </c>
      <c r="H279" s="1"/>
      <c r="I279" s="1" t="s">
        <v>1027</v>
      </c>
      <c r="J279" s="1" t="s">
        <v>69</v>
      </c>
      <c r="K279" s="1" t="s">
        <v>70</v>
      </c>
      <c r="L279" s="1" t="s">
        <v>0</v>
      </c>
      <c r="M279" s="1" t="b">
        <v>1</v>
      </c>
      <c r="N279" s="1" t="b">
        <v>0</v>
      </c>
      <c r="O279" s="19">
        <v>2200.0</v>
      </c>
      <c r="P279" s="20">
        <v>2.08</v>
      </c>
      <c r="Q279" s="20">
        <v>1057.69</v>
      </c>
      <c r="R279" s="21">
        <v>0.552780115156615</v>
      </c>
      <c r="S279" s="1" t="s">
        <v>117</v>
      </c>
      <c r="T279" s="1" t="s">
        <v>0</v>
      </c>
      <c r="U279" s="1" t="s">
        <v>80</v>
      </c>
      <c r="V279" s="1" t="s">
        <v>81</v>
      </c>
      <c r="W279" s="1" t="s">
        <v>0</v>
      </c>
      <c r="X279" s="1" t="s">
        <v>0</v>
      </c>
      <c r="Y279" s="22" t="str">
        <f t="shared" si="3"/>
        <v>CO</v>
      </c>
      <c r="Z279" s="20" t="str">
        <f>_xlfn.XLOOKUP($B279,[1]F27!$C:$C,[1]F27!$BV:$BV)</f>
        <v>#ERROR!</v>
      </c>
      <c r="AA279" s="1"/>
      <c r="AB279" s="1"/>
      <c r="AC279" s="23"/>
      <c r="AD279" s="1" t="str">
        <f>_xlfn.XLOOKUP($B279,[1]F27!$C:$C,[1]F27!$Y:$Y)</f>
        <v>#ERROR!</v>
      </c>
      <c r="AE279" s="1" t="str">
        <f>_xlfn.XLOOKUP($B279,[1]F27!$C:$C,[1]F27!$Z:$Z)</f>
        <v>#ERROR!</v>
      </c>
      <c r="AF279" s="1" t="str">
        <f>_xlfn.XLOOKUP($B279,[2]PRICING!$B:$B,[2]PRICING!$B:$B,"MISSING")</f>
        <v>#ERROR!</v>
      </c>
      <c r="AG279" s="1" t="str">
        <f>COUNTIFS([2]ACTIVE_SCO!$B:$B,$B279,[2]ACTIVE_SCO!$P:$P,"Y")</f>
        <v>#ERROR!</v>
      </c>
      <c r="AH279" s="1"/>
      <c r="AI279" s="37" t="s">
        <v>157</v>
      </c>
      <c r="AJ279" s="67" t="s">
        <v>2028</v>
      </c>
      <c r="AK279" s="39"/>
      <c r="AL279" s="39"/>
      <c r="AM279" s="1" t="s">
        <v>86</v>
      </c>
      <c r="AN279" s="40" t="s">
        <v>512</v>
      </c>
      <c r="AO279" s="41" t="s">
        <v>86</v>
      </c>
      <c r="AP279" s="41" t="s">
        <v>169</v>
      </c>
      <c r="AQ279" s="40" t="s">
        <v>0</v>
      </c>
      <c r="AR279" s="39"/>
      <c r="AS279" s="1" t="s">
        <v>1002</v>
      </c>
      <c r="AT279" s="1" t="s">
        <v>1005</v>
      </c>
      <c r="AU279" s="1" t="s">
        <v>1016</v>
      </c>
      <c r="AV279" s="1" t="s">
        <v>91</v>
      </c>
      <c r="AW279" s="1"/>
      <c r="AX279" s="1"/>
      <c r="AY279" s="1"/>
      <c r="AZ279" s="1"/>
      <c r="BA279" s="1"/>
      <c r="BB279" s="1"/>
      <c r="BC279" s="1"/>
      <c r="BD279" s="1"/>
    </row>
    <row r="280" ht="11.25" customHeight="1">
      <c r="A280" s="1" t="b">
        <v>1</v>
      </c>
      <c r="B280" s="1" t="s">
        <v>1030</v>
      </c>
      <c r="C280" s="1" t="s">
        <v>1031</v>
      </c>
      <c r="D280" s="1" t="s">
        <v>1002</v>
      </c>
      <c r="E280" s="1"/>
      <c r="F280" s="1"/>
      <c r="G280" s="1" t="s">
        <v>109</v>
      </c>
      <c r="H280" s="1"/>
      <c r="I280" s="1" t="s">
        <v>1027</v>
      </c>
      <c r="J280" s="1" t="s">
        <v>69</v>
      </c>
      <c r="K280" s="1" t="s">
        <v>107</v>
      </c>
      <c r="L280" s="1" t="s">
        <v>0</v>
      </c>
      <c r="M280" s="1" t="b">
        <v>1</v>
      </c>
      <c r="N280" s="1" t="b">
        <v>0</v>
      </c>
      <c r="O280" s="19">
        <v>2200.0</v>
      </c>
      <c r="P280" s="20">
        <v>2.08</v>
      </c>
      <c r="Q280" s="20">
        <v>1057.69</v>
      </c>
      <c r="R280" s="21">
        <v>0.5566281235522696</v>
      </c>
      <c r="S280" s="1" t="s">
        <v>117</v>
      </c>
      <c r="T280" s="1" t="s">
        <v>0</v>
      </c>
      <c r="U280" s="1" t="s">
        <v>80</v>
      </c>
      <c r="V280" s="1" t="s">
        <v>81</v>
      </c>
      <c r="W280" s="1" t="s">
        <v>0</v>
      </c>
      <c r="X280" s="1" t="s">
        <v>0</v>
      </c>
      <c r="Y280" s="22" t="str">
        <f t="shared" si="3"/>
        <v>CO</v>
      </c>
      <c r="Z280" s="20" t="str">
        <f>_xlfn.XLOOKUP($B280,[1]F27!$C:$C,[1]F27!$BV:$BV)</f>
        <v>#ERROR!</v>
      </c>
      <c r="AA280" s="1"/>
      <c r="AB280" s="1"/>
      <c r="AC280" s="23"/>
      <c r="AD280" s="1" t="str">
        <f>_xlfn.XLOOKUP($B280,[1]F27!$C:$C,[1]F27!$Y:$Y)</f>
        <v>#ERROR!</v>
      </c>
      <c r="AE280" s="1" t="str">
        <f>_xlfn.XLOOKUP($B280,[1]F27!$C:$C,[1]F27!$Z:$Z)</f>
        <v>#ERROR!</v>
      </c>
      <c r="AF280" s="1" t="str">
        <f>_xlfn.XLOOKUP($B280,[2]PRICING!$B:$B,[2]PRICING!$B:$B,"MISSING")</f>
        <v>#ERROR!</v>
      </c>
      <c r="AG280" s="1" t="str">
        <f>COUNTIFS([2]ACTIVE_SCO!$B:$B,$B280,[2]ACTIVE_SCO!$P:$P,"Y")</f>
        <v>#ERROR!</v>
      </c>
      <c r="AH280" s="1"/>
      <c r="AI280" s="37" t="s">
        <v>157</v>
      </c>
      <c r="AJ280" s="67" t="s">
        <v>2031</v>
      </c>
      <c r="AK280" s="39"/>
      <c r="AL280" s="39"/>
      <c r="AM280" s="1" t="s">
        <v>86</v>
      </c>
      <c r="AN280" s="40" t="s">
        <v>512</v>
      </c>
      <c r="AO280" s="41" t="s">
        <v>86</v>
      </c>
      <c r="AP280" s="41" t="s">
        <v>169</v>
      </c>
      <c r="AQ280" s="40" t="s">
        <v>0</v>
      </c>
      <c r="AR280" s="39"/>
      <c r="AS280" s="1" t="s">
        <v>1002</v>
      </c>
      <c r="AT280" s="1" t="s">
        <v>1005</v>
      </c>
      <c r="AU280" s="1" t="s">
        <v>1016</v>
      </c>
      <c r="AV280" s="1" t="s">
        <v>91</v>
      </c>
      <c r="AW280" s="1"/>
      <c r="AX280" s="1"/>
      <c r="AY280" s="1"/>
      <c r="AZ280" s="1"/>
      <c r="BA280" s="1"/>
      <c r="BB280" s="1"/>
      <c r="BC280" s="1"/>
      <c r="BD280" s="1"/>
    </row>
    <row r="281" ht="11.25" customHeight="1">
      <c r="A281" s="1" t="b">
        <v>1</v>
      </c>
      <c r="B281" s="1" t="s">
        <v>1033</v>
      </c>
      <c r="C281" s="1" t="s">
        <v>1034</v>
      </c>
      <c r="D281" s="1" t="s">
        <v>1002</v>
      </c>
      <c r="E281" s="1"/>
      <c r="F281" s="1"/>
      <c r="G281" s="1" t="s">
        <v>109</v>
      </c>
      <c r="H281" s="1"/>
      <c r="I281" s="1" t="s">
        <v>1003</v>
      </c>
      <c r="J281" s="1" t="s">
        <v>69</v>
      </c>
      <c r="K281" s="1" t="s">
        <v>70</v>
      </c>
      <c r="L281" s="1" t="s">
        <v>0</v>
      </c>
      <c r="M281" s="1" t="b">
        <v>1</v>
      </c>
      <c r="N281" s="1" t="b">
        <v>0</v>
      </c>
      <c r="O281" s="19">
        <v>2200.0</v>
      </c>
      <c r="P281" s="20">
        <v>2.08</v>
      </c>
      <c r="Q281" s="20">
        <v>1057.69</v>
      </c>
      <c r="R281" s="21">
        <v>0.5931511123296996</v>
      </c>
      <c r="S281" s="1" t="s">
        <v>117</v>
      </c>
      <c r="T281" s="1" t="s">
        <v>0</v>
      </c>
      <c r="U281" s="1" t="s">
        <v>80</v>
      </c>
      <c r="V281" s="1" t="s">
        <v>81</v>
      </c>
      <c r="W281" s="1" t="s">
        <v>0</v>
      </c>
      <c r="X281" s="1" t="s">
        <v>0</v>
      </c>
      <c r="Y281" s="22" t="str">
        <f t="shared" si="3"/>
        <v>CO</v>
      </c>
      <c r="Z281" s="20" t="str">
        <f>_xlfn.XLOOKUP($B281,[1]F27!$C:$C,[1]F27!$BV:$BV)</f>
        <v>#ERROR!</v>
      </c>
      <c r="AA281" s="1"/>
      <c r="AB281" s="1"/>
      <c r="AC281" s="23"/>
      <c r="AD281" s="1" t="str">
        <f>_xlfn.XLOOKUP($B281,[1]F27!$C:$C,[1]F27!$Y:$Y)</f>
        <v>#ERROR!</v>
      </c>
      <c r="AE281" s="1" t="str">
        <f>_xlfn.XLOOKUP($B281,[1]F27!$C:$C,[1]F27!$Z:$Z)</f>
        <v>#ERROR!</v>
      </c>
      <c r="AF281" s="1" t="str">
        <f>_xlfn.XLOOKUP($B281,[2]PRICING!$B:$B,[2]PRICING!$B:$B,"MISSING")</f>
        <v>#ERROR!</v>
      </c>
      <c r="AG281" s="1" t="str">
        <f>COUNTIFS([2]ACTIVE_SCO!$B:$B,$B281,[2]ACTIVE_SCO!$P:$P,"Y")</f>
        <v>#ERROR!</v>
      </c>
      <c r="AH281" s="1"/>
      <c r="AI281" s="37" t="s">
        <v>157</v>
      </c>
      <c r="AJ281" s="67" t="s">
        <v>2033</v>
      </c>
      <c r="AK281" s="39"/>
      <c r="AL281" s="39"/>
      <c r="AM281" s="1" t="s">
        <v>86</v>
      </c>
      <c r="AN281" s="40" t="s">
        <v>512</v>
      </c>
      <c r="AO281" s="41" t="s">
        <v>86</v>
      </c>
      <c r="AP281" s="41" t="s">
        <v>169</v>
      </c>
      <c r="AQ281" s="40" t="s">
        <v>0</v>
      </c>
      <c r="AR281" s="39"/>
      <c r="AS281" s="1" t="s">
        <v>1002</v>
      </c>
      <c r="AT281" s="1" t="s">
        <v>1005</v>
      </c>
      <c r="AU281" s="1" t="s">
        <v>1016</v>
      </c>
      <c r="AV281" s="1" t="s">
        <v>91</v>
      </c>
      <c r="AW281" s="1"/>
      <c r="AX281" s="1"/>
      <c r="AY281" s="1"/>
      <c r="AZ281" s="1"/>
      <c r="BA281" s="1"/>
      <c r="BB281" s="1"/>
      <c r="BC281" s="1"/>
      <c r="BD281" s="1"/>
    </row>
    <row r="282" ht="11.25" customHeight="1">
      <c r="A282" s="1" t="b">
        <v>1</v>
      </c>
      <c r="B282" s="1" t="s">
        <v>1036</v>
      </c>
      <c r="C282" s="1" t="s">
        <v>1037</v>
      </c>
      <c r="D282" s="1" t="s">
        <v>1002</v>
      </c>
      <c r="E282" s="1"/>
      <c r="F282" s="1"/>
      <c r="G282" s="1" t="s">
        <v>109</v>
      </c>
      <c r="H282" s="1"/>
      <c r="I282" s="1" t="s">
        <v>1003</v>
      </c>
      <c r="J282" s="1" t="s">
        <v>69</v>
      </c>
      <c r="K282" s="1" t="s">
        <v>107</v>
      </c>
      <c r="L282" s="1" t="s">
        <v>0</v>
      </c>
      <c r="M282" s="1" t="b">
        <v>1</v>
      </c>
      <c r="N282" s="1" t="b">
        <v>0</v>
      </c>
      <c r="O282" s="19">
        <v>2200.0</v>
      </c>
      <c r="P282" s="20">
        <v>2.08</v>
      </c>
      <c r="Q282" s="20">
        <v>1057.69</v>
      </c>
      <c r="R282" s="21">
        <v>0.597954031899706</v>
      </c>
      <c r="S282" s="1" t="s">
        <v>117</v>
      </c>
      <c r="T282" s="1" t="s">
        <v>0</v>
      </c>
      <c r="U282" s="1" t="s">
        <v>80</v>
      </c>
      <c r="V282" s="1" t="s">
        <v>81</v>
      </c>
      <c r="W282" s="1" t="s">
        <v>0</v>
      </c>
      <c r="X282" s="1" t="s">
        <v>0</v>
      </c>
      <c r="Y282" s="22" t="str">
        <f t="shared" si="3"/>
        <v>CO</v>
      </c>
      <c r="Z282" s="20" t="str">
        <f>_xlfn.XLOOKUP($B282,[1]F27!$C:$C,[1]F27!$BV:$BV)</f>
        <v>#ERROR!</v>
      </c>
      <c r="AA282" s="1"/>
      <c r="AB282" s="1"/>
      <c r="AC282" s="23"/>
      <c r="AD282" s="1" t="str">
        <f>_xlfn.XLOOKUP($B282,[1]F27!$C:$C,[1]F27!$Y:$Y)</f>
        <v>#ERROR!</v>
      </c>
      <c r="AE282" s="1" t="str">
        <f>_xlfn.XLOOKUP($B282,[1]F27!$C:$C,[1]F27!$Z:$Z)</f>
        <v>#ERROR!</v>
      </c>
      <c r="AF282" s="1" t="str">
        <f>_xlfn.XLOOKUP($B282,[2]PRICING!$B:$B,[2]PRICING!$B:$B,"MISSING")</f>
        <v>#ERROR!</v>
      </c>
      <c r="AG282" s="1" t="str">
        <f>COUNTIFS([2]ACTIVE_SCO!$B:$B,$B282,[2]ACTIVE_SCO!$P:$P,"Y")</f>
        <v>#ERROR!</v>
      </c>
      <c r="AH282" s="1"/>
      <c r="AI282" s="37" t="s">
        <v>157</v>
      </c>
      <c r="AJ282" s="67" t="s">
        <v>2034</v>
      </c>
      <c r="AK282" s="39"/>
      <c r="AL282" s="39"/>
      <c r="AM282" s="1" t="s">
        <v>86</v>
      </c>
      <c r="AN282" s="40" t="s">
        <v>512</v>
      </c>
      <c r="AO282" s="41" t="s">
        <v>86</v>
      </c>
      <c r="AP282" s="41" t="s">
        <v>169</v>
      </c>
      <c r="AQ282" s="40" t="s">
        <v>0</v>
      </c>
      <c r="AR282" s="39"/>
      <c r="AS282" s="1" t="s">
        <v>1002</v>
      </c>
      <c r="AT282" s="1" t="s">
        <v>1005</v>
      </c>
      <c r="AU282" s="1" t="s">
        <v>1016</v>
      </c>
      <c r="AV282" s="1" t="s">
        <v>91</v>
      </c>
      <c r="AW282" s="1"/>
      <c r="AX282" s="1"/>
      <c r="AY282" s="1"/>
      <c r="AZ282" s="1"/>
      <c r="BA282" s="1"/>
      <c r="BB282" s="1"/>
      <c r="BC282" s="1"/>
      <c r="BD282" s="1"/>
    </row>
    <row r="283" ht="11.25" customHeight="1">
      <c r="A283" s="1" t="b">
        <v>1</v>
      </c>
      <c r="B283" s="1" t="s">
        <v>1041</v>
      </c>
      <c r="C283" s="1" t="s">
        <v>1042</v>
      </c>
      <c r="D283" s="1" t="s">
        <v>1002</v>
      </c>
      <c r="E283" s="1"/>
      <c r="F283" s="1"/>
      <c r="G283" s="1" t="s">
        <v>109</v>
      </c>
      <c r="H283" s="1"/>
      <c r="I283" s="1" t="s">
        <v>1003</v>
      </c>
      <c r="J283" s="1" t="s">
        <v>69</v>
      </c>
      <c r="K283" s="1" t="s">
        <v>70</v>
      </c>
      <c r="L283" s="1" t="s">
        <v>0</v>
      </c>
      <c r="M283" s="1" t="b">
        <v>1</v>
      </c>
      <c r="N283" s="1" t="b">
        <v>0</v>
      </c>
      <c r="O283" s="19">
        <v>2500.0</v>
      </c>
      <c r="P283" s="20">
        <v>2.08</v>
      </c>
      <c r="Q283" s="20">
        <v>1201.92</v>
      </c>
      <c r="R283" s="21">
        <v>0.6064463525026624</v>
      </c>
      <c r="S283" s="1" t="s">
        <v>117</v>
      </c>
      <c r="T283" s="1" t="s">
        <v>0</v>
      </c>
      <c r="U283" s="1" t="s">
        <v>80</v>
      </c>
      <c r="V283" s="1" t="s">
        <v>81</v>
      </c>
      <c r="W283" s="1" t="s">
        <v>0</v>
      </c>
      <c r="X283" s="1" t="s">
        <v>0</v>
      </c>
      <c r="Y283" s="22" t="str">
        <f t="shared" si="3"/>
        <v>CO</v>
      </c>
      <c r="Z283" s="20" t="str">
        <f>_xlfn.XLOOKUP($B283,[1]F27!$C:$C,[1]F27!$BV:$BV)</f>
        <v>#ERROR!</v>
      </c>
      <c r="AA283" s="1"/>
      <c r="AB283" s="1"/>
      <c r="AC283" s="23"/>
      <c r="AD283" s="1" t="str">
        <f>_xlfn.XLOOKUP($B283,[1]F27!$C:$C,[1]F27!$Y:$Y)</f>
        <v>#ERROR!</v>
      </c>
      <c r="AE283" s="1" t="str">
        <f>_xlfn.XLOOKUP($B283,[1]F27!$C:$C,[1]F27!$Z:$Z)</f>
        <v>#ERROR!</v>
      </c>
      <c r="AF283" s="1" t="str">
        <f>_xlfn.XLOOKUP($B283,[2]PRICING!$B:$B,[2]PRICING!$B:$B,"MISSING")</f>
        <v>#ERROR!</v>
      </c>
      <c r="AG283" s="1" t="str">
        <f>COUNTIFS([2]ACTIVE_SCO!$B:$B,$B283,[2]ACTIVE_SCO!$P:$P,"Y")</f>
        <v>#ERROR!</v>
      </c>
      <c r="AH283" s="1"/>
      <c r="AI283" s="37" t="s">
        <v>157</v>
      </c>
      <c r="AJ283" s="67" t="s">
        <v>2035</v>
      </c>
      <c r="AK283" s="39"/>
      <c r="AL283" s="39"/>
      <c r="AM283" s="1" t="s">
        <v>86</v>
      </c>
      <c r="AN283" s="40" t="s">
        <v>512</v>
      </c>
      <c r="AO283" s="41" t="s">
        <v>86</v>
      </c>
      <c r="AP283" s="41" t="s">
        <v>169</v>
      </c>
      <c r="AQ283" s="40" t="s">
        <v>0</v>
      </c>
      <c r="AR283" s="39"/>
      <c r="AS283" s="1" t="s">
        <v>1002</v>
      </c>
      <c r="AT283" s="1" t="s">
        <v>1015</v>
      </c>
      <c r="AU283" s="1" t="s">
        <v>1016</v>
      </c>
      <c r="AV283" s="1" t="s">
        <v>91</v>
      </c>
      <c r="AW283" s="1"/>
      <c r="AX283" s="1"/>
      <c r="AY283" s="1"/>
      <c r="AZ283" s="1"/>
      <c r="BA283" s="1"/>
      <c r="BB283" s="1"/>
      <c r="BC283" s="1"/>
      <c r="BD283" s="1"/>
    </row>
    <row r="284" ht="11.25" customHeight="1">
      <c r="A284" s="1" t="b">
        <v>1</v>
      </c>
      <c r="B284" s="1" t="s">
        <v>1043</v>
      </c>
      <c r="C284" s="1" t="s">
        <v>1044</v>
      </c>
      <c r="D284" s="1" t="s">
        <v>1002</v>
      </c>
      <c r="E284" s="1"/>
      <c r="F284" s="1"/>
      <c r="G284" s="1" t="s">
        <v>109</v>
      </c>
      <c r="H284" s="1"/>
      <c r="I284" s="1" t="s">
        <v>1003</v>
      </c>
      <c r="J284" s="1" t="s">
        <v>69</v>
      </c>
      <c r="K284" s="1" t="s">
        <v>107</v>
      </c>
      <c r="L284" s="1" t="s">
        <v>0</v>
      </c>
      <c r="M284" s="1" t="b">
        <v>1</v>
      </c>
      <c r="N284" s="1" t="b">
        <v>0</v>
      </c>
      <c r="O284" s="19">
        <v>2500.0</v>
      </c>
      <c r="P284" s="20">
        <v>2.08</v>
      </c>
      <c r="Q284" s="20">
        <v>1201.92</v>
      </c>
      <c r="R284" s="21">
        <v>0.609832601171459</v>
      </c>
      <c r="S284" s="1" t="s">
        <v>117</v>
      </c>
      <c r="T284" s="1" t="s">
        <v>0</v>
      </c>
      <c r="U284" s="1" t="s">
        <v>80</v>
      </c>
      <c r="V284" s="1" t="s">
        <v>81</v>
      </c>
      <c r="W284" s="1" t="s">
        <v>0</v>
      </c>
      <c r="X284" s="1" t="s">
        <v>0</v>
      </c>
      <c r="Y284" s="22" t="str">
        <f t="shared" si="3"/>
        <v>CO</v>
      </c>
      <c r="Z284" s="20" t="str">
        <f>_xlfn.XLOOKUP($B284,[1]F27!$C:$C,[1]F27!$BV:$BV)</f>
        <v>#ERROR!</v>
      </c>
      <c r="AA284" s="1"/>
      <c r="AB284" s="1"/>
      <c r="AC284" s="23"/>
      <c r="AD284" s="1" t="str">
        <f>_xlfn.XLOOKUP($B284,[1]F27!$C:$C,[1]F27!$Y:$Y)</f>
        <v>#ERROR!</v>
      </c>
      <c r="AE284" s="1" t="str">
        <f>_xlfn.XLOOKUP($B284,[1]F27!$C:$C,[1]F27!$Z:$Z)</f>
        <v>#ERROR!</v>
      </c>
      <c r="AF284" s="1" t="str">
        <f>_xlfn.XLOOKUP($B284,[2]PRICING!$B:$B,[2]PRICING!$B:$B,"MISSING")</f>
        <v>#ERROR!</v>
      </c>
      <c r="AG284" s="1" t="str">
        <f>COUNTIFS([2]ACTIVE_SCO!$B:$B,$B284,[2]ACTIVE_SCO!$P:$P,"Y")</f>
        <v>#ERROR!</v>
      </c>
      <c r="AH284" s="1"/>
      <c r="AI284" s="37" t="s">
        <v>157</v>
      </c>
      <c r="AJ284" s="67" t="s">
        <v>2038</v>
      </c>
      <c r="AK284" s="39"/>
      <c r="AL284" s="39"/>
      <c r="AM284" s="1" t="s">
        <v>86</v>
      </c>
      <c r="AN284" s="40" t="s">
        <v>512</v>
      </c>
      <c r="AO284" s="41" t="s">
        <v>86</v>
      </c>
      <c r="AP284" s="41" t="s">
        <v>169</v>
      </c>
      <c r="AQ284" s="40" t="s">
        <v>0</v>
      </c>
      <c r="AR284" s="39"/>
      <c r="AS284" s="1" t="s">
        <v>1002</v>
      </c>
      <c r="AT284" s="1" t="s">
        <v>1015</v>
      </c>
      <c r="AU284" s="1" t="s">
        <v>1016</v>
      </c>
      <c r="AV284" s="1" t="s">
        <v>91</v>
      </c>
      <c r="AW284" s="1"/>
      <c r="AX284" s="1"/>
      <c r="AY284" s="1"/>
      <c r="AZ284" s="1"/>
      <c r="BA284" s="1"/>
      <c r="BB284" s="1"/>
      <c r="BC284" s="1"/>
      <c r="BD284" s="1"/>
    </row>
    <row r="285" ht="11.25" customHeight="1">
      <c r="A285" s="1" t="b">
        <v>1</v>
      </c>
      <c r="B285" s="1" t="s">
        <v>1045</v>
      </c>
      <c r="C285" s="1" t="s">
        <v>1046</v>
      </c>
      <c r="D285" s="1" t="s">
        <v>1002</v>
      </c>
      <c r="E285" s="1"/>
      <c r="F285" s="1"/>
      <c r="G285" s="1" t="s">
        <v>109</v>
      </c>
      <c r="H285" s="1"/>
      <c r="I285" s="1" t="s">
        <v>1003</v>
      </c>
      <c r="J285" s="1" t="s">
        <v>69</v>
      </c>
      <c r="K285" s="1" t="s">
        <v>70</v>
      </c>
      <c r="L285" s="1" t="s">
        <v>0</v>
      </c>
      <c r="M285" s="1" t="b">
        <v>1</v>
      </c>
      <c r="N285" s="1" t="b">
        <v>0</v>
      </c>
      <c r="O285" s="19">
        <v>2000.0</v>
      </c>
      <c r="P285" s="20">
        <v>2.08</v>
      </c>
      <c r="Q285" s="20">
        <v>961.54</v>
      </c>
      <c r="R285" s="21">
        <v>0.5905214551656717</v>
      </c>
      <c r="S285" s="1" t="s">
        <v>117</v>
      </c>
      <c r="T285" s="1" t="s">
        <v>0</v>
      </c>
      <c r="U285" s="1" t="s">
        <v>81</v>
      </c>
      <c r="V285" s="1" t="s">
        <v>81</v>
      </c>
      <c r="W285" s="1" t="s">
        <v>0</v>
      </c>
      <c r="X285" s="1" t="s">
        <v>0</v>
      </c>
      <c r="Y285" s="22" t="str">
        <f t="shared" si="3"/>
        <v>CO</v>
      </c>
      <c r="Z285" s="20" t="str">
        <f>_xlfn.XLOOKUP($B285,[1]F27!$C:$C,[1]F27!$BV:$BV)</f>
        <v>#ERROR!</v>
      </c>
      <c r="AA285" s="1"/>
      <c r="AB285" s="1"/>
      <c r="AC285" s="23"/>
      <c r="AD285" s="1" t="str">
        <f>_xlfn.XLOOKUP($B285,[1]F27!$C:$C,[1]F27!$Y:$Y)</f>
        <v>#ERROR!</v>
      </c>
      <c r="AE285" s="1" t="str">
        <f>_xlfn.XLOOKUP($B285,[1]F27!$C:$C,[1]F27!$Z:$Z)</f>
        <v>#ERROR!</v>
      </c>
      <c r="AF285" s="1" t="str">
        <f>_xlfn.XLOOKUP($B285,[2]PRICING!$B:$B,[2]PRICING!$B:$B,"MISSING")</f>
        <v>#ERROR!</v>
      </c>
      <c r="AG285" s="1" t="str">
        <f>COUNTIFS([2]ACTIVE_SCO!$B:$B,$B285,[2]ACTIVE_SCO!$P:$P,"Y")</f>
        <v>#ERROR!</v>
      </c>
      <c r="AH285" s="1"/>
      <c r="AI285" s="37" t="s">
        <v>551</v>
      </c>
      <c r="AJ285" s="84"/>
      <c r="AK285" s="39"/>
      <c r="AL285" s="39"/>
      <c r="AM285" s="1" t="s">
        <v>86</v>
      </c>
      <c r="AN285" s="40" t="s">
        <v>512</v>
      </c>
      <c r="AO285" s="41" t="s">
        <v>86</v>
      </c>
      <c r="AP285" s="41" t="s">
        <v>169</v>
      </c>
      <c r="AQ285" s="40" t="s">
        <v>0</v>
      </c>
      <c r="AR285" s="39"/>
      <c r="AS285" s="1" t="s">
        <v>1002</v>
      </c>
      <c r="AT285" s="1" t="s">
        <v>1015</v>
      </c>
      <c r="AU285" s="1" t="s">
        <v>1006</v>
      </c>
      <c r="AV285" s="1" t="s">
        <v>131</v>
      </c>
      <c r="AW285" s="1"/>
      <c r="AX285" s="1"/>
      <c r="AY285" s="1"/>
      <c r="AZ285" s="1"/>
      <c r="BA285" s="1"/>
      <c r="BB285" s="1"/>
      <c r="BC285" s="1"/>
      <c r="BD285" s="1"/>
    </row>
    <row r="286" ht="11.25" customHeight="1">
      <c r="A286" s="1" t="b">
        <v>1</v>
      </c>
      <c r="B286" s="1" t="s">
        <v>1051</v>
      </c>
      <c r="C286" s="1" t="s">
        <v>1052</v>
      </c>
      <c r="D286" s="1" t="s">
        <v>1002</v>
      </c>
      <c r="E286" s="1"/>
      <c r="F286" s="1"/>
      <c r="G286" s="1" t="s">
        <v>109</v>
      </c>
      <c r="H286" s="1"/>
      <c r="I286" s="1" t="s">
        <v>1003</v>
      </c>
      <c r="J286" s="1" t="s">
        <v>69</v>
      </c>
      <c r="K286" s="1" t="s">
        <v>107</v>
      </c>
      <c r="L286" s="1" t="s">
        <v>0</v>
      </c>
      <c r="M286" s="1" t="b">
        <v>1</v>
      </c>
      <c r="N286" s="1" t="b">
        <v>0</v>
      </c>
      <c r="O286" s="19">
        <v>2000.0</v>
      </c>
      <c r="P286" s="20">
        <v>2.08</v>
      </c>
      <c r="Q286" s="20">
        <v>961.54</v>
      </c>
      <c r="R286" s="21">
        <v>0.5958150466959253</v>
      </c>
      <c r="S286" s="1" t="s">
        <v>117</v>
      </c>
      <c r="T286" s="1" t="s">
        <v>0</v>
      </c>
      <c r="U286" s="1" t="s">
        <v>81</v>
      </c>
      <c r="V286" s="1" t="s">
        <v>81</v>
      </c>
      <c r="W286" s="1" t="s">
        <v>0</v>
      </c>
      <c r="X286" s="1" t="s">
        <v>0</v>
      </c>
      <c r="Y286" s="22" t="str">
        <f t="shared" si="3"/>
        <v>CO</v>
      </c>
      <c r="Z286" s="20" t="str">
        <f>_xlfn.XLOOKUP($B286,[1]F27!$C:$C,[1]F27!$BV:$BV)</f>
        <v>#ERROR!</v>
      </c>
      <c r="AA286" s="1"/>
      <c r="AB286" s="1"/>
      <c r="AC286" s="23"/>
      <c r="AD286" s="1" t="str">
        <f>_xlfn.XLOOKUP($B286,[1]F27!$C:$C,[1]F27!$Y:$Y)</f>
        <v>#ERROR!</v>
      </c>
      <c r="AE286" s="1" t="str">
        <f>_xlfn.XLOOKUP($B286,[1]F27!$C:$C,[1]F27!$Z:$Z)</f>
        <v>#ERROR!</v>
      </c>
      <c r="AF286" s="1" t="str">
        <f>_xlfn.XLOOKUP($B286,[2]PRICING!$B:$B,[2]PRICING!$B:$B,"MISSING")</f>
        <v>#ERROR!</v>
      </c>
      <c r="AG286" s="1" t="str">
        <f>COUNTIFS([2]ACTIVE_SCO!$B:$B,$B286,[2]ACTIVE_SCO!$P:$P,"Y")</f>
        <v>#ERROR!</v>
      </c>
      <c r="AH286" s="1"/>
      <c r="AI286" s="37" t="s">
        <v>551</v>
      </c>
      <c r="AJ286" s="84"/>
      <c r="AK286" s="39"/>
      <c r="AL286" s="39"/>
      <c r="AM286" s="1" t="s">
        <v>86</v>
      </c>
      <c r="AN286" s="40" t="s">
        <v>512</v>
      </c>
      <c r="AO286" s="41" t="s">
        <v>86</v>
      </c>
      <c r="AP286" s="41" t="s">
        <v>169</v>
      </c>
      <c r="AQ286" s="40" t="s">
        <v>0</v>
      </c>
      <c r="AR286" s="39"/>
      <c r="AS286" s="1" t="s">
        <v>1002</v>
      </c>
      <c r="AT286" s="1" t="s">
        <v>1015</v>
      </c>
      <c r="AU286" s="1" t="s">
        <v>1006</v>
      </c>
      <c r="AV286" s="1" t="s">
        <v>131</v>
      </c>
      <c r="AW286" s="1"/>
      <c r="AX286" s="1"/>
      <c r="AY286" s="1"/>
      <c r="AZ286" s="1"/>
      <c r="BA286" s="1"/>
      <c r="BB286" s="1"/>
      <c r="BC286" s="1"/>
      <c r="BD286" s="1"/>
    </row>
    <row r="287" ht="11.25" customHeight="1">
      <c r="A287" s="1" t="b">
        <v>1</v>
      </c>
      <c r="B287" s="1" t="s">
        <v>1053</v>
      </c>
      <c r="C287" s="1" t="s">
        <v>1054</v>
      </c>
      <c r="D287" s="1" t="s">
        <v>1002</v>
      </c>
      <c r="E287" s="1"/>
      <c r="F287" s="1"/>
      <c r="G287" s="1" t="s">
        <v>109</v>
      </c>
      <c r="H287" s="1"/>
      <c r="I287" s="1" t="s">
        <v>1027</v>
      </c>
      <c r="J287" s="1" t="s">
        <v>69</v>
      </c>
      <c r="K287" s="1" t="s">
        <v>70</v>
      </c>
      <c r="L287" s="1" t="s">
        <v>0</v>
      </c>
      <c r="M287" s="1" t="b">
        <v>1</v>
      </c>
      <c r="N287" s="1" t="b">
        <v>0</v>
      </c>
      <c r="O287" s="19">
        <v>1800.0</v>
      </c>
      <c r="P287" s="20">
        <v>2.08</v>
      </c>
      <c r="Q287" s="20">
        <v>865.38</v>
      </c>
      <c r="R287" s="21">
        <v>0.5696919272458343</v>
      </c>
      <c r="S287" s="1" t="s">
        <v>117</v>
      </c>
      <c r="T287" s="1" t="s">
        <v>0</v>
      </c>
      <c r="U287" s="1" t="s">
        <v>81</v>
      </c>
      <c r="V287" s="1" t="s">
        <v>81</v>
      </c>
      <c r="W287" s="1" t="s">
        <v>0</v>
      </c>
      <c r="X287" s="1" t="s">
        <v>0</v>
      </c>
      <c r="Y287" s="22" t="str">
        <f t="shared" si="3"/>
        <v>CO</v>
      </c>
      <c r="Z287" s="20" t="str">
        <f>_xlfn.XLOOKUP($B287,[1]F27!$C:$C,[1]F27!$BV:$BV)</f>
        <v>#ERROR!</v>
      </c>
      <c r="AA287" s="1"/>
      <c r="AB287" s="1"/>
      <c r="AC287" s="23"/>
      <c r="AD287" s="1" t="str">
        <f>_xlfn.XLOOKUP($B287,[1]F27!$C:$C,[1]F27!$Y:$Y)</f>
        <v>#ERROR!</v>
      </c>
      <c r="AE287" s="1" t="str">
        <f>_xlfn.XLOOKUP($B287,[1]F27!$C:$C,[1]F27!$Z:$Z)</f>
        <v>#ERROR!</v>
      </c>
      <c r="AF287" s="1" t="str">
        <f>_xlfn.XLOOKUP($B287,[2]PRICING!$B:$B,[2]PRICING!$B:$B,"MISSING")</f>
        <v>#ERROR!</v>
      </c>
      <c r="AG287" s="1" t="str">
        <f>COUNTIFS([2]ACTIVE_SCO!$B:$B,$B287,[2]ACTIVE_SCO!$P:$P,"Y")</f>
        <v>#ERROR!</v>
      </c>
      <c r="AH287" s="1"/>
      <c r="AI287" s="37" t="s">
        <v>157</v>
      </c>
      <c r="AJ287" s="67" t="s">
        <v>2039</v>
      </c>
      <c r="AK287" s="39"/>
      <c r="AL287" s="39"/>
      <c r="AM287" s="1" t="s">
        <v>86</v>
      </c>
      <c r="AN287" s="40" t="s">
        <v>512</v>
      </c>
      <c r="AO287" s="41" t="s">
        <v>86</v>
      </c>
      <c r="AP287" s="41" t="s">
        <v>169</v>
      </c>
      <c r="AQ287" s="40" t="s">
        <v>0</v>
      </c>
      <c r="AR287" s="39"/>
      <c r="AS287" s="1" t="s">
        <v>1002</v>
      </c>
      <c r="AT287" s="1" t="s">
        <v>1005</v>
      </c>
      <c r="AU287" s="1" t="s">
        <v>1006</v>
      </c>
      <c r="AV287" s="1" t="s">
        <v>131</v>
      </c>
      <c r="AW287" s="1"/>
      <c r="AX287" s="1"/>
      <c r="AY287" s="1"/>
      <c r="AZ287" s="1"/>
      <c r="BA287" s="1"/>
      <c r="BB287" s="1"/>
      <c r="BC287" s="1"/>
      <c r="BD287" s="1"/>
    </row>
    <row r="288" ht="11.25" customHeight="1">
      <c r="A288" s="1" t="b">
        <v>1</v>
      </c>
      <c r="B288" s="1" t="s">
        <v>1055</v>
      </c>
      <c r="C288" s="1" t="s">
        <v>1056</v>
      </c>
      <c r="D288" s="1" t="s">
        <v>1002</v>
      </c>
      <c r="E288" s="1"/>
      <c r="F288" s="1"/>
      <c r="G288" s="1" t="s">
        <v>109</v>
      </c>
      <c r="H288" s="1"/>
      <c r="I288" s="1" t="s">
        <v>1027</v>
      </c>
      <c r="J288" s="1" t="s">
        <v>69</v>
      </c>
      <c r="K288" s="1" t="s">
        <v>107</v>
      </c>
      <c r="L288" s="1" t="s">
        <v>0</v>
      </c>
      <c r="M288" s="1" t="b">
        <v>1</v>
      </c>
      <c r="N288" s="1" t="b">
        <v>0</v>
      </c>
      <c r="O288" s="19">
        <v>1800.0</v>
      </c>
      <c r="P288" s="20">
        <v>2.08</v>
      </c>
      <c r="Q288" s="20">
        <v>865.38</v>
      </c>
      <c r="R288" s="21">
        <v>0.5755621807760752</v>
      </c>
      <c r="S288" s="1" t="s">
        <v>117</v>
      </c>
      <c r="T288" s="1" t="s">
        <v>0</v>
      </c>
      <c r="U288" s="1" t="s">
        <v>81</v>
      </c>
      <c r="V288" s="1" t="s">
        <v>81</v>
      </c>
      <c r="W288" s="1" t="s">
        <v>0</v>
      </c>
      <c r="X288" s="1" t="s">
        <v>0</v>
      </c>
      <c r="Y288" s="22" t="str">
        <f t="shared" si="3"/>
        <v>CO</v>
      </c>
      <c r="Z288" s="20" t="str">
        <f>_xlfn.XLOOKUP($B288,[1]F27!$C:$C,[1]F27!$BV:$BV)</f>
        <v>#ERROR!</v>
      </c>
      <c r="AA288" s="1"/>
      <c r="AB288" s="1"/>
      <c r="AC288" s="23"/>
      <c r="AD288" s="1" t="str">
        <f>_xlfn.XLOOKUP($B288,[1]F27!$C:$C,[1]F27!$Y:$Y)</f>
        <v>#ERROR!</v>
      </c>
      <c r="AE288" s="1" t="str">
        <f>_xlfn.XLOOKUP($B288,[1]F27!$C:$C,[1]F27!$Z:$Z)</f>
        <v>#ERROR!</v>
      </c>
      <c r="AF288" s="1" t="str">
        <f>_xlfn.XLOOKUP($B288,[2]PRICING!$B:$B,[2]PRICING!$B:$B,"MISSING")</f>
        <v>#ERROR!</v>
      </c>
      <c r="AG288" s="1" t="str">
        <f>COUNTIFS([2]ACTIVE_SCO!$B:$B,$B288,[2]ACTIVE_SCO!$P:$P,"Y")</f>
        <v>#ERROR!</v>
      </c>
      <c r="AH288" s="1"/>
      <c r="AI288" s="37" t="s">
        <v>157</v>
      </c>
      <c r="AJ288" s="67" t="s">
        <v>2044</v>
      </c>
      <c r="AK288" s="39"/>
      <c r="AL288" s="39"/>
      <c r="AM288" s="1" t="s">
        <v>86</v>
      </c>
      <c r="AN288" s="40" t="s">
        <v>512</v>
      </c>
      <c r="AO288" s="41" t="s">
        <v>86</v>
      </c>
      <c r="AP288" s="41" t="s">
        <v>169</v>
      </c>
      <c r="AQ288" s="40" t="s">
        <v>0</v>
      </c>
      <c r="AR288" s="39"/>
      <c r="AS288" s="1" t="s">
        <v>1002</v>
      </c>
      <c r="AT288" s="1" t="s">
        <v>1005</v>
      </c>
      <c r="AU288" s="1" t="s">
        <v>1006</v>
      </c>
      <c r="AV288" s="1" t="s">
        <v>131</v>
      </c>
      <c r="AW288" s="1"/>
      <c r="AX288" s="1"/>
      <c r="AY288" s="1"/>
      <c r="AZ288" s="1"/>
      <c r="BA288" s="1"/>
      <c r="BB288" s="1"/>
      <c r="BC288" s="1"/>
      <c r="BD288" s="1"/>
    </row>
    <row r="289" ht="11.25" customHeight="1">
      <c r="A289" s="1" t="b">
        <v>1</v>
      </c>
      <c r="B289" s="1" t="s">
        <v>1065</v>
      </c>
      <c r="C289" s="1" t="s">
        <v>1066</v>
      </c>
      <c r="D289" s="1" t="s">
        <v>1002</v>
      </c>
      <c r="E289" s="1"/>
      <c r="F289" s="1"/>
      <c r="G289" s="1" t="s">
        <v>66</v>
      </c>
      <c r="H289" s="1"/>
      <c r="I289" s="1" t="s">
        <v>1003</v>
      </c>
      <c r="J289" s="1" t="s">
        <v>69</v>
      </c>
      <c r="K289" s="1" t="s">
        <v>70</v>
      </c>
      <c r="L289" s="1" t="s">
        <v>0</v>
      </c>
      <c r="M289" s="1" t="b">
        <v>1</v>
      </c>
      <c r="N289" s="1" t="b">
        <v>0</v>
      </c>
      <c r="O289" s="19">
        <v>2200.0</v>
      </c>
      <c r="P289" s="20">
        <v>2.08</v>
      </c>
      <c r="Q289" s="20">
        <v>1057.69</v>
      </c>
      <c r="R289" s="21">
        <v>0.6088740557252126</v>
      </c>
      <c r="S289" s="1" t="s">
        <v>117</v>
      </c>
      <c r="T289" s="1" t="s">
        <v>0</v>
      </c>
      <c r="U289" s="1" t="s">
        <v>80</v>
      </c>
      <c r="V289" s="1" t="s">
        <v>81</v>
      </c>
      <c r="W289" s="1" t="s">
        <v>0</v>
      </c>
      <c r="X289" s="1" t="s">
        <v>0</v>
      </c>
      <c r="Y289" s="22" t="str">
        <f t="shared" si="3"/>
        <v>CO</v>
      </c>
      <c r="Z289" s="20" t="str">
        <f>_xlfn.XLOOKUP($B289,[1]F27!$C:$C,[1]F27!$BV:$BV)</f>
        <v>#ERROR!</v>
      </c>
      <c r="AA289" s="1"/>
      <c r="AB289" s="1"/>
      <c r="AC289" s="23"/>
      <c r="AD289" s="1" t="str">
        <f>_xlfn.XLOOKUP($B289,[1]F27!$C:$C,[1]F27!$Y:$Y)</f>
        <v>#ERROR!</v>
      </c>
      <c r="AE289" s="1" t="str">
        <f>_xlfn.XLOOKUP($B289,[1]F27!$C:$C,[1]F27!$Z:$Z)</f>
        <v>#ERROR!</v>
      </c>
      <c r="AF289" s="1" t="str">
        <f>_xlfn.XLOOKUP($B289,[2]PRICING!$B:$B,[2]PRICING!$B:$B,"MISSING")</f>
        <v>#ERROR!</v>
      </c>
      <c r="AG289" s="1" t="str">
        <f>COUNTIFS([2]ACTIVE_SCO!$B:$B,$B289,[2]ACTIVE_SCO!$P:$P,"Y")</f>
        <v>#ERROR!</v>
      </c>
      <c r="AH289" s="1"/>
      <c r="AI289" s="37" t="s">
        <v>157</v>
      </c>
      <c r="AJ289" s="23"/>
      <c r="AK289" s="39"/>
      <c r="AL289" s="39"/>
      <c r="AM289" s="1" t="s">
        <v>86</v>
      </c>
      <c r="AN289" s="40" t="s">
        <v>87</v>
      </c>
      <c r="AO289" s="41" t="s">
        <v>86</v>
      </c>
      <c r="AP289" s="41" t="s">
        <v>169</v>
      </c>
      <c r="AQ289" s="40" t="s">
        <v>0</v>
      </c>
      <c r="AR289" s="39"/>
      <c r="AS289" s="1" t="s">
        <v>1002</v>
      </c>
      <c r="AT289" s="1" t="s">
        <v>1005</v>
      </c>
      <c r="AU289" s="1" t="s">
        <v>1016</v>
      </c>
      <c r="AV289" s="1" t="s">
        <v>91</v>
      </c>
      <c r="AW289" s="1"/>
      <c r="AX289" s="1"/>
      <c r="AY289" s="1"/>
      <c r="AZ289" s="1"/>
      <c r="BA289" s="1"/>
      <c r="BB289" s="1"/>
      <c r="BC289" s="1"/>
      <c r="BD289" s="1"/>
    </row>
    <row r="290" ht="11.25" customHeight="1">
      <c r="A290" s="1" t="b">
        <v>1</v>
      </c>
      <c r="B290" s="1" t="s">
        <v>1067</v>
      </c>
      <c r="C290" s="1" t="s">
        <v>1068</v>
      </c>
      <c r="D290" s="1" t="s">
        <v>1002</v>
      </c>
      <c r="E290" s="1"/>
      <c r="F290" s="1"/>
      <c r="G290" s="1" t="s">
        <v>66</v>
      </c>
      <c r="H290" s="1"/>
      <c r="I290" s="1" t="s">
        <v>1003</v>
      </c>
      <c r="J290" s="1" t="s">
        <v>69</v>
      </c>
      <c r="K290" s="1" t="s">
        <v>107</v>
      </c>
      <c r="L290" s="1" t="s">
        <v>0</v>
      </c>
      <c r="M290" s="1" t="b">
        <v>1</v>
      </c>
      <c r="N290" s="1" t="b">
        <v>0</v>
      </c>
      <c r="O290" s="19">
        <v>2200.0</v>
      </c>
      <c r="P290" s="20">
        <v>2.08</v>
      </c>
      <c r="Q290" s="20">
        <v>1057.69</v>
      </c>
      <c r="R290" s="21">
        <v>0.6099802399568872</v>
      </c>
      <c r="S290" s="1" t="s">
        <v>117</v>
      </c>
      <c r="T290" s="1" t="s">
        <v>0</v>
      </c>
      <c r="U290" s="1" t="s">
        <v>80</v>
      </c>
      <c r="V290" s="1" t="s">
        <v>81</v>
      </c>
      <c r="W290" s="1" t="s">
        <v>0</v>
      </c>
      <c r="X290" s="1" t="s">
        <v>0</v>
      </c>
      <c r="Y290" s="22" t="str">
        <f t="shared" si="3"/>
        <v>CO</v>
      </c>
      <c r="Z290" s="20" t="str">
        <f>_xlfn.XLOOKUP($B290,[1]F27!$C:$C,[1]F27!$BV:$BV)</f>
        <v>#ERROR!</v>
      </c>
      <c r="AA290" s="1"/>
      <c r="AB290" s="1"/>
      <c r="AC290" s="23"/>
      <c r="AD290" s="1" t="str">
        <f>_xlfn.XLOOKUP($B290,[1]F27!$C:$C,[1]F27!$Y:$Y)</f>
        <v>#ERROR!</v>
      </c>
      <c r="AE290" s="1" t="str">
        <f>_xlfn.XLOOKUP($B290,[1]F27!$C:$C,[1]F27!$Z:$Z)</f>
        <v>#ERROR!</v>
      </c>
      <c r="AF290" s="1" t="str">
        <f>_xlfn.XLOOKUP($B290,[2]PRICING!$B:$B,[2]PRICING!$B:$B,"MISSING")</f>
        <v>#ERROR!</v>
      </c>
      <c r="AG290" s="1" t="str">
        <f>COUNTIFS([2]ACTIVE_SCO!$B:$B,$B290,[2]ACTIVE_SCO!$P:$P,"Y")</f>
        <v>#ERROR!</v>
      </c>
      <c r="AH290" s="1"/>
      <c r="AI290" s="37" t="s">
        <v>157</v>
      </c>
      <c r="AJ290" s="23"/>
      <c r="AK290" s="39"/>
      <c r="AL290" s="39"/>
      <c r="AM290" s="1" t="s">
        <v>86</v>
      </c>
      <c r="AN290" s="40" t="s">
        <v>87</v>
      </c>
      <c r="AO290" s="41" t="s">
        <v>86</v>
      </c>
      <c r="AP290" s="41" t="s">
        <v>169</v>
      </c>
      <c r="AQ290" s="40" t="s">
        <v>0</v>
      </c>
      <c r="AR290" s="39"/>
      <c r="AS290" s="1" t="s">
        <v>1002</v>
      </c>
      <c r="AT290" s="1" t="s">
        <v>1005</v>
      </c>
      <c r="AU290" s="1" t="s">
        <v>1016</v>
      </c>
      <c r="AV290" s="1" t="s">
        <v>91</v>
      </c>
      <c r="AW290" s="1"/>
      <c r="AX290" s="1"/>
      <c r="AY290" s="1"/>
      <c r="AZ290" s="1"/>
      <c r="BA290" s="1"/>
      <c r="BB290" s="1"/>
      <c r="BC290" s="1"/>
      <c r="BD290" s="1"/>
    </row>
    <row r="291" ht="11.25" customHeight="1">
      <c r="A291" s="1" t="b">
        <v>1</v>
      </c>
      <c r="B291" s="1" t="s">
        <v>1073</v>
      </c>
      <c r="C291" s="1" t="s">
        <v>1074</v>
      </c>
      <c r="D291" s="1" t="s">
        <v>1002</v>
      </c>
      <c r="E291" s="1"/>
      <c r="F291" s="1"/>
      <c r="G291" s="1" t="s">
        <v>66</v>
      </c>
      <c r="H291" s="1"/>
      <c r="I291" s="1" t="s">
        <v>1003</v>
      </c>
      <c r="J291" s="1" t="s">
        <v>69</v>
      </c>
      <c r="K291" s="1" t="s">
        <v>70</v>
      </c>
      <c r="L291" s="1" t="s">
        <v>0</v>
      </c>
      <c r="M291" s="1" t="b">
        <v>1</v>
      </c>
      <c r="N291" s="1" t="b">
        <v>0</v>
      </c>
      <c r="O291" s="19">
        <v>2500.0</v>
      </c>
      <c r="P291" s="20">
        <v>2.08</v>
      </c>
      <c r="Q291" s="20">
        <v>1201.92</v>
      </c>
      <c r="R291" s="21">
        <v>0.609832601171459</v>
      </c>
      <c r="S291" s="1" t="s">
        <v>117</v>
      </c>
      <c r="T291" s="1" t="s">
        <v>0</v>
      </c>
      <c r="U291" s="1" t="s">
        <v>80</v>
      </c>
      <c r="V291" s="1" t="s">
        <v>81</v>
      </c>
      <c r="W291" s="1" t="s">
        <v>0</v>
      </c>
      <c r="X291" s="1" t="s">
        <v>0</v>
      </c>
      <c r="Y291" s="22" t="str">
        <f t="shared" si="3"/>
        <v>CO</v>
      </c>
      <c r="Z291" s="20" t="str">
        <f>_xlfn.XLOOKUP($B291,[1]F27!$C:$C,[1]F27!$BV:$BV)</f>
        <v>#ERROR!</v>
      </c>
      <c r="AA291" s="1"/>
      <c r="AB291" s="1"/>
      <c r="AC291" s="23"/>
      <c r="AD291" s="1" t="str">
        <f>_xlfn.XLOOKUP($B291,[1]F27!$C:$C,[1]F27!$Y:$Y)</f>
        <v>#ERROR!</v>
      </c>
      <c r="AE291" s="1" t="str">
        <f>_xlfn.XLOOKUP($B291,[1]F27!$C:$C,[1]F27!$Z:$Z)</f>
        <v>#ERROR!</v>
      </c>
      <c r="AF291" s="1" t="str">
        <f>_xlfn.XLOOKUP($B291,[2]PRICING!$B:$B,[2]PRICING!$B:$B,"MISSING")</f>
        <v>#ERROR!</v>
      </c>
      <c r="AG291" s="1" t="str">
        <f>COUNTIFS([2]ACTIVE_SCO!$B:$B,$B291,[2]ACTIVE_SCO!$P:$P,"Y")</f>
        <v>#ERROR!</v>
      </c>
      <c r="AH291" s="1"/>
      <c r="AI291" s="37" t="s">
        <v>157</v>
      </c>
      <c r="AJ291" s="23"/>
      <c r="AK291" s="39"/>
      <c r="AL291" s="39"/>
      <c r="AM291" s="1" t="s">
        <v>86</v>
      </c>
      <c r="AN291" s="40" t="s">
        <v>87</v>
      </c>
      <c r="AO291" s="41" t="s">
        <v>86</v>
      </c>
      <c r="AP291" s="41" t="s">
        <v>169</v>
      </c>
      <c r="AQ291" s="40" t="s">
        <v>0</v>
      </c>
      <c r="AR291" s="39"/>
      <c r="AS291" s="1" t="s">
        <v>1002</v>
      </c>
      <c r="AT291" s="1" t="s">
        <v>1015</v>
      </c>
      <c r="AU291" s="1" t="s">
        <v>1016</v>
      </c>
      <c r="AV291" s="1" t="s">
        <v>91</v>
      </c>
      <c r="AW291" s="1"/>
      <c r="AX291" s="1"/>
      <c r="AY291" s="1"/>
      <c r="AZ291" s="1"/>
      <c r="BA291" s="1"/>
      <c r="BB291" s="1"/>
      <c r="BC291" s="1"/>
      <c r="BD291" s="1"/>
    </row>
    <row r="292" ht="11.25" customHeight="1">
      <c r="A292" s="1" t="b">
        <v>1</v>
      </c>
      <c r="B292" s="1" t="s">
        <v>1075</v>
      </c>
      <c r="C292" s="1" t="s">
        <v>1076</v>
      </c>
      <c r="D292" s="1" t="s">
        <v>1002</v>
      </c>
      <c r="E292" s="1"/>
      <c r="F292" s="1"/>
      <c r="G292" s="1" t="s">
        <v>66</v>
      </c>
      <c r="H292" s="1"/>
      <c r="I292" s="1" t="s">
        <v>1003</v>
      </c>
      <c r="J292" s="1" t="s">
        <v>69</v>
      </c>
      <c r="K292" s="1" t="s">
        <v>107</v>
      </c>
      <c r="L292" s="1" t="s">
        <v>0</v>
      </c>
      <c r="M292" s="1" t="b">
        <v>1</v>
      </c>
      <c r="N292" s="1" t="b">
        <v>0</v>
      </c>
      <c r="O292" s="19">
        <v>2500.0</v>
      </c>
      <c r="P292" s="20">
        <v>2.08</v>
      </c>
      <c r="Q292" s="20">
        <v>1201.92</v>
      </c>
      <c r="R292" s="21">
        <v>0.609832601171459</v>
      </c>
      <c r="S292" s="1" t="s">
        <v>117</v>
      </c>
      <c r="T292" s="1" t="s">
        <v>0</v>
      </c>
      <c r="U292" s="1" t="s">
        <v>80</v>
      </c>
      <c r="V292" s="1" t="s">
        <v>81</v>
      </c>
      <c r="W292" s="1" t="s">
        <v>0</v>
      </c>
      <c r="X292" s="1" t="s">
        <v>0</v>
      </c>
      <c r="Y292" s="22" t="str">
        <f t="shared" si="3"/>
        <v>CO</v>
      </c>
      <c r="Z292" s="20" t="str">
        <f>_xlfn.XLOOKUP($B292,[1]F27!$C:$C,[1]F27!$BV:$BV)</f>
        <v>#ERROR!</v>
      </c>
      <c r="AA292" s="1"/>
      <c r="AB292" s="1"/>
      <c r="AC292" s="23"/>
      <c r="AD292" s="1" t="str">
        <f>_xlfn.XLOOKUP($B292,[1]F27!$C:$C,[1]F27!$Y:$Y)</f>
        <v>#ERROR!</v>
      </c>
      <c r="AE292" s="1" t="str">
        <f>_xlfn.XLOOKUP($B292,[1]F27!$C:$C,[1]F27!$Z:$Z)</f>
        <v>#ERROR!</v>
      </c>
      <c r="AF292" s="1" t="str">
        <f>_xlfn.XLOOKUP($B292,[2]PRICING!$B:$B,[2]PRICING!$B:$B,"MISSING")</f>
        <v>#ERROR!</v>
      </c>
      <c r="AG292" s="1" t="str">
        <f>COUNTIFS([2]ACTIVE_SCO!$B:$B,$B292,[2]ACTIVE_SCO!$P:$P,"Y")</f>
        <v>#ERROR!</v>
      </c>
      <c r="AH292" s="1"/>
      <c r="AI292" s="37" t="s">
        <v>157</v>
      </c>
      <c r="AJ292" s="23"/>
      <c r="AK292" s="39"/>
      <c r="AL292" s="39"/>
      <c r="AM292" s="1" t="s">
        <v>86</v>
      </c>
      <c r="AN292" s="40" t="s">
        <v>87</v>
      </c>
      <c r="AO292" s="41" t="s">
        <v>86</v>
      </c>
      <c r="AP292" s="41" t="s">
        <v>169</v>
      </c>
      <c r="AQ292" s="40" t="s">
        <v>0</v>
      </c>
      <c r="AR292" s="39"/>
      <c r="AS292" s="1" t="s">
        <v>1002</v>
      </c>
      <c r="AT292" s="1" t="s">
        <v>1015</v>
      </c>
      <c r="AU292" s="1" t="s">
        <v>1016</v>
      </c>
      <c r="AV292" s="1" t="s">
        <v>91</v>
      </c>
      <c r="AW292" s="1"/>
      <c r="AX292" s="1"/>
      <c r="AY292" s="1"/>
      <c r="AZ292" s="1"/>
      <c r="BA292" s="1"/>
      <c r="BB292" s="1"/>
      <c r="BC292" s="1"/>
      <c r="BD292" s="1"/>
    </row>
    <row r="293" ht="11.25" customHeight="1">
      <c r="A293" s="1" t="b">
        <v>1</v>
      </c>
      <c r="B293" s="1" t="s">
        <v>1077</v>
      </c>
      <c r="C293" s="1" t="s">
        <v>1078</v>
      </c>
      <c r="D293" s="1" t="s">
        <v>1002</v>
      </c>
      <c r="E293" s="1"/>
      <c r="F293" s="1"/>
      <c r="G293" s="1" t="s">
        <v>66</v>
      </c>
      <c r="H293" s="1"/>
      <c r="I293" s="1" t="s">
        <v>1003</v>
      </c>
      <c r="J293" s="1" t="s">
        <v>69</v>
      </c>
      <c r="K293" s="1" t="s">
        <v>70</v>
      </c>
      <c r="L293" s="1" t="s">
        <v>0</v>
      </c>
      <c r="M293" s="1" t="b">
        <v>1</v>
      </c>
      <c r="N293" s="1" t="b">
        <v>0</v>
      </c>
      <c r="O293" s="19">
        <v>2200.0</v>
      </c>
      <c r="P293" s="20">
        <v>2.08</v>
      </c>
      <c r="Q293" s="20">
        <v>1057.69</v>
      </c>
      <c r="R293" s="21">
        <v>0.6041940455142811</v>
      </c>
      <c r="S293" s="1" t="s">
        <v>117</v>
      </c>
      <c r="T293" s="1" t="s">
        <v>0</v>
      </c>
      <c r="U293" s="1" t="s">
        <v>166</v>
      </c>
      <c r="V293" s="1" t="s">
        <v>81</v>
      </c>
      <c r="W293" s="1" t="s">
        <v>0</v>
      </c>
      <c r="X293" s="1" t="s">
        <v>0</v>
      </c>
      <c r="Y293" s="22" t="str">
        <f t="shared" si="3"/>
        <v>CO</v>
      </c>
      <c r="Z293" s="20" t="str">
        <f>_xlfn.XLOOKUP($B293,[1]F27!$C:$C,[1]F27!$BV:$BV)</f>
        <v>#ERROR!</v>
      </c>
      <c r="AA293" s="1"/>
      <c r="AB293" s="1"/>
      <c r="AC293" s="23"/>
      <c r="AD293" s="1" t="str">
        <f>_xlfn.XLOOKUP($B293,[1]F27!$C:$C,[1]F27!$Y:$Y)</f>
        <v>#ERROR!</v>
      </c>
      <c r="AE293" s="1" t="str">
        <f>_xlfn.XLOOKUP($B293,[1]F27!$C:$C,[1]F27!$Z:$Z)</f>
        <v>#ERROR!</v>
      </c>
      <c r="AF293" s="1" t="str">
        <f>_xlfn.XLOOKUP($B293,[2]PRICING!$B:$B,[2]PRICING!$B:$B,"MISSING")</f>
        <v>#ERROR!</v>
      </c>
      <c r="AG293" s="1" t="str">
        <f>COUNTIFS([2]ACTIVE_SCO!$B:$B,$B293,[2]ACTIVE_SCO!$P:$P,"Y")</f>
        <v>#ERROR!</v>
      </c>
      <c r="AH293" s="1"/>
      <c r="AI293" s="37" t="s">
        <v>157</v>
      </c>
      <c r="AJ293" s="38" t="s">
        <v>2061</v>
      </c>
      <c r="AK293" s="39"/>
      <c r="AL293" s="39"/>
      <c r="AM293" s="1" t="s">
        <v>86</v>
      </c>
      <c r="AN293" s="40" t="s">
        <v>87</v>
      </c>
      <c r="AO293" s="41" t="s">
        <v>86</v>
      </c>
      <c r="AP293" s="41" t="s">
        <v>169</v>
      </c>
      <c r="AQ293" s="40" t="s">
        <v>0</v>
      </c>
      <c r="AR293" s="39"/>
      <c r="AS293" s="1" t="s">
        <v>1002</v>
      </c>
      <c r="AT293" s="1" t="s">
        <v>1015</v>
      </c>
      <c r="AU293" s="1" t="s">
        <v>1016</v>
      </c>
      <c r="AV293" s="1" t="s">
        <v>91</v>
      </c>
      <c r="AW293" s="1"/>
      <c r="AX293" s="1"/>
      <c r="AY293" s="1"/>
      <c r="AZ293" s="1"/>
      <c r="BA293" s="1"/>
      <c r="BB293" s="1"/>
      <c r="BC293" s="1"/>
      <c r="BD293" s="1"/>
    </row>
    <row r="294" ht="11.25" customHeight="1">
      <c r="A294" s="1" t="b">
        <v>1</v>
      </c>
      <c r="B294" s="1" t="s">
        <v>1079</v>
      </c>
      <c r="C294" s="1" t="s">
        <v>1080</v>
      </c>
      <c r="D294" s="1" t="s">
        <v>1002</v>
      </c>
      <c r="E294" s="1"/>
      <c r="F294" s="1"/>
      <c r="G294" s="1" t="s">
        <v>66</v>
      </c>
      <c r="H294" s="1"/>
      <c r="I294" s="1" t="s">
        <v>1003</v>
      </c>
      <c r="J294" s="1" t="s">
        <v>69</v>
      </c>
      <c r="K294" s="1" t="s">
        <v>107</v>
      </c>
      <c r="L294" s="1" t="s">
        <v>0</v>
      </c>
      <c r="M294" s="1" t="b">
        <v>1</v>
      </c>
      <c r="N294" s="1" t="b">
        <v>0</v>
      </c>
      <c r="O294" s="19">
        <v>2200.0</v>
      </c>
      <c r="P294" s="20">
        <v>2.08</v>
      </c>
      <c r="Q294" s="20">
        <v>1057.69</v>
      </c>
      <c r="R294" s="21">
        <v>0.6041940455142811</v>
      </c>
      <c r="S294" s="1" t="s">
        <v>117</v>
      </c>
      <c r="T294" s="1" t="s">
        <v>0</v>
      </c>
      <c r="U294" s="1" t="s">
        <v>166</v>
      </c>
      <c r="V294" s="1" t="s">
        <v>81</v>
      </c>
      <c r="W294" s="1" t="s">
        <v>0</v>
      </c>
      <c r="X294" s="1" t="s">
        <v>0</v>
      </c>
      <c r="Y294" s="22" t="str">
        <f t="shared" si="3"/>
        <v>CO</v>
      </c>
      <c r="Z294" s="20" t="str">
        <f>_xlfn.XLOOKUP($B294,[1]F27!$C:$C,[1]F27!$BV:$BV)</f>
        <v>#ERROR!</v>
      </c>
      <c r="AA294" s="1"/>
      <c r="AB294" s="1"/>
      <c r="AC294" s="23"/>
      <c r="AD294" s="1" t="str">
        <f>_xlfn.XLOOKUP($B294,[1]F27!$C:$C,[1]F27!$Y:$Y)</f>
        <v>#ERROR!</v>
      </c>
      <c r="AE294" s="1" t="str">
        <f>_xlfn.XLOOKUP($B294,[1]F27!$C:$C,[1]F27!$Z:$Z)</f>
        <v>#ERROR!</v>
      </c>
      <c r="AF294" s="1" t="str">
        <f>_xlfn.XLOOKUP($B294,[2]PRICING!$B:$B,[2]PRICING!$B:$B,"MISSING")</f>
        <v>#ERROR!</v>
      </c>
      <c r="AG294" s="1" t="str">
        <f>COUNTIFS([2]ACTIVE_SCO!$B:$B,$B294,[2]ACTIVE_SCO!$P:$P,"Y")</f>
        <v>#ERROR!</v>
      </c>
      <c r="AH294" s="1"/>
      <c r="AI294" s="37" t="s">
        <v>157</v>
      </c>
      <c r="AJ294" s="38" t="s">
        <v>2066</v>
      </c>
      <c r="AK294" s="39"/>
      <c r="AL294" s="39"/>
      <c r="AM294" s="1" t="s">
        <v>86</v>
      </c>
      <c r="AN294" s="40" t="s">
        <v>87</v>
      </c>
      <c r="AO294" s="41" t="s">
        <v>86</v>
      </c>
      <c r="AP294" s="41" t="s">
        <v>169</v>
      </c>
      <c r="AQ294" s="40" t="s">
        <v>0</v>
      </c>
      <c r="AR294" s="39"/>
      <c r="AS294" s="1" t="s">
        <v>1002</v>
      </c>
      <c r="AT294" s="1" t="s">
        <v>1015</v>
      </c>
      <c r="AU294" s="1" t="s">
        <v>1016</v>
      </c>
      <c r="AV294" s="1" t="s">
        <v>91</v>
      </c>
      <c r="AW294" s="1"/>
      <c r="AX294" s="1"/>
      <c r="AY294" s="1"/>
      <c r="AZ294" s="1"/>
      <c r="BA294" s="1"/>
      <c r="BB294" s="1"/>
      <c r="BC294" s="1"/>
      <c r="BD294" s="1"/>
    </row>
    <row r="295" ht="11.25" customHeight="1">
      <c r="A295" s="1" t="b">
        <v>1</v>
      </c>
      <c r="B295" s="1" t="s">
        <v>1081</v>
      </c>
      <c r="C295" s="1" t="s">
        <v>1082</v>
      </c>
      <c r="D295" s="1" t="s">
        <v>1002</v>
      </c>
      <c r="E295" s="1"/>
      <c r="F295" s="1"/>
      <c r="G295" s="1" t="s">
        <v>66</v>
      </c>
      <c r="H295" s="1"/>
      <c r="I295" s="1" t="s">
        <v>1003</v>
      </c>
      <c r="J295" s="1" t="s">
        <v>69</v>
      </c>
      <c r="K295" s="1" t="s">
        <v>70</v>
      </c>
      <c r="L295" s="1" t="s">
        <v>0</v>
      </c>
      <c r="M295" s="1" t="b">
        <v>1</v>
      </c>
      <c r="N295" s="1" t="b">
        <v>0</v>
      </c>
      <c r="O295" s="19">
        <v>2000.0</v>
      </c>
      <c r="P295" s="20">
        <v>2.08</v>
      </c>
      <c r="Q295" s="20">
        <v>961.54</v>
      </c>
      <c r="R295" s="21">
        <v>0.5704390872974603</v>
      </c>
      <c r="S295" s="1" t="s">
        <v>117</v>
      </c>
      <c r="T295" s="1" t="s">
        <v>0</v>
      </c>
      <c r="U295" s="1" t="s">
        <v>166</v>
      </c>
      <c r="V295" s="1" t="s">
        <v>81</v>
      </c>
      <c r="W295" s="1" t="s">
        <v>0</v>
      </c>
      <c r="X295" s="1" t="s">
        <v>0</v>
      </c>
      <c r="Y295" s="22" t="str">
        <f t="shared" si="3"/>
        <v>CO</v>
      </c>
      <c r="Z295" s="20" t="str">
        <f>_xlfn.XLOOKUP($B295,[1]F27!$C:$C,[1]F27!$BV:$BV)</f>
        <v>#ERROR!</v>
      </c>
      <c r="AA295" s="1"/>
      <c r="AB295" s="1"/>
      <c r="AC295" s="23"/>
      <c r="AD295" s="1" t="str">
        <f>_xlfn.XLOOKUP($B295,[1]F27!$C:$C,[1]F27!$Y:$Y)</f>
        <v>#ERROR!</v>
      </c>
      <c r="AE295" s="1" t="str">
        <f>_xlfn.XLOOKUP($B295,[1]F27!$C:$C,[1]F27!$Z:$Z)</f>
        <v>#ERROR!</v>
      </c>
      <c r="AF295" s="1" t="str">
        <f>_xlfn.XLOOKUP($B295,[2]PRICING!$B:$B,[2]PRICING!$B:$B,"MISSING")</f>
        <v>#ERROR!</v>
      </c>
      <c r="AG295" s="1" t="str">
        <f>COUNTIFS([2]ACTIVE_SCO!$B:$B,$B295,[2]ACTIVE_SCO!$P:$P,"Y")</f>
        <v>#ERROR!</v>
      </c>
      <c r="AH295" s="1"/>
      <c r="AI295" s="37" t="s">
        <v>157</v>
      </c>
      <c r="AJ295" s="38" t="s">
        <v>2068</v>
      </c>
      <c r="AK295" s="39"/>
      <c r="AL295" s="39"/>
      <c r="AM295" s="1" t="s">
        <v>86</v>
      </c>
      <c r="AN295" s="40" t="s">
        <v>87</v>
      </c>
      <c r="AO295" s="41" t="s">
        <v>86</v>
      </c>
      <c r="AP295" s="41" t="s">
        <v>169</v>
      </c>
      <c r="AQ295" s="40" t="s">
        <v>0</v>
      </c>
      <c r="AR295" s="39"/>
      <c r="AS295" s="1" t="s">
        <v>1002</v>
      </c>
      <c r="AT295" s="1" t="s">
        <v>1015</v>
      </c>
      <c r="AU295" s="1" t="s">
        <v>1016</v>
      </c>
      <c r="AV295" s="1" t="s">
        <v>91</v>
      </c>
      <c r="AW295" s="1"/>
      <c r="AX295" s="1"/>
      <c r="AY295" s="1"/>
      <c r="AZ295" s="1"/>
      <c r="BA295" s="1"/>
      <c r="BB295" s="1"/>
      <c r="BC295" s="1"/>
      <c r="BD295" s="1"/>
    </row>
    <row r="296" ht="11.25" customHeight="1">
      <c r="A296" s="1" t="b">
        <v>1</v>
      </c>
      <c r="B296" s="1" t="s">
        <v>1084</v>
      </c>
      <c r="C296" s="1" t="s">
        <v>1085</v>
      </c>
      <c r="D296" s="1" t="s">
        <v>1002</v>
      </c>
      <c r="E296" s="1"/>
      <c r="F296" s="1"/>
      <c r="G296" s="1" t="s">
        <v>66</v>
      </c>
      <c r="H296" s="1"/>
      <c r="I296" s="1" t="s">
        <v>1003</v>
      </c>
      <c r="J296" s="1" t="s">
        <v>69</v>
      </c>
      <c r="K296" s="1" t="s">
        <v>107</v>
      </c>
      <c r="L296" s="1" t="s">
        <v>0</v>
      </c>
      <c r="M296" s="1" t="b">
        <v>1</v>
      </c>
      <c r="N296" s="1" t="b">
        <v>0</v>
      </c>
      <c r="O296" s="19">
        <v>2000.0</v>
      </c>
      <c r="P296" s="20">
        <v>2.08</v>
      </c>
      <c r="Q296" s="20">
        <v>961.54</v>
      </c>
      <c r="R296" s="21">
        <v>0.5704390872974603</v>
      </c>
      <c r="S296" s="1" t="s">
        <v>117</v>
      </c>
      <c r="T296" s="1" t="s">
        <v>0</v>
      </c>
      <c r="U296" s="1" t="s">
        <v>166</v>
      </c>
      <c r="V296" s="1" t="s">
        <v>81</v>
      </c>
      <c r="W296" s="1" t="s">
        <v>0</v>
      </c>
      <c r="X296" s="1" t="s">
        <v>0</v>
      </c>
      <c r="Y296" s="22" t="str">
        <f t="shared" si="3"/>
        <v>CO</v>
      </c>
      <c r="Z296" s="20" t="str">
        <f>_xlfn.XLOOKUP($B296,[1]F27!$C:$C,[1]F27!$BV:$BV)</f>
        <v>#ERROR!</v>
      </c>
      <c r="AA296" s="1"/>
      <c r="AB296" s="1"/>
      <c r="AC296" s="23"/>
      <c r="AD296" s="1" t="str">
        <f>_xlfn.XLOOKUP($B296,[1]F27!$C:$C,[1]F27!$Y:$Y)</f>
        <v>#ERROR!</v>
      </c>
      <c r="AE296" s="1" t="str">
        <f>_xlfn.XLOOKUP($B296,[1]F27!$C:$C,[1]F27!$Z:$Z)</f>
        <v>#ERROR!</v>
      </c>
      <c r="AF296" s="1" t="str">
        <f>_xlfn.XLOOKUP($B296,[2]PRICING!$B:$B,[2]PRICING!$B:$B,"MISSING")</f>
        <v>#ERROR!</v>
      </c>
      <c r="AG296" s="1" t="str">
        <f>COUNTIFS([2]ACTIVE_SCO!$B:$B,$B296,[2]ACTIVE_SCO!$P:$P,"Y")</f>
        <v>#ERROR!</v>
      </c>
      <c r="AH296" s="1"/>
      <c r="AI296" s="37" t="s">
        <v>157</v>
      </c>
      <c r="AJ296" s="38" t="s">
        <v>2070</v>
      </c>
      <c r="AK296" s="39"/>
      <c r="AL296" s="39"/>
      <c r="AM296" s="1" t="s">
        <v>86</v>
      </c>
      <c r="AN296" s="40" t="s">
        <v>87</v>
      </c>
      <c r="AO296" s="41" t="s">
        <v>86</v>
      </c>
      <c r="AP296" s="41" t="s">
        <v>169</v>
      </c>
      <c r="AQ296" s="40" t="s">
        <v>0</v>
      </c>
      <c r="AR296" s="39"/>
      <c r="AS296" s="1" t="s">
        <v>1002</v>
      </c>
      <c r="AT296" s="1" t="s">
        <v>1015</v>
      </c>
      <c r="AU296" s="1" t="s">
        <v>1016</v>
      </c>
      <c r="AV296" s="1" t="s">
        <v>91</v>
      </c>
      <c r="AW296" s="1"/>
      <c r="AX296" s="1"/>
      <c r="AY296" s="1"/>
      <c r="AZ296" s="1"/>
      <c r="BA296" s="1"/>
      <c r="BB296" s="1"/>
      <c r="BC296" s="1"/>
      <c r="BD296" s="1"/>
    </row>
    <row r="297" ht="11.25" customHeight="1">
      <c r="A297" s="1" t="b">
        <v>1</v>
      </c>
      <c r="B297" s="1" t="s">
        <v>1088</v>
      </c>
      <c r="C297" s="1" t="s">
        <v>1089</v>
      </c>
      <c r="D297" s="1" t="s">
        <v>1002</v>
      </c>
      <c r="E297" s="1"/>
      <c r="F297" s="1"/>
      <c r="G297" s="1" t="s">
        <v>66</v>
      </c>
      <c r="H297" s="1"/>
      <c r="I297" s="1" t="s">
        <v>1012</v>
      </c>
      <c r="J297" s="1" t="s">
        <v>69</v>
      </c>
      <c r="K297" s="1" t="s">
        <v>249</v>
      </c>
      <c r="L297" s="1" t="s">
        <v>0</v>
      </c>
      <c r="M297" s="1" t="b">
        <v>1</v>
      </c>
      <c r="N297" s="1" t="b">
        <v>0</v>
      </c>
      <c r="O297" s="19">
        <v>2500.0</v>
      </c>
      <c r="P297" s="20">
        <v>2.08</v>
      </c>
      <c r="Q297" s="20">
        <v>1201.92</v>
      </c>
      <c r="R297" s="21">
        <v>0.5743061102236422</v>
      </c>
      <c r="S297" s="1" t="s">
        <v>117</v>
      </c>
      <c r="T297" s="1" t="s">
        <v>0</v>
      </c>
      <c r="U297" s="1" t="s">
        <v>80</v>
      </c>
      <c r="V297" s="1" t="s">
        <v>81</v>
      </c>
      <c r="W297" s="1" t="s">
        <v>0</v>
      </c>
      <c r="X297" s="1" t="s">
        <v>0</v>
      </c>
      <c r="Y297" s="22" t="str">
        <f t="shared" si="3"/>
        <v>CO</v>
      </c>
      <c r="Z297" s="20" t="str">
        <f>_xlfn.XLOOKUP($B297,[1]F27!$C:$C,[1]F27!$BV:$BV)</f>
        <v>#ERROR!</v>
      </c>
      <c r="AA297" s="1"/>
      <c r="AB297" s="1"/>
      <c r="AC297" s="23"/>
      <c r="AD297" s="1" t="str">
        <f>_xlfn.XLOOKUP($B297,[1]F27!$C:$C,[1]F27!$Y:$Y)</f>
        <v>#ERROR!</v>
      </c>
      <c r="AE297" s="1" t="str">
        <f>_xlfn.XLOOKUP($B297,[1]F27!$C:$C,[1]F27!$Z:$Z)</f>
        <v>#ERROR!</v>
      </c>
      <c r="AF297" s="1" t="str">
        <f>_xlfn.XLOOKUP($B297,[2]PRICING!$B:$B,[2]PRICING!$B:$B,"MISSING")</f>
        <v>#ERROR!</v>
      </c>
      <c r="AG297" s="1" t="str">
        <f>COUNTIFS([2]ACTIVE_SCO!$B:$B,$B297,[2]ACTIVE_SCO!$P:$P,"Y")</f>
        <v>#ERROR!</v>
      </c>
      <c r="AH297" s="1"/>
      <c r="AI297" s="37" t="s">
        <v>100</v>
      </c>
      <c r="AJ297" s="38" t="s">
        <v>2072</v>
      </c>
      <c r="AK297" s="39"/>
      <c r="AL297" s="39"/>
      <c r="AM297" s="1" t="s">
        <v>86</v>
      </c>
      <c r="AN297" s="40" t="s">
        <v>121</v>
      </c>
      <c r="AO297" s="41" t="s">
        <v>86</v>
      </c>
      <c r="AP297" s="41" t="s">
        <v>121</v>
      </c>
      <c r="AQ297" s="40" t="s">
        <v>0</v>
      </c>
      <c r="AR297" s="39"/>
      <c r="AS297" s="1" t="s">
        <v>1002</v>
      </c>
      <c r="AT297" s="1" t="s">
        <v>1015</v>
      </c>
      <c r="AU297" s="1" t="s">
        <v>1016</v>
      </c>
      <c r="AV297" s="1" t="s">
        <v>91</v>
      </c>
      <c r="AW297" s="1"/>
      <c r="AX297" s="1"/>
      <c r="AY297" s="1"/>
      <c r="AZ297" s="1"/>
      <c r="BA297" s="1"/>
      <c r="BB297" s="1"/>
      <c r="BC297" s="1"/>
      <c r="BD297" s="1"/>
    </row>
    <row r="298" ht="11.25" customHeight="1">
      <c r="A298" s="1" t="b">
        <v>1</v>
      </c>
      <c r="B298" s="1" t="s">
        <v>1090</v>
      </c>
      <c r="C298" s="1" t="s">
        <v>1091</v>
      </c>
      <c r="D298" s="1" t="s">
        <v>1002</v>
      </c>
      <c r="E298" s="1"/>
      <c r="F298" s="1"/>
      <c r="G298" s="1" t="s">
        <v>66</v>
      </c>
      <c r="H298" s="1"/>
      <c r="I298" s="1" t="s">
        <v>1012</v>
      </c>
      <c r="J298" s="1" t="s">
        <v>69</v>
      </c>
      <c r="K298" s="1" t="s">
        <v>249</v>
      </c>
      <c r="L298" s="1" t="s">
        <v>0</v>
      </c>
      <c r="M298" s="1" t="b">
        <v>1</v>
      </c>
      <c r="N298" s="1" t="b">
        <v>0</v>
      </c>
      <c r="O298" s="19">
        <v>3500.0</v>
      </c>
      <c r="P298" s="20">
        <v>2.08</v>
      </c>
      <c r="Q298" s="20">
        <v>1682.69</v>
      </c>
      <c r="R298" s="21">
        <v>0.6125667829487309</v>
      </c>
      <c r="S298" s="1" t="s">
        <v>78</v>
      </c>
      <c r="T298" s="1" t="s">
        <v>0</v>
      </c>
      <c r="U298" s="1" t="s">
        <v>80</v>
      </c>
      <c r="V298" s="1" t="s">
        <v>81</v>
      </c>
      <c r="W298" s="1" t="s">
        <v>0</v>
      </c>
      <c r="X298" s="1" t="s">
        <v>0</v>
      </c>
      <c r="Y298" s="22" t="str">
        <f t="shared" si="3"/>
        <v>CO</v>
      </c>
      <c r="Z298" s="20" t="str">
        <f>_xlfn.XLOOKUP($B298,[1]F27!$C:$C,[1]F27!$BV:$BV)</f>
        <v>#ERROR!</v>
      </c>
      <c r="AA298" s="1"/>
      <c r="AB298" s="1"/>
      <c r="AC298" s="23"/>
      <c r="AD298" s="1" t="str">
        <f>_xlfn.XLOOKUP($B298,[1]F27!$C:$C,[1]F27!$Y:$Y)</f>
        <v>#ERROR!</v>
      </c>
      <c r="AE298" s="1" t="str">
        <f>_xlfn.XLOOKUP($B298,[1]F27!$C:$C,[1]F27!$Z:$Z)</f>
        <v>#ERROR!</v>
      </c>
      <c r="AF298" s="1" t="str">
        <f>_xlfn.XLOOKUP($B298,[2]PRICING!$B:$B,[2]PRICING!$B:$B,"MISSING")</f>
        <v>#ERROR!</v>
      </c>
      <c r="AG298" s="1" t="str">
        <f>COUNTIFS([2]ACTIVE_SCO!$B:$B,$B298,[2]ACTIVE_SCO!$P:$P,"Y")</f>
        <v>#ERROR!</v>
      </c>
      <c r="AH298" s="1"/>
      <c r="AI298" s="37" t="s">
        <v>157</v>
      </c>
      <c r="AJ298" s="23"/>
      <c r="AK298" s="39"/>
      <c r="AL298" s="39"/>
      <c r="AM298" s="1" t="s">
        <v>86</v>
      </c>
      <c r="AN298" s="40" t="s">
        <v>121</v>
      </c>
      <c r="AO298" s="41" t="s">
        <v>86</v>
      </c>
      <c r="AP298" s="41" t="s">
        <v>121</v>
      </c>
      <c r="AQ298" s="40" t="s">
        <v>0</v>
      </c>
      <c r="AR298" s="39"/>
      <c r="AS298" s="1" t="s">
        <v>1002</v>
      </c>
      <c r="AT298" s="1" t="s">
        <v>1015</v>
      </c>
      <c r="AU298" s="1" t="s">
        <v>1016</v>
      </c>
      <c r="AV298" s="1" t="s">
        <v>91</v>
      </c>
      <c r="AW298" s="1"/>
      <c r="AX298" s="1"/>
      <c r="AY298" s="1"/>
      <c r="AZ298" s="1"/>
      <c r="BA298" s="1"/>
      <c r="BB298" s="1"/>
      <c r="BC298" s="1"/>
      <c r="BD298" s="1"/>
    </row>
    <row r="299" ht="11.25" customHeight="1">
      <c r="A299" s="1" t="b">
        <v>1</v>
      </c>
      <c r="B299" s="1" t="s">
        <v>1709</v>
      </c>
      <c r="C299" s="1" t="s">
        <v>1710</v>
      </c>
      <c r="D299" s="1" t="s">
        <v>1002</v>
      </c>
      <c r="E299" s="1"/>
      <c r="F299" s="1"/>
      <c r="G299" s="1" t="s">
        <v>66</v>
      </c>
      <c r="H299" s="1"/>
      <c r="I299" s="1" t="s">
        <v>1012</v>
      </c>
      <c r="J299" s="1" t="s">
        <v>69</v>
      </c>
      <c r="K299" s="1" t="s">
        <v>249</v>
      </c>
      <c r="L299" s="1" t="s">
        <v>0</v>
      </c>
      <c r="M299" s="1" t="b">
        <v>1</v>
      </c>
      <c r="N299" s="1" t="b">
        <v>0</v>
      </c>
      <c r="O299" s="19">
        <v>3600.0</v>
      </c>
      <c r="P299" s="20">
        <v>2.08</v>
      </c>
      <c r="Q299" s="20">
        <v>1730.77</v>
      </c>
      <c r="R299" s="21">
        <v>0.6380108275507433</v>
      </c>
      <c r="S299" s="1" t="s">
        <v>242</v>
      </c>
      <c r="T299" s="1" t="s">
        <v>0</v>
      </c>
      <c r="U299" s="1" t="s">
        <v>80</v>
      </c>
      <c r="V299" s="1" t="s">
        <v>81</v>
      </c>
      <c r="W299" s="1" t="s">
        <v>0</v>
      </c>
      <c r="X299" s="1" t="s">
        <v>0</v>
      </c>
      <c r="Y299" s="22" t="str">
        <f t="shared" si="3"/>
        <v>CO</v>
      </c>
      <c r="Z299" s="20" t="str">
        <f>_xlfn.XLOOKUP($B299,[1]F27!$C:$C,[1]F27!$BV:$BV)</f>
        <v>#ERROR!</v>
      </c>
      <c r="AA299" s="1"/>
      <c r="AB299" s="1"/>
      <c r="AC299" s="23"/>
      <c r="AD299" s="1" t="str">
        <f>_xlfn.XLOOKUP($B299,[1]F27!$C:$C,[1]F27!$Y:$Y)</f>
        <v>#ERROR!</v>
      </c>
      <c r="AE299" s="1" t="str">
        <f>_xlfn.XLOOKUP($B299,[1]F27!$C:$C,[1]F27!$Z:$Z)</f>
        <v>#ERROR!</v>
      </c>
      <c r="AF299" s="1" t="str">
        <f>_xlfn.XLOOKUP($B299,[2]PRICING!$B:$B,[2]PRICING!$B:$B,"MISSING")</f>
        <v>#ERROR!</v>
      </c>
      <c r="AG299" s="1" t="str">
        <f>COUNTIFS([2]ACTIVE_SCO!$B:$B,$B299,[2]ACTIVE_SCO!$P:$P,"Y")</f>
        <v>#ERROR!</v>
      </c>
      <c r="AH299" s="1"/>
      <c r="AI299" s="37" t="s">
        <v>157</v>
      </c>
      <c r="AJ299" s="23"/>
      <c r="AK299" s="39"/>
      <c r="AL299" s="39"/>
      <c r="AM299" s="1" t="s">
        <v>86</v>
      </c>
      <c r="AN299" s="40" t="s">
        <v>121</v>
      </c>
      <c r="AO299" s="41" t="s">
        <v>86</v>
      </c>
      <c r="AP299" s="41" t="s">
        <v>121</v>
      </c>
      <c r="AQ299" s="40" t="s">
        <v>0</v>
      </c>
      <c r="AR299" s="39"/>
      <c r="AS299" s="1" t="s">
        <v>1002</v>
      </c>
      <c r="AT299" s="1" t="s">
        <v>1015</v>
      </c>
      <c r="AU299" s="1" t="s">
        <v>1016</v>
      </c>
      <c r="AV299" s="1" t="s">
        <v>91</v>
      </c>
      <c r="AW299" s="1"/>
      <c r="AX299" s="1"/>
      <c r="AY299" s="1"/>
      <c r="AZ299" s="1"/>
      <c r="BA299" s="1"/>
      <c r="BB299" s="1"/>
      <c r="BC299" s="1"/>
      <c r="BD299" s="1"/>
    </row>
    <row r="300" ht="11.25" customHeight="1">
      <c r="A300" s="1" t="b">
        <v>1</v>
      </c>
      <c r="B300" s="1" t="s">
        <v>1712</v>
      </c>
      <c r="C300" s="1" t="s">
        <v>1713</v>
      </c>
      <c r="D300" s="1" t="s">
        <v>1002</v>
      </c>
      <c r="E300" s="1"/>
      <c r="F300" s="1"/>
      <c r="G300" s="1" t="s">
        <v>66</v>
      </c>
      <c r="H300" s="1"/>
      <c r="I300" s="1" t="s">
        <v>1003</v>
      </c>
      <c r="J300" s="1" t="s">
        <v>69</v>
      </c>
      <c r="K300" s="1" t="s">
        <v>70</v>
      </c>
      <c r="L300" s="1" t="s">
        <v>0</v>
      </c>
      <c r="M300" s="1" t="b">
        <v>0</v>
      </c>
      <c r="N300" s="1" t="b">
        <v>0</v>
      </c>
      <c r="O300" s="19">
        <v>2200.0</v>
      </c>
      <c r="P300" s="20">
        <v>2.08</v>
      </c>
      <c r="Q300" s="20">
        <v>1057.69</v>
      </c>
      <c r="R300" s="21">
        <v>0.6516748763815485</v>
      </c>
      <c r="S300" s="1" t="s">
        <v>117</v>
      </c>
      <c r="T300" s="1" t="s">
        <v>0</v>
      </c>
      <c r="U300" s="1" t="s">
        <v>166</v>
      </c>
      <c r="V300" s="1" t="s">
        <v>81</v>
      </c>
      <c r="W300" s="1" t="s">
        <v>0</v>
      </c>
      <c r="X300" s="1" t="s">
        <v>0</v>
      </c>
      <c r="Y300" s="22" t="str">
        <f t="shared" si="3"/>
        <v>NEW</v>
      </c>
      <c r="Z300" s="20" t="str">
        <f>_xlfn.XLOOKUP($B300,[1]F27!$C:$C,[1]F27!$BV:$BV)</f>
        <v>#ERROR!</v>
      </c>
      <c r="AA300" s="1"/>
      <c r="AB300" s="1"/>
      <c r="AC300" s="23"/>
      <c r="AD300" s="1" t="str">
        <f>_xlfn.XLOOKUP($B300,[1]F27!$C:$C,[1]F27!$Y:$Y)</f>
        <v>#ERROR!</v>
      </c>
      <c r="AE300" s="1" t="str">
        <f>_xlfn.XLOOKUP($B300,[1]F27!$C:$C,[1]F27!$Z:$Z)</f>
        <v>#ERROR!</v>
      </c>
      <c r="AF300" s="1" t="str">
        <f>_xlfn.XLOOKUP($B300,[2]PRICING!$B:$B,[2]PRICING!$B:$B,"MISSING")</f>
        <v>#ERROR!</v>
      </c>
      <c r="AG300" s="1" t="str">
        <f>COUNTIFS([2]ACTIVE_SCO!$B:$B,$B300,[2]ACTIVE_SCO!$P:$P,"Y")</f>
        <v>#ERROR!</v>
      </c>
      <c r="AH300" s="1"/>
      <c r="AI300" s="37" t="s">
        <v>157</v>
      </c>
      <c r="AJ300" s="23"/>
      <c r="AK300" s="39"/>
      <c r="AL300" s="39"/>
      <c r="AM300" s="1" t="s">
        <v>86</v>
      </c>
      <c r="AN300" s="40" t="s">
        <v>87</v>
      </c>
      <c r="AO300" s="41" t="s">
        <v>86</v>
      </c>
      <c r="AP300" s="41" t="s">
        <v>169</v>
      </c>
      <c r="AQ300" s="40" t="s">
        <v>0</v>
      </c>
      <c r="AR300" s="39"/>
      <c r="AS300" s="1" t="s">
        <v>1002</v>
      </c>
      <c r="AT300" s="1" t="s">
        <v>1005</v>
      </c>
      <c r="AU300" s="1" t="s">
        <v>1016</v>
      </c>
      <c r="AV300" s="1" t="s">
        <v>91</v>
      </c>
      <c r="AW300" s="1"/>
      <c r="AX300" s="1"/>
      <c r="AY300" s="1"/>
      <c r="AZ300" s="1"/>
      <c r="BA300" s="1"/>
      <c r="BB300" s="1"/>
      <c r="BC300" s="1"/>
      <c r="BD300" s="1"/>
    </row>
    <row r="301" ht="11.25" customHeight="1">
      <c r="A301" s="1" t="b">
        <v>1</v>
      </c>
      <c r="B301" s="1" t="s">
        <v>1714</v>
      </c>
      <c r="C301" s="1" t="s">
        <v>1715</v>
      </c>
      <c r="D301" s="1" t="s">
        <v>1002</v>
      </c>
      <c r="E301" s="1"/>
      <c r="F301" s="1"/>
      <c r="G301" s="1" t="s">
        <v>66</v>
      </c>
      <c r="H301" s="1"/>
      <c r="I301" s="1" t="s">
        <v>1003</v>
      </c>
      <c r="J301" s="1" t="s">
        <v>69</v>
      </c>
      <c r="K301" s="1" t="s">
        <v>107</v>
      </c>
      <c r="L301" s="1" t="s">
        <v>0</v>
      </c>
      <c r="M301" s="1" t="b">
        <v>0</v>
      </c>
      <c r="N301" s="1" t="b">
        <v>0</v>
      </c>
      <c r="O301" s="19">
        <v>2200.0</v>
      </c>
      <c r="P301" s="20">
        <v>2.08</v>
      </c>
      <c r="Q301" s="20">
        <v>1057.69</v>
      </c>
      <c r="R301" s="21">
        <v>0.6516748763815485</v>
      </c>
      <c r="S301" s="1" t="s">
        <v>117</v>
      </c>
      <c r="T301" s="1" t="s">
        <v>0</v>
      </c>
      <c r="U301" s="1" t="s">
        <v>166</v>
      </c>
      <c r="V301" s="1" t="s">
        <v>81</v>
      </c>
      <c r="W301" s="1" t="s">
        <v>0</v>
      </c>
      <c r="X301" s="1" t="s">
        <v>0</v>
      </c>
      <c r="Y301" s="22" t="str">
        <f t="shared" si="3"/>
        <v>NEW</v>
      </c>
      <c r="Z301" s="20" t="str">
        <f>_xlfn.XLOOKUP($B301,[1]F27!$C:$C,[1]F27!$BV:$BV)</f>
        <v>#ERROR!</v>
      </c>
      <c r="AA301" s="1"/>
      <c r="AB301" s="1"/>
      <c r="AC301" s="23"/>
      <c r="AD301" s="1" t="str">
        <f>_xlfn.XLOOKUP($B301,[1]F27!$C:$C,[1]F27!$Y:$Y)</f>
        <v>#ERROR!</v>
      </c>
      <c r="AE301" s="1" t="str">
        <f>_xlfn.XLOOKUP($B301,[1]F27!$C:$C,[1]F27!$Z:$Z)</f>
        <v>#ERROR!</v>
      </c>
      <c r="AF301" s="1" t="str">
        <f>_xlfn.XLOOKUP($B301,[2]PRICING!$B:$B,[2]PRICING!$B:$B,"MISSING")</f>
        <v>#ERROR!</v>
      </c>
      <c r="AG301" s="1" t="str">
        <f>COUNTIFS([2]ACTIVE_SCO!$B:$B,$B301,[2]ACTIVE_SCO!$P:$P,"Y")</f>
        <v>#ERROR!</v>
      </c>
      <c r="AH301" s="1"/>
      <c r="AI301" s="37" t="s">
        <v>157</v>
      </c>
      <c r="AJ301" s="23"/>
      <c r="AK301" s="39"/>
      <c r="AL301" s="39"/>
      <c r="AM301" s="1" t="s">
        <v>86</v>
      </c>
      <c r="AN301" s="40" t="s">
        <v>87</v>
      </c>
      <c r="AO301" s="41" t="s">
        <v>86</v>
      </c>
      <c r="AP301" s="41" t="s">
        <v>169</v>
      </c>
      <c r="AQ301" s="40" t="s">
        <v>0</v>
      </c>
      <c r="AR301" s="39"/>
      <c r="AS301" s="1" t="s">
        <v>1002</v>
      </c>
      <c r="AT301" s="1" t="s">
        <v>1005</v>
      </c>
      <c r="AU301" s="1" t="s">
        <v>1016</v>
      </c>
      <c r="AV301" s="1" t="s">
        <v>91</v>
      </c>
      <c r="AW301" s="1"/>
      <c r="AX301" s="1"/>
      <c r="AY301" s="1"/>
      <c r="AZ301" s="1"/>
      <c r="BA301" s="1"/>
      <c r="BB301" s="1"/>
      <c r="BC301" s="1"/>
      <c r="BD301" s="1"/>
    </row>
    <row r="302" ht="11.25" customHeight="1">
      <c r="A302" s="1" t="b">
        <v>1</v>
      </c>
      <c r="B302" s="1" t="s">
        <v>1705</v>
      </c>
      <c r="C302" s="1" t="s">
        <v>2075</v>
      </c>
      <c r="D302" s="1" t="s">
        <v>1002</v>
      </c>
      <c r="E302" s="1"/>
      <c r="F302" s="1"/>
      <c r="G302" s="1" t="s">
        <v>109</v>
      </c>
      <c r="H302" s="1"/>
      <c r="I302" s="1" t="s">
        <v>1027</v>
      </c>
      <c r="J302" s="1" t="s">
        <v>69</v>
      </c>
      <c r="K302" s="1" t="s">
        <v>70</v>
      </c>
      <c r="L302" s="1" t="s">
        <v>0</v>
      </c>
      <c r="M302" s="1" t="b">
        <v>0</v>
      </c>
      <c r="N302" s="1" t="b">
        <v>0</v>
      </c>
      <c r="O302" s="19">
        <v>2300.0</v>
      </c>
      <c r="P302" s="20">
        <v>2.08</v>
      </c>
      <c r="Q302" s="20">
        <v>1105.77</v>
      </c>
      <c r="R302" s="21">
        <v>0.5510820514211816</v>
      </c>
      <c r="S302" s="1" t="s">
        <v>242</v>
      </c>
      <c r="T302" s="1" t="s">
        <v>0</v>
      </c>
      <c r="U302" s="1" t="s">
        <v>80</v>
      </c>
      <c r="V302" s="1" t="s">
        <v>81</v>
      </c>
      <c r="W302" s="1" t="s">
        <v>0</v>
      </c>
      <c r="X302" s="1" t="s">
        <v>0</v>
      </c>
      <c r="Y302" s="22" t="str">
        <f t="shared" si="3"/>
        <v>NEW</v>
      </c>
      <c r="Z302" s="20" t="str">
        <f>_xlfn.XLOOKUP($B302,[1]F27!$C:$C,[1]F27!$BV:$BV)</f>
        <v>#ERROR!</v>
      </c>
      <c r="AA302" s="1"/>
      <c r="AB302" s="1"/>
      <c r="AC302" s="23"/>
      <c r="AD302" s="1" t="str">
        <f>_xlfn.XLOOKUP($B302,[1]F27!$C:$C,[1]F27!$Y:$Y)</f>
        <v>#ERROR!</v>
      </c>
      <c r="AE302" s="1" t="str">
        <f>_xlfn.XLOOKUP($B302,[1]F27!$C:$C,[1]F27!$Z:$Z)</f>
        <v>#ERROR!</v>
      </c>
      <c r="AF302" s="1" t="str">
        <f>_xlfn.XLOOKUP($B302,[2]PRICING!$B:$B,[2]PRICING!$B:$B,"MISSING")</f>
        <v>#ERROR!</v>
      </c>
      <c r="AG302" s="1" t="str">
        <f>COUNTIFS([2]ACTIVE_SCO!$B:$B,$B302,[2]ACTIVE_SCO!$P:$P,"Y")</f>
        <v>#ERROR!</v>
      </c>
      <c r="AH302" s="1"/>
      <c r="AI302" s="37" t="s">
        <v>157</v>
      </c>
      <c r="AJ302" s="67" t="s">
        <v>2076</v>
      </c>
      <c r="AK302" s="39"/>
      <c r="AL302" s="39"/>
      <c r="AM302" s="1" t="s">
        <v>86</v>
      </c>
      <c r="AN302" s="40" t="s">
        <v>512</v>
      </c>
      <c r="AO302" s="41" t="s">
        <v>86</v>
      </c>
      <c r="AP302" s="41" t="s">
        <v>169</v>
      </c>
      <c r="AQ302" s="40" t="s">
        <v>0</v>
      </c>
      <c r="AR302" s="39"/>
      <c r="AS302" s="1" t="s">
        <v>1002</v>
      </c>
      <c r="AT302" s="1" t="s">
        <v>1015</v>
      </c>
      <c r="AU302" s="1" t="s">
        <v>1016</v>
      </c>
      <c r="AV302" s="1" t="s">
        <v>91</v>
      </c>
      <c r="AW302" s="1"/>
      <c r="AX302" s="1"/>
      <c r="AY302" s="1"/>
      <c r="AZ302" s="1"/>
      <c r="BA302" s="1"/>
      <c r="BB302" s="1"/>
      <c r="BC302" s="1"/>
      <c r="BD302" s="1"/>
    </row>
    <row r="303" ht="11.25" customHeight="1">
      <c r="A303" s="1" t="b">
        <v>1</v>
      </c>
      <c r="B303" s="1" t="s">
        <v>1707</v>
      </c>
      <c r="C303" s="1" t="s">
        <v>2077</v>
      </c>
      <c r="D303" s="1" t="s">
        <v>1002</v>
      </c>
      <c r="E303" s="1"/>
      <c r="F303" s="1"/>
      <c r="G303" s="1" t="s">
        <v>109</v>
      </c>
      <c r="H303" s="1"/>
      <c r="I303" s="1" t="s">
        <v>1027</v>
      </c>
      <c r="J303" s="1" t="s">
        <v>69</v>
      </c>
      <c r="K303" s="1" t="s">
        <v>107</v>
      </c>
      <c r="L303" s="1" t="s">
        <v>0</v>
      </c>
      <c r="M303" s="1" t="b">
        <v>0</v>
      </c>
      <c r="N303" s="1" t="b">
        <v>0</v>
      </c>
      <c r="O303" s="19">
        <v>2300.0</v>
      </c>
      <c r="P303" s="20">
        <v>2.08</v>
      </c>
      <c r="Q303" s="20">
        <v>1105.77</v>
      </c>
      <c r="R303" s="21">
        <v>0.5510820514211816</v>
      </c>
      <c r="S303" s="1" t="s">
        <v>242</v>
      </c>
      <c r="T303" s="1" t="s">
        <v>0</v>
      </c>
      <c r="U303" s="1" t="s">
        <v>80</v>
      </c>
      <c r="V303" s="1" t="s">
        <v>81</v>
      </c>
      <c r="W303" s="1" t="s">
        <v>0</v>
      </c>
      <c r="X303" s="1" t="s">
        <v>0</v>
      </c>
      <c r="Y303" s="22" t="str">
        <f t="shared" si="3"/>
        <v>NEW</v>
      </c>
      <c r="Z303" s="20" t="str">
        <f>_xlfn.XLOOKUP($B303,[1]F27!$C:$C,[1]F27!$BV:$BV)</f>
        <v>#ERROR!</v>
      </c>
      <c r="AA303" s="1"/>
      <c r="AB303" s="1"/>
      <c r="AC303" s="23"/>
      <c r="AD303" s="1" t="str">
        <f>_xlfn.XLOOKUP($B303,[1]F27!$C:$C,[1]F27!$Y:$Y)</f>
        <v>#ERROR!</v>
      </c>
      <c r="AE303" s="1" t="str">
        <f>_xlfn.XLOOKUP($B303,[1]F27!$C:$C,[1]F27!$Z:$Z)</f>
        <v>#ERROR!</v>
      </c>
      <c r="AF303" s="1" t="str">
        <f>_xlfn.XLOOKUP($B303,[2]PRICING!$B:$B,[2]PRICING!$B:$B,"MISSING")</f>
        <v>#ERROR!</v>
      </c>
      <c r="AG303" s="1" t="str">
        <f>COUNTIFS([2]ACTIVE_SCO!$B:$B,$B303,[2]ACTIVE_SCO!$P:$P,"Y")</f>
        <v>#ERROR!</v>
      </c>
      <c r="AH303" s="1"/>
      <c r="AI303" s="37" t="s">
        <v>157</v>
      </c>
      <c r="AJ303" s="67" t="s">
        <v>2078</v>
      </c>
      <c r="AK303" s="39"/>
      <c r="AL303" s="39"/>
      <c r="AM303" s="1" t="s">
        <v>86</v>
      </c>
      <c r="AN303" s="40" t="s">
        <v>512</v>
      </c>
      <c r="AO303" s="41" t="s">
        <v>86</v>
      </c>
      <c r="AP303" s="41" t="s">
        <v>169</v>
      </c>
      <c r="AQ303" s="40" t="s">
        <v>0</v>
      </c>
      <c r="AR303" s="39"/>
      <c r="AS303" s="1" t="s">
        <v>1002</v>
      </c>
      <c r="AT303" s="1" t="s">
        <v>1015</v>
      </c>
      <c r="AU303" s="1" t="s">
        <v>1016</v>
      </c>
      <c r="AV303" s="1" t="s">
        <v>91</v>
      </c>
      <c r="AW303" s="1"/>
      <c r="AX303" s="1"/>
      <c r="AY303" s="1"/>
      <c r="AZ303" s="1"/>
      <c r="BA303" s="1"/>
      <c r="BB303" s="1"/>
      <c r="BC303" s="1"/>
      <c r="BD303" s="1"/>
    </row>
    <row r="304" ht="11.25" customHeight="1">
      <c r="A304" s="1" t="b">
        <v>1</v>
      </c>
      <c r="B304" s="1" t="s">
        <v>1101</v>
      </c>
      <c r="C304" s="1" t="s">
        <v>1102</v>
      </c>
      <c r="D304" s="1" t="s">
        <v>1002</v>
      </c>
      <c r="E304" s="1"/>
      <c r="F304" s="1"/>
      <c r="G304" s="1" t="s">
        <v>66</v>
      </c>
      <c r="H304" s="1"/>
      <c r="I304" s="1" t="s">
        <v>1003</v>
      </c>
      <c r="J304" s="1" t="s">
        <v>69</v>
      </c>
      <c r="K304" s="1" t="s">
        <v>70</v>
      </c>
      <c r="L304" s="1" t="s">
        <v>0</v>
      </c>
      <c r="M304" s="1" t="b">
        <v>1</v>
      </c>
      <c r="N304" s="1" t="b">
        <v>0</v>
      </c>
      <c r="O304" s="19">
        <v>1800.0</v>
      </c>
      <c r="P304" s="20">
        <v>2.08</v>
      </c>
      <c r="Q304" s="20">
        <v>865.38</v>
      </c>
      <c r="R304" s="21">
        <v>0.6178557396750561</v>
      </c>
      <c r="S304" s="1" t="s">
        <v>117</v>
      </c>
      <c r="T304" s="1" t="s">
        <v>0</v>
      </c>
      <c r="U304" s="1" t="s">
        <v>166</v>
      </c>
      <c r="V304" s="1" t="s">
        <v>81</v>
      </c>
      <c r="W304" s="1" t="s">
        <v>0</v>
      </c>
      <c r="X304" s="1" t="s">
        <v>0</v>
      </c>
      <c r="Y304" s="22" t="str">
        <f t="shared" si="3"/>
        <v>CO</v>
      </c>
      <c r="Z304" s="20" t="str">
        <f>_xlfn.XLOOKUP($B304,[1]F27!$C:$C,[1]F27!$BV:$BV)</f>
        <v>#ERROR!</v>
      </c>
      <c r="AA304" s="1"/>
      <c r="AB304" s="1"/>
      <c r="AC304" s="23"/>
      <c r="AD304" s="1" t="str">
        <f>_xlfn.XLOOKUP($B304,[1]F27!$C:$C,[1]F27!$Y:$Y)</f>
        <v>#ERROR!</v>
      </c>
      <c r="AE304" s="1" t="str">
        <f>_xlfn.XLOOKUP($B304,[1]F27!$C:$C,[1]F27!$Z:$Z)</f>
        <v>#ERROR!</v>
      </c>
      <c r="AF304" s="1" t="str">
        <f>_xlfn.XLOOKUP($B304,[2]PRICING!$B:$B,[2]PRICING!$B:$B,"MISSING")</f>
        <v>#ERROR!</v>
      </c>
      <c r="AG304" s="1" t="str">
        <f>COUNTIFS([2]ACTIVE_SCO!$B:$B,$B304,[2]ACTIVE_SCO!$P:$P,"Y")</f>
        <v>#ERROR!</v>
      </c>
      <c r="AH304" s="1"/>
      <c r="AI304" s="37" t="s">
        <v>157</v>
      </c>
      <c r="AJ304" s="23"/>
      <c r="AK304" s="39"/>
      <c r="AL304" s="39"/>
      <c r="AM304" s="1" t="s">
        <v>86</v>
      </c>
      <c r="AN304" s="40" t="s">
        <v>87</v>
      </c>
      <c r="AO304" s="41" t="s">
        <v>86</v>
      </c>
      <c r="AP304" s="41" t="s">
        <v>169</v>
      </c>
      <c r="AQ304" s="40" t="s">
        <v>0</v>
      </c>
      <c r="AR304" s="39"/>
      <c r="AS304" s="1" t="s">
        <v>1002</v>
      </c>
      <c r="AT304" s="1" t="s">
        <v>1005</v>
      </c>
      <c r="AU304" s="1" t="s">
        <v>1016</v>
      </c>
      <c r="AV304" s="1" t="s">
        <v>91</v>
      </c>
      <c r="AW304" s="1"/>
      <c r="AX304" s="1"/>
      <c r="AY304" s="1"/>
      <c r="AZ304" s="1"/>
      <c r="BA304" s="1"/>
      <c r="BB304" s="1"/>
      <c r="BC304" s="1"/>
      <c r="BD304" s="1"/>
    </row>
    <row r="305" ht="11.25" customHeight="1">
      <c r="A305" s="1" t="b">
        <v>1</v>
      </c>
      <c r="B305" s="1" t="s">
        <v>1103</v>
      </c>
      <c r="C305" s="1" t="s">
        <v>1104</v>
      </c>
      <c r="D305" s="1" t="s">
        <v>1002</v>
      </c>
      <c r="E305" s="1"/>
      <c r="F305" s="1"/>
      <c r="G305" s="1" t="s">
        <v>66</v>
      </c>
      <c r="H305" s="1"/>
      <c r="I305" s="1" t="s">
        <v>1003</v>
      </c>
      <c r="J305" s="1" t="s">
        <v>69</v>
      </c>
      <c r="K305" s="1" t="s">
        <v>107</v>
      </c>
      <c r="L305" s="1" t="s">
        <v>0</v>
      </c>
      <c r="M305" s="1" t="b">
        <v>1</v>
      </c>
      <c r="N305" s="1" t="b">
        <v>0</v>
      </c>
      <c r="O305" s="19">
        <v>1800.0</v>
      </c>
      <c r="P305" s="20">
        <v>2.08</v>
      </c>
      <c r="Q305" s="20">
        <v>865.38</v>
      </c>
      <c r="R305" s="21">
        <v>0.6178557396750561</v>
      </c>
      <c r="S305" s="1" t="s">
        <v>117</v>
      </c>
      <c r="T305" s="1" t="s">
        <v>0</v>
      </c>
      <c r="U305" s="1" t="s">
        <v>166</v>
      </c>
      <c r="V305" s="1" t="s">
        <v>81</v>
      </c>
      <c r="W305" s="1" t="s">
        <v>0</v>
      </c>
      <c r="X305" s="1" t="s">
        <v>0</v>
      </c>
      <c r="Y305" s="22" t="str">
        <f t="shared" si="3"/>
        <v>CO</v>
      </c>
      <c r="Z305" s="20" t="str">
        <f>_xlfn.XLOOKUP($B305,[1]F27!$C:$C,[1]F27!$BV:$BV)</f>
        <v>#ERROR!</v>
      </c>
      <c r="AA305" s="1"/>
      <c r="AB305" s="1"/>
      <c r="AC305" s="23"/>
      <c r="AD305" s="1" t="str">
        <f>_xlfn.XLOOKUP($B305,[1]F27!$C:$C,[1]F27!$Y:$Y)</f>
        <v>#ERROR!</v>
      </c>
      <c r="AE305" s="1" t="str">
        <f>_xlfn.XLOOKUP($B305,[1]F27!$C:$C,[1]F27!$Z:$Z)</f>
        <v>#ERROR!</v>
      </c>
      <c r="AF305" s="1" t="str">
        <f>_xlfn.XLOOKUP($B305,[2]PRICING!$B:$B,[2]PRICING!$B:$B,"MISSING")</f>
        <v>#ERROR!</v>
      </c>
      <c r="AG305" s="1" t="str">
        <f>COUNTIFS([2]ACTIVE_SCO!$B:$B,$B305,[2]ACTIVE_SCO!$P:$P,"Y")</f>
        <v>#ERROR!</v>
      </c>
      <c r="AH305" s="1"/>
      <c r="AI305" s="37" t="s">
        <v>157</v>
      </c>
      <c r="AJ305" s="23"/>
      <c r="AK305" s="39"/>
      <c r="AL305" s="39"/>
      <c r="AM305" s="1" t="s">
        <v>86</v>
      </c>
      <c r="AN305" s="40" t="s">
        <v>87</v>
      </c>
      <c r="AO305" s="41" t="s">
        <v>86</v>
      </c>
      <c r="AP305" s="41" t="s">
        <v>169</v>
      </c>
      <c r="AQ305" s="40" t="s">
        <v>0</v>
      </c>
      <c r="AR305" s="39"/>
      <c r="AS305" s="1" t="s">
        <v>1002</v>
      </c>
      <c r="AT305" s="1" t="s">
        <v>1005</v>
      </c>
      <c r="AU305" s="1" t="s">
        <v>1016</v>
      </c>
      <c r="AV305" s="1" t="s">
        <v>91</v>
      </c>
      <c r="AW305" s="1"/>
      <c r="AX305" s="1"/>
      <c r="AY305" s="1"/>
      <c r="AZ305" s="1"/>
      <c r="BA305" s="1"/>
      <c r="BB305" s="1"/>
      <c r="BC305" s="1"/>
      <c r="BD305" s="1"/>
    </row>
    <row r="306" ht="11.25" customHeight="1">
      <c r="A306" s="1" t="b">
        <v>1</v>
      </c>
      <c r="B306" s="1" t="s">
        <v>1745</v>
      </c>
      <c r="C306" s="1" t="s">
        <v>1746</v>
      </c>
      <c r="D306" s="1" t="s">
        <v>1109</v>
      </c>
      <c r="E306" s="1"/>
      <c r="F306" s="1"/>
      <c r="G306" s="1" t="s">
        <v>66</v>
      </c>
      <c r="H306" s="1"/>
      <c r="I306" s="1" t="s">
        <v>248</v>
      </c>
      <c r="J306" s="64" t="s">
        <v>96</v>
      </c>
      <c r="K306" s="1" t="s">
        <v>249</v>
      </c>
      <c r="L306" s="1" t="s">
        <v>0</v>
      </c>
      <c r="M306" s="1" t="b">
        <v>0</v>
      </c>
      <c r="N306" s="1" t="b">
        <v>0</v>
      </c>
      <c r="O306" s="19">
        <v>900.0</v>
      </c>
      <c r="P306" s="20">
        <v>2.08</v>
      </c>
      <c r="Q306" s="20">
        <v>432.69</v>
      </c>
      <c r="R306" s="21">
        <v>0.6373385102498323</v>
      </c>
      <c r="S306" s="1" t="s">
        <v>242</v>
      </c>
      <c r="T306" s="1" t="s">
        <v>0</v>
      </c>
      <c r="U306" s="1" t="s">
        <v>81</v>
      </c>
      <c r="V306" s="1" t="s">
        <v>81</v>
      </c>
      <c r="W306" s="1" t="s">
        <v>0</v>
      </c>
      <c r="X306" s="1" t="s">
        <v>0</v>
      </c>
      <c r="Y306" s="22" t="str">
        <f t="shared" si="3"/>
        <v>NEW</v>
      </c>
      <c r="Z306" s="20" t="str">
        <f>_xlfn.XLOOKUP($B306,[1]F27!$C:$C,[1]F27!$BV:$BV)</f>
        <v>#ERROR!</v>
      </c>
      <c r="AA306" s="1"/>
      <c r="AB306" s="1"/>
      <c r="AC306" s="23"/>
      <c r="AD306" s="1" t="str">
        <f>_xlfn.XLOOKUP($B306,[1]F27!$C:$C,[1]F27!$Y:$Y)</f>
        <v>#ERROR!</v>
      </c>
      <c r="AE306" s="1" t="str">
        <f>_xlfn.XLOOKUP($B306,[1]F27!$C:$C,[1]F27!$Z:$Z)</f>
        <v>#ERROR!</v>
      </c>
      <c r="AF306" s="1" t="str">
        <f>_xlfn.XLOOKUP($B306,[2]PRICING!$B:$B,[2]PRICING!$B:$B,"MISSING")</f>
        <v>#ERROR!</v>
      </c>
      <c r="AG306" s="1" t="str">
        <f>COUNTIFS([2]ACTIVE_SCO!$B:$B,$B306,[2]ACTIVE_SCO!$P:$P,"Y")</f>
        <v>#ERROR!</v>
      </c>
      <c r="AH306" s="1"/>
      <c r="AI306" s="37" t="s">
        <v>551</v>
      </c>
      <c r="AJ306" s="38"/>
      <c r="AK306" s="39"/>
      <c r="AL306" s="39"/>
      <c r="AM306" s="1" t="s">
        <v>125</v>
      </c>
      <c r="AN306" s="1" t="s">
        <v>174</v>
      </c>
      <c r="AO306" s="39" t="s">
        <v>776</v>
      </c>
      <c r="AP306" s="39" t="s">
        <v>777</v>
      </c>
      <c r="AQ306" s="1" t="s">
        <v>0</v>
      </c>
      <c r="AR306" s="81"/>
      <c r="AS306" s="1" t="s">
        <v>248</v>
      </c>
      <c r="AT306" s="1" t="s">
        <v>1146</v>
      </c>
      <c r="AU306" s="1" t="s">
        <v>1147</v>
      </c>
      <c r="AV306" s="1" t="s">
        <v>131</v>
      </c>
      <c r="AW306" s="1"/>
      <c r="AX306" s="1"/>
      <c r="AY306" s="1"/>
      <c r="AZ306" s="1"/>
      <c r="BA306" s="1"/>
      <c r="BB306" s="1"/>
      <c r="BC306" s="1"/>
      <c r="BD306" s="1"/>
    </row>
    <row r="307" ht="11.25" customHeight="1">
      <c r="A307" s="1" t="b">
        <v>1</v>
      </c>
      <c r="B307" s="1" t="s">
        <v>1141</v>
      </c>
      <c r="C307" s="1" t="s">
        <v>1142</v>
      </c>
      <c r="D307" s="1" t="s">
        <v>1109</v>
      </c>
      <c r="E307" s="1"/>
      <c r="F307" s="1"/>
      <c r="G307" s="1" t="s">
        <v>247</v>
      </c>
      <c r="H307" s="1"/>
      <c r="I307" s="1" t="s">
        <v>248</v>
      </c>
      <c r="J307" s="1" t="s">
        <v>69</v>
      </c>
      <c r="K307" s="1" t="s">
        <v>249</v>
      </c>
      <c r="L307" s="1" t="s">
        <v>0</v>
      </c>
      <c r="M307" s="1" t="b">
        <v>1</v>
      </c>
      <c r="N307" s="1" t="b">
        <v>0</v>
      </c>
      <c r="O307" s="19">
        <v>400.0</v>
      </c>
      <c r="P307" s="20">
        <v>2.08</v>
      </c>
      <c r="Q307" s="20">
        <v>192.31</v>
      </c>
      <c r="R307" s="21">
        <v>0.6676719879361448</v>
      </c>
      <c r="S307" s="1" t="s">
        <v>117</v>
      </c>
      <c r="T307" s="1" t="s">
        <v>0</v>
      </c>
      <c r="U307" s="1" t="s">
        <v>81</v>
      </c>
      <c r="V307" s="1" t="s">
        <v>81</v>
      </c>
      <c r="W307" s="1" t="s">
        <v>0</v>
      </c>
      <c r="X307" s="1" t="s">
        <v>0</v>
      </c>
      <c r="Y307" s="22" t="str">
        <f t="shared" si="3"/>
        <v>CO</v>
      </c>
      <c r="Z307" s="20" t="str">
        <f>_xlfn.XLOOKUP($B307,[1]F27!$C:$C,[1]F27!$BV:$BV)</f>
        <v>#ERROR!</v>
      </c>
      <c r="AA307" s="1"/>
      <c r="AB307" s="1"/>
      <c r="AC307" s="23"/>
      <c r="AD307" s="1" t="str">
        <f>_xlfn.XLOOKUP($B307,[1]F27!$C:$C,[1]F27!$Y:$Y)</f>
        <v>#ERROR!</v>
      </c>
      <c r="AE307" s="1" t="str">
        <f>_xlfn.XLOOKUP($B307,[1]F27!$C:$C,[1]F27!$Z:$Z)</f>
        <v>#ERROR!</v>
      </c>
      <c r="AF307" s="1" t="str">
        <f>_xlfn.XLOOKUP($B307,[2]PRICING!$B:$B,[2]PRICING!$B:$B,"MISSING")</f>
        <v>#ERROR!</v>
      </c>
      <c r="AG307" s="1" t="str">
        <f>COUNTIFS([2]ACTIVE_SCO!$B:$B,$B307,[2]ACTIVE_SCO!$P:$P,"Y")</f>
        <v>#ERROR!</v>
      </c>
      <c r="AH307" s="1"/>
      <c r="AI307" s="37" t="s">
        <v>551</v>
      </c>
      <c r="AJ307" s="38"/>
      <c r="AK307" s="39" t="s">
        <v>294</v>
      </c>
      <c r="AL307" s="39" t="s">
        <v>0</v>
      </c>
      <c r="AM307" s="1" t="s">
        <v>125</v>
      </c>
      <c r="AN307" s="40" t="s">
        <v>174</v>
      </c>
      <c r="AO307" s="41" t="s">
        <v>776</v>
      </c>
      <c r="AP307" s="41" t="s">
        <v>777</v>
      </c>
      <c r="AQ307" s="40" t="s">
        <v>0</v>
      </c>
      <c r="AR307" s="54"/>
      <c r="AS307" s="1" t="s">
        <v>248</v>
      </c>
      <c r="AT307" s="1" t="s">
        <v>1146</v>
      </c>
      <c r="AU307" s="1" t="s">
        <v>1147</v>
      </c>
      <c r="AV307" s="1" t="s">
        <v>131</v>
      </c>
      <c r="AW307" s="1"/>
      <c r="AX307" s="1"/>
      <c r="AY307" s="1"/>
      <c r="AZ307" s="1"/>
      <c r="BA307" s="1" t="s">
        <v>294</v>
      </c>
      <c r="BB307" s="1" t="s">
        <v>0</v>
      </c>
      <c r="BC307" s="1"/>
      <c r="BD307" s="1"/>
    </row>
    <row r="308" ht="11.25" customHeight="1">
      <c r="A308" s="1" t="b">
        <v>1</v>
      </c>
      <c r="B308" s="1" t="s">
        <v>1148</v>
      </c>
      <c r="C308" s="1" t="s">
        <v>1149</v>
      </c>
      <c r="D308" s="1" t="s">
        <v>1109</v>
      </c>
      <c r="E308" s="1"/>
      <c r="F308" s="1"/>
      <c r="G308" s="1" t="s">
        <v>247</v>
      </c>
      <c r="H308" s="1"/>
      <c r="I308" s="1" t="s">
        <v>248</v>
      </c>
      <c r="J308" s="1" t="s">
        <v>69</v>
      </c>
      <c r="K308" s="1" t="s">
        <v>249</v>
      </c>
      <c r="L308" s="1" t="s">
        <v>0</v>
      </c>
      <c r="M308" s="1" t="b">
        <v>1</v>
      </c>
      <c r="N308" s="1" t="b">
        <v>0</v>
      </c>
      <c r="O308" s="19">
        <v>650.0</v>
      </c>
      <c r="P308" s="20">
        <v>2.08</v>
      </c>
      <c r="Q308" s="20">
        <v>312.5</v>
      </c>
      <c r="R308" s="21">
        <v>0.617888</v>
      </c>
      <c r="S308" s="1" t="s">
        <v>117</v>
      </c>
      <c r="T308" s="1" t="s">
        <v>0</v>
      </c>
      <c r="U308" s="1" t="s">
        <v>81</v>
      </c>
      <c r="V308" s="1" t="s">
        <v>81</v>
      </c>
      <c r="W308" s="1" t="s">
        <v>0</v>
      </c>
      <c r="X308" s="1" t="s">
        <v>0</v>
      </c>
      <c r="Y308" s="22" t="str">
        <f t="shared" si="3"/>
        <v>CO</v>
      </c>
      <c r="Z308" s="20" t="str">
        <f>_xlfn.XLOOKUP($B308,[1]F27!$C:$C,[1]F27!$BV:$BV)</f>
        <v>#ERROR!</v>
      </c>
      <c r="AA308" s="1"/>
      <c r="AB308" s="1"/>
      <c r="AC308" s="23"/>
      <c r="AD308" s="1" t="str">
        <f>_xlfn.XLOOKUP($B308,[1]F27!$C:$C,[1]F27!$Y:$Y)</f>
        <v>#ERROR!</v>
      </c>
      <c r="AE308" s="1" t="str">
        <f>_xlfn.XLOOKUP($B308,[1]F27!$C:$C,[1]F27!$Z:$Z)</f>
        <v>#ERROR!</v>
      </c>
      <c r="AF308" s="1" t="str">
        <f>_xlfn.XLOOKUP($B308,[2]PRICING!$B:$B,[2]PRICING!$B:$B,"MISSING")</f>
        <v>#ERROR!</v>
      </c>
      <c r="AG308" s="1" t="str">
        <f>COUNTIFS([2]ACTIVE_SCO!$B:$B,$B308,[2]ACTIVE_SCO!$P:$P,"Y")</f>
        <v>#ERROR!</v>
      </c>
      <c r="AH308" s="1"/>
      <c r="AI308" s="37" t="s">
        <v>157</v>
      </c>
      <c r="AJ308" s="38" t="s">
        <v>2082</v>
      </c>
      <c r="AK308" s="39" t="s">
        <v>204</v>
      </c>
      <c r="AL308" s="39" t="s">
        <v>0</v>
      </c>
      <c r="AM308" s="1" t="s">
        <v>125</v>
      </c>
      <c r="AN308" s="40" t="s">
        <v>174</v>
      </c>
      <c r="AO308" s="41" t="s">
        <v>776</v>
      </c>
      <c r="AP308" s="41" t="s">
        <v>777</v>
      </c>
      <c r="AQ308" s="40" t="s">
        <v>0</v>
      </c>
      <c r="AR308" s="54"/>
      <c r="AS308" s="1" t="s">
        <v>248</v>
      </c>
      <c r="AT308" s="1" t="s">
        <v>1146</v>
      </c>
      <c r="AU308" s="1" t="s">
        <v>1151</v>
      </c>
      <c r="AV308" s="1" t="s">
        <v>131</v>
      </c>
      <c r="AW308" s="1"/>
      <c r="AX308" s="1"/>
      <c r="AY308" s="1"/>
      <c r="AZ308" s="1"/>
      <c r="BA308" s="1" t="s">
        <v>204</v>
      </c>
      <c r="BB308" s="1" t="s">
        <v>0</v>
      </c>
      <c r="BC308" s="1"/>
      <c r="BD308" s="1"/>
    </row>
    <row r="309" ht="11.25" customHeight="1">
      <c r="A309" s="1" t="b">
        <v>1</v>
      </c>
      <c r="B309" s="1" t="s">
        <v>1204</v>
      </c>
      <c r="C309" s="1" t="s">
        <v>1205</v>
      </c>
      <c r="D309" s="1" t="s">
        <v>1109</v>
      </c>
      <c r="E309" s="1"/>
      <c r="F309" s="1"/>
      <c r="G309" s="1" t="s">
        <v>247</v>
      </c>
      <c r="H309" s="1"/>
      <c r="I309" s="1" t="s">
        <v>248</v>
      </c>
      <c r="J309" s="1" t="s">
        <v>69</v>
      </c>
      <c r="K309" s="1" t="s">
        <v>249</v>
      </c>
      <c r="L309" s="1" t="s">
        <v>0</v>
      </c>
      <c r="M309" s="1" t="b">
        <v>1</v>
      </c>
      <c r="N309" s="1" t="b">
        <v>0</v>
      </c>
      <c r="O309" s="19">
        <v>550.0</v>
      </c>
      <c r="P309" s="20">
        <v>2.08</v>
      </c>
      <c r="Q309" s="20">
        <v>264.42</v>
      </c>
      <c r="R309" s="21">
        <v>0.6318357159065124</v>
      </c>
      <c r="S309" s="1" t="s">
        <v>117</v>
      </c>
      <c r="T309" s="1" t="s">
        <v>0</v>
      </c>
      <c r="U309" s="1" t="s">
        <v>81</v>
      </c>
      <c r="V309" s="1" t="s">
        <v>81</v>
      </c>
      <c r="W309" s="1" t="s">
        <v>0</v>
      </c>
      <c r="X309" s="1" t="s">
        <v>0</v>
      </c>
      <c r="Y309" s="22" t="str">
        <f t="shared" si="3"/>
        <v>CO</v>
      </c>
      <c r="Z309" s="20" t="str">
        <f>_xlfn.XLOOKUP($B309,[1]F27!$C:$C,[1]F27!$BV:$BV)</f>
        <v>#ERROR!</v>
      </c>
      <c r="AA309" s="1"/>
      <c r="AB309" s="1"/>
      <c r="AC309" s="23"/>
      <c r="AD309" s="1" t="str">
        <f>_xlfn.XLOOKUP($B309,[1]F27!$C:$C,[1]F27!$Y:$Y)</f>
        <v>#ERROR!</v>
      </c>
      <c r="AE309" s="1" t="str">
        <f>_xlfn.XLOOKUP($B309,[1]F27!$C:$C,[1]F27!$Z:$Z)</f>
        <v>#ERROR!</v>
      </c>
      <c r="AF309" s="1" t="str">
        <f>_xlfn.XLOOKUP($B309,[2]PRICING!$B:$B,[2]PRICING!$B:$B,"MISSING")</f>
        <v>#ERROR!</v>
      </c>
      <c r="AG309" s="1" t="str">
        <f>COUNTIFS([2]ACTIVE_SCO!$B:$B,$B309,[2]ACTIVE_SCO!$P:$P,"Y")</f>
        <v>#ERROR!</v>
      </c>
      <c r="AH309" s="1"/>
      <c r="AI309" s="37" t="s">
        <v>157</v>
      </c>
      <c r="AJ309" s="38" t="s">
        <v>2083</v>
      </c>
      <c r="AK309" s="39" t="s">
        <v>204</v>
      </c>
      <c r="AL309" s="39" t="s">
        <v>0</v>
      </c>
      <c r="AM309" s="1" t="s">
        <v>125</v>
      </c>
      <c r="AN309" s="40" t="s">
        <v>174</v>
      </c>
      <c r="AO309" s="41" t="s">
        <v>776</v>
      </c>
      <c r="AP309" s="41" t="s">
        <v>777</v>
      </c>
      <c r="AQ309" s="40" t="s">
        <v>0</v>
      </c>
      <c r="AR309" s="54"/>
      <c r="AS309" s="1" t="s">
        <v>1186</v>
      </c>
      <c r="AT309" s="1" t="s">
        <v>1209</v>
      </c>
      <c r="AU309" s="1"/>
      <c r="AV309" s="1" t="s">
        <v>131</v>
      </c>
      <c r="AW309" s="1"/>
      <c r="AX309" s="1"/>
      <c r="AY309" s="1"/>
      <c r="AZ309" s="1"/>
      <c r="BA309" s="1" t="s">
        <v>204</v>
      </c>
      <c r="BB309" s="1" t="s">
        <v>0</v>
      </c>
      <c r="BC309" s="1"/>
      <c r="BD309" s="1"/>
    </row>
    <row r="310" ht="11.25" customHeight="1">
      <c r="A310" s="1" t="b">
        <v>1</v>
      </c>
      <c r="B310" s="1" t="s">
        <v>1230</v>
      </c>
      <c r="C310" s="1" t="s">
        <v>1231</v>
      </c>
      <c r="D310" s="1" t="s">
        <v>1109</v>
      </c>
      <c r="E310" s="1"/>
      <c r="F310" s="1"/>
      <c r="G310" s="1" t="s">
        <v>66</v>
      </c>
      <c r="H310" s="1"/>
      <c r="I310" s="1" t="s">
        <v>248</v>
      </c>
      <c r="J310" s="1" t="s">
        <v>69</v>
      </c>
      <c r="K310" s="1" t="s">
        <v>249</v>
      </c>
      <c r="L310" s="1" t="s">
        <v>0</v>
      </c>
      <c r="M310" s="1" t="b">
        <v>1</v>
      </c>
      <c r="N310" s="1" t="b">
        <v>0</v>
      </c>
      <c r="O310" s="19">
        <v>800.0</v>
      </c>
      <c r="P310" s="20">
        <v>2.08</v>
      </c>
      <c r="Q310" s="20">
        <v>384.62</v>
      </c>
      <c r="R310" s="21">
        <v>0.6131506421922936</v>
      </c>
      <c r="S310" s="1" t="s">
        <v>117</v>
      </c>
      <c r="T310" s="1" t="s">
        <v>0</v>
      </c>
      <c r="U310" s="1" t="s">
        <v>81</v>
      </c>
      <c r="V310" s="1" t="s">
        <v>81</v>
      </c>
      <c r="W310" s="1" t="s">
        <v>0</v>
      </c>
      <c r="X310" s="1" t="s">
        <v>0</v>
      </c>
      <c r="Y310" s="22" t="str">
        <f t="shared" si="3"/>
        <v>CO</v>
      </c>
      <c r="Z310" s="20" t="str">
        <f>_xlfn.XLOOKUP($B310,[1]F27!$C:$C,[1]F27!$BV:$BV)</f>
        <v>#ERROR!</v>
      </c>
      <c r="AA310" s="1"/>
      <c r="AB310" s="1"/>
      <c r="AC310" s="23"/>
      <c r="AD310" s="1" t="str">
        <f>_xlfn.XLOOKUP($B310,[1]F27!$C:$C,[1]F27!$Y:$Y)</f>
        <v>#ERROR!</v>
      </c>
      <c r="AE310" s="1" t="str">
        <f>_xlfn.XLOOKUP($B310,[1]F27!$C:$C,[1]F27!$Z:$Z)</f>
        <v>#ERROR!</v>
      </c>
      <c r="AF310" s="1" t="str">
        <f>_xlfn.XLOOKUP($B310,[2]PRICING!$B:$B,[2]PRICING!$B:$B,"MISSING")</f>
        <v>#ERROR!</v>
      </c>
      <c r="AG310" s="1" t="str">
        <f>COUNTIFS([2]ACTIVE_SCO!$B:$B,$B310,[2]ACTIVE_SCO!$P:$P,"Y")</f>
        <v>#ERROR!</v>
      </c>
      <c r="AH310" s="1"/>
      <c r="AI310" s="37" t="s">
        <v>157</v>
      </c>
      <c r="AJ310" s="38" t="s">
        <v>2084</v>
      </c>
      <c r="AK310" s="39" t="s">
        <v>60</v>
      </c>
      <c r="AL310" s="39" t="s">
        <v>0</v>
      </c>
      <c r="AM310" s="1" t="s">
        <v>125</v>
      </c>
      <c r="AN310" s="40" t="s">
        <v>127</v>
      </c>
      <c r="AO310" s="41" t="s">
        <v>86</v>
      </c>
      <c r="AP310" s="41" t="s">
        <v>169</v>
      </c>
      <c r="AQ310" s="40" t="s">
        <v>0</v>
      </c>
      <c r="AR310" s="54"/>
      <c r="AS310" s="1" t="s">
        <v>1120</v>
      </c>
      <c r="AT310" s="1" t="s">
        <v>1234</v>
      </c>
      <c r="AU310" s="1" t="s">
        <v>1181</v>
      </c>
      <c r="AV310" s="1" t="s">
        <v>131</v>
      </c>
      <c r="AW310" s="1"/>
      <c r="AX310" s="1"/>
      <c r="AY310" s="1"/>
      <c r="AZ310" s="1"/>
      <c r="BA310" s="1" t="s">
        <v>60</v>
      </c>
      <c r="BB310" s="1" t="s">
        <v>0</v>
      </c>
      <c r="BC310" s="1"/>
      <c r="BD310" s="1"/>
    </row>
    <row r="311" ht="11.25" customHeight="1">
      <c r="A311" s="1" t="b">
        <v>1</v>
      </c>
      <c r="B311" s="1" t="s">
        <v>1274</v>
      </c>
      <c r="C311" s="1" t="s">
        <v>1275</v>
      </c>
      <c r="D311" s="1" t="s">
        <v>1109</v>
      </c>
      <c r="E311" s="1"/>
      <c r="F311" s="1"/>
      <c r="G311" s="1" t="s">
        <v>66</v>
      </c>
      <c r="H311" s="1"/>
      <c r="I311" s="1" t="s">
        <v>248</v>
      </c>
      <c r="J311" s="1" t="s">
        <v>69</v>
      </c>
      <c r="K311" s="1" t="s">
        <v>249</v>
      </c>
      <c r="L311" s="1" t="s">
        <v>0</v>
      </c>
      <c r="M311" s="1" t="b">
        <v>1</v>
      </c>
      <c r="N311" s="1" t="b">
        <v>0</v>
      </c>
      <c r="O311" s="19">
        <v>800.0</v>
      </c>
      <c r="P311" s="20">
        <v>2.08</v>
      </c>
      <c r="Q311" s="20">
        <v>384.62</v>
      </c>
      <c r="R311" s="21">
        <v>0.45959648484218196</v>
      </c>
      <c r="S311" s="1" t="s">
        <v>242</v>
      </c>
      <c r="T311" s="1" t="s">
        <v>0</v>
      </c>
      <c r="U311" s="1" t="s">
        <v>81</v>
      </c>
      <c r="V311" s="1" t="s">
        <v>81</v>
      </c>
      <c r="W311" s="1" t="s">
        <v>0</v>
      </c>
      <c r="X311" s="1" t="s">
        <v>0</v>
      </c>
      <c r="Y311" s="22" t="str">
        <f t="shared" si="3"/>
        <v>CO</v>
      </c>
      <c r="Z311" s="20" t="str">
        <f>_xlfn.XLOOKUP($B311,[1]F27!$C:$C,[1]F27!$BV:$BV)</f>
        <v>#ERROR!</v>
      </c>
      <c r="AA311" s="1"/>
      <c r="AB311" s="1"/>
      <c r="AC311" s="23"/>
      <c r="AD311" s="1" t="str">
        <f>_xlfn.XLOOKUP($B311,[1]F27!$C:$C,[1]F27!$Y:$Y)</f>
        <v>#ERROR!</v>
      </c>
      <c r="AE311" s="1" t="str">
        <f>_xlfn.XLOOKUP($B311,[1]F27!$C:$C,[1]F27!$Z:$Z)</f>
        <v>#ERROR!</v>
      </c>
      <c r="AF311" s="1" t="str">
        <f>_xlfn.XLOOKUP($B311,[2]PRICING!$B:$B,[2]PRICING!$B:$B,"MISSING")</f>
        <v>#ERROR!</v>
      </c>
      <c r="AG311" s="1" t="str">
        <f>COUNTIFS([2]ACTIVE_SCO!$B:$B,$B311,[2]ACTIVE_SCO!$P:$P,"Y")</f>
        <v>#ERROR!</v>
      </c>
      <c r="AH311" s="1"/>
      <c r="AI311" s="37" t="s">
        <v>157</v>
      </c>
      <c r="AJ311" s="38" t="s">
        <v>2085</v>
      </c>
      <c r="AK311" s="39" t="s">
        <v>204</v>
      </c>
      <c r="AL311" s="39" t="s">
        <v>0</v>
      </c>
      <c r="AM311" s="1" t="s">
        <v>125</v>
      </c>
      <c r="AN311" s="1" t="s">
        <v>174</v>
      </c>
      <c r="AO311" s="39" t="s">
        <v>86</v>
      </c>
      <c r="AP311" s="39" t="s">
        <v>169</v>
      </c>
      <c r="AQ311" s="1" t="s">
        <v>0</v>
      </c>
      <c r="AR311" s="81"/>
      <c r="AS311" s="1" t="s">
        <v>248</v>
      </c>
      <c r="AT311" s="1" t="s">
        <v>1278</v>
      </c>
      <c r="AU311" s="1" t="s">
        <v>1147</v>
      </c>
      <c r="AV311" s="1" t="s">
        <v>131</v>
      </c>
      <c r="AW311" s="1"/>
      <c r="AX311" s="1"/>
      <c r="AY311" s="1"/>
      <c r="AZ311" s="1"/>
      <c r="BA311" s="1" t="s">
        <v>204</v>
      </c>
      <c r="BB311" s="1" t="s">
        <v>0</v>
      </c>
      <c r="BC311" s="1"/>
      <c r="BD311" s="1"/>
    </row>
    <row r="312" ht="11.25" customHeight="1">
      <c r="A312" s="1" t="b">
        <v>1</v>
      </c>
      <c r="B312" s="1" t="s">
        <v>1279</v>
      </c>
      <c r="C312" s="1" t="s">
        <v>1280</v>
      </c>
      <c r="D312" s="1" t="s">
        <v>1109</v>
      </c>
      <c r="E312" s="1"/>
      <c r="F312" s="1"/>
      <c r="G312" s="1" t="s">
        <v>66</v>
      </c>
      <c r="H312" s="1"/>
      <c r="I312" s="1" t="s">
        <v>248</v>
      </c>
      <c r="J312" s="1" t="s">
        <v>69</v>
      </c>
      <c r="K312" s="1" t="s">
        <v>249</v>
      </c>
      <c r="L312" s="1" t="s">
        <v>0</v>
      </c>
      <c r="M312" s="1" t="b">
        <v>1</v>
      </c>
      <c r="N312" s="1" t="b">
        <v>0</v>
      </c>
      <c r="O312" s="19">
        <v>700.0</v>
      </c>
      <c r="P312" s="20">
        <v>2.08</v>
      </c>
      <c r="Q312" s="20">
        <v>336.54</v>
      </c>
      <c r="R312" s="21">
        <v>0.4624413145539906</v>
      </c>
      <c r="S312" s="1" t="s">
        <v>242</v>
      </c>
      <c r="T312" s="1" t="s">
        <v>0</v>
      </c>
      <c r="U312" s="1" t="s">
        <v>81</v>
      </c>
      <c r="V312" s="1" t="s">
        <v>81</v>
      </c>
      <c r="W312" s="1" t="s">
        <v>0</v>
      </c>
      <c r="X312" s="1" t="s">
        <v>0</v>
      </c>
      <c r="Y312" s="22" t="str">
        <f t="shared" si="3"/>
        <v>CO</v>
      </c>
      <c r="Z312" s="20" t="str">
        <f>_xlfn.XLOOKUP($B312,[1]F27!$C:$C,[1]F27!$BV:$BV)</f>
        <v>#ERROR!</v>
      </c>
      <c r="AA312" s="1"/>
      <c r="AB312" s="1"/>
      <c r="AC312" s="23"/>
      <c r="AD312" s="1" t="str">
        <f>_xlfn.XLOOKUP($B312,[1]F27!$C:$C,[1]F27!$Y:$Y)</f>
        <v>#ERROR!</v>
      </c>
      <c r="AE312" s="1" t="str">
        <f>_xlfn.XLOOKUP($B312,[1]F27!$C:$C,[1]F27!$Z:$Z)</f>
        <v>#ERROR!</v>
      </c>
      <c r="AF312" s="1" t="str">
        <f>_xlfn.XLOOKUP($B312,[2]PRICING!$B:$B,[2]PRICING!$B:$B,"MISSING")</f>
        <v>#ERROR!</v>
      </c>
      <c r="AG312" s="1" t="str">
        <f>COUNTIFS([2]ACTIVE_SCO!$B:$B,$B312,[2]ACTIVE_SCO!$P:$P,"Y")</f>
        <v>#ERROR!</v>
      </c>
      <c r="AH312" s="1"/>
      <c r="AI312" s="37" t="s">
        <v>157</v>
      </c>
      <c r="AJ312" s="38" t="s">
        <v>2086</v>
      </c>
      <c r="AK312" s="39" t="s">
        <v>204</v>
      </c>
      <c r="AL312" s="39" t="s">
        <v>0</v>
      </c>
      <c r="AM312" s="1" t="s">
        <v>125</v>
      </c>
      <c r="AN312" s="1" t="s">
        <v>174</v>
      </c>
      <c r="AO312" s="39" t="s">
        <v>86</v>
      </c>
      <c r="AP312" s="39" t="s">
        <v>169</v>
      </c>
      <c r="AQ312" s="1" t="s">
        <v>0</v>
      </c>
      <c r="AR312" s="81"/>
      <c r="AS312" s="1" t="s">
        <v>248</v>
      </c>
      <c r="AT312" s="1" t="s">
        <v>1278</v>
      </c>
      <c r="AU312" s="1" t="s">
        <v>1147</v>
      </c>
      <c r="AV312" s="1" t="s">
        <v>131</v>
      </c>
      <c r="AW312" s="1"/>
      <c r="AX312" s="1"/>
      <c r="AY312" s="1"/>
      <c r="AZ312" s="1"/>
      <c r="BA312" s="1" t="s">
        <v>204</v>
      </c>
      <c r="BB312" s="1" t="s">
        <v>0</v>
      </c>
      <c r="BC312" s="1"/>
      <c r="BD312" s="1"/>
    </row>
    <row r="313" ht="11.25" customHeight="1">
      <c r="A313" s="1" t="b">
        <v>1</v>
      </c>
      <c r="B313" s="1" t="s">
        <v>1282</v>
      </c>
      <c r="C313" s="1" t="s">
        <v>1283</v>
      </c>
      <c r="D313" s="1" t="s">
        <v>1109</v>
      </c>
      <c r="E313" s="1"/>
      <c r="F313" s="1"/>
      <c r="G313" s="1" t="s">
        <v>66</v>
      </c>
      <c r="H313" s="1"/>
      <c r="I313" s="1" t="s">
        <v>248</v>
      </c>
      <c r="J313" s="1" t="s">
        <v>69</v>
      </c>
      <c r="K313" s="1" t="s">
        <v>249</v>
      </c>
      <c r="L313" s="1" t="s">
        <v>0</v>
      </c>
      <c r="M313" s="1" t="b">
        <v>1</v>
      </c>
      <c r="N313" s="1" t="b">
        <v>0</v>
      </c>
      <c r="O313" s="19">
        <v>400.0</v>
      </c>
      <c r="P313" s="20">
        <v>2.08</v>
      </c>
      <c r="Q313" s="20">
        <v>192.31</v>
      </c>
      <c r="R313" s="21">
        <v>0.6333523997712027</v>
      </c>
      <c r="S313" s="1" t="s">
        <v>117</v>
      </c>
      <c r="T313" s="1" t="s">
        <v>0</v>
      </c>
      <c r="U313" s="1" t="s">
        <v>81</v>
      </c>
      <c r="V313" s="1" t="s">
        <v>81</v>
      </c>
      <c r="W313" s="1" t="s">
        <v>0</v>
      </c>
      <c r="X313" s="1" t="s">
        <v>0</v>
      </c>
      <c r="Y313" s="22" t="str">
        <f t="shared" si="3"/>
        <v>CO</v>
      </c>
      <c r="Z313" s="20" t="str">
        <f>_xlfn.XLOOKUP($B313,[1]F27!$C:$C,[1]F27!$BV:$BV)</f>
        <v>#ERROR!</v>
      </c>
      <c r="AA313" s="1"/>
      <c r="AB313" s="1"/>
      <c r="AC313" s="23"/>
      <c r="AD313" s="1" t="str">
        <f>_xlfn.XLOOKUP($B313,[1]F27!$C:$C,[1]F27!$Y:$Y)</f>
        <v>#ERROR!</v>
      </c>
      <c r="AE313" s="1" t="str">
        <f>_xlfn.XLOOKUP($B313,[1]F27!$C:$C,[1]F27!$Z:$Z)</f>
        <v>#ERROR!</v>
      </c>
      <c r="AF313" s="1" t="str">
        <f>_xlfn.XLOOKUP($B313,[2]PRICING!$B:$B,[2]PRICING!$B:$B,"MISSING")</f>
        <v>#ERROR!</v>
      </c>
      <c r="AG313" s="1" t="str">
        <f>COUNTIFS([2]ACTIVE_SCO!$B:$B,$B313,[2]ACTIVE_SCO!$P:$P,"Y")</f>
        <v>#ERROR!</v>
      </c>
      <c r="AH313" s="1"/>
      <c r="AI313" s="37" t="s">
        <v>157</v>
      </c>
      <c r="AJ313" s="38" t="s">
        <v>2087</v>
      </c>
      <c r="AK313" s="49" t="s">
        <v>365</v>
      </c>
      <c r="AL313" s="39" t="s">
        <v>366</v>
      </c>
      <c r="AM313" s="1" t="s">
        <v>125</v>
      </c>
      <c r="AN313" s="40" t="s">
        <v>127</v>
      </c>
      <c r="AO313" s="41" t="s">
        <v>86</v>
      </c>
      <c r="AP313" s="41" t="s">
        <v>169</v>
      </c>
      <c r="AQ313" s="40" t="s">
        <v>0</v>
      </c>
      <c r="AR313" s="39"/>
      <c r="AS313" s="1" t="s">
        <v>248</v>
      </c>
      <c r="AT313" s="1" t="s">
        <v>1284</v>
      </c>
      <c r="AU313" s="1" t="s">
        <v>1285</v>
      </c>
      <c r="AV313" s="1" t="s">
        <v>131</v>
      </c>
      <c r="AW313" s="1"/>
      <c r="AX313" s="1"/>
      <c r="AY313" s="1"/>
      <c r="AZ313" s="1"/>
      <c r="BA313" s="50" t="s">
        <v>365</v>
      </c>
      <c r="BB313" s="1" t="s">
        <v>366</v>
      </c>
      <c r="BC313" s="1"/>
      <c r="BD313" s="1"/>
    </row>
    <row r="314" ht="11.25" customHeight="1">
      <c r="A314" s="1" t="b">
        <v>1</v>
      </c>
      <c r="B314" s="1" t="s">
        <v>1286</v>
      </c>
      <c r="C314" s="1" t="s">
        <v>1287</v>
      </c>
      <c r="D314" s="1" t="s">
        <v>1109</v>
      </c>
      <c r="E314" s="1"/>
      <c r="F314" s="1"/>
      <c r="G314" s="1" t="s">
        <v>66</v>
      </c>
      <c r="H314" s="1"/>
      <c r="I314" s="1" t="s">
        <v>248</v>
      </c>
      <c r="J314" s="1" t="s">
        <v>69</v>
      </c>
      <c r="K314" s="1" t="s">
        <v>249</v>
      </c>
      <c r="L314" s="1" t="s">
        <v>0</v>
      </c>
      <c r="M314" s="1" t="b">
        <v>1</v>
      </c>
      <c r="N314" s="1" t="b">
        <v>0</v>
      </c>
      <c r="O314" s="19">
        <v>450.0</v>
      </c>
      <c r="P314" s="20">
        <v>2.08</v>
      </c>
      <c r="Q314" s="20">
        <v>216.35</v>
      </c>
      <c r="R314" s="21">
        <v>0.5862260226484863</v>
      </c>
      <c r="S314" s="1" t="s">
        <v>117</v>
      </c>
      <c r="T314" s="1" t="s">
        <v>0</v>
      </c>
      <c r="U314" s="1" t="s">
        <v>81</v>
      </c>
      <c r="V314" s="1" t="s">
        <v>81</v>
      </c>
      <c r="W314" s="1" t="s">
        <v>0</v>
      </c>
      <c r="X314" s="1" t="s">
        <v>0</v>
      </c>
      <c r="Y314" s="22" t="str">
        <f t="shared" si="3"/>
        <v>CO</v>
      </c>
      <c r="Z314" s="20" t="str">
        <f>_xlfn.XLOOKUP($B314,[1]F27!$C:$C,[1]F27!$BV:$BV)</f>
        <v>#ERROR!</v>
      </c>
      <c r="AA314" s="1"/>
      <c r="AB314" s="1"/>
      <c r="AC314" s="23"/>
      <c r="AD314" s="1" t="str">
        <f>_xlfn.XLOOKUP($B314,[1]F27!$C:$C,[1]F27!$Y:$Y)</f>
        <v>#ERROR!</v>
      </c>
      <c r="AE314" s="1" t="str">
        <f>_xlfn.XLOOKUP($B314,[1]F27!$C:$C,[1]F27!$Z:$Z)</f>
        <v>#ERROR!</v>
      </c>
      <c r="AF314" s="1" t="str">
        <f>_xlfn.XLOOKUP($B314,[2]PRICING!$B:$B,[2]PRICING!$B:$B,"MISSING")</f>
        <v>#ERROR!</v>
      </c>
      <c r="AG314" s="1" t="str">
        <f>COUNTIFS([2]ACTIVE_SCO!$B:$B,$B314,[2]ACTIVE_SCO!$P:$P,"Y")</f>
        <v>#ERROR!</v>
      </c>
      <c r="AH314" s="1"/>
      <c r="AI314" s="37" t="s">
        <v>157</v>
      </c>
      <c r="AJ314" s="38" t="s">
        <v>2088</v>
      </c>
      <c r="AK314" s="49" t="s">
        <v>365</v>
      </c>
      <c r="AL314" s="39" t="s">
        <v>366</v>
      </c>
      <c r="AM314" s="1" t="s">
        <v>125</v>
      </c>
      <c r="AN314" s="40" t="s">
        <v>127</v>
      </c>
      <c r="AO314" s="41" t="s">
        <v>86</v>
      </c>
      <c r="AP314" s="41" t="s">
        <v>169</v>
      </c>
      <c r="AQ314" s="40" t="s">
        <v>0</v>
      </c>
      <c r="AR314" s="39"/>
      <c r="AS314" s="1" t="s">
        <v>248</v>
      </c>
      <c r="AT314" s="1" t="s">
        <v>1284</v>
      </c>
      <c r="AU314" s="1" t="s">
        <v>1285</v>
      </c>
      <c r="AV314" s="1" t="s">
        <v>131</v>
      </c>
      <c r="AW314" s="1"/>
      <c r="AX314" s="1"/>
      <c r="AY314" s="1"/>
      <c r="AZ314" s="1"/>
      <c r="BA314" s="50" t="s">
        <v>365</v>
      </c>
      <c r="BB314" s="1" t="s">
        <v>366</v>
      </c>
      <c r="BC314" s="1"/>
      <c r="BD314" s="1"/>
    </row>
    <row r="315" ht="11.25" customHeight="1">
      <c r="A315" s="1" t="b">
        <v>1</v>
      </c>
      <c r="B315" s="1" t="s">
        <v>1288</v>
      </c>
      <c r="C315" s="1" t="s">
        <v>1289</v>
      </c>
      <c r="D315" s="1" t="s">
        <v>1109</v>
      </c>
      <c r="E315" s="1"/>
      <c r="F315" s="1"/>
      <c r="G315" s="1" t="s">
        <v>66</v>
      </c>
      <c r="H315" s="1"/>
      <c r="I315" s="1" t="s">
        <v>248</v>
      </c>
      <c r="J315" s="1" t="s">
        <v>69</v>
      </c>
      <c r="K315" s="1" t="s">
        <v>249</v>
      </c>
      <c r="L315" s="1" t="s">
        <v>0</v>
      </c>
      <c r="M315" s="1" t="b">
        <v>1</v>
      </c>
      <c r="N315" s="1" t="b">
        <v>0</v>
      </c>
      <c r="O315" s="19">
        <v>500.0</v>
      </c>
      <c r="P315" s="20">
        <v>2.08</v>
      </c>
      <c r="Q315" s="20">
        <v>240.38</v>
      </c>
      <c r="R315" s="21">
        <v>0.5802479407604626</v>
      </c>
      <c r="S315" s="1" t="s">
        <v>117</v>
      </c>
      <c r="T315" s="1" t="s">
        <v>0</v>
      </c>
      <c r="U315" s="1" t="s">
        <v>81</v>
      </c>
      <c r="V315" s="1" t="s">
        <v>81</v>
      </c>
      <c r="W315" s="1" t="s">
        <v>0</v>
      </c>
      <c r="X315" s="1" t="s">
        <v>0</v>
      </c>
      <c r="Y315" s="22" t="str">
        <f t="shared" si="3"/>
        <v>CO</v>
      </c>
      <c r="Z315" s="20" t="str">
        <f>_xlfn.XLOOKUP($B315,[1]F27!$C:$C,[1]F27!$BV:$BV)</f>
        <v>#ERROR!</v>
      </c>
      <c r="AA315" s="1"/>
      <c r="AB315" s="1"/>
      <c r="AC315" s="23"/>
      <c r="AD315" s="1" t="str">
        <f>_xlfn.XLOOKUP($B315,[1]F27!$C:$C,[1]F27!$Y:$Y)</f>
        <v>#ERROR!</v>
      </c>
      <c r="AE315" s="1" t="str">
        <f>_xlfn.XLOOKUP($B315,[1]F27!$C:$C,[1]F27!$Z:$Z)</f>
        <v>#ERROR!</v>
      </c>
      <c r="AF315" s="1" t="str">
        <f>_xlfn.XLOOKUP($B315,[2]PRICING!$B:$B,[2]PRICING!$B:$B,"MISSING")</f>
        <v>#ERROR!</v>
      </c>
      <c r="AG315" s="1" t="str">
        <f>COUNTIFS([2]ACTIVE_SCO!$B:$B,$B315,[2]ACTIVE_SCO!$P:$P,"Y")</f>
        <v>#ERROR!</v>
      </c>
      <c r="AH315" s="1"/>
      <c r="AI315" s="37" t="s">
        <v>157</v>
      </c>
      <c r="AJ315" s="38" t="s">
        <v>2089</v>
      </c>
      <c r="AK315" s="49" t="s">
        <v>365</v>
      </c>
      <c r="AL315" s="39" t="s">
        <v>366</v>
      </c>
      <c r="AM315" s="1" t="s">
        <v>125</v>
      </c>
      <c r="AN315" s="40" t="s">
        <v>127</v>
      </c>
      <c r="AO315" s="41" t="s">
        <v>86</v>
      </c>
      <c r="AP315" s="41" t="s">
        <v>169</v>
      </c>
      <c r="AQ315" s="40" t="s">
        <v>0</v>
      </c>
      <c r="AR315" s="39"/>
      <c r="AS315" s="1" t="s">
        <v>248</v>
      </c>
      <c r="AT315" s="1" t="s">
        <v>1284</v>
      </c>
      <c r="AU315" s="1" t="s">
        <v>1285</v>
      </c>
      <c r="AV315" s="1" t="s">
        <v>131</v>
      </c>
      <c r="AW315" s="1"/>
      <c r="AX315" s="1"/>
      <c r="AY315" s="1"/>
      <c r="AZ315" s="1"/>
      <c r="BA315" s="50" t="s">
        <v>365</v>
      </c>
      <c r="BB315" s="1" t="s">
        <v>366</v>
      </c>
      <c r="BC315" s="1"/>
      <c r="BD315" s="1"/>
    </row>
    <row r="316" ht="11.25" customHeight="1">
      <c r="A316" s="1" t="b">
        <v>1</v>
      </c>
      <c r="B316" s="1" t="s">
        <v>1290</v>
      </c>
      <c r="C316" s="1" t="s">
        <v>1291</v>
      </c>
      <c r="D316" s="1" t="s">
        <v>1109</v>
      </c>
      <c r="E316" s="1"/>
      <c r="F316" s="1"/>
      <c r="G316" s="1" t="s">
        <v>66</v>
      </c>
      <c r="H316" s="1"/>
      <c r="I316" s="1" t="s">
        <v>248</v>
      </c>
      <c r="J316" s="1" t="s">
        <v>69</v>
      </c>
      <c r="K316" s="1" t="s">
        <v>249</v>
      </c>
      <c r="L316" s="1" t="s">
        <v>0</v>
      </c>
      <c r="M316" s="1" t="b">
        <v>1</v>
      </c>
      <c r="N316" s="1" t="b">
        <v>0</v>
      </c>
      <c r="O316" s="19">
        <v>600.0</v>
      </c>
      <c r="P316" s="20">
        <v>2.08</v>
      </c>
      <c r="Q316" s="20">
        <v>288.46</v>
      </c>
      <c r="R316" s="21">
        <v>0.6290646883450045</v>
      </c>
      <c r="S316" s="1" t="s">
        <v>117</v>
      </c>
      <c r="T316" s="1" t="s">
        <v>0</v>
      </c>
      <c r="U316" s="1" t="s">
        <v>81</v>
      </c>
      <c r="V316" s="1" t="s">
        <v>81</v>
      </c>
      <c r="W316" s="1" t="s">
        <v>0</v>
      </c>
      <c r="X316" s="1" t="s">
        <v>0</v>
      </c>
      <c r="Y316" s="22" t="str">
        <f t="shared" si="3"/>
        <v>CO</v>
      </c>
      <c r="Z316" s="20" t="str">
        <f>_xlfn.XLOOKUP($B316,[1]F27!$C:$C,[1]F27!$BV:$BV)</f>
        <v>#ERROR!</v>
      </c>
      <c r="AA316" s="1"/>
      <c r="AB316" s="1"/>
      <c r="AC316" s="23"/>
      <c r="AD316" s="1" t="str">
        <f>_xlfn.XLOOKUP($B316,[1]F27!$C:$C,[1]F27!$Y:$Y)</f>
        <v>#ERROR!</v>
      </c>
      <c r="AE316" s="1" t="str">
        <f>_xlfn.XLOOKUP($B316,[1]F27!$C:$C,[1]F27!$Z:$Z)</f>
        <v>#ERROR!</v>
      </c>
      <c r="AF316" s="1" t="str">
        <f>_xlfn.XLOOKUP($B316,[2]PRICING!$B:$B,[2]PRICING!$B:$B,"MISSING")</f>
        <v>#ERROR!</v>
      </c>
      <c r="AG316" s="1" t="str">
        <f>COUNTIFS([2]ACTIVE_SCO!$B:$B,$B316,[2]ACTIVE_SCO!$P:$P,"Y")</f>
        <v>#ERROR!</v>
      </c>
      <c r="AH316" s="1"/>
      <c r="AI316" s="37" t="s">
        <v>157</v>
      </c>
      <c r="AJ316" s="38" t="s">
        <v>2090</v>
      </c>
      <c r="AK316" s="49" t="s">
        <v>365</v>
      </c>
      <c r="AL316" s="39" t="s">
        <v>366</v>
      </c>
      <c r="AM316" s="1" t="s">
        <v>125</v>
      </c>
      <c r="AN316" s="40" t="s">
        <v>127</v>
      </c>
      <c r="AO316" s="41" t="s">
        <v>86</v>
      </c>
      <c r="AP316" s="41" t="s">
        <v>121</v>
      </c>
      <c r="AQ316" s="40" t="s">
        <v>0</v>
      </c>
      <c r="AR316" s="39"/>
      <c r="AS316" s="1" t="s">
        <v>248</v>
      </c>
      <c r="AT316" s="1" t="s">
        <v>1284</v>
      </c>
      <c r="AU316" s="1" t="s">
        <v>1285</v>
      </c>
      <c r="AV316" s="1" t="s">
        <v>131</v>
      </c>
      <c r="AW316" s="1"/>
      <c r="AX316" s="1"/>
      <c r="AY316" s="1"/>
      <c r="AZ316" s="1"/>
      <c r="BA316" s="50" t="s">
        <v>365</v>
      </c>
      <c r="BB316" s="1" t="s">
        <v>366</v>
      </c>
      <c r="BC316" s="1"/>
      <c r="BD316" s="1"/>
    </row>
    <row r="317" ht="11.25" customHeight="1">
      <c r="A317" s="1" t="b">
        <v>1</v>
      </c>
      <c r="B317" s="1" t="s">
        <v>1295</v>
      </c>
      <c r="C317" s="1" t="s">
        <v>1296</v>
      </c>
      <c r="D317" s="1" t="s">
        <v>1109</v>
      </c>
      <c r="E317" s="1"/>
      <c r="F317" s="1"/>
      <c r="G317" s="1" t="s">
        <v>66</v>
      </c>
      <c r="H317" s="1"/>
      <c r="I317" s="1" t="s">
        <v>248</v>
      </c>
      <c r="J317" s="1" t="s">
        <v>69</v>
      </c>
      <c r="K317" s="1" t="s">
        <v>249</v>
      </c>
      <c r="L317" s="1" t="s">
        <v>0</v>
      </c>
      <c r="M317" s="1" t="b">
        <v>1</v>
      </c>
      <c r="N317" s="1" t="b">
        <v>0</v>
      </c>
      <c r="O317" s="19">
        <v>500.0</v>
      </c>
      <c r="P317" s="20">
        <v>2.08</v>
      </c>
      <c r="Q317" s="20">
        <v>240.38</v>
      </c>
      <c r="R317" s="21">
        <v>0.5958898410849488</v>
      </c>
      <c r="S317" s="1" t="s">
        <v>117</v>
      </c>
      <c r="T317" s="1" t="s">
        <v>0</v>
      </c>
      <c r="U317" s="1" t="s">
        <v>81</v>
      </c>
      <c r="V317" s="1" t="s">
        <v>81</v>
      </c>
      <c r="W317" s="1" t="s">
        <v>0</v>
      </c>
      <c r="X317" s="1" t="s">
        <v>0</v>
      </c>
      <c r="Y317" s="22" t="str">
        <f t="shared" si="3"/>
        <v>CO</v>
      </c>
      <c r="Z317" s="20" t="str">
        <f>_xlfn.XLOOKUP($B317,[1]F27!$C:$C,[1]F27!$BV:$BV)</f>
        <v>#ERROR!</v>
      </c>
      <c r="AA317" s="1"/>
      <c r="AB317" s="1"/>
      <c r="AC317" s="23"/>
      <c r="AD317" s="1" t="str">
        <f>_xlfn.XLOOKUP($B317,[1]F27!$C:$C,[1]F27!$Y:$Y)</f>
        <v>#ERROR!</v>
      </c>
      <c r="AE317" s="1" t="str">
        <f>_xlfn.XLOOKUP($B317,[1]F27!$C:$C,[1]F27!$Z:$Z)</f>
        <v>#ERROR!</v>
      </c>
      <c r="AF317" s="1" t="str">
        <f>_xlfn.XLOOKUP($B317,[2]PRICING!$B:$B,[2]PRICING!$B:$B,"MISSING")</f>
        <v>#ERROR!</v>
      </c>
      <c r="AG317" s="1" t="str">
        <f>COUNTIFS([2]ACTIVE_SCO!$B:$B,$B317,[2]ACTIVE_SCO!$P:$P,"Y")</f>
        <v>#ERROR!</v>
      </c>
      <c r="AH317" s="1"/>
      <c r="AI317" s="37" t="s">
        <v>157</v>
      </c>
      <c r="AJ317" s="38" t="s">
        <v>2091</v>
      </c>
      <c r="AK317" s="39" t="s">
        <v>204</v>
      </c>
      <c r="AL317" s="39" t="s">
        <v>0</v>
      </c>
      <c r="AM317" s="1" t="s">
        <v>125</v>
      </c>
      <c r="AN317" s="40" t="s">
        <v>174</v>
      </c>
      <c r="AO317" s="41" t="s">
        <v>86</v>
      </c>
      <c r="AP317" s="41" t="s">
        <v>169</v>
      </c>
      <c r="AQ317" s="40" t="s">
        <v>0</v>
      </c>
      <c r="AR317" s="39"/>
      <c r="AS317" s="1" t="s">
        <v>248</v>
      </c>
      <c r="AT317" s="1" t="s">
        <v>1146</v>
      </c>
      <c r="AU317" s="1" t="s">
        <v>1147</v>
      </c>
      <c r="AV317" s="1" t="s">
        <v>131</v>
      </c>
      <c r="AW317" s="1"/>
      <c r="AX317" s="1"/>
      <c r="AY317" s="1"/>
      <c r="AZ317" s="1"/>
      <c r="BA317" s="1" t="s">
        <v>204</v>
      </c>
      <c r="BB317" s="1" t="s">
        <v>0</v>
      </c>
      <c r="BC317" s="1"/>
      <c r="BD317" s="1"/>
    </row>
    <row r="318" ht="11.25" customHeight="1">
      <c r="A318" s="1" t="b">
        <v>1</v>
      </c>
      <c r="B318" s="1" t="s">
        <v>1297</v>
      </c>
      <c r="C318" s="1" t="s">
        <v>1298</v>
      </c>
      <c r="D318" s="1" t="s">
        <v>1109</v>
      </c>
      <c r="E318" s="1"/>
      <c r="F318" s="1"/>
      <c r="G318" s="1" t="s">
        <v>66</v>
      </c>
      <c r="H318" s="1"/>
      <c r="I318" s="1" t="s">
        <v>248</v>
      </c>
      <c r="J318" s="1" t="s">
        <v>69</v>
      </c>
      <c r="K318" s="1" t="s">
        <v>249</v>
      </c>
      <c r="L318" s="1" t="s">
        <v>0</v>
      </c>
      <c r="M318" s="1" t="b">
        <v>1</v>
      </c>
      <c r="N318" s="1" t="b">
        <v>0</v>
      </c>
      <c r="O318" s="19">
        <v>400.0</v>
      </c>
      <c r="P318" s="20">
        <v>2.08</v>
      </c>
      <c r="Q318" s="20">
        <v>192.31</v>
      </c>
      <c r="R318" s="21">
        <v>0.6634600384795383</v>
      </c>
      <c r="S318" s="1" t="s">
        <v>117</v>
      </c>
      <c r="T318" s="1" t="s">
        <v>0</v>
      </c>
      <c r="U318" s="1" t="s">
        <v>81</v>
      </c>
      <c r="V318" s="1" t="s">
        <v>81</v>
      </c>
      <c r="W318" s="1" t="s">
        <v>0</v>
      </c>
      <c r="X318" s="1" t="s">
        <v>0</v>
      </c>
      <c r="Y318" s="22" t="str">
        <f t="shared" si="3"/>
        <v>CO</v>
      </c>
      <c r="Z318" s="20" t="str">
        <f>_xlfn.XLOOKUP($B318,[1]F27!$C:$C,[1]F27!$BV:$BV)</f>
        <v>#ERROR!</v>
      </c>
      <c r="AA318" s="1"/>
      <c r="AB318" s="1"/>
      <c r="AC318" s="23"/>
      <c r="AD318" s="1" t="str">
        <f>_xlfn.XLOOKUP($B318,[1]F27!$C:$C,[1]F27!$Y:$Y)</f>
        <v>#ERROR!</v>
      </c>
      <c r="AE318" s="1" t="str">
        <f>_xlfn.XLOOKUP($B318,[1]F27!$C:$C,[1]F27!$Z:$Z)</f>
        <v>#ERROR!</v>
      </c>
      <c r="AF318" s="1" t="str">
        <f>_xlfn.XLOOKUP($B318,[2]PRICING!$B:$B,[2]PRICING!$B:$B,"MISSING")</f>
        <v>#ERROR!</v>
      </c>
      <c r="AG318" s="1" t="str">
        <f>COUNTIFS([2]ACTIVE_SCO!$B:$B,$B318,[2]ACTIVE_SCO!$P:$P,"Y")</f>
        <v>#ERROR!</v>
      </c>
      <c r="AH318" s="1"/>
      <c r="AI318" s="37" t="s">
        <v>157</v>
      </c>
      <c r="AJ318" s="38" t="s">
        <v>2092</v>
      </c>
      <c r="AK318" s="39" t="s">
        <v>204</v>
      </c>
      <c r="AL318" s="39" t="s">
        <v>0</v>
      </c>
      <c r="AM318" s="1" t="s">
        <v>125</v>
      </c>
      <c r="AN318" s="40" t="s">
        <v>174</v>
      </c>
      <c r="AO318" s="41" t="s">
        <v>86</v>
      </c>
      <c r="AP318" s="41" t="s">
        <v>169</v>
      </c>
      <c r="AQ318" s="40" t="s">
        <v>0</v>
      </c>
      <c r="AR318" s="39"/>
      <c r="AS318" s="1" t="s">
        <v>248</v>
      </c>
      <c r="AT318" s="1" t="s">
        <v>1146</v>
      </c>
      <c r="AU318" s="1" t="s">
        <v>1147</v>
      </c>
      <c r="AV318" s="1" t="s">
        <v>131</v>
      </c>
      <c r="AW318" s="1"/>
      <c r="AX318" s="1"/>
      <c r="AY318" s="1"/>
      <c r="AZ318" s="1"/>
      <c r="BA318" s="1" t="s">
        <v>204</v>
      </c>
      <c r="BB318" s="1" t="s">
        <v>0</v>
      </c>
      <c r="BC318" s="1"/>
      <c r="BD318" s="1"/>
    </row>
    <row r="319" ht="11.25" customHeight="1">
      <c r="A319" s="1" t="b">
        <v>1</v>
      </c>
      <c r="B319" s="1" t="s">
        <v>1757</v>
      </c>
      <c r="C319" s="1" t="s">
        <v>1758</v>
      </c>
      <c r="D319" s="1" t="s">
        <v>1109</v>
      </c>
      <c r="E319" s="1"/>
      <c r="F319" s="1"/>
      <c r="G319" s="1" t="s">
        <v>247</v>
      </c>
      <c r="H319" s="1"/>
      <c r="I319" s="1" t="s">
        <v>248</v>
      </c>
      <c r="J319" s="1" t="s">
        <v>69</v>
      </c>
      <c r="K319" s="1" t="s">
        <v>249</v>
      </c>
      <c r="L319" s="1" t="s">
        <v>0</v>
      </c>
      <c r="M319" s="1" t="b">
        <v>0</v>
      </c>
      <c r="N319" s="1" t="b">
        <v>0</v>
      </c>
      <c r="O319" s="19">
        <v>800.0</v>
      </c>
      <c r="P319" s="20">
        <v>2.08</v>
      </c>
      <c r="Q319" s="20">
        <v>384.62</v>
      </c>
      <c r="R319" s="21">
        <v>0.7276012687847746</v>
      </c>
      <c r="S319" s="1" t="s">
        <v>78</v>
      </c>
      <c r="T319" s="1" t="s">
        <v>0</v>
      </c>
      <c r="U319" s="1" t="s">
        <v>81</v>
      </c>
      <c r="V319" s="1" t="s">
        <v>81</v>
      </c>
      <c r="W319" s="1" t="s">
        <v>0</v>
      </c>
      <c r="X319" s="1" t="s">
        <v>0</v>
      </c>
      <c r="Y319" s="22" t="str">
        <f t="shared" si="3"/>
        <v>NEW</v>
      </c>
      <c r="Z319" s="20" t="str">
        <f>_xlfn.XLOOKUP($B319,[1]F27!$C:$C,[1]F27!$BV:$BV)</f>
        <v>#ERROR!</v>
      </c>
      <c r="AA319" s="1"/>
      <c r="AB319" s="1"/>
      <c r="AC319" s="23"/>
      <c r="AD319" s="1" t="str">
        <f>_xlfn.XLOOKUP($B319,[1]F27!$C:$C,[1]F27!$Y:$Y)</f>
        <v>#ERROR!</v>
      </c>
      <c r="AE319" s="1" t="str">
        <f>_xlfn.XLOOKUP($B319,[1]F27!$C:$C,[1]F27!$Z:$Z)</f>
        <v>#ERROR!</v>
      </c>
      <c r="AF319" s="1" t="str">
        <f>_xlfn.XLOOKUP($B319,[2]PRICING!$B:$B,[2]PRICING!$B:$B,"MISSING")</f>
        <v>#ERROR!</v>
      </c>
      <c r="AG319" s="1" t="str">
        <f>COUNTIFS([2]ACTIVE_SCO!$B:$B,$B319,[2]ACTIVE_SCO!$P:$P,"Y")</f>
        <v>#ERROR!</v>
      </c>
      <c r="AH319" s="1"/>
      <c r="AI319" s="37" t="s">
        <v>157</v>
      </c>
      <c r="AJ319" s="38" t="s">
        <v>2095</v>
      </c>
      <c r="AK319" s="39" t="s">
        <v>551</v>
      </c>
      <c r="AL319" s="39" t="s">
        <v>0</v>
      </c>
      <c r="AM319" s="1" t="s">
        <v>125</v>
      </c>
      <c r="AN319" s="40" t="s">
        <v>174</v>
      </c>
      <c r="AO319" s="41" t="s">
        <v>776</v>
      </c>
      <c r="AP319" s="41" t="s">
        <v>777</v>
      </c>
      <c r="AQ319" s="40" t="s">
        <v>0</v>
      </c>
      <c r="AR319" s="54"/>
      <c r="AS319" s="1" t="s">
        <v>248</v>
      </c>
      <c r="AT319" s="1" t="s">
        <v>1146</v>
      </c>
      <c r="AU319" s="1" t="s">
        <v>1147</v>
      </c>
      <c r="AV319" s="1" t="s">
        <v>131</v>
      </c>
      <c r="AW319" s="1"/>
      <c r="AX319" s="1"/>
      <c r="AY319" s="1"/>
      <c r="AZ319" s="1"/>
      <c r="BA319" s="1" t="s">
        <v>551</v>
      </c>
      <c r="BB319" s="1" t="s">
        <v>0</v>
      </c>
      <c r="BC319" s="1"/>
      <c r="BD319" s="1"/>
    </row>
    <row r="320" ht="11.25" customHeight="1">
      <c r="A320" s="1" t="b">
        <v>1</v>
      </c>
      <c r="B320" s="1" t="s">
        <v>1332</v>
      </c>
      <c r="C320" s="1" t="s">
        <v>1333</v>
      </c>
      <c r="D320" s="1" t="s">
        <v>1109</v>
      </c>
      <c r="E320" s="1"/>
      <c r="F320" s="1"/>
      <c r="G320" s="1" t="s">
        <v>66</v>
      </c>
      <c r="H320" s="1"/>
      <c r="I320" s="1" t="s">
        <v>248</v>
      </c>
      <c r="J320" s="1" t="s">
        <v>69</v>
      </c>
      <c r="K320" s="1" t="s">
        <v>249</v>
      </c>
      <c r="L320" s="1" t="s">
        <v>0</v>
      </c>
      <c r="M320" s="1" t="b">
        <v>1</v>
      </c>
      <c r="N320" s="1" t="b">
        <v>0</v>
      </c>
      <c r="O320" s="19">
        <v>350.0</v>
      </c>
      <c r="P320" s="20">
        <v>2.08</v>
      </c>
      <c r="Q320" s="20">
        <v>168.27</v>
      </c>
      <c r="R320" s="21">
        <v>0.5241576038509539</v>
      </c>
      <c r="S320" s="1" t="s">
        <v>78</v>
      </c>
      <c r="T320" s="1" t="s">
        <v>0</v>
      </c>
      <c r="U320" s="1" t="s">
        <v>81</v>
      </c>
      <c r="V320" s="1" t="s">
        <v>81</v>
      </c>
      <c r="W320" s="1" t="s">
        <v>0</v>
      </c>
      <c r="X320" s="1" t="s">
        <v>0</v>
      </c>
      <c r="Y320" s="22" t="str">
        <f t="shared" si="3"/>
        <v>CO</v>
      </c>
      <c r="Z320" s="20" t="str">
        <f>_xlfn.XLOOKUP($B320,[1]F27!$C:$C,[1]F27!$BV:$BV)</f>
        <v>#ERROR!</v>
      </c>
      <c r="AA320" s="1"/>
      <c r="AB320" s="1"/>
      <c r="AC320" s="23"/>
      <c r="AD320" s="1" t="str">
        <f>_xlfn.XLOOKUP($B320,[1]F27!$C:$C,[1]F27!$Y:$Y)</f>
        <v>#ERROR!</v>
      </c>
      <c r="AE320" s="1" t="str">
        <f>_xlfn.XLOOKUP($B320,[1]F27!$C:$C,[1]F27!$Z:$Z)</f>
        <v>#ERROR!</v>
      </c>
      <c r="AF320" s="1" t="str">
        <f>_xlfn.XLOOKUP($B320,[2]PRICING!$B:$B,[2]PRICING!$B:$B,"MISSING")</f>
        <v>#ERROR!</v>
      </c>
      <c r="AG320" s="1" t="str">
        <f>COUNTIFS([2]ACTIVE_SCO!$B:$B,$B320,[2]ACTIVE_SCO!$P:$P,"Y")</f>
        <v>#ERROR!</v>
      </c>
      <c r="AH320" s="1"/>
      <c r="AI320" s="37" t="s">
        <v>157</v>
      </c>
      <c r="AJ320" s="38" t="s">
        <v>2096</v>
      </c>
      <c r="AK320" s="39" t="s">
        <v>366</v>
      </c>
      <c r="AL320" s="39" t="s">
        <v>0</v>
      </c>
      <c r="AM320" s="1" t="s">
        <v>125</v>
      </c>
      <c r="AN320" s="40" t="s">
        <v>127</v>
      </c>
      <c r="AO320" s="41" t="s">
        <v>776</v>
      </c>
      <c r="AP320" s="41" t="s">
        <v>777</v>
      </c>
      <c r="AQ320" s="40" t="s">
        <v>0</v>
      </c>
      <c r="AR320" s="39"/>
      <c r="AS320" s="1" t="s">
        <v>1120</v>
      </c>
      <c r="AT320" s="1" t="s">
        <v>1234</v>
      </c>
      <c r="AU320" s="1" t="s">
        <v>1181</v>
      </c>
      <c r="AV320" s="1" t="s">
        <v>131</v>
      </c>
      <c r="AW320" s="1"/>
      <c r="AX320" s="1"/>
      <c r="AY320" s="1"/>
      <c r="AZ320" s="1"/>
      <c r="BA320" s="1" t="s">
        <v>366</v>
      </c>
      <c r="BB320" s="1" t="s">
        <v>0</v>
      </c>
      <c r="BC320" s="1"/>
      <c r="BD320" s="1"/>
    </row>
    <row r="321" ht="11.25" customHeight="1">
      <c r="A321" s="1" t="b">
        <v>1</v>
      </c>
      <c r="B321" s="1" t="s">
        <v>1338</v>
      </c>
      <c r="C321" s="1" t="s">
        <v>1339</v>
      </c>
      <c r="D321" s="1" t="s">
        <v>1109</v>
      </c>
      <c r="E321" s="1"/>
      <c r="F321" s="1"/>
      <c r="G321" s="1" t="s">
        <v>66</v>
      </c>
      <c r="H321" s="1"/>
      <c r="I321" s="1" t="s">
        <v>248</v>
      </c>
      <c r="J321" s="1" t="s">
        <v>69</v>
      </c>
      <c r="K321" s="1" t="s">
        <v>249</v>
      </c>
      <c r="L321" s="1" t="s">
        <v>0</v>
      </c>
      <c r="M321" s="1" t="b">
        <v>1</v>
      </c>
      <c r="N321" s="1" t="b">
        <v>0</v>
      </c>
      <c r="O321" s="19">
        <v>450.0</v>
      </c>
      <c r="P321" s="20">
        <v>2.08</v>
      </c>
      <c r="Q321" s="20">
        <v>216.35</v>
      </c>
      <c r="R321" s="21">
        <v>0.5481395886295355</v>
      </c>
      <c r="S321" s="1" t="s">
        <v>78</v>
      </c>
      <c r="T321" s="1" t="s">
        <v>0</v>
      </c>
      <c r="U321" s="1" t="s">
        <v>81</v>
      </c>
      <c r="V321" s="1" t="s">
        <v>81</v>
      </c>
      <c r="W321" s="1" t="s">
        <v>0</v>
      </c>
      <c r="X321" s="1" t="s">
        <v>0</v>
      </c>
      <c r="Y321" s="22" t="str">
        <f t="shared" si="3"/>
        <v>CO</v>
      </c>
      <c r="Z321" s="20" t="str">
        <f>_xlfn.XLOOKUP($B321,[1]F27!$C:$C,[1]F27!$BV:$BV)</f>
        <v>#ERROR!</v>
      </c>
      <c r="AA321" s="1"/>
      <c r="AB321" s="1"/>
      <c r="AC321" s="23"/>
      <c r="AD321" s="1" t="str">
        <f>_xlfn.XLOOKUP($B321,[1]F27!$C:$C,[1]F27!$Y:$Y)</f>
        <v>#ERROR!</v>
      </c>
      <c r="AE321" s="1" t="str">
        <f>_xlfn.XLOOKUP($B321,[1]F27!$C:$C,[1]F27!$Z:$Z)</f>
        <v>#ERROR!</v>
      </c>
      <c r="AF321" s="1" t="str">
        <f>_xlfn.XLOOKUP($B321,[2]PRICING!$B:$B,[2]PRICING!$B:$B,"MISSING")</f>
        <v>#ERROR!</v>
      </c>
      <c r="AG321" s="1" t="str">
        <f>COUNTIFS([2]ACTIVE_SCO!$B:$B,$B321,[2]ACTIVE_SCO!$P:$P,"Y")</f>
        <v>#ERROR!</v>
      </c>
      <c r="AH321" s="1"/>
      <c r="AI321" s="37" t="s">
        <v>157</v>
      </c>
      <c r="AJ321" s="38" t="s">
        <v>2099</v>
      </c>
      <c r="AK321" s="39" t="s">
        <v>366</v>
      </c>
      <c r="AL321" s="39" t="s">
        <v>0</v>
      </c>
      <c r="AM321" s="1" t="s">
        <v>125</v>
      </c>
      <c r="AN321" s="40" t="s">
        <v>127</v>
      </c>
      <c r="AO321" s="41" t="s">
        <v>776</v>
      </c>
      <c r="AP321" s="41" t="s">
        <v>777</v>
      </c>
      <c r="AQ321" s="40" t="s">
        <v>0</v>
      </c>
      <c r="AR321" s="39"/>
      <c r="AS321" s="1" t="s">
        <v>1120</v>
      </c>
      <c r="AT321" s="1" t="s">
        <v>1234</v>
      </c>
      <c r="AU321" s="1" t="s">
        <v>1181</v>
      </c>
      <c r="AV321" s="1" t="s">
        <v>131</v>
      </c>
      <c r="AW321" s="1"/>
      <c r="AX321" s="1"/>
      <c r="AY321" s="1"/>
      <c r="AZ321" s="1"/>
      <c r="BA321" s="1" t="s">
        <v>366</v>
      </c>
      <c r="BB321" s="1" t="s">
        <v>0</v>
      </c>
      <c r="BC321" s="1"/>
      <c r="BD321" s="1"/>
    </row>
    <row r="322" ht="11.25" customHeight="1">
      <c r="A322" s="1" t="b">
        <v>1</v>
      </c>
      <c r="B322" s="1" t="s">
        <v>1357</v>
      </c>
      <c r="C322" s="1" t="s">
        <v>1358</v>
      </c>
      <c r="D322" s="1" t="s">
        <v>1109</v>
      </c>
      <c r="E322" s="1"/>
      <c r="F322" s="1"/>
      <c r="G322" s="1" t="s">
        <v>66</v>
      </c>
      <c r="H322" s="1"/>
      <c r="I322" s="1" t="s">
        <v>248</v>
      </c>
      <c r="J322" s="1" t="s">
        <v>69</v>
      </c>
      <c r="K322" s="1" t="s">
        <v>249</v>
      </c>
      <c r="L322" s="1" t="s">
        <v>0</v>
      </c>
      <c r="M322" s="1" t="b">
        <v>1</v>
      </c>
      <c r="N322" s="1" t="b">
        <v>0</v>
      </c>
      <c r="O322" s="19">
        <v>350.0</v>
      </c>
      <c r="P322" s="20">
        <v>2.08</v>
      </c>
      <c r="Q322" s="20">
        <v>168.27</v>
      </c>
      <c r="R322" s="21">
        <v>0.5749093718428716</v>
      </c>
      <c r="S322" s="1" t="s">
        <v>78</v>
      </c>
      <c r="T322" s="1" t="s">
        <v>0</v>
      </c>
      <c r="U322" s="1" t="s">
        <v>81</v>
      </c>
      <c r="V322" s="1" t="s">
        <v>81</v>
      </c>
      <c r="W322" s="1" t="s">
        <v>0</v>
      </c>
      <c r="X322" s="1" t="s">
        <v>0</v>
      </c>
      <c r="Y322" s="22" t="str">
        <f t="shared" si="3"/>
        <v>CO</v>
      </c>
      <c r="Z322" s="20" t="str">
        <f>_xlfn.XLOOKUP($B322,[1]F27!$C:$C,[1]F27!$BV:$BV)</f>
        <v>#ERROR!</v>
      </c>
      <c r="AA322" s="1"/>
      <c r="AB322" s="1"/>
      <c r="AC322" s="23"/>
      <c r="AD322" s="1" t="str">
        <f>_xlfn.XLOOKUP($B322,[1]F27!$C:$C,[1]F27!$Y:$Y)</f>
        <v>#ERROR!</v>
      </c>
      <c r="AE322" s="19" t="str">
        <f>_xlfn.XLOOKUP($B322,[1]F27!$C:$C,[1]F27!$Z:$Z)</f>
        <v>#ERROR!</v>
      </c>
      <c r="AF322" s="1" t="str">
        <f>_xlfn.XLOOKUP($B322,[2]PRICING!$B:$B,[2]PRICING!$B:$B,"MISSING")</f>
        <v>#ERROR!</v>
      </c>
      <c r="AG322" s="1" t="str">
        <f>COUNTIFS([2]ACTIVE_SCO!$B:$B,$B322,[2]ACTIVE_SCO!$P:$P,"Y")</f>
        <v>#ERROR!</v>
      </c>
      <c r="AH322" s="1"/>
      <c r="AI322" s="37" t="s">
        <v>157</v>
      </c>
      <c r="AJ322" s="38" t="s">
        <v>2101</v>
      </c>
      <c r="AK322" s="39" t="s">
        <v>366</v>
      </c>
      <c r="AL322" s="39" t="s">
        <v>0</v>
      </c>
      <c r="AM322" s="1" t="s">
        <v>125</v>
      </c>
      <c r="AN322" s="40" t="s">
        <v>174</v>
      </c>
      <c r="AO322" s="41" t="s">
        <v>776</v>
      </c>
      <c r="AP322" s="41" t="s">
        <v>777</v>
      </c>
      <c r="AQ322" s="40" t="s">
        <v>0</v>
      </c>
      <c r="AR322" s="39"/>
      <c r="AS322" s="1" t="s">
        <v>248</v>
      </c>
      <c r="AT322" s="1" t="s">
        <v>1146</v>
      </c>
      <c r="AU322" s="1" t="s">
        <v>1147</v>
      </c>
      <c r="AV322" s="1" t="s">
        <v>131</v>
      </c>
      <c r="AW322" s="1"/>
      <c r="AX322" s="1"/>
      <c r="AY322" s="1"/>
      <c r="AZ322" s="1"/>
      <c r="BA322" s="1" t="s">
        <v>366</v>
      </c>
      <c r="BB322" s="1" t="s">
        <v>0</v>
      </c>
      <c r="BC322" s="1"/>
      <c r="BD322" s="1"/>
    </row>
    <row r="323" ht="11.25" customHeight="1">
      <c r="A323" s="1" t="b">
        <v>1</v>
      </c>
      <c r="B323" s="1" t="s">
        <v>1377</v>
      </c>
      <c r="C323" s="1" t="s">
        <v>1378</v>
      </c>
      <c r="D323" s="1" t="s">
        <v>1109</v>
      </c>
      <c r="E323" s="1"/>
      <c r="F323" s="1"/>
      <c r="G323" s="1" t="s">
        <v>66</v>
      </c>
      <c r="H323" s="1"/>
      <c r="I323" s="1" t="s">
        <v>248</v>
      </c>
      <c r="J323" s="1" t="s">
        <v>69</v>
      </c>
      <c r="K323" s="1" t="s">
        <v>249</v>
      </c>
      <c r="L323" s="19" t="s">
        <v>0</v>
      </c>
      <c r="M323" s="1" t="b">
        <v>1</v>
      </c>
      <c r="N323" s="1" t="b">
        <v>0</v>
      </c>
      <c r="O323" s="19">
        <v>800.0</v>
      </c>
      <c r="P323" s="20">
        <v>2.08</v>
      </c>
      <c r="Q323" s="20">
        <v>384.62</v>
      </c>
      <c r="R323" s="21">
        <v>0.5957308512297853</v>
      </c>
      <c r="S323" s="1" t="s">
        <v>117</v>
      </c>
      <c r="T323" s="1" t="s">
        <v>0</v>
      </c>
      <c r="U323" s="1" t="s">
        <v>81</v>
      </c>
      <c r="V323" s="1" t="s">
        <v>81</v>
      </c>
      <c r="W323" s="1" t="s">
        <v>0</v>
      </c>
      <c r="X323" s="1" t="s">
        <v>0</v>
      </c>
      <c r="Y323" s="22" t="str">
        <f t="shared" si="3"/>
        <v>CO</v>
      </c>
      <c r="Z323" s="20" t="str">
        <f>_xlfn.XLOOKUP($B323,[1]F27!$C:$C,[1]F27!$BV:$BV)</f>
        <v>#ERROR!</v>
      </c>
      <c r="AA323" s="1"/>
      <c r="AB323" s="1"/>
      <c r="AC323" s="23"/>
      <c r="AD323" s="1" t="str">
        <f>_xlfn.XLOOKUP($B323,[1]F27!$C:$C,[1]F27!$Y:$Y)</f>
        <v>#ERROR!</v>
      </c>
      <c r="AE323" s="1" t="str">
        <f>_xlfn.XLOOKUP($B323,[1]F27!$C:$C,[1]F27!$Z:$Z)</f>
        <v>#ERROR!</v>
      </c>
      <c r="AF323" s="1" t="str">
        <f>_xlfn.XLOOKUP($B323,[2]PRICING!$B:$B,[2]PRICING!$B:$B,"MISSING")</f>
        <v>#ERROR!</v>
      </c>
      <c r="AG323" s="1" t="str">
        <f>COUNTIFS([2]ACTIVE_SCO!$B:$B,$B323,[2]ACTIVE_SCO!$P:$P,"Y")</f>
        <v>#ERROR!</v>
      </c>
      <c r="AH323" s="1"/>
      <c r="AI323" s="37" t="s">
        <v>157</v>
      </c>
      <c r="AJ323" s="38" t="s">
        <v>2103</v>
      </c>
      <c r="AK323" s="39" t="s">
        <v>204</v>
      </c>
      <c r="AL323" s="39" t="s">
        <v>0</v>
      </c>
      <c r="AM323" s="1" t="s">
        <v>125</v>
      </c>
      <c r="AN323" s="40" t="s">
        <v>174</v>
      </c>
      <c r="AO323" s="41" t="s">
        <v>86</v>
      </c>
      <c r="AP323" s="41" t="s">
        <v>169</v>
      </c>
      <c r="AQ323" s="40" t="s">
        <v>0</v>
      </c>
      <c r="AR323" s="39"/>
      <c r="AS323" s="1" t="s">
        <v>248</v>
      </c>
      <c r="AT323" s="1" t="s">
        <v>1146</v>
      </c>
      <c r="AU323" s="1" t="s">
        <v>1147</v>
      </c>
      <c r="AV323" s="1" t="s">
        <v>131</v>
      </c>
      <c r="AW323" s="1"/>
      <c r="AX323" s="1"/>
      <c r="AY323" s="1"/>
      <c r="AZ323" s="1"/>
      <c r="BA323" s="1" t="s">
        <v>204</v>
      </c>
      <c r="BB323" s="1" t="s">
        <v>0</v>
      </c>
      <c r="BC323" s="1"/>
      <c r="BD323" s="1"/>
    </row>
    <row r="324" ht="11.25" customHeight="1">
      <c r="A324" s="1" t="b">
        <v>1</v>
      </c>
      <c r="B324" s="1" t="s">
        <v>1117</v>
      </c>
      <c r="C324" s="1" t="s">
        <v>1118</v>
      </c>
      <c r="D324" s="1" t="s">
        <v>1109</v>
      </c>
      <c r="E324" s="1"/>
      <c r="F324" s="1"/>
      <c r="G324" s="1" t="s">
        <v>66</v>
      </c>
      <c r="H324" s="1"/>
      <c r="I324" s="1" t="s">
        <v>1119</v>
      </c>
      <c r="J324" s="1" t="s">
        <v>69</v>
      </c>
      <c r="K324" s="1" t="s">
        <v>249</v>
      </c>
      <c r="L324" s="1" t="s">
        <v>0</v>
      </c>
      <c r="M324" s="1" t="b">
        <v>1</v>
      </c>
      <c r="N324" s="1" t="b">
        <v>0</v>
      </c>
      <c r="O324" s="19">
        <v>1500.0</v>
      </c>
      <c r="P324" s="20">
        <v>2.08</v>
      </c>
      <c r="Q324" s="20">
        <v>721.15</v>
      </c>
      <c r="R324" s="21">
        <v>0.6401719475837204</v>
      </c>
      <c r="S324" s="1" t="s">
        <v>242</v>
      </c>
      <c r="T324" s="1" t="s">
        <v>0</v>
      </c>
      <c r="U324" s="1" t="s">
        <v>81</v>
      </c>
      <c r="V324" s="1" t="s">
        <v>81</v>
      </c>
      <c r="W324" s="1" t="s">
        <v>0</v>
      </c>
      <c r="X324" s="1" t="s">
        <v>0</v>
      </c>
      <c r="Y324" s="22" t="str">
        <f t="shared" si="3"/>
        <v>CO</v>
      </c>
      <c r="Z324" s="20" t="str">
        <f>_xlfn.XLOOKUP($B324,[1]F27!$C:$C,[1]F27!$BV:$BV)</f>
        <v>#ERROR!</v>
      </c>
      <c r="AA324" s="1"/>
      <c r="AB324" s="1"/>
      <c r="AC324" s="23"/>
      <c r="AD324" s="1" t="str">
        <f>_xlfn.XLOOKUP($B324,[1]F27!$C:$C,[1]F27!$Y:$Y)</f>
        <v>#ERROR!</v>
      </c>
      <c r="AE324" s="1" t="str">
        <f>_xlfn.XLOOKUP($B324,[1]F27!$C:$C,[1]F27!$Z:$Z)</f>
        <v>#ERROR!</v>
      </c>
      <c r="AF324" s="1" t="str">
        <f>_xlfn.XLOOKUP($B324,[2]PRICING!$B:$B,[2]PRICING!$B:$B,"MISSING")</f>
        <v>#ERROR!</v>
      </c>
      <c r="AG324" s="1" t="str">
        <f>COUNTIFS([2]ACTIVE_SCO!$B:$B,$B324,[2]ACTIVE_SCO!$P:$P,"Y")</f>
        <v>#ERROR!</v>
      </c>
      <c r="AH324" s="1"/>
      <c r="AI324" s="37" t="s">
        <v>157</v>
      </c>
      <c r="AJ324" s="23"/>
      <c r="AK324" s="39"/>
      <c r="AL324" s="39"/>
      <c r="AM324" s="1" t="s">
        <v>125</v>
      </c>
      <c r="AN324" s="40" t="s">
        <v>174</v>
      </c>
      <c r="AO324" s="41" t="s">
        <v>776</v>
      </c>
      <c r="AP324" s="41" t="s">
        <v>777</v>
      </c>
      <c r="AQ324" s="40" t="s">
        <v>0</v>
      </c>
      <c r="AR324" s="39"/>
      <c r="AS324" s="1" t="s">
        <v>1120</v>
      </c>
      <c r="AT324" s="1" t="s">
        <v>1121</v>
      </c>
      <c r="AU324" s="1"/>
      <c r="AV324" s="1" t="s">
        <v>131</v>
      </c>
      <c r="AW324" s="1"/>
      <c r="AX324" s="1"/>
      <c r="AY324" s="1"/>
      <c r="AZ324" s="1"/>
      <c r="BA324" s="1"/>
      <c r="BB324" s="1"/>
      <c r="BC324" s="1"/>
      <c r="BD324" s="1"/>
    </row>
    <row r="325" ht="11.25" customHeight="1">
      <c r="A325" s="1" t="b">
        <v>1</v>
      </c>
      <c r="B325" s="1" t="s">
        <v>1122</v>
      </c>
      <c r="C325" s="1" t="s">
        <v>1123</v>
      </c>
      <c r="D325" s="1" t="s">
        <v>1109</v>
      </c>
      <c r="E325" s="1"/>
      <c r="F325" s="1"/>
      <c r="G325" s="1" t="s">
        <v>66</v>
      </c>
      <c r="H325" s="1"/>
      <c r="I325" s="1" t="s">
        <v>1119</v>
      </c>
      <c r="J325" s="1" t="s">
        <v>69</v>
      </c>
      <c r="K325" s="1" t="s">
        <v>249</v>
      </c>
      <c r="L325" s="1" t="s">
        <v>0</v>
      </c>
      <c r="M325" s="1" t="b">
        <v>1</v>
      </c>
      <c r="N325" s="1" t="b">
        <v>0</v>
      </c>
      <c r="O325" s="19">
        <v>1300.0</v>
      </c>
      <c r="P325" s="20">
        <v>2.08</v>
      </c>
      <c r="Q325" s="20">
        <v>625.0</v>
      </c>
      <c r="R325" s="21">
        <v>0.512112</v>
      </c>
      <c r="S325" s="1" t="s">
        <v>78</v>
      </c>
      <c r="T325" s="1" t="s">
        <v>0</v>
      </c>
      <c r="U325" s="1" t="s">
        <v>81</v>
      </c>
      <c r="V325" s="1" t="s">
        <v>81</v>
      </c>
      <c r="W325" s="1" t="s">
        <v>0</v>
      </c>
      <c r="X325" s="1" t="s">
        <v>0</v>
      </c>
      <c r="Y325" s="22" t="str">
        <f t="shared" si="3"/>
        <v>CO</v>
      </c>
      <c r="Z325" s="20" t="str">
        <f>_xlfn.XLOOKUP($B325,[1]F27!$C:$C,[1]F27!$BV:$BV)</f>
        <v>#ERROR!</v>
      </c>
      <c r="AA325" s="1"/>
      <c r="AB325" s="1"/>
      <c r="AC325" s="23"/>
      <c r="AD325" s="1" t="str">
        <f>_xlfn.XLOOKUP($B325,[1]F27!$C:$C,[1]F27!$Y:$Y)</f>
        <v>#ERROR!</v>
      </c>
      <c r="AE325" s="1" t="str">
        <f>_xlfn.XLOOKUP($B325,[1]F27!$C:$C,[1]F27!$Z:$Z)</f>
        <v>#ERROR!</v>
      </c>
      <c r="AF325" s="1" t="str">
        <f>_xlfn.XLOOKUP($B325,[2]PRICING!$B:$B,[2]PRICING!$B:$B,"MISSING")</f>
        <v>#ERROR!</v>
      </c>
      <c r="AG325" s="1" t="str">
        <f>COUNTIFS([2]ACTIVE_SCO!$B:$B,$B325,[2]ACTIVE_SCO!$P:$P,"Y")</f>
        <v>#ERROR!</v>
      </c>
      <c r="AH325" s="1"/>
      <c r="AI325" s="37" t="s">
        <v>157</v>
      </c>
      <c r="AJ325" s="23"/>
      <c r="AK325" s="39"/>
      <c r="AL325" s="39"/>
      <c r="AM325" s="1" t="s">
        <v>125</v>
      </c>
      <c r="AN325" s="40" t="s">
        <v>174</v>
      </c>
      <c r="AO325" s="41" t="s">
        <v>776</v>
      </c>
      <c r="AP325" s="41" t="s">
        <v>777</v>
      </c>
      <c r="AQ325" s="40" t="s">
        <v>0</v>
      </c>
      <c r="AR325" s="39"/>
      <c r="AS325" s="1" t="s">
        <v>1120</v>
      </c>
      <c r="AT325" s="1" t="s">
        <v>1121</v>
      </c>
      <c r="AU325" s="1"/>
      <c r="AV325" s="1" t="s">
        <v>131</v>
      </c>
      <c r="AW325" s="1"/>
      <c r="AX325" s="1"/>
      <c r="AY325" s="1"/>
      <c r="AZ325" s="1"/>
      <c r="BA325" s="1"/>
      <c r="BB325" s="1"/>
      <c r="BC325" s="1"/>
      <c r="BD325" s="1"/>
    </row>
    <row r="326" ht="11.25" customHeight="1">
      <c r="A326" s="1" t="b">
        <v>1</v>
      </c>
      <c r="B326" s="1" t="s">
        <v>1124</v>
      </c>
      <c r="C326" s="1" t="s">
        <v>1125</v>
      </c>
      <c r="D326" s="1" t="s">
        <v>1109</v>
      </c>
      <c r="E326" s="1"/>
      <c r="F326" s="1"/>
      <c r="G326" s="1" t="s">
        <v>66</v>
      </c>
      <c r="H326" s="1"/>
      <c r="I326" s="1" t="s">
        <v>1119</v>
      </c>
      <c r="J326" s="1" t="s">
        <v>69</v>
      </c>
      <c r="K326" s="1" t="s">
        <v>249</v>
      </c>
      <c r="L326" s="1" t="s">
        <v>0</v>
      </c>
      <c r="M326" s="1" t="b">
        <v>1</v>
      </c>
      <c r="N326" s="1" t="b">
        <v>0</v>
      </c>
      <c r="O326" s="19">
        <v>1200.0</v>
      </c>
      <c r="P326" s="20">
        <v>2.08</v>
      </c>
      <c r="Q326" s="20">
        <v>576.92</v>
      </c>
      <c r="R326" s="21">
        <v>0.5711883796713582</v>
      </c>
      <c r="S326" s="1" t="s">
        <v>78</v>
      </c>
      <c r="T326" s="1" t="s">
        <v>0</v>
      </c>
      <c r="U326" s="1" t="s">
        <v>81</v>
      </c>
      <c r="V326" s="1" t="s">
        <v>81</v>
      </c>
      <c r="W326" s="1" t="s">
        <v>0</v>
      </c>
      <c r="X326" s="1" t="s">
        <v>0</v>
      </c>
      <c r="Y326" s="22" t="str">
        <f t="shared" si="3"/>
        <v>CO</v>
      </c>
      <c r="Z326" s="20" t="str">
        <f>_xlfn.XLOOKUP($B326,[1]F27!$C:$C,[1]F27!$BV:$BV)</f>
        <v>#ERROR!</v>
      </c>
      <c r="AA326" s="1"/>
      <c r="AB326" s="1"/>
      <c r="AC326" s="23"/>
      <c r="AD326" s="1" t="str">
        <f>_xlfn.XLOOKUP($B326,[1]F27!$C:$C,[1]F27!$Y:$Y)</f>
        <v>#ERROR!</v>
      </c>
      <c r="AE326" s="1" t="str">
        <f>_xlfn.XLOOKUP($B326,[1]F27!$C:$C,[1]F27!$Z:$Z)</f>
        <v>#ERROR!</v>
      </c>
      <c r="AF326" s="1" t="str">
        <f>_xlfn.XLOOKUP($B326,[2]PRICING!$B:$B,[2]PRICING!$B:$B,"MISSING")</f>
        <v>#ERROR!</v>
      </c>
      <c r="AG326" s="1" t="str">
        <f>COUNTIFS([2]ACTIVE_SCO!$B:$B,$B326,[2]ACTIVE_SCO!$P:$P,"Y")</f>
        <v>#ERROR!</v>
      </c>
      <c r="AH326" s="1"/>
      <c r="AI326" s="37" t="s">
        <v>157</v>
      </c>
      <c r="AJ326" s="23"/>
      <c r="AK326" s="39"/>
      <c r="AL326" s="39"/>
      <c r="AM326" s="1" t="s">
        <v>125</v>
      </c>
      <c r="AN326" s="40" t="s">
        <v>174</v>
      </c>
      <c r="AO326" s="41" t="s">
        <v>776</v>
      </c>
      <c r="AP326" s="41" t="s">
        <v>777</v>
      </c>
      <c r="AQ326" s="40" t="s">
        <v>0</v>
      </c>
      <c r="AR326" s="39"/>
      <c r="AS326" s="1" t="s">
        <v>1120</v>
      </c>
      <c r="AT326" s="1" t="s">
        <v>1121</v>
      </c>
      <c r="AU326" s="1"/>
      <c r="AV326" s="1" t="s">
        <v>131</v>
      </c>
      <c r="AW326" s="1"/>
      <c r="AX326" s="1"/>
      <c r="AY326" s="1"/>
      <c r="AZ326" s="1"/>
      <c r="BA326" s="1"/>
      <c r="BB326" s="1"/>
      <c r="BC326" s="1"/>
      <c r="BD326" s="1"/>
    </row>
    <row r="327" ht="11.25" customHeight="1">
      <c r="A327" s="1" t="b">
        <v>1</v>
      </c>
      <c r="B327" s="1" t="s">
        <v>1718</v>
      </c>
      <c r="C327" s="1" t="s">
        <v>1153</v>
      </c>
      <c r="D327" s="1" t="s">
        <v>1109</v>
      </c>
      <c r="E327" s="1"/>
      <c r="F327" s="1"/>
      <c r="G327" s="1" t="s">
        <v>66</v>
      </c>
      <c r="H327" s="1"/>
      <c r="I327" s="1" t="s">
        <v>1119</v>
      </c>
      <c r="J327" s="1" t="s">
        <v>69</v>
      </c>
      <c r="K327" s="1" t="s">
        <v>249</v>
      </c>
      <c r="L327" s="1" t="s">
        <v>0</v>
      </c>
      <c r="M327" s="1" t="b">
        <v>0</v>
      </c>
      <c r="N327" s="1" t="b">
        <v>1</v>
      </c>
      <c r="O327" s="19">
        <v>1500.0</v>
      </c>
      <c r="P327" s="20">
        <v>2.08</v>
      </c>
      <c r="Q327" s="20">
        <v>721.15</v>
      </c>
      <c r="R327" s="21">
        <v>0.6858489911946197</v>
      </c>
      <c r="S327" s="1" t="s">
        <v>117</v>
      </c>
      <c r="T327" s="1" t="s">
        <v>0</v>
      </c>
      <c r="U327" s="1" t="s">
        <v>81</v>
      </c>
      <c r="V327" s="1" t="s">
        <v>81</v>
      </c>
      <c r="W327" s="1" t="s">
        <v>0</v>
      </c>
      <c r="X327" s="1" t="s">
        <v>0</v>
      </c>
      <c r="Y327" s="22" t="str">
        <f t="shared" si="3"/>
        <v>UPDATE</v>
      </c>
      <c r="Z327" s="20" t="str">
        <f>_xlfn.XLOOKUP($B327,[1]F27!$C:$C,[1]F27!$BV:$BV)</f>
        <v>#ERROR!</v>
      </c>
      <c r="AA327" s="1"/>
      <c r="AB327" s="1"/>
      <c r="AC327" s="23"/>
      <c r="AD327" s="1" t="str">
        <f>_xlfn.XLOOKUP($B327,[1]F27!$C:$C,[1]F27!$Y:$Y)</f>
        <v>#ERROR!</v>
      </c>
      <c r="AE327" s="1" t="str">
        <f>_xlfn.XLOOKUP($B327,[1]F27!$C:$C,[1]F27!$Z:$Z)</f>
        <v>#ERROR!</v>
      </c>
      <c r="AF327" s="1" t="str">
        <f>_xlfn.XLOOKUP($B327,[2]PRICING!$B:$B,[2]PRICING!$B:$B,"MISSING")</f>
        <v>#ERROR!</v>
      </c>
      <c r="AG327" s="1" t="str">
        <f>COUNTIFS([2]ACTIVE_SCO!$B:$B,$B327,[2]ACTIVE_SCO!$P:$P,"Y")</f>
        <v>#ERROR!</v>
      </c>
      <c r="AH327" s="1"/>
      <c r="AI327" s="37" t="s">
        <v>157</v>
      </c>
      <c r="AJ327" s="23"/>
      <c r="AK327" s="39"/>
      <c r="AL327" s="39"/>
      <c r="AM327" s="1" t="s">
        <v>125</v>
      </c>
      <c r="AN327" s="40" t="s">
        <v>174</v>
      </c>
      <c r="AO327" s="41" t="s">
        <v>776</v>
      </c>
      <c r="AP327" s="41" t="s">
        <v>777</v>
      </c>
      <c r="AQ327" s="40" t="s">
        <v>0</v>
      </c>
      <c r="AR327" s="39"/>
      <c r="AS327" s="1" t="s">
        <v>1120</v>
      </c>
      <c r="AT327" s="1" t="s">
        <v>1121</v>
      </c>
      <c r="AU327" s="1" t="s">
        <v>1155</v>
      </c>
      <c r="AV327" s="1" t="s">
        <v>131</v>
      </c>
      <c r="AW327" s="1"/>
      <c r="AX327" s="1"/>
      <c r="AY327" s="1"/>
      <c r="AZ327" s="1"/>
      <c r="BA327" s="1"/>
      <c r="BB327" s="1"/>
      <c r="BC327" s="1"/>
      <c r="BD327" s="1"/>
    </row>
    <row r="328" ht="11.25" customHeight="1">
      <c r="A328" s="1" t="b">
        <v>1</v>
      </c>
      <c r="B328" s="1" t="s">
        <v>1719</v>
      </c>
      <c r="C328" s="1" t="s">
        <v>1157</v>
      </c>
      <c r="D328" s="1" t="s">
        <v>1109</v>
      </c>
      <c r="E328" s="1"/>
      <c r="F328" s="1"/>
      <c r="G328" s="1" t="s">
        <v>66</v>
      </c>
      <c r="H328" s="1"/>
      <c r="I328" s="1" t="s">
        <v>1119</v>
      </c>
      <c r="J328" s="1" t="s">
        <v>69</v>
      </c>
      <c r="K328" s="1" t="s">
        <v>249</v>
      </c>
      <c r="L328" s="1" t="s">
        <v>0</v>
      </c>
      <c r="M328" s="1" t="b">
        <v>0</v>
      </c>
      <c r="N328" s="1" t="b">
        <v>1</v>
      </c>
      <c r="O328" s="19">
        <v>1600.0</v>
      </c>
      <c r="P328" s="20">
        <v>2.08</v>
      </c>
      <c r="Q328" s="20">
        <v>769.23</v>
      </c>
      <c r="R328" s="21">
        <v>0.6720746720746721</v>
      </c>
      <c r="S328" s="1" t="s">
        <v>117</v>
      </c>
      <c r="T328" s="1" t="s">
        <v>0</v>
      </c>
      <c r="U328" s="1" t="s">
        <v>81</v>
      </c>
      <c r="V328" s="1" t="s">
        <v>81</v>
      </c>
      <c r="W328" s="1" t="s">
        <v>0</v>
      </c>
      <c r="X328" s="1" t="s">
        <v>0</v>
      </c>
      <c r="Y328" s="22" t="str">
        <f t="shared" si="3"/>
        <v>UPDATE</v>
      </c>
      <c r="Z328" s="20" t="str">
        <f>_xlfn.XLOOKUP($B328,[1]F27!$C:$C,[1]F27!$BV:$BV)</f>
        <v>#ERROR!</v>
      </c>
      <c r="AA328" s="1"/>
      <c r="AB328" s="1"/>
      <c r="AC328" s="23"/>
      <c r="AD328" s="1" t="str">
        <f>_xlfn.XLOOKUP($B328,[1]F27!$C:$C,[1]F27!$Y:$Y)</f>
        <v>#ERROR!</v>
      </c>
      <c r="AE328" s="1" t="str">
        <f>_xlfn.XLOOKUP($B328,[1]F27!$C:$C,[1]F27!$Z:$Z)</f>
        <v>#ERROR!</v>
      </c>
      <c r="AF328" s="1" t="str">
        <f>_xlfn.XLOOKUP($B328,[2]PRICING!$B:$B,[2]PRICING!$B:$B,"MISSING")</f>
        <v>#ERROR!</v>
      </c>
      <c r="AG328" s="1" t="str">
        <f>COUNTIFS([2]ACTIVE_SCO!$B:$B,$B328,[2]ACTIVE_SCO!$P:$P,"Y")</f>
        <v>#ERROR!</v>
      </c>
      <c r="AH328" s="1"/>
      <c r="AI328" s="37" t="s">
        <v>157</v>
      </c>
      <c r="AJ328" s="23"/>
      <c r="AK328" s="39"/>
      <c r="AL328" s="39"/>
      <c r="AM328" s="1" t="s">
        <v>125</v>
      </c>
      <c r="AN328" s="40" t="s">
        <v>174</v>
      </c>
      <c r="AO328" s="41" t="s">
        <v>776</v>
      </c>
      <c r="AP328" s="41" t="s">
        <v>777</v>
      </c>
      <c r="AQ328" s="40" t="s">
        <v>0</v>
      </c>
      <c r="AR328" s="39"/>
      <c r="AS328" s="1" t="s">
        <v>1120</v>
      </c>
      <c r="AT328" s="1" t="s">
        <v>1121</v>
      </c>
      <c r="AU328" s="1" t="s">
        <v>1155</v>
      </c>
      <c r="AV328" s="1" t="s">
        <v>131</v>
      </c>
      <c r="AW328" s="1"/>
      <c r="AX328" s="1"/>
      <c r="AY328" s="1"/>
      <c r="AZ328" s="1"/>
      <c r="BA328" s="1"/>
      <c r="BB328" s="1"/>
      <c r="BC328" s="1"/>
      <c r="BD328" s="1"/>
    </row>
    <row r="329" ht="11.25" customHeight="1">
      <c r="A329" s="1" t="b">
        <v>1</v>
      </c>
      <c r="B329" s="1" t="s">
        <v>1171</v>
      </c>
      <c r="C329" s="1" t="s">
        <v>1172</v>
      </c>
      <c r="D329" s="1" t="s">
        <v>1109</v>
      </c>
      <c r="E329" s="1"/>
      <c r="F329" s="1"/>
      <c r="G329" s="1" t="s">
        <v>109</v>
      </c>
      <c r="H329" s="1"/>
      <c r="I329" s="1" t="s">
        <v>1162</v>
      </c>
      <c r="J329" s="1" t="s">
        <v>69</v>
      </c>
      <c r="K329" s="1" t="s">
        <v>249</v>
      </c>
      <c r="L329" s="1" t="s">
        <v>0</v>
      </c>
      <c r="M329" s="1" t="b">
        <v>1</v>
      </c>
      <c r="N329" s="1" t="b">
        <v>0</v>
      </c>
      <c r="O329" s="19">
        <v>1700.0</v>
      </c>
      <c r="P329" s="20">
        <v>2.08</v>
      </c>
      <c r="Q329" s="20">
        <v>817.31</v>
      </c>
      <c r="R329" s="21">
        <v>0.5443222277960627</v>
      </c>
      <c r="S329" s="1" t="s">
        <v>117</v>
      </c>
      <c r="T329" s="1" t="s">
        <v>0</v>
      </c>
      <c r="U329" s="1" t="s">
        <v>81</v>
      </c>
      <c r="V329" s="1" t="s">
        <v>81</v>
      </c>
      <c r="W329" s="1" t="s">
        <v>0</v>
      </c>
      <c r="X329" s="1" t="s">
        <v>0</v>
      </c>
      <c r="Y329" s="22" t="str">
        <f t="shared" si="3"/>
        <v>CO</v>
      </c>
      <c r="Z329" s="20" t="str">
        <f>_xlfn.XLOOKUP($B329,[1]F27!$C:$C,[1]F27!$BV:$BV)</f>
        <v>#ERROR!</v>
      </c>
      <c r="AA329" s="1"/>
      <c r="AB329" s="1"/>
      <c r="AC329" s="23"/>
      <c r="AD329" s="1" t="str">
        <f>_xlfn.XLOOKUP($B329,[1]F27!$C:$C,[1]F27!$Y:$Y)</f>
        <v>#ERROR!</v>
      </c>
      <c r="AE329" s="1" t="str">
        <f>_xlfn.XLOOKUP($B329,[1]F27!$C:$C,[1]F27!$Z:$Z)</f>
        <v>#ERROR!</v>
      </c>
      <c r="AF329" s="1" t="str">
        <f>_xlfn.XLOOKUP($B329,[2]PRICING!$B:$B,[2]PRICING!$B:$B,"MISSING")</f>
        <v>#ERROR!</v>
      </c>
      <c r="AG329" s="1" t="str">
        <f>COUNTIFS([2]ACTIVE_SCO!$B:$B,$B329,[2]ACTIVE_SCO!$P:$P,"Y")</f>
        <v>#ERROR!</v>
      </c>
      <c r="AH329" s="1"/>
      <c r="AI329" s="37" t="s">
        <v>157</v>
      </c>
      <c r="AJ329" s="67" t="s">
        <v>2106</v>
      </c>
      <c r="AK329" s="39"/>
      <c r="AL329" s="39"/>
      <c r="AM329" s="1" t="s">
        <v>86</v>
      </c>
      <c r="AN329" s="40" t="s">
        <v>512</v>
      </c>
      <c r="AO329" s="41" t="s">
        <v>86</v>
      </c>
      <c r="AP329" s="41" t="s">
        <v>169</v>
      </c>
      <c r="AQ329" s="40" t="s">
        <v>0</v>
      </c>
      <c r="AR329" s="39"/>
      <c r="AS329" s="1" t="s">
        <v>1120</v>
      </c>
      <c r="AT329" s="1" t="s">
        <v>1131</v>
      </c>
      <c r="AU329" s="1" t="s">
        <v>1155</v>
      </c>
      <c r="AV329" s="1" t="s">
        <v>131</v>
      </c>
      <c r="AW329" s="1"/>
      <c r="AX329" s="1"/>
      <c r="AY329" s="1"/>
      <c r="AZ329" s="1"/>
      <c r="BA329" s="1"/>
      <c r="BB329" s="1"/>
      <c r="BC329" s="1"/>
      <c r="BD329" s="1"/>
    </row>
    <row r="330" ht="11.25" customHeight="1">
      <c r="A330" s="1" t="b">
        <v>1</v>
      </c>
      <c r="B330" s="1" t="s">
        <v>1177</v>
      </c>
      <c r="C330" s="1" t="s">
        <v>1178</v>
      </c>
      <c r="D330" s="1" t="s">
        <v>1109</v>
      </c>
      <c r="E330" s="1"/>
      <c r="F330" s="1"/>
      <c r="G330" s="1" t="s">
        <v>109</v>
      </c>
      <c r="H330" s="1"/>
      <c r="I330" s="1" t="s">
        <v>1162</v>
      </c>
      <c r="J330" s="1" t="s">
        <v>69</v>
      </c>
      <c r="K330" s="1" t="s">
        <v>249</v>
      </c>
      <c r="L330" s="1" t="s">
        <v>0</v>
      </c>
      <c r="M330" s="1" t="b">
        <v>1</v>
      </c>
      <c r="N330" s="1" t="b">
        <v>0</v>
      </c>
      <c r="O330" s="19">
        <v>1300.0</v>
      </c>
      <c r="P330" s="20">
        <v>2.08</v>
      </c>
      <c r="Q330" s="20">
        <v>625.0</v>
      </c>
      <c r="R330" s="21">
        <v>0.58448</v>
      </c>
      <c r="S330" s="1" t="s">
        <v>117</v>
      </c>
      <c r="T330" s="1" t="s">
        <v>0</v>
      </c>
      <c r="U330" s="1" t="s">
        <v>81</v>
      </c>
      <c r="V330" s="1" t="s">
        <v>81</v>
      </c>
      <c r="W330" s="1" t="s">
        <v>0</v>
      </c>
      <c r="X330" s="1" t="s">
        <v>0</v>
      </c>
      <c r="Y330" s="22" t="str">
        <f t="shared" si="3"/>
        <v>CO</v>
      </c>
      <c r="Z330" s="20" t="str">
        <f>_xlfn.XLOOKUP($B330,[1]F27!$C:$C,[1]F27!$BV:$BV)</f>
        <v>#ERROR!</v>
      </c>
      <c r="AA330" s="1"/>
      <c r="AB330" s="1"/>
      <c r="AC330" s="23"/>
      <c r="AD330" s="1" t="str">
        <f>_xlfn.XLOOKUP($B330,[1]F27!$C:$C,[1]F27!$Y:$Y)</f>
        <v>#ERROR!</v>
      </c>
      <c r="AE330" s="1" t="str">
        <f>_xlfn.XLOOKUP($B330,[1]F27!$C:$C,[1]F27!$Z:$Z)</f>
        <v>#ERROR!</v>
      </c>
      <c r="AF330" s="1" t="str">
        <f>_xlfn.XLOOKUP($B330,[2]PRICING!$B:$B,[2]PRICING!$B:$B,"MISSING")</f>
        <v>#ERROR!</v>
      </c>
      <c r="AG330" s="1" t="str">
        <f>COUNTIFS([2]ACTIVE_SCO!$B:$B,$B330,[2]ACTIVE_SCO!$P:$P,"Y")</f>
        <v>#ERROR!</v>
      </c>
      <c r="AH330" s="1"/>
      <c r="AI330" s="37" t="s">
        <v>157</v>
      </c>
      <c r="AJ330" s="67" t="s">
        <v>2107</v>
      </c>
      <c r="AK330" s="39"/>
      <c r="AL330" s="39"/>
      <c r="AM330" s="1" t="s">
        <v>86</v>
      </c>
      <c r="AN330" s="40" t="s">
        <v>512</v>
      </c>
      <c r="AO330" s="41" t="s">
        <v>86</v>
      </c>
      <c r="AP330" s="41" t="s">
        <v>169</v>
      </c>
      <c r="AQ330" s="40" t="s">
        <v>0</v>
      </c>
      <c r="AR330" s="39"/>
      <c r="AS330" s="1" t="s">
        <v>1120</v>
      </c>
      <c r="AT330" s="1" t="s">
        <v>1131</v>
      </c>
      <c r="AU330" s="1" t="s">
        <v>1181</v>
      </c>
      <c r="AV330" s="1" t="s">
        <v>131</v>
      </c>
      <c r="AW330" s="1"/>
      <c r="AX330" s="1"/>
      <c r="AY330" s="1"/>
      <c r="AZ330" s="1"/>
      <c r="BA330" s="1"/>
      <c r="BB330" s="1"/>
      <c r="BC330" s="1"/>
      <c r="BD330" s="1"/>
    </row>
    <row r="331" ht="11.25" customHeight="1">
      <c r="A331" s="1" t="b">
        <v>1</v>
      </c>
      <c r="B331" s="1" t="s">
        <v>1722</v>
      </c>
      <c r="C331" s="1" t="s">
        <v>1723</v>
      </c>
      <c r="D331" s="1" t="s">
        <v>1109</v>
      </c>
      <c r="E331" s="1"/>
      <c r="F331" s="1"/>
      <c r="G331" s="1" t="s">
        <v>220</v>
      </c>
      <c r="H331" s="1"/>
      <c r="I331" s="1" t="s">
        <v>1212</v>
      </c>
      <c r="J331" s="1" t="s">
        <v>69</v>
      </c>
      <c r="K331" s="1" t="s">
        <v>249</v>
      </c>
      <c r="L331" s="1" t="s">
        <v>0</v>
      </c>
      <c r="M331" s="1" t="b">
        <v>0</v>
      </c>
      <c r="N331" s="1" t="b">
        <v>1</v>
      </c>
      <c r="O331" s="19">
        <v>1600.0</v>
      </c>
      <c r="P331" s="20">
        <v>2.08</v>
      </c>
      <c r="Q331" s="20">
        <v>769.23</v>
      </c>
      <c r="R331" s="21">
        <v>0.5936715936715937</v>
      </c>
      <c r="S331" s="1" t="s">
        <v>117</v>
      </c>
      <c r="T331" s="1" t="s">
        <v>0</v>
      </c>
      <c r="U331" s="1" t="s">
        <v>81</v>
      </c>
      <c r="V331" s="1" t="s">
        <v>81</v>
      </c>
      <c r="W331" s="1" t="s">
        <v>0</v>
      </c>
      <c r="X331" s="1" t="s">
        <v>0</v>
      </c>
      <c r="Y331" s="22" t="str">
        <f t="shared" si="3"/>
        <v>UPDATE</v>
      </c>
      <c r="Z331" s="20" t="str">
        <f>_xlfn.XLOOKUP($B331,[1]F27!$C:$C,[1]F27!$BV:$BV)</f>
        <v>#ERROR!</v>
      </c>
      <c r="AA331" s="1"/>
      <c r="AB331" s="1"/>
      <c r="AC331" s="23"/>
      <c r="AD331" s="1" t="str">
        <f>_xlfn.XLOOKUP($B331,[1]F27!$C:$C,[1]F27!$Y:$Y)</f>
        <v>#ERROR!</v>
      </c>
      <c r="AE331" s="1" t="str">
        <f>_xlfn.XLOOKUP($B331,[1]F27!$C:$C,[1]F27!$Z:$Z)</f>
        <v>#ERROR!</v>
      </c>
      <c r="AF331" s="1" t="str">
        <f>_xlfn.XLOOKUP($B331,[2]PRICING!$B:$B,[2]PRICING!$B:$B,"MISSING")</f>
        <v>#ERROR!</v>
      </c>
      <c r="AG331" s="1" t="str">
        <f>COUNTIFS([2]ACTIVE_SCO!$B:$B,$B331,[2]ACTIVE_SCO!$P:$P,"Y")</f>
        <v>#ERROR!</v>
      </c>
      <c r="AH331" s="1"/>
      <c r="AI331" s="37" t="s">
        <v>157</v>
      </c>
      <c r="AJ331" s="85"/>
      <c r="AK331" s="39"/>
      <c r="AL331" s="39"/>
      <c r="AM331" s="1" t="s">
        <v>226</v>
      </c>
      <c r="AN331" s="40" t="s">
        <v>227</v>
      </c>
      <c r="AO331" s="41" t="s">
        <v>226</v>
      </c>
      <c r="AP331" s="41" t="s">
        <v>227</v>
      </c>
      <c r="AQ331" s="40" t="s">
        <v>0</v>
      </c>
      <c r="AR331" s="39"/>
      <c r="AS331" s="1" t="s">
        <v>1120</v>
      </c>
      <c r="AT331" s="1" t="s">
        <v>1121</v>
      </c>
      <c r="AU331" s="1" t="s">
        <v>1155</v>
      </c>
      <c r="AV331" s="1" t="s">
        <v>131</v>
      </c>
      <c r="AW331" s="1"/>
      <c r="AX331" s="1"/>
      <c r="AY331" s="1"/>
      <c r="AZ331" s="1"/>
      <c r="BA331" s="1"/>
      <c r="BB331" s="1"/>
      <c r="BC331" s="1"/>
      <c r="BD331" s="1"/>
    </row>
    <row r="332" ht="11.25" customHeight="1">
      <c r="A332" s="1" t="b">
        <v>1</v>
      </c>
      <c r="B332" s="1" t="s">
        <v>1210</v>
      </c>
      <c r="C332" s="1" t="s">
        <v>1211</v>
      </c>
      <c r="D332" s="1" t="s">
        <v>1109</v>
      </c>
      <c r="E332" s="1"/>
      <c r="F332" s="1"/>
      <c r="G332" s="1" t="s">
        <v>66</v>
      </c>
      <c r="H332" s="1"/>
      <c r="I332" s="1" t="s">
        <v>1162</v>
      </c>
      <c r="J332" s="1" t="s">
        <v>69</v>
      </c>
      <c r="K332" s="1" t="s">
        <v>249</v>
      </c>
      <c r="L332" s="1" t="s">
        <v>0</v>
      </c>
      <c r="M332" s="1" t="b">
        <v>1</v>
      </c>
      <c r="N332" s="1" t="b">
        <v>0</v>
      </c>
      <c r="O332" s="19">
        <v>2800.0</v>
      </c>
      <c r="P332" s="20">
        <v>2.08</v>
      </c>
      <c r="Q332" s="20">
        <v>1346.15</v>
      </c>
      <c r="R332" s="21">
        <v>0.5655833302380864</v>
      </c>
      <c r="S332" s="1" t="s">
        <v>242</v>
      </c>
      <c r="T332" s="1" t="s">
        <v>0</v>
      </c>
      <c r="U332" s="1" t="s">
        <v>81</v>
      </c>
      <c r="V332" s="1" t="s">
        <v>81</v>
      </c>
      <c r="W332" s="1" t="s">
        <v>0</v>
      </c>
      <c r="X332" s="1" t="s">
        <v>0</v>
      </c>
      <c r="Y332" s="22" t="str">
        <f t="shared" si="3"/>
        <v>CO</v>
      </c>
      <c r="Z332" s="20" t="str">
        <f>_xlfn.XLOOKUP($B332,[1]F27!$C:$C,[1]F27!$BV:$BV)</f>
        <v>#ERROR!</v>
      </c>
      <c r="AA332" s="1"/>
      <c r="AB332" s="1"/>
      <c r="AC332" s="23"/>
      <c r="AD332" s="1" t="str">
        <f>_xlfn.XLOOKUP($B332,[1]F27!$C:$C,[1]F27!$Y:$Y)</f>
        <v>#ERROR!</v>
      </c>
      <c r="AE332" s="1" t="str">
        <f>_xlfn.XLOOKUP($B332,[1]F27!$C:$C,[1]F27!$Z:$Z)</f>
        <v>#ERROR!</v>
      </c>
      <c r="AF332" s="1" t="str">
        <f>_xlfn.XLOOKUP($B332,[2]PRICING!$B:$B,[2]PRICING!$B:$B,"MISSING")</f>
        <v>#ERROR!</v>
      </c>
      <c r="AG332" s="1" t="str">
        <f>COUNTIFS([2]ACTIVE_SCO!$B:$B,$B332,[2]ACTIVE_SCO!$P:$P,"Y")</f>
        <v>#ERROR!</v>
      </c>
      <c r="AH332" s="1"/>
      <c r="AI332" s="37" t="s">
        <v>157</v>
      </c>
      <c r="AJ332" s="23"/>
      <c r="AK332" s="39"/>
      <c r="AL332" s="39"/>
      <c r="AM332" s="1" t="s">
        <v>125</v>
      </c>
      <c r="AN332" s="40" t="s">
        <v>174</v>
      </c>
      <c r="AO332" s="41" t="s">
        <v>86</v>
      </c>
      <c r="AP332" s="41" t="s">
        <v>169</v>
      </c>
      <c r="AQ332" s="40" t="s">
        <v>0</v>
      </c>
      <c r="AR332" s="39"/>
      <c r="AS332" s="1" t="s">
        <v>1120</v>
      </c>
      <c r="AT332" s="1" t="s">
        <v>1212</v>
      </c>
      <c r="AU332" s="1" t="s">
        <v>1139</v>
      </c>
      <c r="AV332" s="1" t="s">
        <v>131</v>
      </c>
      <c r="AW332" s="1"/>
      <c r="AX332" s="1"/>
      <c r="AY332" s="1"/>
      <c r="AZ332" s="1"/>
      <c r="BA332" s="1"/>
      <c r="BB332" s="1"/>
      <c r="BC332" s="1"/>
      <c r="BD332" s="1"/>
    </row>
    <row r="333" ht="11.25" customHeight="1">
      <c r="A333" s="1" t="b">
        <v>1</v>
      </c>
      <c r="B333" s="1" t="s">
        <v>1213</v>
      </c>
      <c r="C333" s="1" t="s">
        <v>1214</v>
      </c>
      <c r="D333" s="1" t="s">
        <v>1109</v>
      </c>
      <c r="E333" s="1"/>
      <c r="F333" s="1"/>
      <c r="G333" s="1" t="s">
        <v>66</v>
      </c>
      <c r="H333" s="1"/>
      <c r="I333" s="1" t="s">
        <v>1162</v>
      </c>
      <c r="J333" s="1" t="s">
        <v>69</v>
      </c>
      <c r="K333" s="1" t="s">
        <v>249</v>
      </c>
      <c r="L333" s="1" t="s">
        <v>0</v>
      </c>
      <c r="M333" s="1" t="b">
        <v>1</v>
      </c>
      <c r="N333" s="1" t="b">
        <v>0</v>
      </c>
      <c r="O333" s="19">
        <v>1700.0</v>
      </c>
      <c r="P333" s="20">
        <v>2.08</v>
      </c>
      <c r="Q333" s="20">
        <v>817.31</v>
      </c>
      <c r="R333" s="21">
        <v>0.617207669060699</v>
      </c>
      <c r="S333" s="1" t="s">
        <v>117</v>
      </c>
      <c r="T333" s="1" t="s">
        <v>0</v>
      </c>
      <c r="U333" s="1" t="s">
        <v>81</v>
      </c>
      <c r="V333" s="1" t="s">
        <v>81</v>
      </c>
      <c r="W333" s="1" t="s">
        <v>0</v>
      </c>
      <c r="X333" s="1" t="s">
        <v>0</v>
      </c>
      <c r="Y333" s="22" t="str">
        <f t="shared" si="3"/>
        <v>CO</v>
      </c>
      <c r="Z333" s="20" t="str">
        <f>_xlfn.XLOOKUP($B333,[1]F27!$C:$C,[1]F27!$BV:$BV)</f>
        <v>#ERROR!</v>
      </c>
      <c r="AA333" s="1"/>
      <c r="AB333" s="1"/>
      <c r="AC333" s="23"/>
      <c r="AD333" s="1" t="str">
        <f>_xlfn.XLOOKUP($B333,[1]F27!$C:$C,[1]F27!$Y:$Y)</f>
        <v>#ERROR!</v>
      </c>
      <c r="AE333" s="1" t="str">
        <f>_xlfn.XLOOKUP($B333,[1]F27!$C:$C,[1]F27!$Z:$Z)</f>
        <v>#ERROR!</v>
      </c>
      <c r="AF333" s="1" t="str">
        <f>_xlfn.XLOOKUP($B333,[2]PRICING!$B:$B,[2]PRICING!$B:$B,"MISSING")</f>
        <v>#ERROR!</v>
      </c>
      <c r="AG333" s="1" t="str">
        <f>COUNTIFS([2]ACTIVE_SCO!$B:$B,$B333,[2]ACTIVE_SCO!$P:$P,"Y")</f>
        <v>#ERROR!</v>
      </c>
      <c r="AH333" s="1"/>
      <c r="AI333" s="37" t="s">
        <v>157</v>
      </c>
      <c r="AJ333" s="23"/>
      <c r="AK333" s="39"/>
      <c r="AL333" s="39"/>
      <c r="AM333" s="1" t="s">
        <v>125</v>
      </c>
      <c r="AN333" s="40" t="s">
        <v>174</v>
      </c>
      <c r="AO333" s="41" t="s">
        <v>86</v>
      </c>
      <c r="AP333" s="41" t="s">
        <v>169</v>
      </c>
      <c r="AQ333" s="40" t="s">
        <v>0</v>
      </c>
      <c r="AR333" s="39"/>
      <c r="AS333" s="1" t="s">
        <v>1120</v>
      </c>
      <c r="AT333" s="1" t="s">
        <v>1212</v>
      </c>
      <c r="AU333" s="1" t="s">
        <v>1155</v>
      </c>
      <c r="AV333" s="1" t="s">
        <v>131</v>
      </c>
      <c r="AW333" s="1"/>
      <c r="AX333" s="1"/>
      <c r="AY333" s="1"/>
      <c r="AZ333" s="1"/>
      <c r="BA333" s="1"/>
      <c r="BB333" s="1"/>
      <c r="BC333" s="1"/>
      <c r="BD333" s="1"/>
    </row>
    <row r="334" ht="11.25" customHeight="1">
      <c r="A334" s="1" t="b">
        <v>1</v>
      </c>
      <c r="B334" s="1" t="s">
        <v>1221</v>
      </c>
      <c r="C334" s="1" t="s">
        <v>1222</v>
      </c>
      <c r="D334" s="1" t="s">
        <v>1109</v>
      </c>
      <c r="E334" s="1"/>
      <c r="F334" s="1"/>
      <c r="G334" s="1" t="s">
        <v>66</v>
      </c>
      <c r="H334" s="1"/>
      <c r="I334" s="1" t="s">
        <v>1162</v>
      </c>
      <c r="J334" s="1" t="s">
        <v>69</v>
      </c>
      <c r="K334" s="1" t="s">
        <v>249</v>
      </c>
      <c r="L334" s="1" t="s">
        <v>0</v>
      </c>
      <c r="M334" s="1" t="b">
        <v>1</v>
      </c>
      <c r="N334" s="1" t="b">
        <v>0</v>
      </c>
      <c r="O334" s="19">
        <v>2600.0</v>
      </c>
      <c r="P334" s="20">
        <v>2.08</v>
      </c>
      <c r="Q334" s="20">
        <v>1250.0</v>
      </c>
      <c r="R334" s="21">
        <v>0.550384</v>
      </c>
      <c r="S334" s="1" t="s">
        <v>242</v>
      </c>
      <c r="T334" s="1" t="s">
        <v>0</v>
      </c>
      <c r="U334" s="1" t="s">
        <v>81</v>
      </c>
      <c r="V334" s="1" t="s">
        <v>81</v>
      </c>
      <c r="W334" s="1" t="s">
        <v>0</v>
      </c>
      <c r="X334" s="1" t="s">
        <v>0</v>
      </c>
      <c r="Y334" s="22" t="str">
        <f t="shared" si="3"/>
        <v>CO</v>
      </c>
      <c r="Z334" s="20" t="str">
        <f>_xlfn.XLOOKUP($B334,[1]F27!$C:$C,[1]F27!$BV:$BV)</f>
        <v>#ERROR!</v>
      </c>
      <c r="AA334" s="1"/>
      <c r="AB334" s="1"/>
      <c r="AC334" s="23"/>
      <c r="AD334" s="1" t="str">
        <f>_xlfn.XLOOKUP($B334,[1]F27!$C:$C,[1]F27!$Y:$Y)</f>
        <v>#ERROR!</v>
      </c>
      <c r="AE334" s="1" t="str">
        <f>_xlfn.XLOOKUP($B334,[1]F27!$C:$C,[1]F27!$Z:$Z)</f>
        <v>#ERROR!</v>
      </c>
      <c r="AF334" s="1" t="str">
        <f>_xlfn.XLOOKUP($B334,[2]PRICING!$B:$B,[2]PRICING!$B:$B,"MISSING")</f>
        <v>#ERROR!</v>
      </c>
      <c r="AG334" s="1" t="str">
        <f>COUNTIFS([2]ACTIVE_SCO!$B:$B,$B334,[2]ACTIVE_SCO!$P:$P,"Y")</f>
        <v>#ERROR!</v>
      </c>
      <c r="AH334" s="1"/>
      <c r="AI334" s="37" t="s">
        <v>157</v>
      </c>
      <c r="AJ334" s="23"/>
      <c r="AK334" s="39"/>
      <c r="AL334" s="39"/>
      <c r="AM334" s="1" t="s">
        <v>125</v>
      </c>
      <c r="AN334" s="40" t="s">
        <v>174</v>
      </c>
      <c r="AO334" s="41" t="s">
        <v>86</v>
      </c>
      <c r="AP334" s="41" t="s">
        <v>169</v>
      </c>
      <c r="AQ334" s="40" t="s">
        <v>0</v>
      </c>
      <c r="AR334" s="39"/>
      <c r="AS334" s="1" t="s">
        <v>1120</v>
      </c>
      <c r="AT334" s="1" t="s">
        <v>1212</v>
      </c>
      <c r="AU334" s="1" t="s">
        <v>1132</v>
      </c>
      <c r="AV334" s="1" t="s">
        <v>131</v>
      </c>
      <c r="AW334" s="1"/>
      <c r="AX334" s="1"/>
      <c r="AY334" s="1"/>
      <c r="AZ334" s="1"/>
      <c r="BA334" s="1"/>
      <c r="BB334" s="1"/>
      <c r="BC334" s="1"/>
      <c r="BD334" s="1"/>
    </row>
    <row r="335" ht="11.25" customHeight="1">
      <c r="A335" s="1" t="b">
        <v>1</v>
      </c>
      <c r="B335" s="1" t="s">
        <v>1228</v>
      </c>
      <c r="C335" s="1" t="s">
        <v>1229</v>
      </c>
      <c r="D335" s="1" t="s">
        <v>1109</v>
      </c>
      <c r="E335" s="1"/>
      <c r="F335" s="1"/>
      <c r="G335" s="1" t="s">
        <v>66</v>
      </c>
      <c r="H335" s="1"/>
      <c r="I335" s="1" t="s">
        <v>1162</v>
      </c>
      <c r="J335" s="1" t="s">
        <v>69</v>
      </c>
      <c r="K335" s="1" t="s">
        <v>249</v>
      </c>
      <c r="L335" s="1" t="s">
        <v>0</v>
      </c>
      <c r="M335" s="1" t="b">
        <v>1</v>
      </c>
      <c r="N335" s="1" t="b">
        <v>0</v>
      </c>
      <c r="O335" s="19">
        <v>2000.0</v>
      </c>
      <c r="P335" s="20">
        <v>2.08</v>
      </c>
      <c r="Q335" s="20">
        <v>961.54</v>
      </c>
      <c r="R335" s="21">
        <v>0.553154314953096</v>
      </c>
      <c r="S335" s="1" t="s">
        <v>117</v>
      </c>
      <c r="T335" s="1" t="s">
        <v>0</v>
      </c>
      <c r="U335" s="1" t="s">
        <v>81</v>
      </c>
      <c r="V335" s="1" t="s">
        <v>81</v>
      </c>
      <c r="W335" s="1" t="s">
        <v>0</v>
      </c>
      <c r="X335" s="1" t="s">
        <v>0</v>
      </c>
      <c r="Y335" s="22" t="str">
        <f t="shared" si="3"/>
        <v>CO</v>
      </c>
      <c r="Z335" s="20" t="str">
        <f>_xlfn.XLOOKUP($B335,[1]F27!$C:$C,[1]F27!$BV:$BV)</f>
        <v>#ERROR!</v>
      </c>
      <c r="AA335" s="1"/>
      <c r="AB335" s="1"/>
      <c r="AC335" s="23"/>
      <c r="AD335" s="1" t="str">
        <f>_xlfn.XLOOKUP($B335,[1]F27!$C:$C,[1]F27!$Y:$Y)</f>
        <v>#ERROR!</v>
      </c>
      <c r="AE335" s="1" t="str">
        <f>_xlfn.XLOOKUP($B335,[1]F27!$C:$C,[1]F27!$Z:$Z)</f>
        <v>#ERROR!</v>
      </c>
      <c r="AF335" s="1" t="str">
        <f>_xlfn.XLOOKUP($B335,[2]PRICING!$B:$B,[2]PRICING!$B:$B,"MISSING")</f>
        <v>#ERROR!</v>
      </c>
      <c r="AG335" s="1" t="str">
        <f>COUNTIFS([2]ACTIVE_SCO!$B:$B,$B335,[2]ACTIVE_SCO!$P:$P,"Y")</f>
        <v>#ERROR!</v>
      </c>
      <c r="AH335" s="1"/>
      <c r="AI335" s="37" t="s">
        <v>157</v>
      </c>
      <c r="AJ335" s="23"/>
      <c r="AK335" s="39"/>
      <c r="AL335" s="39"/>
      <c r="AM335" s="1" t="s">
        <v>86</v>
      </c>
      <c r="AN335" s="40" t="s">
        <v>512</v>
      </c>
      <c r="AO335" s="41" t="s">
        <v>86</v>
      </c>
      <c r="AP335" s="41" t="s">
        <v>169</v>
      </c>
      <c r="AQ335" s="40" t="s">
        <v>0</v>
      </c>
      <c r="AR335" s="39"/>
      <c r="AS335" s="1" t="s">
        <v>1120</v>
      </c>
      <c r="AT335" s="1" t="s">
        <v>1212</v>
      </c>
      <c r="AU335" s="1" t="s">
        <v>1132</v>
      </c>
      <c r="AV335" s="1" t="s">
        <v>131</v>
      </c>
      <c r="AW335" s="1"/>
      <c r="AX335" s="1"/>
      <c r="AY335" s="1"/>
      <c r="AZ335" s="1"/>
      <c r="BA335" s="1"/>
      <c r="BB335" s="1"/>
      <c r="BC335" s="1"/>
      <c r="BD335" s="1"/>
    </row>
    <row r="336" ht="11.25" customHeight="1">
      <c r="A336" s="1" t="b">
        <v>1</v>
      </c>
      <c r="B336" s="1" t="s">
        <v>1740</v>
      </c>
      <c r="C336" s="1" t="s">
        <v>1741</v>
      </c>
      <c r="D336" s="1" t="s">
        <v>1109</v>
      </c>
      <c r="E336" s="1"/>
      <c r="F336" s="1"/>
      <c r="G336" s="1" t="s">
        <v>109</v>
      </c>
      <c r="H336" s="1"/>
      <c r="I336" s="1" t="s">
        <v>1212</v>
      </c>
      <c r="J336" s="1" t="s">
        <v>69</v>
      </c>
      <c r="K336" s="1" t="s">
        <v>249</v>
      </c>
      <c r="L336" s="1" t="s">
        <v>0</v>
      </c>
      <c r="M336" s="1" t="b">
        <v>0</v>
      </c>
      <c r="N336" s="1" t="b">
        <v>1</v>
      </c>
      <c r="O336" s="19">
        <v>2600.0</v>
      </c>
      <c r="P336" s="20">
        <v>2.08</v>
      </c>
      <c r="Q336" s="20">
        <v>1250.0</v>
      </c>
      <c r="R336" s="21">
        <v>0.534368</v>
      </c>
      <c r="S336" s="1" t="s">
        <v>242</v>
      </c>
      <c r="T336" s="1" t="s">
        <v>0</v>
      </c>
      <c r="U336" s="1" t="s">
        <v>81</v>
      </c>
      <c r="V336" s="1" t="s">
        <v>81</v>
      </c>
      <c r="W336" s="1" t="s">
        <v>0</v>
      </c>
      <c r="X336" s="1" t="s">
        <v>0</v>
      </c>
      <c r="Y336" s="22" t="str">
        <f t="shared" si="3"/>
        <v>UPDATE</v>
      </c>
      <c r="Z336" s="20" t="str">
        <f>_xlfn.XLOOKUP($B336,[1]F27!$C:$C,[1]F27!$BV:$BV)</f>
        <v>#ERROR!</v>
      </c>
      <c r="AA336" s="1"/>
      <c r="AB336" s="1"/>
      <c r="AC336" s="23"/>
      <c r="AD336" s="1" t="str">
        <f>_xlfn.XLOOKUP($B336,[1]F27!$C:$C,[1]F27!$Y:$Y)</f>
        <v>#ERROR!</v>
      </c>
      <c r="AE336" s="1" t="str">
        <f>_xlfn.XLOOKUP($B336,[1]F27!$C:$C,[1]F27!$Z:$Z)</f>
        <v>#ERROR!</v>
      </c>
      <c r="AF336" s="1" t="str">
        <f>_xlfn.XLOOKUP($B336,[2]PRICING!$B:$B,[2]PRICING!$B:$B,"MISSING")</f>
        <v>#ERROR!</v>
      </c>
      <c r="AG336" s="1" t="str">
        <f>COUNTIFS([2]ACTIVE_SCO!$B:$B,$B336,[2]ACTIVE_SCO!$P:$P,"Y")</f>
        <v>#ERROR!</v>
      </c>
      <c r="AH336" s="1"/>
      <c r="AI336" s="37" t="s">
        <v>157</v>
      </c>
      <c r="AJ336" s="38" t="s">
        <v>2113</v>
      </c>
      <c r="AK336" s="39"/>
      <c r="AL336" s="39"/>
      <c r="AM336" s="1" t="s">
        <v>86</v>
      </c>
      <c r="AN336" s="40" t="s">
        <v>826</v>
      </c>
      <c r="AO336" s="41" t="s">
        <v>226</v>
      </c>
      <c r="AP336" s="41" t="s">
        <v>1742</v>
      </c>
      <c r="AQ336" s="40" t="s">
        <v>0</v>
      </c>
      <c r="AR336" s="39"/>
      <c r="AS336" s="1" t="s">
        <v>1120</v>
      </c>
      <c r="AT336" s="1" t="s">
        <v>1131</v>
      </c>
      <c r="AU336" s="1" t="s">
        <v>1132</v>
      </c>
      <c r="AV336" s="1" t="s">
        <v>131</v>
      </c>
      <c r="AW336" s="1"/>
      <c r="AX336" s="1"/>
      <c r="AY336" s="1"/>
      <c r="AZ336" s="1"/>
      <c r="BA336" s="1"/>
      <c r="BB336" s="1"/>
      <c r="BC336" s="1"/>
      <c r="BD336" s="1"/>
    </row>
    <row r="337" ht="11.25" customHeight="1">
      <c r="A337" s="1" t="b">
        <v>1</v>
      </c>
      <c r="B337" s="1" t="s">
        <v>1267</v>
      </c>
      <c r="C337" s="1" t="s">
        <v>1268</v>
      </c>
      <c r="D337" s="1" t="s">
        <v>1109</v>
      </c>
      <c r="E337" s="1"/>
      <c r="F337" s="1"/>
      <c r="G337" s="1" t="s">
        <v>66</v>
      </c>
      <c r="H337" s="1"/>
      <c r="I337" s="1" t="s">
        <v>1247</v>
      </c>
      <c r="J337" s="1" t="s">
        <v>69</v>
      </c>
      <c r="K337" s="1" t="s">
        <v>249</v>
      </c>
      <c r="L337" s="1" t="s">
        <v>0</v>
      </c>
      <c r="M337" s="1" t="b">
        <v>1</v>
      </c>
      <c r="N337" s="1" t="b">
        <v>0</v>
      </c>
      <c r="O337" s="19">
        <v>3200.0</v>
      </c>
      <c r="P337" s="20">
        <v>2.08</v>
      </c>
      <c r="Q337" s="20">
        <v>1538.46</v>
      </c>
      <c r="R337" s="21">
        <v>0.553943553943554</v>
      </c>
      <c r="S337" s="1" t="s">
        <v>117</v>
      </c>
      <c r="T337" s="1" t="s">
        <v>0</v>
      </c>
      <c r="U337" s="1" t="s">
        <v>81</v>
      </c>
      <c r="V337" s="1" t="s">
        <v>81</v>
      </c>
      <c r="W337" s="1" t="s">
        <v>0</v>
      </c>
      <c r="X337" s="1" t="s">
        <v>0</v>
      </c>
      <c r="Y337" s="22" t="str">
        <f t="shared" si="3"/>
        <v>CO</v>
      </c>
      <c r="Z337" s="20" t="str">
        <f>_xlfn.XLOOKUP($B337,[1]F27!$C:$C,[1]F27!$BV:$BV)</f>
        <v>#ERROR!</v>
      </c>
      <c r="AA337" s="1"/>
      <c r="AB337" s="1"/>
      <c r="AC337" s="23"/>
      <c r="AD337" s="1" t="str">
        <f>_xlfn.XLOOKUP($B337,[1]F27!$C:$C,[1]F27!$Y:$Y)</f>
        <v>#ERROR!</v>
      </c>
      <c r="AE337" s="1" t="str">
        <f>_xlfn.XLOOKUP($B337,[1]F27!$C:$C,[1]F27!$Z:$Z)</f>
        <v>#ERROR!</v>
      </c>
      <c r="AF337" s="1" t="str">
        <f>_xlfn.XLOOKUP($B337,[2]PRICING!$B:$B,[2]PRICING!$B:$B,"MISSING")</f>
        <v>#ERROR!</v>
      </c>
      <c r="AG337" s="1" t="str">
        <f>COUNTIFS([2]ACTIVE_SCO!$B:$B,$B337,[2]ACTIVE_SCO!$P:$P,"Y")</f>
        <v>#ERROR!</v>
      </c>
      <c r="AH337" s="1"/>
      <c r="AI337" s="37" t="s">
        <v>157</v>
      </c>
      <c r="AJ337" s="23"/>
      <c r="AK337" s="39"/>
      <c r="AL337" s="39"/>
      <c r="AM337" s="1" t="s">
        <v>86</v>
      </c>
      <c r="AN337" s="40" t="s">
        <v>121</v>
      </c>
      <c r="AO337" s="41" t="s">
        <v>86</v>
      </c>
      <c r="AP337" s="41" t="s">
        <v>121</v>
      </c>
      <c r="AQ337" s="40" t="s">
        <v>0</v>
      </c>
      <c r="AR337" s="39"/>
      <c r="AS337" s="1" t="s">
        <v>1120</v>
      </c>
      <c r="AT337" s="1" t="s">
        <v>1131</v>
      </c>
      <c r="AU337" s="1" t="s">
        <v>1139</v>
      </c>
      <c r="AV337" s="1" t="s">
        <v>131</v>
      </c>
      <c r="AW337" s="1"/>
      <c r="AX337" s="1"/>
      <c r="AY337" s="1"/>
      <c r="AZ337" s="1"/>
      <c r="BA337" s="1"/>
      <c r="BB337" s="1"/>
      <c r="BC337" s="1"/>
      <c r="BD337" s="1"/>
    </row>
    <row r="338" ht="11.25" customHeight="1">
      <c r="A338" s="1" t="b">
        <v>1</v>
      </c>
      <c r="B338" s="1" t="s">
        <v>1272</v>
      </c>
      <c r="C338" s="1" t="s">
        <v>1273</v>
      </c>
      <c r="D338" s="1" t="s">
        <v>1109</v>
      </c>
      <c r="E338" s="1"/>
      <c r="F338" s="1"/>
      <c r="G338" s="1" t="s">
        <v>66</v>
      </c>
      <c r="H338" s="1"/>
      <c r="I338" s="1" t="s">
        <v>1247</v>
      </c>
      <c r="J338" s="1" t="s">
        <v>69</v>
      </c>
      <c r="K338" s="1" t="s">
        <v>249</v>
      </c>
      <c r="L338" s="1" t="s">
        <v>0</v>
      </c>
      <c r="M338" s="1" t="b">
        <v>1</v>
      </c>
      <c r="N338" s="1" t="b">
        <v>0</v>
      </c>
      <c r="O338" s="19">
        <v>3500.0</v>
      </c>
      <c r="P338" s="20">
        <v>2.08</v>
      </c>
      <c r="Q338" s="20">
        <v>1682.69</v>
      </c>
      <c r="R338" s="21">
        <v>0.5630567721921447</v>
      </c>
      <c r="S338" s="1" t="s">
        <v>242</v>
      </c>
      <c r="T338" s="1" t="s">
        <v>0</v>
      </c>
      <c r="U338" s="1" t="s">
        <v>81</v>
      </c>
      <c r="V338" s="1" t="s">
        <v>81</v>
      </c>
      <c r="W338" s="1" t="s">
        <v>0</v>
      </c>
      <c r="X338" s="1" t="s">
        <v>0</v>
      </c>
      <c r="Y338" s="22" t="str">
        <f t="shared" si="3"/>
        <v>CO</v>
      </c>
      <c r="Z338" s="20" t="str">
        <f>_xlfn.XLOOKUP($B338,[1]F27!$C:$C,[1]F27!$BV:$BV)</f>
        <v>#ERROR!</v>
      </c>
      <c r="AA338" s="1"/>
      <c r="AB338" s="1"/>
      <c r="AC338" s="23"/>
      <c r="AD338" s="1" t="str">
        <f>_xlfn.XLOOKUP($B338,[1]F27!$C:$C,[1]F27!$Y:$Y)</f>
        <v>#ERROR!</v>
      </c>
      <c r="AE338" s="1" t="str">
        <f>_xlfn.XLOOKUP($B338,[1]F27!$C:$C,[1]F27!$Z:$Z)</f>
        <v>#ERROR!</v>
      </c>
      <c r="AF338" s="1" t="str">
        <f>_xlfn.XLOOKUP($B338,[2]PRICING!$B:$B,[2]PRICING!$B:$B,"MISSING")</f>
        <v>#ERROR!</v>
      </c>
      <c r="AG338" s="1" t="str">
        <f>COUNTIFS([2]ACTIVE_SCO!$B:$B,$B338,[2]ACTIVE_SCO!$P:$P,"Y")</f>
        <v>#ERROR!</v>
      </c>
      <c r="AH338" s="1"/>
      <c r="AI338" s="37" t="s">
        <v>157</v>
      </c>
      <c r="AJ338" s="23"/>
      <c r="AK338" s="39"/>
      <c r="AL338" s="39"/>
      <c r="AM338" s="1" t="s">
        <v>86</v>
      </c>
      <c r="AN338" s="40" t="s">
        <v>121</v>
      </c>
      <c r="AO338" s="41" t="s">
        <v>86</v>
      </c>
      <c r="AP338" s="41" t="s">
        <v>121</v>
      </c>
      <c r="AQ338" s="40" t="s">
        <v>0</v>
      </c>
      <c r="AR338" s="39"/>
      <c r="AS338" s="1" t="s">
        <v>1120</v>
      </c>
      <c r="AT338" s="1" t="s">
        <v>1131</v>
      </c>
      <c r="AU338" s="1" t="s">
        <v>1139</v>
      </c>
      <c r="AV338" s="1" t="s">
        <v>131</v>
      </c>
      <c r="AW338" s="1"/>
      <c r="AX338" s="1"/>
      <c r="AY338" s="1"/>
      <c r="AZ338" s="1"/>
      <c r="BA338" s="1"/>
      <c r="BB338" s="1"/>
      <c r="BC338" s="1"/>
      <c r="BD338" s="1"/>
    </row>
    <row r="339" ht="11.25" customHeight="1">
      <c r="A339" s="1" t="b">
        <v>1</v>
      </c>
      <c r="B339" s="1" t="s">
        <v>1300</v>
      </c>
      <c r="C339" s="1" t="s">
        <v>1301</v>
      </c>
      <c r="D339" s="1" t="s">
        <v>1109</v>
      </c>
      <c r="E339" s="1"/>
      <c r="F339" s="1"/>
      <c r="G339" s="1" t="s">
        <v>66</v>
      </c>
      <c r="H339" s="1"/>
      <c r="I339" s="1" t="s">
        <v>1119</v>
      </c>
      <c r="J339" s="1" t="s">
        <v>69</v>
      </c>
      <c r="K339" s="1" t="s">
        <v>249</v>
      </c>
      <c r="L339" s="1" t="s">
        <v>0</v>
      </c>
      <c r="M339" s="1" t="b">
        <v>1</v>
      </c>
      <c r="N339" s="1" t="b">
        <v>0</v>
      </c>
      <c r="O339" s="19">
        <v>800.0</v>
      </c>
      <c r="P339" s="20">
        <v>2.08</v>
      </c>
      <c r="Q339" s="20">
        <v>384.62</v>
      </c>
      <c r="R339" s="21">
        <v>0.5523633716395404</v>
      </c>
      <c r="S339" s="1" t="s">
        <v>78</v>
      </c>
      <c r="T339" s="1" t="s">
        <v>0</v>
      </c>
      <c r="U339" s="1" t="s">
        <v>81</v>
      </c>
      <c r="V339" s="1" t="s">
        <v>81</v>
      </c>
      <c r="W339" s="1" t="s">
        <v>0</v>
      </c>
      <c r="X339" s="1" t="s">
        <v>0</v>
      </c>
      <c r="Y339" s="22" t="str">
        <f t="shared" si="3"/>
        <v>CO</v>
      </c>
      <c r="Z339" s="20" t="str">
        <f>_xlfn.XLOOKUP($B339,[1]F27!$C:$C,[1]F27!$BV:$BV)</f>
        <v>#ERROR!</v>
      </c>
      <c r="AA339" s="1"/>
      <c r="AB339" s="1"/>
      <c r="AC339" s="23"/>
      <c r="AD339" s="1" t="str">
        <f>_xlfn.XLOOKUP($B339,[1]F27!$C:$C,[1]F27!$Y:$Y)</f>
        <v>#ERROR!</v>
      </c>
      <c r="AE339" s="1" t="str">
        <f>_xlfn.XLOOKUP($B339,[1]F27!$C:$C,[1]F27!$Z:$Z)</f>
        <v>#ERROR!</v>
      </c>
      <c r="AF339" s="1" t="str">
        <f>_xlfn.XLOOKUP($B339,[2]PRICING!$B:$B,[2]PRICING!$B:$B,"MISSING")</f>
        <v>#ERROR!</v>
      </c>
      <c r="AG339" s="1" t="str">
        <f>COUNTIFS([2]ACTIVE_SCO!$B:$B,$B339,[2]ACTIVE_SCO!$P:$P,"Y")</f>
        <v>#ERROR!</v>
      </c>
      <c r="AH339" s="1"/>
      <c r="AI339" s="37" t="s">
        <v>157</v>
      </c>
      <c r="AJ339" s="23"/>
      <c r="AK339" s="39"/>
      <c r="AL339" s="39"/>
      <c r="AM339" s="1" t="s">
        <v>125</v>
      </c>
      <c r="AN339" s="40" t="s">
        <v>174</v>
      </c>
      <c r="AO339" s="41" t="s">
        <v>776</v>
      </c>
      <c r="AP339" s="41" t="s">
        <v>777</v>
      </c>
      <c r="AQ339" s="40" t="s">
        <v>0</v>
      </c>
      <c r="AR339" s="39"/>
      <c r="AS339" s="1" t="s">
        <v>1120</v>
      </c>
      <c r="AT339" s="1" t="s">
        <v>1121</v>
      </c>
      <c r="AU339" s="1" t="s">
        <v>1181</v>
      </c>
      <c r="AV339" s="1" t="s">
        <v>131</v>
      </c>
      <c r="AW339" s="1"/>
      <c r="AX339" s="1"/>
      <c r="AY339" s="1"/>
      <c r="AZ339" s="1"/>
      <c r="BA339" s="1"/>
      <c r="BB339" s="1"/>
      <c r="BC339" s="1"/>
      <c r="BD339" s="1"/>
    </row>
    <row r="340" ht="11.25" customHeight="1">
      <c r="A340" s="1" t="b">
        <v>1</v>
      </c>
      <c r="B340" s="1" t="s">
        <v>1341</v>
      </c>
      <c r="C340" s="1" t="s">
        <v>1342</v>
      </c>
      <c r="D340" s="1" t="s">
        <v>1109</v>
      </c>
      <c r="E340" s="1"/>
      <c r="F340" s="1"/>
      <c r="G340" s="1" t="s">
        <v>66</v>
      </c>
      <c r="H340" s="1"/>
      <c r="I340" s="1" t="s">
        <v>1119</v>
      </c>
      <c r="J340" s="1" t="s">
        <v>69</v>
      </c>
      <c r="K340" s="1" t="s">
        <v>1243</v>
      </c>
      <c r="L340" s="1" t="s">
        <v>0</v>
      </c>
      <c r="M340" s="1" t="b">
        <v>1</v>
      </c>
      <c r="N340" s="1" t="b">
        <v>0</v>
      </c>
      <c r="O340" s="19">
        <v>1000.0</v>
      </c>
      <c r="P340" s="20">
        <v>2.08</v>
      </c>
      <c r="Q340" s="20">
        <v>480.77</v>
      </c>
      <c r="R340" s="21">
        <v>0.5879734592424652</v>
      </c>
      <c r="S340" s="1" t="s">
        <v>117</v>
      </c>
      <c r="T340" s="1" t="s">
        <v>0</v>
      </c>
      <c r="U340" s="1" t="s">
        <v>81</v>
      </c>
      <c r="V340" s="1" t="s">
        <v>81</v>
      </c>
      <c r="W340" s="1" t="s">
        <v>0</v>
      </c>
      <c r="X340" s="1" t="s">
        <v>0</v>
      </c>
      <c r="Y340" s="22" t="str">
        <f t="shared" si="3"/>
        <v>CO</v>
      </c>
      <c r="Z340" s="20" t="str">
        <f>_xlfn.XLOOKUP($B340,[1]F27!$C:$C,[1]F27!$BV:$BV)</f>
        <v>#ERROR!</v>
      </c>
      <c r="AA340" s="1"/>
      <c r="AB340" s="1"/>
      <c r="AC340" s="23"/>
      <c r="AD340" s="1" t="str">
        <f>_xlfn.XLOOKUP($B340,[1]F27!$C:$C,[1]F27!$Y:$Y)</f>
        <v>#ERROR!</v>
      </c>
      <c r="AE340" s="1" t="str">
        <f>_xlfn.XLOOKUP($B340,[1]F27!$C:$C,[1]F27!$Z:$Z)</f>
        <v>#ERROR!</v>
      </c>
      <c r="AF340" s="1" t="str">
        <f>_xlfn.XLOOKUP($B340,[2]PRICING!$B:$B,[2]PRICING!$B:$B,"MISSING")</f>
        <v>#ERROR!</v>
      </c>
      <c r="AG340" s="1" t="str">
        <f>COUNTIFS([2]ACTIVE_SCO!$B:$B,$B340,[2]ACTIVE_SCO!$P:$P,"Y")</f>
        <v>#ERROR!</v>
      </c>
      <c r="AH340" s="1"/>
      <c r="AI340" s="37" t="s">
        <v>157</v>
      </c>
      <c r="AJ340" s="23"/>
      <c r="AK340" s="39"/>
      <c r="AL340" s="39"/>
      <c r="AM340" s="1" t="s">
        <v>125</v>
      </c>
      <c r="AN340" s="40" t="s">
        <v>174</v>
      </c>
      <c r="AO340" s="41" t="s">
        <v>776</v>
      </c>
      <c r="AP340" s="41" t="s">
        <v>777</v>
      </c>
      <c r="AQ340" s="40" t="s">
        <v>0</v>
      </c>
      <c r="AR340" s="39"/>
      <c r="AS340" s="1" t="s">
        <v>1120</v>
      </c>
      <c r="AT340" s="1" t="s">
        <v>1345</v>
      </c>
      <c r="AU340" s="1" t="s">
        <v>1181</v>
      </c>
      <c r="AV340" s="1" t="s">
        <v>131</v>
      </c>
      <c r="AW340" s="1"/>
      <c r="AX340" s="1"/>
      <c r="AY340" s="1"/>
      <c r="AZ340" s="1"/>
      <c r="BA340" s="1"/>
      <c r="BB340" s="1"/>
      <c r="BC340" s="1"/>
      <c r="BD340" s="1"/>
    </row>
    <row r="341" ht="11.25" customHeight="1">
      <c r="A341" s="1" t="b">
        <v>1</v>
      </c>
      <c r="B341" s="1" t="s">
        <v>1346</v>
      </c>
      <c r="C341" s="1" t="s">
        <v>1347</v>
      </c>
      <c r="D341" s="1" t="s">
        <v>1109</v>
      </c>
      <c r="E341" s="1"/>
      <c r="F341" s="1"/>
      <c r="G341" s="1" t="s">
        <v>66</v>
      </c>
      <c r="H341" s="1"/>
      <c r="I341" s="1" t="s">
        <v>1119</v>
      </c>
      <c r="J341" s="1" t="s">
        <v>69</v>
      </c>
      <c r="K341" s="1" t="s">
        <v>1243</v>
      </c>
      <c r="L341" s="1" t="s">
        <v>0</v>
      </c>
      <c r="M341" s="1" t="b">
        <v>1</v>
      </c>
      <c r="N341" s="1" t="b">
        <v>0</v>
      </c>
      <c r="O341" s="19">
        <v>900.0</v>
      </c>
      <c r="P341" s="20">
        <v>2.08</v>
      </c>
      <c r="Q341" s="20">
        <v>432.69</v>
      </c>
      <c r="R341" s="21">
        <v>0.6138574961288683</v>
      </c>
      <c r="S341" s="1" t="s">
        <v>117</v>
      </c>
      <c r="T341" s="1" t="s">
        <v>0</v>
      </c>
      <c r="U341" s="1" t="s">
        <v>81</v>
      </c>
      <c r="V341" s="1" t="s">
        <v>81</v>
      </c>
      <c r="W341" s="1" t="s">
        <v>0</v>
      </c>
      <c r="X341" s="1" t="s">
        <v>0</v>
      </c>
      <c r="Y341" s="22" t="str">
        <f t="shared" si="3"/>
        <v>CO</v>
      </c>
      <c r="Z341" s="20" t="str">
        <f>_xlfn.XLOOKUP($B341,[1]F27!$C:$C,[1]F27!$BV:$BV)</f>
        <v>#ERROR!</v>
      </c>
      <c r="AA341" s="1"/>
      <c r="AB341" s="1"/>
      <c r="AC341" s="23"/>
      <c r="AD341" s="1" t="str">
        <f>_xlfn.XLOOKUP($B341,[1]F27!$C:$C,[1]F27!$Y:$Y)</f>
        <v>#ERROR!</v>
      </c>
      <c r="AE341" s="19" t="str">
        <f>_xlfn.XLOOKUP($B341,[1]F27!$C:$C,[1]F27!$Z:$Z)</f>
        <v>#ERROR!</v>
      </c>
      <c r="AF341" s="1" t="str">
        <f>_xlfn.XLOOKUP($B341,[2]PRICING!$B:$B,[2]PRICING!$B:$B,"MISSING")</f>
        <v>#ERROR!</v>
      </c>
      <c r="AG341" s="1" t="str">
        <f>COUNTIFS([2]ACTIVE_SCO!$B:$B,$B341,[2]ACTIVE_SCO!$P:$P,"Y")</f>
        <v>#ERROR!</v>
      </c>
      <c r="AH341" s="1"/>
      <c r="AI341" s="37" t="s">
        <v>157</v>
      </c>
      <c r="AJ341" s="23"/>
      <c r="AK341" s="39"/>
      <c r="AL341" s="39"/>
      <c r="AM341" s="1" t="s">
        <v>125</v>
      </c>
      <c r="AN341" s="40" t="s">
        <v>174</v>
      </c>
      <c r="AO341" s="41" t="s">
        <v>776</v>
      </c>
      <c r="AP341" s="41" t="s">
        <v>777</v>
      </c>
      <c r="AQ341" s="40" t="s">
        <v>0</v>
      </c>
      <c r="AR341" s="39"/>
      <c r="AS341" s="1" t="s">
        <v>1120</v>
      </c>
      <c r="AT341" s="1" t="s">
        <v>1345</v>
      </c>
      <c r="AU341" s="1" t="s">
        <v>1181</v>
      </c>
      <c r="AV341" s="1" t="s">
        <v>131</v>
      </c>
      <c r="AW341" s="1"/>
      <c r="AX341" s="1"/>
      <c r="AY341" s="1"/>
      <c r="AZ341" s="1"/>
      <c r="BA341" s="1"/>
      <c r="BB341" s="1"/>
      <c r="BC341" s="1"/>
      <c r="BD341" s="1"/>
    </row>
    <row r="342" ht="11.25" customHeight="1">
      <c r="A342" s="1" t="b">
        <v>1</v>
      </c>
      <c r="B342" s="1" t="s">
        <v>1350</v>
      </c>
      <c r="C342" s="1" t="s">
        <v>1351</v>
      </c>
      <c r="D342" s="1" t="s">
        <v>1109</v>
      </c>
      <c r="E342" s="1"/>
      <c r="F342" s="1"/>
      <c r="G342" s="1" t="s">
        <v>66</v>
      </c>
      <c r="H342" s="1"/>
      <c r="I342" s="1" t="s">
        <v>1119</v>
      </c>
      <c r="J342" s="1" t="s">
        <v>69</v>
      </c>
      <c r="K342" s="1" t="s">
        <v>249</v>
      </c>
      <c r="L342" s="1" t="s">
        <v>0</v>
      </c>
      <c r="M342" s="1" t="b">
        <v>1</v>
      </c>
      <c r="N342" s="1" t="b">
        <v>0</v>
      </c>
      <c r="O342" s="19">
        <v>1200.0</v>
      </c>
      <c r="P342" s="20">
        <v>2.08</v>
      </c>
      <c r="Q342" s="20">
        <v>576.92</v>
      </c>
      <c r="R342" s="21">
        <v>0.5887991402620814</v>
      </c>
      <c r="S342" s="1" t="s">
        <v>117</v>
      </c>
      <c r="T342" s="1" t="s">
        <v>0</v>
      </c>
      <c r="U342" s="1" t="s">
        <v>81</v>
      </c>
      <c r="V342" s="1" t="s">
        <v>81</v>
      </c>
      <c r="W342" s="1" t="s">
        <v>0</v>
      </c>
      <c r="X342" s="1" t="s">
        <v>0</v>
      </c>
      <c r="Y342" s="22" t="str">
        <f t="shared" si="3"/>
        <v>CO</v>
      </c>
      <c r="Z342" s="20" t="str">
        <f>_xlfn.XLOOKUP($B342,[1]F27!$C:$C,[1]F27!$BV:$BV)</f>
        <v>#ERROR!</v>
      </c>
      <c r="AA342" s="1"/>
      <c r="AB342" s="1"/>
      <c r="AC342" s="23"/>
      <c r="AD342" s="1" t="str">
        <f>_xlfn.XLOOKUP($B342,[1]F27!$C:$C,[1]F27!$Y:$Y)</f>
        <v>#ERROR!</v>
      </c>
      <c r="AE342" s="19" t="str">
        <f>_xlfn.XLOOKUP($B342,[1]F27!$C:$C,[1]F27!$Z:$Z)</f>
        <v>#ERROR!</v>
      </c>
      <c r="AF342" s="1" t="str">
        <f>_xlfn.XLOOKUP($B342,[2]PRICING!$B:$B,[2]PRICING!$B:$B,"MISSING")</f>
        <v>#ERROR!</v>
      </c>
      <c r="AG342" s="1" t="str">
        <f>COUNTIFS([2]ACTIVE_SCO!$B:$B,$B342,[2]ACTIVE_SCO!$P:$P,"Y")</f>
        <v>#ERROR!</v>
      </c>
      <c r="AH342" s="1"/>
      <c r="AI342" s="37" t="s">
        <v>157</v>
      </c>
      <c r="AJ342" s="23"/>
      <c r="AK342" s="39"/>
      <c r="AL342" s="39"/>
      <c r="AM342" s="1" t="s">
        <v>125</v>
      </c>
      <c r="AN342" s="40" t="s">
        <v>174</v>
      </c>
      <c r="AO342" s="41" t="s">
        <v>776</v>
      </c>
      <c r="AP342" s="41" t="s">
        <v>777</v>
      </c>
      <c r="AQ342" s="40" t="s">
        <v>0</v>
      </c>
      <c r="AR342" s="39"/>
      <c r="AS342" s="1" t="s">
        <v>1186</v>
      </c>
      <c r="AT342" s="1" t="s">
        <v>1187</v>
      </c>
      <c r="AU342" s="1"/>
      <c r="AV342" s="1" t="s">
        <v>131</v>
      </c>
      <c r="AW342" s="1"/>
      <c r="AX342" s="1"/>
      <c r="AY342" s="1"/>
      <c r="AZ342" s="1"/>
      <c r="BA342" s="1"/>
      <c r="BB342" s="1"/>
      <c r="BC342" s="1"/>
      <c r="BD342" s="1"/>
    </row>
    <row r="343" ht="11.25" customHeight="1">
      <c r="A343" s="1" t="b">
        <v>1</v>
      </c>
      <c r="B343" s="1" t="s">
        <v>1354</v>
      </c>
      <c r="C343" s="1" t="s">
        <v>1355</v>
      </c>
      <c r="D343" s="1" t="s">
        <v>1109</v>
      </c>
      <c r="E343" s="1"/>
      <c r="F343" s="1"/>
      <c r="G343" s="1" t="s">
        <v>66</v>
      </c>
      <c r="H343" s="1"/>
      <c r="I343" s="1" t="s">
        <v>1119</v>
      </c>
      <c r="J343" s="1" t="s">
        <v>69</v>
      </c>
      <c r="K343" s="1" t="s">
        <v>249</v>
      </c>
      <c r="L343" s="1" t="s">
        <v>0</v>
      </c>
      <c r="M343" s="1" t="b">
        <v>1</v>
      </c>
      <c r="N343" s="1" t="b">
        <v>0</v>
      </c>
      <c r="O343" s="19">
        <v>1100.0</v>
      </c>
      <c r="P343" s="20">
        <v>2.08</v>
      </c>
      <c r="Q343" s="20">
        <v>528.85</v>
      </c>
      <c r="R343" s="21">
        <v>0.5839084806655952</v>
      </c>
      <c r="S343" s="1" t="s">
        <v>117</v>
      </c>
      <c r="T343" s="1" t="s">
        <v>0</v>
      </c>
      <c r="U343" s="1" t="s">
        <v>81</v>
      </c>
      <c r="V343" s="1" t="s">
        <v>81</v>
      </c>
      <c r="W343" s="1" t="s">
        <v>0</v>
      </c>
      <c r="X343" s="1" t="s">
        <v>0</v>
      </c>
      <c r="Y343" s="22" t="str">
        <f t="shared" si="3"/>
        <v>CO</v>
      </c>
      <c r="Z343" s="20" t="str">
        <f>_xlfn.XLOOKUP($B343,[1]F27!$C:$C,[1]F27!$BV:$BV)</f>
        <v>#ERROR!</v>
      </c>
      <c r="AA343" s="1"/>
      <c r="AB343" s="1"/>
      <c r="AC343" s="23"/>
      <c r="AD343" s="1" t="str">
        <f>_xlfn.XLOOKUP($B343,[1]F27!$C:$C,[1]F27!$Y:$Y)</f>
        <v>#ERROR!</v>
      </c>
      <c r="AE343" s="19" t="str">
        <f>_xlfn.XLOOKUP($B343,[1]F27!$C:$C,[1]F27!$Z:$Z)</f>
        <v>#ERROR!</v>
      </c>
      <c r="AF343" s="1" t="str">
        <f>_xlfn.XLOOKUP($B343,[2]PRICING!$B:$B,[2]PRICING!$B:$B,"MISSING")</f>
        <v>#ERROR!</v>
      </c>
      <c r="AG343" s="1" t="str">
        <f>COUNTIFS([2]ACTIVE_SCO!$B:$B,$B343,[2]ACTIVE_SCO!$P:$P,"Y")</f>
        <v>#ERROR!</v>
      </c>
      <c r="AH343" s="1"/>
      <c r="AI343" s="37" t="s">
        <v>157</v>
      </c>
      <c r="AJ343" s="23"/>
      <c r="AK343" s="39"/>
      <c r="AL343" s="39"/>
      <c r="AM343" s="1" t="s">
        <v>125</v>
      </c>
      <c r="AN343" s="40" t="s">
        <v>174</v>
      </c>
      <c r="AO343" s="41" t="s">
        <v>776</v>
      </c>
      <c r="AP343" s="41" t="s">
        <v>777</v>
      </c>
      <c r="AQ343" s="40" t="s">
        <v>0</v>
      </c>
      <c r="AR343" s="39"/>
      <c r="AS343" s="1" t="s">
        <v>1186</v>
      </c>
      <c r="AT343" s="1" t="s">
        <v>1187</v>
      </c>
      <c r="AU343" s="1"/>
      <c r="AV343" s="1" t="s">
        <v>131</v>
      </c>
      <c r="AW343" s="1"/>
      <c r="AX343" s="1"/>
      <c r="AY343" s="1"/>
      <c r="AZ343" s="1"/>
      <c r="BA343" s="1"/>
      <c r="BB343" s="1"/>
      <c r="BC343" s="1"/>
      <c r="BD343" s="1"/>
    </row>
    <row r="344" ht="11.25" customHeight="1">
      <c r="A344" s="1" t="b">
        <v>1</v>
      </c>
      <c r="B344" s="1" t="s">
        <v>1361</v>
      </c>
      <c r="C344" s="1" t="s">
        <v>1362</v>
      </c>
      <c r="D344" s="1" t="s">
        <v>1109</v>
      </c>
      <c r="E344" s="1"/>
      <c r="F344" s="1"/>
      <c r="G344" s="1" t="s">
        <v>66</v>
      </c>
      <c r="H344" s="1"/>
      <c r="I344" s="1" t="s">
        <v>1119</v>
      </c>
      <c r="J344" s="1" t="s">
        <v>69</v>
      </c>
      <c r="K344" s="1" t="s">
        <v>249</v>
      </c>
      <c r="L344" s="1" t="s">
        <v>0</v>
      </c>
      <c r="M344" s="1" t="b">
        <v>1</v>
      </c>
      <c r="N344" s="1" t="b">
        <v>0</v>
      </c>
      <c r="O344" s="19">
        <v>1300.0</v>
      </c>
      <c r="P344" s="20">
        <v>2.08</v>
      </c>
      <c r="Q344" s="20">
        <v>625.0</v>
      </c>
      <c r="R344" s="21">
        <v>0.5814079999999999</v>
      </c>
      <c r="S344" s="1" t="s">
        <v>242</v>
      </c>
      <c r="T344" s="1" t="s">
        <v>0</v>
      </c>
      <c r="U344" s="1" t="s">
        <v>81</v>
      </c>
      <c r="V344" s="1" t="s">
        <v>81</v>
      </c>
      <c r="W344" s="1" t="s">
        <v>0</v>
      </c>
      <c r="X344" s="1" t="s">
        <v>0</v>
      </c>
      <c r="Y344" s="22" t="str">
        <f t="shared" si="3"/>
        <v>CO</v>
      </c>
      <c r="Z344" s="20" t="str">
        <f>_xlfn.XLOOKUP($B344,[1]F27!$C:$C,[1]F27!$BV:$BV)</f>
        <v>#ERROR!</v>
      </c>
      <c r="AA344" s="1"/>
      <c r="AB344" s="1"/>
      <c r="AC344" s="23"/>
      <c r="AD344" s="1" t="str">
        <f>_xlfn.XLOOKUP($B344,[1]F27!$C:$C,[1]F27!$Y:$Y)</f>
        <v>#ERROR!</v>
      </c>
      <c r="AE344" s="19" t="str">
        <f>_xlfn.XLOOKUP($B344,[1]F27!$C:$C,[1]F27!$Z:$Z)</f>
        <v>#ERROR!</v>
      </c>
      <c r="AF344" s="1" t="str">
        <f>_xlfn.XLOOKUP($B344,[2]PRICING!$B:$B,[2]PRICING!$B:$B,"MISSING")</f>
        <v>#ERROR!</v>
      </c>
      <c r="AG344" s="1" t="str">
        <f>COUNTIFS([2]ACTIVE_SCO!$B:$B,$B344,[2]ACTIVE_SCO!$P:$P,"Y")</f>
        <v>#ERROR!</v>
      </c>
      <c r="AH344" s="1"/>
      <c r="AI344" s="37" t="s">
        <v>157</v>
      </c>
      <c r="AJ344" s="23"/>
      <c r="AK344" s="39"/>
      <c r="AL344" s="39"/>
      <c r="AM344" s="1" t="s">
        <v>125</v>
      </c>
      <c r="AN344" s="40" t="s">
        <v>174</v>
      </c>
      <c r="AO344" s="41" t="s">
        <v>776</v>
      </c>
      <c r="AP344" s="41" t="s">
        <v>777</v>
      </c>
      <c r="AQ344" s="40" t="s">
        <v>0</v>
      </c>
      <c r="AR344" s="39"/>
      <c r="AS344" s="1" t="s">
        <v>1186</v>
      </c>
      <c r="AT344" s="1" t="s">
        <v>1187</v>
      </c>
      <c r="AU344" s="1"/>
      <c r="AV344" s="1" t="s">
        <v>131</v>
      </c>
      <c r="AW344" s="1"/>
      <c r="AX344" s="1"/>
      <c r="AY344" s="1"/>
      <c r="AZ344" s="1"/>
      <c r="BA344" s="1"/>
      <c r="BB344" s="1"/>
      <c r="BC344" s="1"/>
      <c r="BD344" s="1"/>
    </row>
    <row r="345" ht="11.25" customHeight="1">
      <c r="A345" s="1" t="b">
        <v>1</v>
      </c>
      <c r="B345" s="1" t="s">
        <v>1363</v>
      </c>
      <c r="C345" s="1" t="s">
        <v>1364</v>
      </c>
      <c r="D345" s="1" t="s">
        <v>1109</v>
      </c>
      <c r="E345" s="1"/>
      <c r="F345" s="1"/>
      <c r="G345" s="1" t="s">
        <v>66</v>
      </c>
      <c r="H345" s="1"/>
      <c r="I345" s="1" t="s">
        <v>1119</v>
      </c>
      <c r="J345" s="1" t="s">
        <v>69</v>
      </c>
      <c r="K345" s="1" t="s">
        <v>249</v>
      </c>
      <c r="L345" s="19" t="s">
        <v>0</v>
      </c>
      <c r="M345" s="1" t="b">
        <v>1</v>
      </c>
      <c r="N345" s="1" t="b">
        <v>0</v>
      </c>
      <c r="O345" s="19">
        <v>1200.0</v>
      </c>
      <c r="P345" s="20">
        <v>2.08</v>
      </c>
      <c r="Q345" s="20">
        <v>576.92</v>
      </c>
      <c r="R345" s="21">
        <v>0.5724190529016155</v>
      </c>
      <c r="S345" s="1" t="s">
        <v>242</v>
      </c>
      <c r="T345" s="1" t="s">
        <v>0</v>
      </c>
      <c r="U345" s="1" t="s">
        <v>81</v>
      </c>
      <c r="V345" s="1" t="s">
        <v>81</v>
      </c>
      <c r="W345" s="1" t="s">
        <v>0</v>
      </c>
      <c r="X345" s="1" t="s">
        <v>0</v>
      </c>
      <c r="Y345" s="22" t="str">
        <f t="shared" si="3"/>
        <v>CO</v>
      </c>
      <c r="Z345" s="20" t="str">
        <f>_xlfn.XLOOKUP($B345,[1]F27!$C:$C,[1]F27!$BV:$BV)</f>
        <v>#ERROR!</v>
      </c>
      <c r="AA345" s="1"/>
      <c r="AB345" s="1"/>
      <c r="AC345" s="23"/>
      <c r="AD345" s="1" t="str">
        <f>_xlfn.XLOOKUP($B345,[1]F27!$C:$C,[1]F27!$Y:$Y)</f>
        <v>#ERROR!</v>
      </c>
      <c r="AE345" s="1" t="str">
        <f>_xlfn.XLOOKUP($B345,[1]F27!$C:$C,[1]F27!$Z:$Z)</f>
        <v>#ERROR!</v>
      </c>
      <c r="AF345" s="1" t="str">
        <f>_xlfn.XLOOKUP($B345,[2]PRICING!$B:$B,[2]PRICING!$B:$B,"MISSING")</f>
        <v>#ERROR!</v>
      </c>
      <c r="AG345" s="1" t="str">
        <f>COUNTIFS([2]ACTIVE_SCO!$B:$B,$B345,[2]ACTIVE_SCO!$P:$P,"Y")</f>
        <v>#ERROR!</v>
      </c>
      <c r="AH345" s="1"/>
      <c r="AI345" s="37" t="s">
        <v>157</v>
      </c>
      <c r="AJ345" s="23"/>
      <c r="AK345" s="39"/>
      <c r="AL345" s="39"/>
      <c r="AM345" s="1" t="s">
        <v>125</v>
      </c>
      <c r="AN345" s="40" t="s">
        <v>174</v>
      </c>
      <c r="AO345" s="41" t="s">
        <v>776</v>
      </c>
      <c r="AP345" s="41" t="s">
        <v>777</v>
      </c>
      <c r="AQ345" s="40" t="s">
        <v>0</v>
      </c>
      <c r="AR345" s="39"/>
      <c r="AS345" s="1" t="s">
        <v>1186</v>
      </c>
      <c r="AT345" s="1" t="s">
        <v>1187</v>
      </c>
      <c r="AU345" s="1"/>
      <c r="AV345" s="1" t="s">
        <v>131</v>
      </c>
      <c r="AW345" s="1"/>
      <c r="AX345" s="1"/>
      <c r="AY345" s="1"/>
      <c r="AZ345" s="1"/>
      <c r="BA345" s="1"/>
      <c r="BB345" s="1"/>
      <c r="BC345" s="1"/>
      <c r="BD345" s="1"/>
    </row>
    <row r="346" ht="11.25" customHeight="1">
      <c r="A346" s="1" t="b">
        <v>1</v>
      </c>
      <c r="B346" s="1" t="s">
        <v>1365</v>
      </c>
      <c r="C346" s="1" t="s">
        <v>1366</v>
      </c>
      <c r="D346" s="1" t="s">
        <v>1109</v>
      </c>
      <c r="E346" s="1"/>
      <c r="F346" s="1"/>
      <c r="G346" s="1" t="s">
        <v>66</v>
      </c>
      <c r="H346" s="1"/>
      <c r="I346" s="1" t="s">
        <v>1119</v>
      </c>
      <c r="J346" s="1" t="s">
        <v>69</v>
      </c>
      <c r="K346" s="1" t="s">
        <v>249</v>
      </c>
      <c r="L346" s="19" t="s">
        <v>0</v>
      </c>
      <c r="M346" s="1" t="b">
        <v>1</v>
      </c>
      <c r="N346" s="1" t="b">
        <v>0</v>
      </c>
      <c r="O346" s="19">
        <v>1000.0</v>
      </c>
      <c r="P346" s="20">
        <v>2.08</v>
      </c>
      <c r="Q346" s="20">
        <v>480.77</v>
      </c>
      <c r="R346" s="21">
        <v>0.5594359049025521</v>
      </c>
      <c r="S346" s="1" t="s">
        <v>117</v>
      </c>
      <c r="T346" s="1" t="s">
        <v>0</v>
      </c>
      <c r="U346" s="1" t="s">
        <v>81</v>
      </c>
      <c r="V346" s="1" t="s">
        <v>81</v>
      </c>
      <c r="W346" s="1" t="s">
        <v>0</v>
      </c>
      <c r="X346" s="1" t="s">
        <v>0</v>
      </c>
      <c r="Y346" s="22" t="str">
        <f t="shared" si="3"/>
        <v>CO</v>
      </c>
      <c r="Z346" s="20" t="str">
        <f>_xlfn.XLOOKUP($B346,[1]F27!$C:$C,[1]F27!$BV:$BV)</f>
        <v>#ERROR!</v>
      </c>
      <c r="AA346" s="1"/>
      <c r="AB346" s="1"/>
      <c r="AC346" s="23"/>
      <c r="AD346" s="1" t="str">
        <f>_xlfn.XLOOKUP($B346,[1]F27!$C:$C,[1]F27!$Y:$Y)</f>
        <v>#ERROR!</v>
      </c>
      <c r="AE346" s="1" t="str">
        <f>_xlfn.XLOOKUP($B346,[1]F27!$C:$C,[1]F27!$Z:$Z)</f>
        <v>#ERROR!</v>
      </c>
      <c r="AF346" s="1" t="str">
        <f>_xlfn.XLOOKUP($B346,[2]PRICING!$B:$B,[2]PRICING!$B:$B,"MISSING")</f>
        <v>#ERROR!</v>
      </c>
      <c r="AG346" s="1" t="str">
        <f>COUNTIFS([2]ACTIVE_SCO!$B:$B,$B346,[2]ACTIVE_SCO!$P:$P,"Y")</f>
        <v>#ERROR!</v>
      </c>
      <c r="AH346" s="1"/>
      <c r="AI346" s="37" t="s">
        <v>157</v>
      </c>
      <c r="AJ346" s="23"/>
      <c r="AK346" s="39"/>
      <c r="AL346" s="39"/>
      <c r="AM346" s="1" t="s">
        <v>125</v>
      </c>
      <c r="AN346" s="40" t="s">
        <v>174</v>
      </c>
      <c r="AO346" s="41" t="s">
        <v>776</v>
      </c>
      <c r="AP346" s="41" t="s">
        <v>777</v>
      </c>
      <c r="AQ346" s="40" t="s">
        <v>0</v>
      </c>
      <c r="AR346" s="39"/>
      <c r="AS346" s="1" t="s">
        <v>1186</v>
      </c>
      <c r="AT346" s="1" t="s">
        <v>1187</v>
      </c>
      <c r="AU346" s="1"/>
      <c r="AV346" s="1" t="s">
        <v>131</v>
      </c>
      <c r="AW346" s="1"/>
      <c r="AX346" s="1"/>
      <c r="AY346" s="1"/>
      <c r="AZ346" s="1"/>
      <c r="BA346" s="1"/>
      <c r="BB346" s="1"/>
      <c r="BC346" s="1"/>
      <c r="BD346" s="1"/>
    </row>
    <row r="347" ht="11.25" customHeight="1">
      <c r="A347" s="1" t="b">
        <v>1</v>
      </c>
      <c r="B347" s="1" t="s">
        <v>1372</v>
      </c>
      <c r="C347" s="1" t="s">
        <v>1373</v>
      </c>
      <c r="D347" s="1" t="s">
        <v>1109</v>
      </c>
      <c r="E347" s="1"/>
      <c r="F347" s="1"/>
      <c r="G347" s="1" t="s">
        <v>66</v>
      </c>
      <c r="H347" s="1"/>
      <c r="I347" s="1" t="s">
        <v>1119</v>
      </c>
      <c r="J347" s="1" t="s">
        <v>69</v>
      </c>
      <c r="K347" s="1" t="s">
        <v>249</v>
      </c>
      <c r="L347" s="19" t="s">
        <v>0</v>
      </c>
      <c r="M347" s="1" t="b">
        <v>1</v>
      </c>
      <c r="N347" s="1" t="b">
        <v>0</v>
      </c>
      <c r="O347" s="19">
        <v>1000.0</v>
      </c>
      <c r="P347" s="20">
        <v>2.08</v>
      </c>
      <c r="Q347" s="20">
        <v>480.77</v>
      </c>
      <c r="R347" s="21">
        <v>0.6036150342159452</v>
      </c>
      <c r="S347" s="1" t="s">
        <v>117</v>
      </c>
      <c r="T347" s="1" t="s">
        <v>0</v>
      </c>
      <c r="U347" s="1" t="s">
        <v>81</v>
      </c>
      <c r="V347" s="1" t="s">
        <v>81</v>
      </c>
      <c r="W347" s="1" t="s">
        <v>0</v>
      </c>
      <c r="X347" s="1" t="s">
        <v>0</v>
      </c>
      <c r="Y347" s="22" t="str">
        <f t="shared" si="3"/>
        <v>CO</v>
      </c>
      <c r="Z347" s="20" t="str">
        <f>_xlfn.XLOOKUP($B347,[1]F27!$C:$C,[1]F27!$BV:$BV)</f>
        <v>#ERROR!</v>
      </c>
      <c r="AA347" s="1"/>
      <c r="AB347" s="1"/>
      <c r="AC347" s="23"/>
      <c r="AD347" s="1" t="str">
        <f>_xlfn.XLOOKUP($B347,[1]F27!$C:$C,[1]F27!$Y:$Y)</f>
        <v>#ERROR!</v>
      </c>
      <c r="AE347" s="1" t="str">
        <f>_xlfn.XLOOKUP($B347,[1]F27!$C:$C,[1]F27!$Z:$Z)</f>
        <v>#ERROR!</v>
      </c>
      <c r="AF347" s="1" t="str">
        <f>_xlfn.XLOOKUP($B347,[2]PRICING!$B:$B,[2]PRICING!$B:$B,"MISSING")</f>
        <v>#ERROR!</v>
      </c>
      <c r="AG347" s="1" t="str">
        <f>COUNTIFS([2]ACTIVE_SCO!$B:$B,$B347,[2]ACTIVE_SCO!$P:$P,"Y")</f>
        <v>#ERROR!</v>
      </c>
      <c r="AH347" s="1"/>
      <c r="AI347" s="37" t="s">
        <v>157</v>
      </c>
      <c r="AJ347" s="23"/>
      <c r="AK347" s="39"/>
      <c r="AL347" s="39"/>
      <c r="AM347" s="1" t="s">
        <v>125</v>
      </c>
      <c r="AN347" s="40" t="s">
        <v>174</v>
      </c>
      <c r="AO347" s="41" t="s">
        <v>776</v>
      </c>
      <c r="AP347" s="41" t="s">
        <v>777</v>
      </c>
      <c r="AQ347" s="40" t="s">
        <v>0</v>
      </c>
      <c r="AR347" s="39"/>
      <c r="AS347" s="1" t="s">
        <v>1186</v>
      </c>
      <c r="AT347" s="1" t="s">
        <v>1374</v>
      </c>
      <c r="AU347" s="1" t="s">
        <v>1155</v>
      </c>
      <c r="AV347" s="1" t="s">
        <v>131</v>
      </c>
      <c r="AW347" s="1"/>
      <c r="AX347" s="1"/>
      <c r="AY347" s="1"/>
      <c r="AZ347" s="1"/>
      <c r="BA347" s="1"/>
      <c r="BB347" s="1"/>
      <c r="BC347" s="1"/>
      <c r="BD347" s="1"/>
    </row>
    <row r="348" ht="11.25" customHeight="1">
      <c r="A348" s="1" t="b">
        <v>1</v>
      </c>
      <c r="B348" s="1" t="s">
        <v>1375</v>
      </c>
      <c r="C348" s="1" t="s">
        <v>1376</v>
      </c>
      <c r="D348" s="1" t="s">
        <v>1109</v>
      </c>
      <c r="E348" s="1"/>
      <c r="F348" s="1"/>
      <c r="G348" s="1" t="s">
        <v>66</v>
      </c>
      <c r="H348" s="1"/>
      <c r="I348" s="1" t="s">
        <v>1119</v>
      </c>
      <c r="J348" s="1" t="s">
        <v>69</v>
      </c>
      <c r="K348" s="1" t="s">
        <v>249</v>
      </c>
      <c r="L348" s="19" t="s">
        <v>0</v>
      </c>
      <c r="M348" s="1" t="b">
        <v>1</v>
      </c>
      <c r="N348" s="1" t="b">
        <v>0</v>
      </c>
      <c r="O348" s="19">
        <v>900.0</v>
      </c>
      <c r="P348" s="20">
        <v>2.08</v>
      </c>
      <c r="Q348" s="20">
        <v>432.69</v>
      </c>
      <c r="R348" s="21">
        <v>0.5562874113106381</v>
      </c>
      <c r="S348" s="1" t="s">
        <v>117</v>
      </c>
      <c r="T348" s="1" t="s">
        <v>0</v>
      </c>
      <c r="U348" s="1" t="s">
        <v>81</v>
      </c>
      <c r="V348" s="1" t="s">
        <v>81</v>
      </c>
      <c r="W348" s="1" t="s">
        <v>0</v>
      </c>
      <c r="X348" s="1" t="s">
        <v>0</v>
      </c>
      <c r="Y348" s="22" t="str">
        <f t="shared" si="3"/>
        <v>CO</v>
      </c>
      <c r="Z348" s="20" t="str">
        <f>_xlfn.XLOOKUP($B348,[1]F27!$C:$C,[1]F27!$BV:$BV)</f>
        <v>#ERROR!</v>
      </c>
      <c r="AA348" s="1"/>
      <c r="AB348" s="1"/>
      <c r="AC348" s="23"/>
      <c r="AD348" s="1" t="str">
        <f>_xlfn.XLOOKUP($B348,[1]F27!$C:$C,[1]F27!$Y:$Y)</f>
        <v>#ERROR!</v>
      </c>
      <c r="AE348" s="1" t="str">
        <f>_xlfn.XLOOKUP($B348,[1]F27!$C:$C,[1]F27!$Z:$Z)</f>
        <v>#ERROR!</v>
      </c>
      <c r="AF348" s="1" t="str">
        <f>_xlfn.XLOOKUP($B348,[2]PRICING!$B:$B,[2]PRICING!$B:$B,"MISSING")</f>
        <v>#ERROR!</v>
      </c>
      <c r="AG348" s="1" t="str">
        <f>COUNTIFS([2]ACTIVE_SCO!$B:$B,$B348,[2]ACTIVE_SCO!$P:$P,"Y")</f>
        <v>#ERROR!</v>
      </c>
      <c r="AH348" s="1"/>
      <c r="AI348" s="37" t="s">
        <v>157</v>
      </c>
      <c r="AJ348" s="23"/>
      <c r="AK348" s="39"/>
      <c r="AL348" s="39"/>
      <c r="AM348" s="1" t="s">
        <v>125</v>
      </c>
      <c r="AN348" s="40" t="s">
        <v>174</v>
      </c>
      <c r="AO348" s="41" t="s">
        <v>776</v>
      </c>
      <c r="AP348" s="41" t="s">
        <v>777</v>
      </c>
      <c r="AQ348" s="40" t="s">
        <v>0</v>
      </c>
      <c r="AR348" s="39"/>
      <c r="AS348" s="1" t="s">
        <v>1186</v>
      </c>
      <c r="AT348" s="1" t="s">
        <v>1187</v>
      </c>
      <c r="AU348" s="1"/>
      <c r="AV348" s="1" t="s">
        <v>131</v>
      </c>
      <c r="AW348" s="1"/>
      <c r="AX348" s="1"/>
      <c r="AY348" s="1"/>
      <c r="AZ348" s="1"/>
      <c r="BA348" s="1"/>
      <c r="BB348" s="1"/>
      <c r="BC348" s="1"/>
      <c r="BD348" s="1"/>
    </row>
    <row r="349" ht="11.25" customHeight="1">
      <c r="A349" s="1" t="b">
        <v>1</v>
      </c>
      <c r="B349" s="1" t="s">
        <v>1379</v>
      </c>
      <c r="C349" s="1" t="s">
        <v>1380</v>
      </c>
      <c r="D349" s="1" t="s">
        <v>1109</v>
      </c>
      <c r="E349" s="1"/>
      <c r="F349" s="1"/>
      <c r="G349" s="1" t="s">
        <v>247</v>
      </c>
      <c r="H349" s="1"/>
      <c r="I349" s="1" t="s">
        <v>1119</v>
      </c>
      <c r="J349" s="1" t="s">
        <v>69</v>
      </c>
      <c r="K349" s="1" t="s">
        <v>249</v>
      </c>
      <c r="L349" s="19" t="s">
        <v>0</v>
      </c>
      <c r="M349" s="1" t="b">
        <v>1</v>
      </c>
      <c r="N349" s="1" t="b">
        <v>0</v>
      </c>
      <c r="O349" s="19">
        <v>1500.0</v>
      </c>
      <c r="P349" s="20">
        <v>2.08</v>
      </c>
      <c r="Q349" s="20">
        <v>721.15</v>
      </c>
      <c r="R349" s="21">
        <v>0.6194550370935312</v>
      </c>
      <c r="S349" s="1" t="s">
        <v>117</v>
      </c>
      <c r="T349" s="1" t="s">
        <v>0</v>
      </c>
      <c r="U349" s="1" t="s">
        <v>81</v>
      </c>
      <c r="V349" s="1" t="s">
        <v>81</v>
      </c>
      <c r="W349" s="1" t="s">
        <v>0</v>
      </c>
      <c r="X349" s="1" t="s">
        <v>0</v>
      </c>
      <c r="Y349" s="22" t="str">
        <f t="shared" si="3"/>
        <v>CO</v>
      </c>
      <c r="Z349" s="20" t="str">
        <f>_xlfn.XLOOKUP($B349,[1]F27!$C:$C,[1]F27!$BV:$BV)</f>
        <v>#ERROR!</v>
      </c>
      <c r="AA349" s="1"/>
      <c r="AB349" s="1"/>
      <c r="AC349" s="23"/>
      <c r="AD349" s="1" t="str">
        <f>_xlfn.XLOOKUP($B349,[1]F27!$C:$C,[1]F27!$Y:$Y)</f>
        <v>#ERROR!</v>
      </c>
      <c r="AE349" s="1" t="str">
        <f>_xlfn.XLOOKUP($B349,[1]F27!$C:$C,[1]F27!$Z:$Z)</f>
        <v>#ERROR!</v>
      </c>
      <c r="AF349" s="1" t="str">
        <f>_xlfn.XLOOKUP($B349,[2]PRICING!$B:$B,[2]PRICING!$B:$B,"MISSING")</f>
        <v>#ERROR!</v>
      </c>
      <c r="AG349" s="1" t="str">
        <f>COUNTIFS([2]ACTIVE_SCO!$B:$B,$B349,[2]ACTIVE_SCO!$P:$P,"Y")</f>
        <v>#ERROR!</v>
      </c>
      <c r="AH349" s="1"/>
      <c r="AI349" s="37" t="s">
        <v>157</v>
      </c>
      <c r="AJ349" s="38" t="s">
        <v>2114</v>
      </c>
      <c r="AK349" s="39"/>
      <c r="AL349" s="39"/>
      <c r="AM349" s="1" t="s">
        <v>125</v>
      </c>
      <c r="AN349" s="40" t="s">
        <v>174</v>
      </c>
      <c r="AO349" s="41" t="s">
        <v>776</v>
      </c>
      <c r="AP349" s="41" t="s">
        <v>777</v>
      </c>
      <c r="AQ349" s="40" t="s">
        <v>0</v>
      </c>
      <c r="AR349" s="54"/>
      <c r="AS349" s="1" t="s">
        <v>1120</v>
      </c>
      <c r="AT349" s="1" t="s">
        <v>1121</v>
      </c>
      <c r="AU349" s="1" t="s">
        <v>1155</v>
      </c>
      <c r="AV349" s="1" t="s">
        <v>131</v>
      </c>
      <c r="AW349" s="1"/>
      <c r="AX349" s="1"/>
      <c r="AY349" s="1"/>
      <c r="AZ349" s="1"/>
      <c r="BA349" s="1"/>
      <c r="BB349" s="1"/>
      <c r="BC349" s="1"/>
      <c r="BD349" s="1"/>
    </row>
    <row r="350" ht="11.25" customHeight="1">
      <c r="A350" s="1" t="b">
        <v>1</v>
      </c>
      <c r="B350" s="1" t="s">
        <v>1814</v>
      </c>
      <c r="C350" s="1" t="s">
        <v>1815</v>
      </c>
      <c r="D350" s="1" t="s">
        <v>1109</v>
      </c>
      <c r="E350" s="1"/>
      <c r="F350" s="1"/>
      <c r="G350" s="1" t="s">
        <v>220</v>
      </c>
      <c r="H350" s="1"/>
      <c r="I350" s="1" t="s">
        <v>1212</v>
      </c>
      <c r="J350" s="1" t="s">
        <v>69</v>
      </c>
      <c r="K350" s="1" t="s">
        <v>249</v>
      </c>
      <c r="L350" s="19" t="s">
        <v>0</v>
      </c>
      <c r="M350" s="1" t="b">
        <v>0</v>
      </c>
      <c r="N350" s="1" t="b">
        <v>1</v>
      </c>
      <c r="O350" s="19">
        <v>2400.0</v>
      </c>
      <c r="P350" s="20">
        <v>2.08</v>
      </c>
      <c r="Q350" s="20">
        <v>1153.85</v>
      </c>
      <c r="R350" s="21">
        <v>0.5512414958616805</v>
      </c>
      <c r="S350" s="1" t="s">
        <v>242</v>
      </c>
      <c r="T350" s="1" t="s">
        <v>0</v>
      </c>
      <c r="U350" s="1" t="s">
        <v>81</v>
      </c>
      <c r="V350" s="1" t="s">
        <v>81</v>
      </c>
      <c r="W350" s="1" t="s">
        <v>0</v>
      </c>
      <c r="X350" s="1" t="s">
        <v>0</v>
      </c>
      <c r="Y350" s="22" t="str">
        <f t="shared" si="3"/>
        <v>UPDATE</v>
      </c>
      <c r="Z350" s="20" t="str">
        <f>_xlfn.XLOOKUP($B350,[1]F27!$C:$C,[1]F27!$BV:$BV)</f>
        <v>#ERROR!</v>
      </c>
      <c r="AA350" s="1"/>
      <c r="AB350" s="1"/>
      <c r="AC350" s="23"/>
      <c r="AD350" s="1" t="str">
        <f>_xlfn.XLOOKUP($B350,[1]F27!$C:$C,[1]F27!$Y:$Y)</f>
        <v>#ERROR!</v>
      </c>
      <c r="AE350" s="1" t="str">
        <f>_xlfn.XLOOKUP($B350,[1]F27!$C:$C,[1]F27!$Z:$Z)</f>
        <v>#ERROR!</v>
      </c>
      <c r="AF350" s="1" t="str">
        <f>_xlfn.XLOOKUP($B350,[2]PRICING!$B:$B,[2]PRICING!$B:$B,"MISSING")</f>
        <v>#ERROR!</v>
      </c>
      <c r="AG350" s="1" t="str">
        <f>COUNTIFS([2]ACTIVE_SCO!$B:$B,$B350,[2]ACTIVE_SCO!$P:$P,"Y")</f>
        <v>#ERROR!</v>
      </c>
      <c r="AH350" s="1"/>
      <c r="AI350" s="37" t="s">
        <v>157</v>
      </c>
      <c r="AJ350" s="38" t="s">
        <v>2115</v>
      </c>
      <c r="AK350" s="39"/>
      <c r="AL350" s="39"/>
      <c r="AM350" s="1" t="s">
        <v>86</v>
      </c>
      <c r="AN350" s="40" t="s">
        <v>1641</v>
      </c>
      <c r="AO350" s="41" t="s">
        <v>226</v>
      </c>
      <c r="AP350" s="41" t="s">
        <v>1641</v>
      </c>
      <c r="AQ350" s="40" t="s">
        <v>0</v>
      </c>
      <c r="AR350" s="39"/>
      <c r="AS350" s="1" t="s">
        <v>1120</v>
      </c>
      <c r="AT350" s="1" t="s">
        <v>1131</v>
      </c>
      <c r="AU350" s="1" t="s">
        <v>1132</v>
      </c>
      <c r="AV350" s="1" t="s">
        <v>131</v>
      </c>
      <c r="AW350" s="1"/>
      <c r="AX350" s="1"/>
      <c r="AY350" s="1"/>
      <c r="AZ350" s="1"/>
      <c r="BA350" s="1"/>
      <c r="BB350" s="1"/>
      <c r="BC350" s="1"/>
      <c r="BD350" s="1"/>
    </row>
    <row r="351" ht="11.25" customHeight="1">
      <c r="A351" s="1" t="b">
        <v>1</v>
      </c>
      <c r="B351" s="1" t="s">
        <v>1382</v>
      </c>
      <c r="C351" s="1" t="s">
        <v>1383</v>
      </c>
      <c r="D351" s="1" t="s">
        <v>1109</v>
      </c>
      <c r="E351" s="1"/>
      <c r="F351" s="1"/>
      <c r="G351" s="1" t="s">
        <v>66</v>
      </c>
      <c r="H351" s="1"/>
      <c r="I351" s="1" t="s">
        <v>1162</v>
      </c>
      <c r="J351" s="1" t="s">
        <v>69</v>
      </c>
      <c r="K351" s="1" t="s">
        <v>249</v>
      </c>
      <c r="L351" s="19" t="s">
        <v>0</v>
      </c>
      <c r="M351" s="1" t="b">
        <v>1</v>
      </c>
      <c r="N351" s="1" t="b">
        <v>0</v>
      </c>
      <c r="O351" s="19">
        <v>1100.0</v>
      </c>
      <c r="P351" s="20">
        <v>2.08</v>
      </c>
      <c r="Q351" s="20">
        <v>528.85</v>
      </c>
      <c r="R351" s="21">
        <v>0.5656613406447953</v>
      </c>
      <c r="S351" s="1" t="s">
        <v>117</v>
      </c>
      <c r="T351" s="1" t="s">
        <v>0</v>
      </c>
      <c r="U351" s="1" t="s">
        <v>81</v>
      </c>
      <c r="V351" s="1" t="s">
        <v>81</v>
      </c>
      <c r="W351" s="1" t="s">
        <v>0</v>
      </c>
      <c r="X351" s="1" t="s">
        <v>0</v>
      </c>
      <c r="Y351" s="22" t="str">
        <f t="shared" si="3"/>
        <v>CO</v>
      </c>
      <c r="Z351" s="20" t="str">
        <f>_xlfn.XLOOKUP($B351,[1]F27!$C:$C,[1]F27!$BV:$BV)</f>
        <v>#ERROR!</v>
      </c>
      <c r="AA351" s="1"/>
      <c r="AB351" s="1"/>
      <c r="AC351" s="23"/>
      <c r="AD351" s="1" t="str">
        <f>_xlfn.XLOOKUP($B351,[1]F27!$C:$C,[1]F27!$Y:$Y)</f>
        <v>#ERROR!</v>
      </c>
      <c r="AE351" s="1" t="str">
        <f>_xlfn.XLOOKUP($B351,[1]F27!$C:$C,[1]F27!$Z:$Z)</f>
        <v>#ERROR!</v>
      </c>
      <c r="AF351" s="1" t="str">
        <f>_xlfn.XLOOKUP($B351,[2]PRICING!$B:$B,[2]PRICING!$B:$B,"MISSING")</f>
        <v>#ERROR!</v>
      </c>
      <c r="AG351" s="1" t="str">
        <f>COUNTIFS([2]ACTIVE_SCO!$B:$B,$B351,[2]ACTIVE_SCO!$P:$P,"Y")</f>
        <v>#ERROR!</v>
      </c>
      <c r="AH351" s="1"/>
      <c r="AI351" s="37" t="s">
        <v>157</v>
      </c>
      <c r="AJ351" s="23"/>
      <c r="AK351" s="39"/>
      <c r="AL351" s="39"/>
      <c r="AM351" s="1" t="s">
        <v>125</v>
      </c>
      <c r="AN351" s="40" t="s">
        <v>174</v>
      </c>
      <c r="AO351" s="41" t="s">
        <v>86</v>
      </c>
      <c r="AP351" s="41" t="s">
        <v>169</v>
      </c>
      <c r="AQ351" s="40" t="s">
        <v>0</v>
      </c>
      <c r="AR351" s="39"/>
      <c r="AS351" s="1" t="s">
        <v>1120</v>
      </c>
      <c r="AT351" s="1" t="s">
        <v>1121</v>
      </c>
      <c r="AU351" s="1" t="s">
        <v>1155</v>
      </c>
      <c r="AV351" s="1" t="s">
        <v>131</v>
      </c>
      <c r="AW351" s="1"/>
      <c r="AX351" s="1"/>
      <c r="AY351" s="1"/>
      <c r="AZ351" s="1"/>
      <c r="BA351" s="1"/>
      <c r="BB351" s="1"/>
      <c r="BC351" s="1"/>
      <c r="BD351" s="1"/>
    </row>
    <row r="352" ht="11.25" customHeight="1">
      <c r="A352" s="1" t="b">
        <v>1</v>
      </c>
      <c r="B352" s="1" t="s">
        <v>1386</v>
      </c>
      <c r="C352" s="1" t="s">
        <v>1387</v>
      </c>
      <c r="D352" s="1" t="s">
        <v>1109</v>
      </c>
      <c r="E352" s="1"/>
      <c r="F352" s="1"/>
      <c r="G352" s="1" t="s">
        <v>66</v>
      </c>
      <c r="H352" s="1"/>
      <c r="I352" s="1" t="s">
        <v>1162</v>
      </c>
      <c r="J352" s="1" t="s">
        <v>69</v>
      </c>
      <c r="K352" s="1" t="s">
        <v>249</v>
      </c>
      <c r="L352" s="19" t="s">
        <v>0</v>
      </c>
      <c r="M352" s="1" t="b">
        <v>1</v>
      </c>
      <c r="N352" s="1" t="b">
        <v>0</v>
      </c>
      <c r="O352" s="19">
        <v>1300.0</v>
      </c>
      <c r="P352" s="20">
        <v>2.08</v>
      </c>
      <c r="Q352" s="20">
        <v>625.0</v>
      </c>
      <c r="R352" s="21">
        <v>0.611488</v>
      </c>
      <c r="S352" s="1" t="s">
        <v>117</v>
      </c>
      <c r="T352" s="1" t="s">
        <v>0</v>
      </c>
      <c r="U352" s="1" t="s">
        <v>81</v>
      </c>
      <c r="V352" s="1" t="s">
        <v>81</v>
      </c>
      <c r="W352" s="1" t="s">
        <v>0</v>
      </c>
      <c r="X352" s="1" t="s">
        <v>0</v>
      </c>
      <c r="Y352" s="22" t="str">
        <f t="shared" si="3"/>
        <v>CO</v>
      </c>
      <c r="Z352" s="20" t="str">
        <f>_xlfn.XLOOKUP($B352,[1]F27!$C:$C,[1]F27!$BV:$BV)</f>
        <v>#ERROR!</v>
      </c>
      <c r="AA352" s="1"/>
      <c r="AB352" s="1"/>
      <c r="AC352" s="23"/>
      <c r="AD352" s="1" t="str">
        <f>_xlfn.XLOOKUP($B352,[1]F27!$C:$C,[1]F27!$Y:$Y)</f>
        <v>#ERROR!</v>
      </c>
      <c r="AE352" s="1" t="str">
        <f>_xlfn.XLOOKUP($B352,[1]F27!$C:$C,[1]F27!$Z:$Z)</f>
        <v>#ERROR!</v>
      </c>
      <c r="AF352" s="1" t="str">
        <f>_xlfn.XLOOKUP($B352,[2]PRICING!$B:$B,[2]PRICING!$B:$B,"MISSING")</f>
        <v>#ERROR!</v>
      </c>
      <c r="AG352" s="1" t="str">
        <f>COUNTIFS([2]ACTIVE_SCO!$B:$B,$B352,[2]ACTIVE_SCO!$P:$P,"Y")</f>
        <v>#ERROR!</v>
      </c>
      <c r="AH352" s="1"/>
      <c r="AI352" s="37" t="s">
        <v>157</v>
      </c>
      <c r="AJ352" s="23"/>
      <c r="AK352" s="39"/>
      <c r="AL352" s="39"/>
      <c r="AM352" s="1" t="s">
        <v>125</v>
      </c>
      <c r="AN352" s="40" t="s">
        <v>174</v>
      </c>
      <c r="AO352" s="41" t="s">
        <v>86</v>
      </c>
      <c r="AP352" s="41" t="s">
        <v>169</v>
      </c>
      <c r="AQ352" s="40" t="s">
        <v>0</v>
      </c>
      <c r="AR352" s="39"/>
      <c r="AS352" s="1" t="s">
        <v>1120</v>
      </c>
      <c r="AT352" s="1" t="s">
        <v>1121</v>
      </c>
      <c r="AU352" s="1" t="s">
        <v>1155</v>
      </c>
      <c r="AV352" s="1" t="s">
        <v>131</v>
      </c>
      <c r="AW352" s="1"/>
      <c r="AX352" s="1"/>
      <c r="AY352" s="1"/>
      <c r="AZ352" s="1"/>
      <c r="BA352" s="1"/>
      <c r="BB352" s="1"/>
      <c r="BC352" s="1"/>
      <c r="BD352" s="1"/>
    </row>
    <row r="353" ht="11.25" customHeight="1">
      <c r="A353" s="1" t="b">
        <v>1</v>
      </c>
      <c r="B353" s="1" t="s">
        <v>1693</v>
      </c>
      <c r="C353" s="1" t="s">
        <v>1694</v>
      </c>
      <c r="D353" s="1" t="s">
        <v>1109</v>
      </c>
      <c r="E353" s="1"/>
      <c r="F353" s="1"/>
      <c r="G353" s="1" t="s">
        <v>247</v>
      </c>
      <c r="H353" s="1"/>
      <c r="I353" s="1" t="s">
        <v>1129</v>
      </c>
      <c r="J353" s="1" t="s">
        <v>69</v>
      </c>
      <c r="K353" s="1" t="s">
        <v>249</v>
      </c>
      <c r="L353" s="1" t="s">
        <v>0</v>
      </c>
      <c r="M353" s="1" t="b">
        <v>0</v>
      </c>
      <c r="N353" s="1" t="b">
        <v>0</v>
      </c>
      <c r="O353" s="19">
        <v>1600.0</v>
      </c>
      <c r="P353" s="20">
        <v>2.08</v>
      </c>
      <c r="Q353" s="20">
        <v>769.23</v>
      </c>
      <c r="R353" s="21">
        <v>0.681031681031681</v>
      </c>
      <c r="S353" s="1" t="s">
        <v>117</v>
      </c>
      <c r="T353" s="1" t="s">
        <v>0</v>
      </c>
      <c r="U353" s="1" t="s">
        <v>81</v>
      </c>
      <c r="V353" s="1" t="s">
        <v>81</v>
      </c>
      <c r="W353" s="1" t="s">
        <v>0</v>
      </c>
      <c r="X353" s="1" t="s">
        <v>0</v>
      </c>
      <c r="Y353" s="22" t="str">
        <f t="shared" si="3"/>
        <v>NEW</v>
      </c>
      <c r="Z353" s="20" t="str">
        <f>_xlfn.XLOOKUP($B353,[1]F27!$C:$C,[1]F27!$BV:$BV)</f>
        <v>#ERROR!</v>
      </c>
      <c r="AA353" s="1"/>
      <c r="AB353" s="1"/>
      <c r="AC353" s="23"/>
      <c r="AD353" s="1" t="str">
        <f>_xlfn.XLOOKUP($B353,[1]F27!$C:$C,[1]F27!$Y:$Y)</f>
        <v>#ERROR!</v>
      </c>
      <c r="AE353" s="1" t="str">
        <f>_xlfn.XLOOKUP($B353,[1]F27!$C:$C,[1]F27!$Z:$Z)</f>
        <v>#ERROR!</v>
      </c>
      <c r="AF353" s="1" t="str">
        <f>_xlfn.XLOOKUP($B353,[2]PRICING!$B:$B,[2]PRICING!$B:$B,"MISSING")</f>
        <v>#ERROR!</v>
      </c>
      <c r="AG353" s="1" t="str">
        <f>COUNTIFS([2]ACTIVE_SCO!$B:$B,$B353,[2]ACTIVE_SCO!$P:$P,"Y")</f>
        <v>#ERROR!</v>
      </c>
      <c r="AH353" s="1"/>
      <c r="AI353" s="37" t="s">
        <v>157</v>
      </c>
      <c r="AJ353" s="23"/>
      <c r="AK353" s="39"/>
      <c r="AL353" s="39"/>
      <c r="AM353" s="1" t="s">
        <v>125</v>
      </c>
      <c r="AN353" s="40" t="s">
        <v>174</v>
      </c>
      <c r="AO353" s="41" t="s">
        <v>776</v>
      </c>
      <c r="AP353" s="41" t="s">
        <v>777</v>
      </c>
      <c r="AQ353" s="40" t="s">
        <v>0</v>
      </c>
      <c r="AR353" s="54"/>
      <c r="AS353" s="1" t="s">
        <v>1186</v>
      </c>
      <c r="AT353" s="1" t="s">
        <v>1968</v>
      </c>
      <c r="AU353" s="1"/>
      <c r="AV353" s="1" t="s">
        <v>131</v>
      </c>
      <c r="AW353" s="1"/>
      <c r="AX353" s="1"/>
      <c r="AY353" s="1"/>
      <c r="AZ353" s="1"/>
      <c r="BA353" s="1"/>
      <c r="BB353" s="1"/>
      <c r="BC353" s="1"/>
      <c r="BD353" s="1"/>
    </row>
    <row r="354" ht="11.25" customHeight="1">
      <c r="A354" s="1" t="b">
        <v>1</v>
      </c>
      <c r="B354" s="1" t="s">
        <v>1127</v>
      </c>
      <c r="C354" s="1" t="s">
        <v>1128</v>
      </c>
      <c r="D354" s="1" t="s">
        <v>1109</v>
      </c>
      <c r="E354" s="1"/>
      <c r="F354" s="1"/>
      <c r="G354" s="1" t="s">
        <v>66</v>
      </c>
      <c r="H354" s="1"/>
      <c r="I354" s="1" t="s">
        <v>1129</v>
      </c>
      <c r="J354" s="1" t="s">
        <v>69</v>
      </c>
      <c r="K354" s="1" t="s">
        <v>249</v>
      </c>
      <c r="L354" s="1" t="s">
        <v>0</v>
      </c>
      <c r="M354" s="1" t="b">
        <v>1</v>
      </c>
      <c r="N354" s="1" t="b">
        <v>0</v>
      </c>
      <c r="O354" s="19">
        <v>1000.0</v>
      </c>
      <c r="P354" s="20">
        <v>2.08</v>
      </c>
      <c r="Q354" s="20">
        <v>480.77</v>
      </c>
      <c r="R354" s="21">
        <v>0.6059446304885912</v>
      </c>
      <c r="S354" s="1" t="s">
        <v>117</v>
      </c>
      <c r="T354" s="1" t="s">
        <v>0</v>
      </c>
      <c r="U354" s="1" t="s">
        <v>81</v>
      </c>
      <c r="V354" s="1" t="s">
        <v>81</v>
      </c>
      <c r="W354" s="1" t="s">
        <v>0</v>
      </c>
      <c r="X354" s="1" t="s">
        <v>0</v>
      </c>
      <c r="Y354" s="22" t="str">
        <f t="shared" si="3"/>
        <v>CO</v>
      </c>
      <c r="Z354" s="20" t="str">
        <f>_xlfn.XLOOKUP($B354,[1]F27!$C:$C,[1]F27!$BV:$BV)</f>
        <v>#ERROR!</v>
      </c>
      <c r="AA354" s="1"/>
      <c r="AB354" s="1"/>
      <c r="AC354" s="23"/>
      <c r="AD354" s="1" t="str">
        <f>_xlfn.XLOOKUP($B354,[1]F27!$C:$C,[1]F27!$Y:$Y)</f>
        <v>#ERROR!</v>
      </c>
      <c r="AE354" s="1" t="str">
        <f>_xlfn.XLOOKUP($B354,[1]F27!$C:$C,[1]F27!$Z:$Z)</f>
        <v>#ERROR!</v>
      </c>
      <c r="AF354" s="1" t="str">
        <f>_xlfn.XLOOKUP($B354,[2]PRICING!$B:$B,[2]PRICING!$B:$B,"MISSING")</f>
        <v>#ERROR!</v>
      </c>
      <c r="AG354" s="1" t="str">
        <f>COUNTIFS([2]ACTIVE_SCO!$B:$B,$B354,[2]ACTIVE_SCO!$P:$P,"Y")</f>
        <v>#ERROR!</v>
      </c>
      <c r="AH354" s="1"/>
      <c r="AI354" s="37" t="s">
        <v>157</v>
      </c>
      <c r="AJ354" s="23"/>
      <c r="AK354" s="39"/>
      <c r="AL354" s="39"/>
      <c r="AM354" s="1" t="s">
        <v>125</v>
      </c>
      <c r="AN354" s="40" t="s">
        <v>174</v>
      </c>
      <c r="AO354" s="41" t="s">
        <v>776</v>
      </c>
      <c r="AP354" s="41" t="s">
        <v>777</v>
      </c>
      <c r="AQ354" s="40" t="s">
        <v>0</v>
      </c>
      <c r="AR354" s="39"/>
      <c r="AS354" s="1" t="s">
        <v>1120</v>
      </c>
      <c r="AT354" s="1" t="s">
        <v>1131</v>
      </c>
      <c r="AU354" s="1" t="s">
        <v>1132</v>
      </c>
      <c r="AV354" s="1" t="s">
        <v>131</v>
      </c>
      <c r="AW354" s="1"/>
      <c r="AX354" s="1"/>
      <c r="AY354" s="1"/>
      <c r="AZ354" s="1"/>
      <c r="BA354" s="1"/>
      <c r="BB354" s="1"/>
      <c r="BC354" s="1"/>
      <c r="BD354" s="1"/>
    </row>
    <row r="355" ht="11.25" customHeight="1">
      <c r="A355" s="1" t="b">
        <v>1</v>
      </c>
      <c r="B355" s="1" t="s">
        <v>1133</v>
      </c>
      <c r="C355" s="1" t="s">
        <v>1134</v>
      </c>
      <c r="D355" s="1" t="s">
        <v>1109</v>
      </c>
      <c r="E355" s="1"/>
      <c r="F355" s="1"/>
      <c r="G355" s="1" t="s">
        <v>66</v>
      </c>
      <c r="H355" s="1"/>
      <c r="I355" s="1" t="s">
        <v>1129</v>
      </c>
      <c r="J355" s="1" t="s">
        <v>69</v>
      </c>
      <c r="K355" s="1" t="s">
        <v>249</v>
      </c>
      <c r="L355" s="1" t="s">
        <v>0</v>
      </c>
      <c r="M355" s="1" t="b">
        <v>1</v>
      </c>
      <c r="N355" s="1" t="b">
        <v>0</v>
      </c>
      <c r="O355" s="19">
        <v>1200.0</v>
      </c>
      <c r="P355" s="20">
        <v>2.08</v>
      </c>
      <c r="Q355" s="20">
        <v>576.92</v>
      </c>
      <c r="R355" s="21">
        <v>0.6464327809748318</v>
      </c>
      <c r="S355" s="1" t="s">
        <v>117</v>
      </c>
      <c r="T355" s="1" t="s">
        <v>0</v>
      </c>
      <c r="U355" s="1" t="s">
        <v>81</v>
      </c>
      <c r="V355" s="1" t="s">
        <v>81</v>
      </c>
      <c r="W355" s="1" t="s">
        <v>0</v>
      </c>
      <c r="X355" s="1" t="s">
        <v>0</v>
      </c>
      <c r="Y355" s="22" t="str">
        <f t="shared" si="3"/>
        <v>CO</v>
      </c>
      <c r="Z355" s="20" t="str">
        <f>_xlfn.XLOOKUP($B355,[1]F27!$C:$C,[1]F27!$BV:$BV)</f>
        <v>#ERROR!</v>
      </c>
      <c r="AA355" s="1"/>
      <c r="AB355" s="1"/>
      <c r="AC355" s="23"/>
      <c r="AD355" s="1" t="str">
        <f>_xlfn.XLOOKUP($B355,[1]F27!$C:$C,[1]F27!$Y:$Y)</f>
        <v>#ERROR!</v>
      </c>
      <c r="AE355" s="1" t="str">
        <f>_xlfn.XLOOKUP($B355,[1]F27!$C:$C,[1]F27!$Z:$Z)</f>
        <v>#ERROR!</v>
      </c>
      <c r="AF355" s="1" t="str">
        <f>_xlfn.XLOOKUP($B355,[2]PRICING!$B:$B,[2]PRICING!$B:$B,"MISSING")</f>
        <v>#ERROR!</v>
      </c>
      <c r="AG355" s="1" t="str">
        <f>COUNTIFS([2]ACTIVE_SCO!$B:$B,$B355,[2]ACTIVE_SCO!$P:$P,"Y")</f>
        <v>#ERROR!</v>
      </c>
      <c r="AH355" s="1"/>
      <c r="AI355" s="37" t="s">
        <v>157</v>
      </c>
      <c r="AJ355" s="23"/>
      <c r="AK355" s="39"/>
      <c r="AL355" s="39"/>
      <c r="AM355" s="1" t="s">
        <v>125</v>
      </c>
      <c r="AN355" s="40" t="s">
        <v>174</v>
      </c>
      <c r="AO355" s="41" t="s">
        <v>776</v>
      </c>
      <c r="AP355" s="41" t="s">
        <v>777</v>
      </c>
      <c r="AQ355" s="40" t="s">
        <v>0</v>
      </c>
      <c r="AR355" s="39"/>
      <c r="AS355" s="1" t="s">
        <v>1120</v>
      </c>
      <c r="AT355" s="1" t="s">
        <v>1131</v>
      </c>
      <c r="AU355" s="1" t="s">
        <v>1139</v>
      </c>
      <c r="AV355" s="1" t="s">
        <v>131</v>
      </c>
      <c r="AW355" s="1"/>
      <c r="AX355" s="1"/>
      <c r="AY355" s="1"/>
      <c r="AZ355" s="1"/>
      <c r="BA355" s="1"/>
      <c r="BB355" s="1"/>
      <c r="BC355" s="1"/>
      <c r="BD355" s="1"/>
    </row>
    <row r="356" ht="11.25" customHeight="1">
      <c r="A356" s="1" t="b">
        <v>1</v>
      </c>
      <c r="B356" s="1" t="s">
        <v>1182</v>
      </c>
      <c r="C356" s="1" t="s">
        <v>1183</v>
      </c>
      <c r="D356" s="1" t="s">
        <v>1109</v>
      </c>
      <c r="E356" s="1"/>
      <c r="F356" s="1"/>
      <c r="G356" s="1" t="s">
        <v>66</v>
      </c>
      <c r="H356" s="1"/>
      <c r="I356" s="1" t="s">
        <v>1129</v>
      </c>
      <c r="J356" s="1" t="s">
        <v>69</v>
      </c>
      <c r="K356" s="1" t="s">
        <v>249</v>
      </c>
      <c r="L356" s="1" t="s">
        <v>0</v>
      </c>
      <c r="M356" s="1" t="b">
        <v>1</v>
      </c>
      <c r="N356" s="1" t="b">
        <v>0</v>
      </c>
      <c r="O356" s="19">
        <v>1700.0</v>
      </c>
      <c r="P356" s="20">
        <v>2.08</v>
      </c>
      <c r="Q356" s="20">
        <v>817.31</v>
      </c>
      <c r="R356" s="21">
        <v>0.563348056429017</v>
      </c>
      <c r="S356" s="1" t="s">
        <v>117</v>
      </c>
      <c r="T356" s="1" t="s">
        <v>0</v>
      </c>
      <c r="U356" s="1" t="s">
        <v>81</v>
      </c>
      <c r="V356" s="1" t="s">
        <v>81</v>
      </c>
      <c r="W356" s="1" t="s">
        <v>0</v>
      </c>
      <c r="X356" s="1" t="s">
        <v>0</v>
      </c>
      <c r="Y356" s="22" t="str">
        <f t="shared" si="3"/>
        <v>CO</v>
      </c>
      <c r="Z356" s="20" t="str">
        <f>_xlfn.XLOOKUP($B356,[1]F27!$C:$C,[1]F27!$BV:$BV)</f>
        <v>#ERROR!</v>
      </c>
      <c r="AA356" s="1"/>
      <c r="AB356" s="1"/>
      <c r="AC356" s="23"/>
      <c r="AD356" s="1" t="str">
        <f>_xlfn.XLOOKUP($B356,[1]F27!$C:$C,[1]F27!$Y:$Y)</f>
        <v>#ERROR!</v>
      </c>
      <c r="AE356" s="1" t="str">
        <f>_xlfn.XLOOKUP($B356,[1]F27!$C:$C,[1]F27!$Z:$Z)</f>
        <v>#ERROR!</v>
      </c>
      <c r="AF356" s="1" t="str">
        <f>_xlfn.XLOOKUP($B356,[2]PRICING!$B:$B,[2]PRICING!$B:$B,"MISSING")</f>
        <v>#ERROR!</v>
      </c>
      <c r="AG356" s="1" t="str">
        <f>COUNTIFS([2]ACTIVE_SCO!$B:$B,$B356,[2]ACTIVE_SCO!$P:$P,"Y")</f>
        <v>#ERROR!</v>
      </c>
      <c r="AH356" s="1"/>
      <c r="AI356" s="37" t="s">
        <v>157</v>
      </c>
      <c r="AJ356" s="23"/>
      <c r="AK356" s="39"/>
      <c r="AL356" s="39"/>
      <c r="AM356" s="1" t="s">
        <v>125</v>
      </c>
      <c r="AN356" s="40" t="s">
        <v>174</v>
      </c>
      <c r="AO356" s="41" t="s">
        <v>776</v>
      </c>
      <c r="AP356" s="41" t="s">
        <v>777</v>
      </c>
      <c r="AQ356" s="40" t="s">
        <v>0</v>
      </c>
      <c r="AR356" s="39"/>
      <c r="AS356" s="1" t="s">
        <v>1186</v>
      </c>
      <c r="AT356" s="1" t="s">
        <v>1187</v>
      </c>
      <c r="AU356" s="1" t="s">
        <v>1139</v>
      </c>
      <c r="AV356" s="1" t="s">
        <v>131</v>
      </c>
      <c r="AW356" s="1"/>
      <c r="AX356" s="1"/>
      <c r="AY356" s="1"/>
      <c r="AZ356" s="1"/>
      <c r="BA356" s="1"/>
      <c r="BB356" s="1"/>
      <c r="BC356" s="1"/>
      <c r="BD356" s="1"/>
    </row>
    <row r="357" ht="11.25" customHeight="1">
      <c r="A357" s="1" t="b">
        <v>1</v>
      </c>
      <c r="B357" s="1" t="s">
        <v>1188</v>
      </c>
      <c r="C357" s="1" t="s">
        <v>1189</v>
      </c>
      <c r="D357" s="1" t="s">
        <v>1109</v>
      </c>
      <c r="E357" s="1"/>
      <c r="F357" s="1"/>
      <c r="G357" s="1" t="s">
        <v>66</v>
      </c>
      <c r="H357" s="1"/>
      <c r="I357" s="1" t="s">
        <v>1129</v>
      </c>
      <c r="J357" s="1" t="s">
        <v>69</v>
      </c>
      <c r="K357" s="1" t="s">
        <v>249</v>
      </c>
      <c r="L357" s="1" t="s">
        <v>0</v>
      </c>
      <c r="M357" s="1" t="b">
        <v>1</v>
      </c>
      <c r="N357" s="1" t="b">
        <v>0</v>
      </c>
      <c r="O357" s="19">
        <v>1300.0</v>
      </c>
      <c r="P357" s="20">
        <v>2.08</v>
      </c>
      <c r="Q357" s="20">
        <v>625.0</v>
      </c>
      <c r="R357" s="21">
        <v>0.59832</v>
      </c>
      <c r="S357" s="1" t="s">
        <v>117</v>
      </c>
      <c r="T357" s="1" t="s">
        <v>0</v>
      </c>
      <c r="U357" s="1" t="s">
        <v>81</v>
      </c>
      <c r="V357" s="1" t="s">
        <v>81</v>
      </c>
      <c r="W357" s="1" t="s">
        <v>0</v>
      </c>
      <c r="X357" s="1" t="s">
        <v>0</v>
      </c>
      <c r="Y357" s="22" t="str">
        <f t="shared" si="3"/>
        <v>CO</v>
      </c>
      <c r="Z357" s="20" t="str">
        <f>_xlfn.XLOOKUP($B357,[1]F27!$C:$C,[1]F27!$BV:$BV)</f>
        <v>#ERROR!</v>
      </c>
      <c r="AA357" s="1"/>
      <c r="AB357" s="1"/>
      <c r="AC357" s="23"/>
      <c r="AD357" s="1" t="str">
        <f>_xlfn.XLOOKUP($B357,[1]F27!$C:$C,[1]F27!$Y:$Y)</f>
        <v>#ERROR!</v>
      </c>
      <c r="AE357" s="1" t="str">
        <f>_xlfn.XLOOKUP($B357,[1]F27!$C:$C,[1]F27!$Z:$Z)</f>
        <v>#ERROR!</v>
      </c>
      <c r="AF357" s="1" t="str">
        <f>_xlfn.XLOOKUP($B357,[2]PRICING!$B:$B,[2]PRICING!$B:$B,"MISSING")</f>
        <v>#ERROR!</v>
      </c>
      <c r="AG357" s="1" t="str">
        <f>COUNTIFS([2]ACTIVE_SCO!$B:$B,$B357,[2]ACTIVE_SCO!$P:$P,"Y")</f>
        <v>#ERROR!</v>
      </c>
      <c r="AH357" s="1"/>
      <c r="AI357" s="37" t="s">
        <v>157</v>
      </c>
      <c r="AJ357" s="23"/>
      <c r="AK357" s="39"/>
      <c r="AL357" s="39"/>
      <c r="AM357" s="1" t="s">
        <v>125</v>
      </c>
      <c r="AN357" s="40" t="s">
        <v>174</v>
      </c>
      <c r="AO357" s="41" t="s">
        <v>776</v>
      </c>
      <c r="AP357" s="41" t="s">
        <v>777</v>
      </c>
      <c r="AQ357" s="40" t="s">
        <v>0</v>
      </c>
      <c r="AR357" s="39"/>
      <c r="AS357" s="1" t="s">
        <v>1186</v>
      </c>
      <c r="AT357" s="1" t="s">
        <v>1187</v>
      </c>
      <c r="AU357" s="1" t="s">
        <v>1155</v>
      </c>
      <c r="AV357" s="1" t="s">
        <v>131</v>
      </c>
      <c r="AW357" s="1"/>
      <c r="AX357" s="1"/>
      <c r="AY357" s="1"/>
      <c r="AZ357" s="1"/>
      <c r="BA357" s="1"/>
      <c r="BB357" s="1"/>
      <c r="BC357" s="1"/>
      <c r="BD357" s="1"/>
    </row>
    <row r="358" ht="11.25" customHeight="1">
      <c r="A358" s="1" t="b">
        <v>1</v>
      </c>
      <c r="B358" s="1" t="s">
        <v>1192</v>
      </c>
      <c r="C358" s="1" t="s">
        <v>1193</v>
      </c>
      <c r="D358" s="1" t="s">
        <v>1109</v>
      </c>
      <c r="E358" s="1"/>
      <c r="F358" s="1"/>
      <c r="G358" s="1" t="s">
        <v>66</v>
      </c>
      <c r="H358" s="1"/>
      <c r="I358" s="1" t="s">
        <v>1129</v>
      </c>
      <c r="J358" s="1" t="s">
        <v>69</v>
      </c>
      <c r="K358" s="1" t="s">
        <v>249</v>
      </c>
      <c r="L358" s="1" t="s">
        <v>0</v>
      </c>
      <c r="M358" s="1" t="b">
        <v>1</v>
      </c>
      <c r="N358" s="1" t="b">
        <v>0</v>
      </c>
      <c r="O358" s="19">
        <v>1400.0</v>
      </c>
      <c r="P358" s="20">
        <v>2.08</v>
      </c>
      <c r="Q358" s="20">
        <v>673.08</v>
      </c>
      <c r="R358" s="21">
        <v>0.5893950199084804</v>
      </c>
      <c r="S358" s="1" t="s">
        <v>117</v>
      </c>
      <c r="T358" s="1" t="s">
        <v>0</v>
      </c>
      <c r="U358" s="1" t="s">
        <v>81</v>
      </c>
      <c r="V358" s="1" t="s">
        <v>81</v>
      </c>
      <c r="W358" s="1" t="s">
        <v>0</v>
      </c>
      <c r="X358" s="1" t="s">
        <v>0</v>
      </c>
      <c r="Y358" s="22" t="str">
        <f t="shared" si="3"/>
        <v>CO</v>
      </c>
      <c r="Z358" s="20" t="str">
        <f>_xlfn.XLOOKUP($B358,[1]F27!$C:$C,[1]F27!$BV:$BV)</f>
        <v>#ERROR!</v>
      </c>
      <c r="AA358" s="1"/>
      <c r="AB358" s="1"/>
      <c r="AC358" s="23"/>
      <c r="AD358" s="1" t="str">
        <f>_xlfn.XLOOKUP($B358,[1]F27!$C:$C,[1]F27!$Y:$Y)</f>
        <v>#ERROR!</v>
      </c>
      <c r="AE358" s="1" t="str">
        <f>_xlfn.XLOOKUP($B358,[1]F27!$C:$C,[1]F27!$Z:$Z)</f>
        <v>#ERROR!</v>
      </c>
      <c r="AF358" s="1" t="str">
        <f>_xlfn.XLOOKUP($B358,[2]PRICING!$B:$B,[2]PRICING!$B:$B,"MISSING")</f>
        <v>#ERROR!</v>
      </c>
      <c r="AG358" s="1" t="str">
        <f>COUNTIFS([2]ACTIVE_SCO!$B:$B,$B358,[2]ACTIVE_SCO!$P:$P,"Y")</f>
        <v>#ERROR!</v>
      </c>
      <c r="AH358" s="1"/>
      <c r="AI358" s="37" t="s">
        <v>157</v>
      </c>
      <c r="AJ358" s="23"/>
      <c r="AK358" s="39"/>
      <c r="AL358" s="39"/>
      <c r="AM358" s="1" t="s">
        <v>125</v>
      </c>
      <c r="AN358" s="40" t="s">
        <v>174</v>
      </c>
      <c r="AO358" s="41" t="s">
        <v>776</v>
      </c>
      <c r="AP358" s="41" t="s">
        <v>777</v>
      </c>
      <c r="AQ358" s="40" t="s">
        <v>0</v>
      </c>
      <c r="AR358" s="39"/>
      <c r="AS358" s="1" t="s">
        <v>1186</v>
      </c>
      <c r="AT358" s="1" t="s">
        <v>1187</v>
      </c>
      <c r="AU358" s="1" t="s">
        <v>1132</v>
      </c>
      <c r="AV358" s="1" t="s">
        <v>131</v>
      </c>
      <c r="AW358" s="1"/>
      <c r="AX358" s="1"/>
      <c r="AY358" s="1"/>
      <c r="AZ358" s="1"/>
      <c r="BA358" s="1"/>
      <c r="BB358" s="1"/>
      <c r="BC358" s="1"/>
      <c r="BD358" s="1"/>
    </row>
    <row r="359" ht="11.25" customHeight="1">
      <c r="A359" s="1" t="b">
        <v>1</v>
      </c>
      <c r="B359" s="1" t="s">
        <v>1194</v>
      </c>
      <c r="C359" s="1" t="s">
        <v>1195</v>
      </c>
      <c r="D359" s="1" t="s">
        <v>1109</v>
      </c>
      <c r="E359" s="1"/>
      <c r="F359" s="1"/>
      <c r="G359" s="1" t="s">
        <v>66</v>
      </c>
      <c r="H359" s="1"/>
      <c r="I359" s="1" t="s">
        <v>1129</v>
      </c>
      <c r="J359" s="1" t="s">
        <v>69</v>
      </c>
      <c r="K359" s="1" t="s">
        <v>249</v>
      </c>
      <c r="L359" s="1" t="s">
        <v>0</v>
      </c>
      <c r="M359" s="1" t="b">
        <v>1</v>
      </c>
      <c r="N359" s="1" t="b">
        <v>0</v>
      </c>
      <c r="O359" s="19">
        <v>1500.0</v>
      </c>
      <c r="P359" s="20">
        <v>2.08</v>
      </c>
      <c r="Q359" s="20">
        <v>721.15</v>
      </c>
      <c r="R359" s="21">
        <v>0.583789780212161</v>
      </c>
      <c r="S359" s="1" t="s">
        <v>117</v>
      </c>
      <c r="T359" s="1" t="s">
        <v>0</v>
      </c>
      <c r="U359" s="1" t="s">
        <v>81</v>
      </c>
      <c r="V359" s="1" t="s">
        <v>81</v>
      </c>
      <c r="W359" s="1" t="s">
        <v>0</v>
      </c>
      <c r="X359" s="1" t="s">
        <v>0</v>
      </c>
      <c r="Y359" s="22" t="str">
        <f t="shared" si="3"/>
        <v>CO</v>
      </c>
      <c r="Z359" s="20" t="str">
        <f>_xlfn.XLOOKUP($B359,[1]F27!$C:$C,[1]F27!$BV:$BV)</f>
        <v>#ERROR!</v>
      </c>
      <c r="AA359" s="1"/>
      <c r="AB359" s="1"/>
      <c r="AC359" s="23"/>
      <c r="AD359" s="1" t="str">
        <f>_xlfn.XLOOKUP($B359,[1]F27!$C:$C,[1]F27!$Y:$Y)</f>
        <v>#ERROR!</v>
      </c>
      <c r="AE359" s="1" t="str">
        <f>_xlfn.XLOOKUP($B359,[1]F27!$C:$C,[1]F27!$Z:$Z)</f>
        <v>#ERROR!</v>
      </c>
      <c r="AF359" s="1" t="str">
        <f>_xlfn.XLOOKUP($B359,[2]PRICING!$B:$B,[2]PRICING!$B:$B,"MISSING")</f>
        <v>#ERROR!</v>
      </c>
      <c r="AG359" s="1" t="str">
        <f>COUNTIFS([2]ACTIVE_SCO!$B:$B,$B359,[2]ACTIVE_SCO!$P:$P,"Y")</f>
        <v>#ERROR!</v>
      </c>
      <c r="AH359" s="1"/>
      <c r="AI359" s="37" t="s">
        <v>157</v>
      </c>
      <c r="AJ359" s="23"/>
      <c r="AK359" s="39"/>
      <c r="AL359" s="39"/>
      <c r="AM359" s="1" t="s">
        <v>125</v>
      </c>
      <c r="AN359" s="40" t="s">
        <v>174</v>
      </c>
      <c r="AO359" s="41" t="s">
        <v>776</v>
      </c>
      <c r="AP359" s="41" t="s">
        <v>777</v>
      </c>
      <c r="AQ359" s="40" t="s">
        <v>0</v>
      </c>
      <c r="AR359" s="39"/>
      <c r="AS359" s="1" t="s">
        <v>1186</v>
      </c>
      <c r="AT359" s="1" t="s">
        <v>1187</v>
      </c>
      <c r="AU359" s="1" t="s">
        <v>1139</v>
      </c>
      <c r="AV359" s="1" t="s">
        <v>131</v>
      </c>
      <c r="AW359" s="1"/>
      <c r="AX359" s="1"/>
      <c r="AY359" s="1"/>
      <c r="AZ359" s="1"/>
      <c r="BA359" s="1"/>
      <c r="BB359" s="1"/>
      <c r="BC359" s="1"/>
      <c r="BD359" s="1"/>
    </row>
    <row r="360" ht="11.25" customHeight="1">
      <c r="A360" s="1" t="b">
        <v>1</v>
      </c>
      <c r="B360" s="1" t="s">
        <v>1201</v>
      </c>
      <c r="C360" s="1" t="s">
        <v>1202</v>
      </c>
      <c r="D360" s="1" t="s">
        <v>1109</v>
      </c>
      <c r="E360" s="1"/>
      <c r="F360" s="1"/>
      <c r="G360" s="1" t="s">
        <v>66</v>
      </c>
      <c r="H360" s="1"/>
      <c r="I360" s="1" t="s">
        <v>1129</v>
      </c>
      <c r="J360" s="1" t="s">
        <v>69</v>
      </c>
      <c r="K360" s="1" t="s">
        <v>249</v>
      </c>
      <c r="L360" s="1" t="s">
        <v>0</v>
      </c>
      <c r="M360" s="1" t="b">
        <v>1</v>
      </c>
      <c r="N360" s="1" t="b">
        <v>0</v>
      </c>
      <c r="O360" s="19">
        <v>1600.0</v>
      </c>
      <c r="P360" s="20">
        <v>2.08</v>
      </c>
      <c r="Q360" s="20">
        <v>769.23</v>
      </c>
      <c r="R360" s="21">
        <v>0.5805935805935805</v>
      </c>
      <c r="S360" s="1" t="s">
        <v>117</v>
      </c>
      <c r="T360" s="1" t="s">
        <v>0</v>
      </c>
      <c r="U360" s="1" t="s">
        <v>81</v>
      </c>
      <c r="V360" s="1" t="s">
        <v>81</v>
      </c>
      <c r="W360" s="1" t="s">
        <v>0</v>
      </c>
      <c r="X360" s="1" t="s">
        <v>0</v>
      </c>
      <c r="Y360" s="22" t="str">
        <f t="shared" si="3"/>
        <v>CO</v>
      </c>
      <c r="Z360" s="20" t="str">
        <f>_xlfn.XLOOKUP($B360,[1]F27!$C:$C,[1]F27!$BV:$BV)</f>
        <v>#ERROR!</v>
      </c>
      <c r="AA360" s="1"/>
      <c r="AB360" s="1"/>
      <c r="AC360" s="23"/>
      <c r="AD360" s="1" t="str">
        <f>_xlfn.XLOOKUP($B360,[1]F27!$C:$C,[1]F27!$Y:$Y)</f>
        <v>#ERROR!</v>
      </c>
      <c r="AE360" s="1" t="str">
        <f>_xlfn.XLOOKUP($B360,[1]F27!$C:$C,[1]F27!$Z:$Z)</f>
        <v>#ERROR!</v>
      </c>
      <c r="AF360" s="1" t="str">
        <f>_xlfn.XLOOKUP($B360,[2]PRICING!$B:$B,[2]PRICING!$B:$B,"MISSING")</f>
        <v>#ERROR!</v>
      </c>
      <c r="AG360" s="1" t="str">
        <f>COUNTIFS([2]ACTIVE_SCO!$B:$B,$B360,[2]ACTIVE_SCO!$P:$P,"Y")</f>
        <v>#ERROR!</v>
      </c>
      <c r="AH360" s="1"/>
      <c r="AI360" s="37" t="s">
        <v>157</v>
      </c>
      <c r="AJ360" s="23"/>
      <c r="AK360" s="39"/>
      <c r="AL360" s="39"/>
      <c r="AM360" s="1" t="s">
        <v>125</v>
      </c>
      <c r="AN360" s="40" t="s">
        <v>174</v>
      </c>
      <c r="AO360" s="41" t="s">
        <v>776</v>
      </c>
      <c r="AP360" s="41" t="s">
        <v>777</v>
      </c>
      <c r="AQ360" s="40" t="s">
        <v>0</v>
      </c>
      <c r="AR360" s="39"/>
      <c r="AS360" s="1" t="s">
        <v>1186</v>
      </c>
      <c r="AT360" s="1" t="s">
        <v>1187</v>
      </c>
      <c r="AU360" s="1" t="s">
        <v>1139</v>
      </c>
      <c r="AV360" s="1" t="s">
        <v>131</v>
      </c>
      <c r="AW360" s="1"/>
      <c r="AX360" s="1"/>
      <c r="AY360" s="1"/>
      <c r="AZ360" s="1"/>
      <c r="BA360" s="1"/>
      <c r="BB360" s="1"/>
      <c r="BC360" s="1"/>
      <c r="BD360" s="1"/>
    </row>
    <row r="361" ht="11.25" customHeight="1">
      <c r="A361" s="1" t="b">
        <v>1</v>
      </c>
      <c r="B361" s="1" t="s">
        <v>1217</v>
      </c>
      <c r="C361" s="1" t="s">
        <v>1218</v>
      </c>
      <c r="D361" s="1" t="s">
        <v>1109</v>
      </c>
      <c r="E361" s="1"/>
      <c r="F361" s="1"/>
      <c r="G361" s="1" t="s">
        <v>66</v>
      </c>
      <c r="H361" s="1"/>
      <c r="I361" s="1" t="s">
        <v>1129</v>
      </c>
      <c r="J361" s="1" t="s">
        <v>69</v>
      </c>
      <c r="K361" s="1" t="s">
        <v>249</v>
      </c>
      <c r="L361" s="1" t="s">
        <v>0</v>
      </c>
      <c r="M361" s="1" t="b">
        <v>1</v>
      </c>
      <c r="N361" s="1" t="b">
        <v>0</v>
      </c>
      <c r="O361" s="19">
        <v>1800.0</v>
      </c>
      <c r="P361" s="20">
        <v>2.08</v>
      </c>
      <c r="Q361" s="20">
        <v>865.38</v>
      </c>
      <c r="R361" s="21">
        <v>0.570812822112829</v>
      </c>
      <c r="S361" s="1" t="s">
        <v>117</v>
      </c>
      <c r="T361" s="1" t="s">
        <v>0</v>
      </c>
      <c r="U361" s="1" t="s">
        <v>81</v>
      </c>
      <c r="V361" s="1" t="s">
        <v>81</v>
      </c>
      <c r="W361" s="1" t="s">
        <v>0</v>
      </c>
      <c r="X361" s="1" t="s">
        <v>0</v>
      </c>
      <c r="Y361" s="22" t="str">
        <f t="shared" si="3"/>
        <v>CO</v>
      </c>
      <c r="Z361" s="20" t="str">
        <f>_xlfn.XLOOKUP($B361,[1]F27!$C:$C,[1]F27!$BV:$BV)</f>
        <v>#ERROR!</v>
      </c>
      <c r="AA361" s="1"/>
      <c r="AB361" s="1"/>
      <c r="AC361" s="23"/>
      <c r="AD361" s="1" t="str">
        <f>_xlfn.XLOOKUP($B361,[1]F27!$C:$C,[1]F27!$Y:$Y)</f>
        <v>#ERROR!</v>
      </c>
      <c r="AE361" s="1" t="str">
        <f>_xlfn.XLOOKUP($B361,[1]F27!$C:$C,[1]F27!$Z:$Z)</f>
        <v>#ERROR!</v>
      </c>
      <c r="AF361" s="1" t="str">
        <f>_xlfn.XLOOKUP($B361,[2]PRICING!$B:$B,[2]PRICING!$B:$B,"MISSING")</f>
        <v>#ERROR!</v>
      </c>
      <c r="AG361" s="1" t="str">
        <f>COUNTIFS([2]ACTIVE_SCO!$B:$B,$B361,[2]ACTIVE_SCO!$P:$P,"Y")</f>
        <v>#ERROR!</v>
      </c>
      <c r="AH361" s="1"/>
      <c r="AI361" s="37" t="s">
        <v>157</v>
      </c>
      <c r="AJ361" s="23"/>
      <c r="AK361" s="39"/>
      <c r="AL361" s="39"/>
      <c r="AM361" s="1" t="s">
        <v>125</v>
      </c>
      <c r="AN361" s="40" t="s">
        <v>174</v>
      </c>
      <c r="AO361" s="41" t="s">
        <v>776</v>
      </c>
      <c r="AP361" s="41" t="s">
        <v>777</v>
      </c>
      <c r="AQ361" s="40" t="s">
        <v>0</v>
      </c>
      <c r="AR361" s="39"/>
      <c r="AS361" s="1" t="s">
        <v>1120</v>
      </c>
      <c r="AT361" s="1" t="s">
        <v>1212</v>
      </c>
      <c r="AU361" s="1" t="s">
        <v>1132</v>
      </c>
      <c r="AV361" s="1" t="s">
        <v>131</v>
      </c>
      <c r="AW361" s="1"/>
      <c r="AX361" s="1"/>
      <c r="AY361" s="1"/>
      <c r="AZ361" s="1"/>
      <c r="BA361" s="1"/>
      <c r="BB361" s="1"/>
      <c r="BC361" s="1"/>
      <c r="BD361" s="1"/>
    </row>
    <row r="362" ht="11.25" customHeight="1">
      <c r="A362" s="1" t="b">
        <v>1</v>
      </c>
      <c r="B362" s="1" t="s">
        <v>1224</v>
      </c>
      <c r="C362" s="1" t="s">
        <v>1225</v>
      </c>
      <c r="D362" s="1" t="s">
        <v>1109</v>
      </c>
      <c r="E362" s="1"/>
      <c r="F362" s="1"/>
      <c r="G362" s="1" t="s">
        <v>66</v>
      </c>
      <c r="H362" s="1"/>
      <c r="I362" s="1" t="s">
        <v>1129</v>
      </c>
      <c r="J362" s="1" t="s">
        <v>69</v>
      </c>
      <c r="K362" s="1" t="s">
        <v>249</v>
      </c>
      <c r="L362" s="1" t="s">
        <v>0</v>
      </c>
      <c r="M362" s="1" t="b">
        <v>1</v>
      </c>
      <c r="N362" s="1" t="b">
        <v>0</v>
      </c>
      <c r="O362" s="19">
        <v>2000.0</v>
      </c>
      <c r="P362" s="20">
        <v>2.08</v>
      </c>
      <c r="Q362" s="20">
        <v>961.54</v>
      </c>
      <c r="R362" s="21">
        <v>0.5657278948353682</v>
      </c>
      <c r="S362" s="1" t="s">
        <v>117</v>
      </c>
      <c r="T362" s="1" t="s">
        <v>0</v>
      </c>
      <c r="U362" s="1" t="s">
        <v>81</v>
      </c>
      <c r="V362" s="1" t="s">
        <v>81</v>
      </c>
      <c r="W362" s="1" t="s">
        <v>0</v>
      </c>
      <c r="X362" s="1" t="s">
        <v>0</v>
      </c>
      <c r="Y362" s="22" t="str">
        <f t="shared" si="3"/>
        <v>CO</v>
      </c>
      <c r="Z362" s="20" t="str">
        <f>_xlfn.XLOOKUP($B362,[1]F27!$C:$C,[1]F27!$BV:$BV)</f>
        <v>#ERROR!</v>
      </c>
      <c r="AA362" s="1"/>
      <c r="AB362" s="1"/>
      <c r="AC362" s="23"/>
      <c r="AD362" s="1" t="str">
        <f>_xlfn.XLOOKUP($B362,[1]F27!$C:$C,[1]F27!$Y:$Y)</f>
        <v>#ERROR!</v>
      </c>
      <c r="AE362" s="1" t="str">
        <f>_xlfn.XLOOKUP($B362,[1]F27!$C:$C,[1]F27!$Z:$Z)</f>
        <v>#ERROR!</v>
      </c>
      <c r="AF362" s="1" t="str">
        <f>_xlfn.XLOOKUP($B362,[2]PRICING!$B:$B,[2]PRICING!$B:$B,"MISSING")</f>
        <v>#ERROR!</v>
      </c>
      <c r="AG362" s="1" t="str">
        <f>COUNTIFS([2]ACTIVE_SCO!$B:$B,$B362,[2]ACTIVE_SCO!$P:$P,"Y")</f>
        <v>#ERROR!</v>
      </c>
      <c r="AH362" s="1"/>
      <c r="AI362" s="37" t="s">
        <v>157</v>
      </c>
      <c r="AJ362" s="23"/>
      <c r="AK362" s="39"/>
      <c r="AL362" s="39"/>
      <c r="AM362" s="1" t="s">
        <v>125</v>
      </c>
      <c r="AN362" s="40" t="s">
        <v>174</v>
      </c>
      <c r="AO362" s="41" t="s">
        <v>776</v>
      </c>
      <c r="AP362" s="41" t="s">
        <v>777</v>
      </c>
      <c r="AQ362" s="40" t="s">
        <v>0</v>
      </c>
      <c r="AR362" s="39"/>
      <c r="AS362" s="1" t="s">
        <v>1120</v>
      </c>
      <c r="AT362" s="1" t="s">
        <v>1212</v>
      </c>
      <c r="AU362" s="1" t="s">
        <v>1139</v>
      </c>
      <c r="AV362" s="1" t="s">
        <v>131</v>
      </c>
      <c r="AW362" s="1"/>
      <c r="AX362" s="1"/>
      <c r="AY362" s="1"/>
      <c r="AZ362" s="1"/>
      <c r="BA362" s="1"/>
      <c r="BB362" s="1"/>
      <c r="BC362" s="1"/>
      <c r="BD362" s="1"/>
    </row>
    <row r="363" ht="11.25" customHeight="1">
      <c r="A363" s="1" t="b">
        <v>1</v>
      </c>
      <c r="B363" s="1" t="s">
        <v>1326</v>
      </c>
      <c r="C363" s="1" t="s">
        <v>1328</v>
      </c>
      <c r="D363" s="1" t="s">
        <v>1109</v>
      </c>
      <c r="E363" s="1"/>
      <c r="F363" s="1"/>
      <c r="G363" s="1" t="s">
        <v>66</v>
      </c>
      <c r="H363" s="1"/>
      <c r="I363" s="1" t="s">
        <v>1129</v>
      </c>
      <c r="J363" s="1" t="s">
        <v>69</v>
      </c>
      <c r="K363" s="1" t="s">
        <v>249</v>
      </c>
      <c r="L363" s="1" t="s">
        <v>0</v>
      </c>
      <c r="M363" s="1" t="b">
        <v>1</v>
      </c>
      <c r="N363" s="1" t="b">
        <v>0</v>
      </c>
      <c r="O363" s="19">
        <v>1300.0</v>
      </c>
      <c r="P363" s="20">
        <v>2.08</v>
      </c>
      <c r="Q363" s="20">
        <v>625.0</v>
      </c>
      <c r="R363" s="21">
        <v>0.587424</v>
      </c>
      <c r="S363" s="1" t="s">
        <v>117</v>
      </c>
      <c r="T363" s="1" t="s">
        <v>0</v>
      </c>
      <c r="U363" s="1" t="s">
        <v>81</v>
      </c>
      <c r="V363" s="1" t="s">
        <v>81</v>
      </c>
      <c r="W363" s="1" t="s">
        <v>0</v>
      </c>
      <c r="X363" s="1" t="s">
        <v>0</v>
      </c>
      <c r="Y363" s="22" t="str">
        <f t="shared" si="3"/>
        <v>CO</v>
      </c>
      <c r="Z363" s="20" t="str">
        <f>_xlfn.XLOOKUP($B363,[1]F27!$C:$C,[1]F27!$BV:$BV)</f>
        <v>#ERROR!</v>
      </c>
      <c r="AA363" s="1"/>
      <c r="AB363" s="1"/>
      <c r="AC363" s="23"/>
      <c r="AD363" s="1" t="str">
        <f>_xlfn.XLOOKUP($B363,[1]F27!$C:$C,[1]F27!$Y:$Y)</f>
        <v>#ERROR!</v>
      </c>
      <c r="AE363" s="1" t="str">
        <f>_xlfn.XLOOKUP($B363,[1]F27!$C:$C,[1]F27!$Z:$Z)</f>
        <v>#ERROR!</v>
      </c>
      <c r="AF363" s="1" t="str">
        <f>_xlfn.XLOOKUP($B363,[2]PRICING!$B:$B,[2]PRICING!$B:$B,"MISSING")</f>
        <v>#ERROR!</v>
      </c>
      <c r="AG363" s="1" t="str">
        <f>COUNTIFS([2]ACTIVE_SCO!$B:$B,$B363,[2]ACTIVE_SCO!$P:$P,"Y")</f>
        <v>#ERROR!</v>
      </c>
      <c r="AH363" s="1"/>
      <c r="AI363" s="37" t="s">
        <v>157</v>
      </c>
      <c r="AJ363" s="23"/>
      <c r="AK363" s="39"/>
      <c r="AL363" s="39"/>
      <c r="AM363" s="1" t="s">
        <v>125</v>
      </c>
      <c r="AN363" s="40" t="s">
        <v>174</v>
      </c>
      <c r="AO363" s="41" t="s">
        <v>776</v>
      </c>
      <c r="AP363" s="41" t="s">
        <v>777</v>
      </c>
      <c r="AQ363" s="40" t="s">
        <v>0</v>
      </c>
      <c r="AR363" s="39"/>
      <c r="AS363" s="1" t="s">
        <v>1186</v>
      </c>
      <c r="AT363" s="1" t="s">
        <v>1187</v>
      </c>
      <c r="AU363" s="1" t="s">
        <v>1132</v>
      </c>
      <c r="AV363" s="1" t="s">
        <v>131</v>
      </c>
      <c r="AW363" s="1"/>
      <c r="AX363" s="1"/>
      <c r="AY363" s="1"/>
      <c r="AZ363" s="1"/>
      <c r="BA363" s="1"/>
      <c r="BB363" s="1"/>
      <c r="BC363" s="1"/>
      <c r="BD363" s="1"/>
    </row>
    <row r="364" ht="11.25" customHeight="1">
      <c r="A364" s="1" t="b">
        <v>1</v>
      </c>
      <c r="B364" s="1" t="s">
        <v>1236</v>
      </c>
      <c r="C364" s="1" t="s">
        <v>1237</v>
      </c>
      <c r="D364" s="1" t="s">
        <v>1109</v>
      </c>
      <c r="E364" s="1"/>
      <c r="F364" s="1"/>
      <c r="G364" s="1" t="s">
        <v>66</v>
      </c>
      <c r="H364" s="1"/>
      <c r="I364" s="1" t="s">
        <v>1110</v>
      </c>
      <c r="J364" s="1" t="s">
        <v>69</v>
      </c>
      <c r="K364" s="1" t="s">
        <v>249</v>
      </c>
      <c r="L364" s="1" t="s">
        <v>0</v>
      </c>
      <c r="M364" s="1" t="b">
        <v>1</v>
      </c>
      <c r="N364" s="1" t="b">
        <v>0</v>
      </c>
      <c r="O364" s="19">
        <v>1300.0</v>
      </c>
      <c r="P364" s="20">
        <v>2.08</v>
      </c>
      <c r="Q364" s="20">
        <v>625.0</v>
      </c>
      <c r="R364" s="21">
        <v>0.598144</v>
      </c>
      <c r="S364" s="1" t="s">
        <v>78</v>
      </c>
      <c r="T364" s="1" t="s">
        <v>0</v>
      </c>
      <c r="U364" s="1" t="s">
        <v>81</v>
      </c>
      <c r="V364" s="1" t="s">
        <v>81</v>
      </c>
      <c r="W364" s="1" t="s">
        <v>0</v>
      </c>
      <c r="X364" s="1" t="s">
        <v>0</v>
      </c>
      <c r="Y364" s="22" t="str">
        <f t="shared" si="3"/>
        <v>CO</v>
      </c>
      <c r="Z364" s="20" t="str">
        <f>_xlfn.XLOOKUP($B364,[1]F27!$C:$C,[1]F27!$BV:$BV)</f>
        <v>#ERROR!</v>
      </c>
      <c r="AA364" s="1"/>
      <c r="AB364" s="1"/>
      <c r="AC364" s="23"/>
      <c r="AD364" s="1" t="str">
        <f>_xlfn.XLOOKUP($B364,[1]F27!$C:$C,[1]F27!$Y:$Y)</f>
        <v>#ERROR!</v>
      </c>
      <c r="AE364" s="1" t="str">
        <f>_xlfn.XLOOKUP($B364,[1]F27!$C:$C,[1]F27!$Z:$Z)</f>
        <v>#ERROR!</v>
      </c>
      <c r="AF364" s="1" t="str">
        <f>_xlfn.XLOOKUP($B364,[2]PRICING!$B:$B,[2]PRICING!$B:$B,"MISSING")</f>
        <v>#ERROR!</v>
      </c>
      <c r="AG364" s="1" t="str">
        <f>COUNTIFS([2]ACTIVE_SCO!$B:$B,$B364,[2]ACTIVE_SCO!$P:$P,"Y")</f>
        <v>#ERROR!</v>
      </c>
      <c r="AH364" s="1"/>
      <c r="AI364" s="37" t="s">
        <v>157</v>
      </c>
      <c r="AJ364" s="23"/>
      <c r="AK364" s="39"/>
      <c r="AL364" s="39"/>
      <c r="AM364" s="1" t="s">
        <v>86</v>
      </c>
      <c r="AN364" s="40" t="s">
        <v>121</v>
      </c>
      <c r="AO364" s="41" t="s">
        <v>86</v>
      </c>
      <c r="AP364" s="41" t="s">
        <v>121</v>
      </c>
      <c r="AQ364" s="40" t="s">
        <v>0</v>
      </c>
      <c r="AR364" s="39"/>
      <c r="AS364" s="1" t="s">
        <v>1112</v>
      </c>
      <c r="AT364" s="1" t="s">
        <v>1113</v>
      </c>
      <c r="AU364" s="1" t="s">
        <v>1114</v>
      </c>
      <c r="AV364" s="1" t="s">
        <v>131</v>
      </c>
      <c r="AW364" s="1"/>
      <c r="AX364" s="1"/>
      <c r="AY364" s="1"/>
      <c r="AZ364" s="1"/>
      <c r="BA364" s="1"/>
      <c r="BB364" s="1"/>
      <c r="BC364" s="1"/>
      <c r="BD364" s="1"/>
    </row>
    <row r="365" ht="11.25" customHeight="1">
      <c r="A365" s="1" t="b">
        <v>1</v>
      </c>
      <c r="B365" s="1" t="s">
        <v>1238</v>
      </c>
      <c r="C365" s="1" t="s">
        <v>1239</v>
      </c>
      <c r="D365" s="1" t="s">
        <v>1109</v>
      </c>
      <c r="E365" s="1"/>
      <c r="F365" s="1"/>
      <c r="G365" s="1" t="s">
        <v>66</v>
      </c>
      <c r="H365" s="1"/>
      <c r="I365" s="1" t="s">
        <v>1110</v>
      </c>
      <c r="J365" s="1" t="s">
        <v>69</v>
      </c>
      <c r="K365" s="1" t="s">
        <v>249</v>
      </c>
      <c r="L365" s="1" t="s">
        <v>0</v>
      </c>
      <c r="M365" s="1" t="b">
        <v>1</v>
      </c>
      <c r="N365" s="1" t="b">
        <v>0</v>
      </c>
      <c r="O365" s="19">
        <v>1500.0</v>
      </c>
      <c r="P365" s="20">
        <v>2.08</v>
      </c>
      <c r="Q365" s="20">
        <v>721.15</v>
      </c>
      <c r="R365" s="21">
        <v>0.6081259100048533</v>
      </c>
      <c r="S365" s="1" t="s">
        <v>78</v>
      </c>
      <c r="T365" s="1" t="s">
        <v>0</v>
      </c>
      <c r="U365" s="1" t="s">
        <v>81</v>
      </c>
      <c r="V365" s="1" t="s">
        <v>81</v>
      </c>
      <c r="W365" s="1" t="s">
        <v>0</v>
      </c>
      <c r="X365" s="1" t="s">
        <v>0</v>
      </c>
      <c r="Y365" s="22" t="str">
        <f t="shared" si="3"/>
        <v>CO</v>
      </c>
      <c r="Z365" s="20" t="str">
        <f>_xlfn.XLOOKUP($B365,[1]F27!$C:$C,[1]F27!$BV:$BV)</f>
        <v>#ERROR!</v>
      </c>
      <c r="AA365" s="1"/>
      <c r="AB365" s="1"/>
      <c r="AC365" s="23"/>
      <c r="AD365" s="1" t="str">
        <f>_xlfn.XLOOKUP($B365,[1]F27!$C:$C,[1]F27!$Y:$Y)</f>
        <v>#ERROR!</v>
      </c>
      <c r="AE365" s="1" t="str">
        <f>_xlfn.XLOOKUP($B365,[1]F27!$C:$C,[1]F27!$Z:$Z)</f>
        <v>#ERROR!</v>
      </c>
      <c r="AF365" s="1" t="str">
        <f>_xlfn.XLOOKUP($B365,[2]PRICING!$B:$B,[2]PRICING!$B:$B,"MISSING")</f>
        <v>#ERROR!</v>
      </c>
      <c r="AG365" s="1" t="str">
        <f>COUNTIFS([2]ACTIVE_SCO!$B:$B,$B365,[2]ACTIVE_SCO!$P:$P,"Y")</f>
        <v>#ERROR!</v>
      </c>
      <c r="AH365" s="1"/>
      <c r="AI365" s="37" t="s">
        <v>157</v>
      </c>
      <c r="AJ365" s="23"/>
      <c r="AK365" s="39"/>
      <c r="AL365" s="39"/>
      <c r="AM365" s="1" t="s">
        <v>86</v>
      </c>
      <c r="AN365" s="40" t="s">
        <v>121</v>
      </c>
      <c r="AO365" s="41" t="s">
        <v>86</v>
      </c>
      <c r="AP365" s="41" t="s">
        <v>121</v>
      </c>
      <c r="AQ365" s="40" t="s">
        <v>0</v>
      </c>
      <c r="AR365" s="39"/>
      <c r="AS365" s="1" t="s">
        <v>1112</v>
      </c>
      <c r="AT365" s="1" t="s">
        <v>1113</v>
      </c>
      <c r="AU365" s="1" t="s">
        <v>1170</v>
      </c>
      <c r="AV365" s="1" t="s">
        <v>131</v>
      </c>
      <c r="AW365" s="1"/>
      <c r="AX365" s="1"/>
      <c r="AY365" s="1"/>
      <c r="AZ365" s="1"/>
      <c r="BA365" s="1"/>
      <c r="BB365" s="1"/>
      <c r="BC365" s="1"/>
      <c r="BD365" s="1"/>
    </row>
    <row r="366" ht="11.25" customHeight="1">
      <c r="A366" s="1" t="b">
        <v>1</v>
      </c>
      <c r="B366" s="1" t="s">
        <v>1241</v>
      </c>
      <c r="C366" s="1" t="s">
        <v>1242</v>
      </c>
      <c r="D366" s="1" t="s">
        <v>1109</v>
      </c>
      <c r="E366" s="1"/>
      <c r="F366" s="1"/>
      <c r="G366" s="1" t="s">
        <v>66</v>
      </c>
      <c r="H366" s="1"/>
      <c r="I366" s="1" t="s">
        <v>1110</v>
      </c>
      <c r="J366" s="1" t="s">
        <v>69</v>
      </c>
      <c r="K366" s="1" t="s">
        <v>1243</v>
      </c>
      <c r="L366" s="1" t="s">
        <v>0</v>
      </c>
      <c r="M366" s="1" t="b">
        <v>1</v>
      </c>
      <c r="N366" s="1" t="b">
        <v>0</v>
      </c>
      <c r="O366" s="19">
        <v>1300.0</v>
      </c>
      <c r="P366" s="20">
        <v>2.08</v>
      </c>
      <c r="Q366" s="20">
        <v>625.0</v>
      </c>
      <c r="R366" s="21">
        <v>0.4735839999999999</v>
      </c>
      <c r="S366" s="1" t="s">
        <v>117</v>
      </c>
      <c r="T366" s="1" t="s">
        <v>0</v>
      </c>
      <c r="U366" s="1" t="s">
        <v>81</v>
      </c>
      <c r="V366" s="1" t="s">
        <v>81</v>
      </c>
      <c r="W366" s="1" t="s">
        <v>0</v>
      </c>
      <c r="X366" s="1" t="s">
        <v>0</v>
      </c>
      <c r="Y366" s="22" t="str">
        <f t="shared" si="3"/>
        <v>CO</v>
      </c>
      <c r="Z366" s="20" t="str">
        <f>_xlfn.XLOOKUP($B366,[1]F27!$C:$C,[1]F27!$BV:$BV)</f>
        <v>#ERROR!</v>
      </c>
      <c r="AA366" s="1"/>
      <c r="AB366" s="1"/>
      <c r="AC366" s="23"/>
      <c r="AD366" s="1" t="str">
        <f>_xlfn.XLOOKUP($B366,[1]F27!$C:$C,[1]F27!$Y:$Y)</f>
        <v>#ERROR!</v>
      </c>
      <c r="AE366" s="1" t="str">
        <f>_xlfn.XLOOKUP($B366,[1]F27!$C:$C,[1]F27!$Z:$Z)</f>
        <v>#ERROR!</v>
      </c>
      <c r="AF366" s="1" t="str">
        <f>_xlfn.XLOOKUP($B366,[2]PRICING!$B:$B,[2]PRICING!$B:$B,"MISSING")</f>
        <v>#ERROR!</v>
      </c>
      <c r="AG366" s="1" t="str">
        <f>COUNTIFS([2]ACTIVE_SCO!$B:$B,$B366,[2]ACTIVE_SCO!$P:$P,"Y")</f>
        <v>#ERROR!</v>
      </c>
      <c r="AH366" s="1"/>
      <c r="AI366" s="37" t="s">
        <v>157</v>
      </c>
      <c r="AJ366" s="23"/>
      <c r="AK366" s="39"/>
      <c r="AL366" s="39"/>
      <c r="AM366" s="1" t="s">
        <v>86</v>
      </c>
      <c r="AN366" s="40" t="s">
        <v>121</v>
      </c>
      <c r="AO366" s="41" t="s">
        <v>86</v>
      </c>
      <c r="AP366" s="41" t="s">
        <v>121</v>
      </c>
      <c r="AQ366" s="40" t="s">
        <v>0</v>
      </c>
      <c r="AR366" s="39"/>
      <c r="AS366" s="1" t="s">
        <v>1112</v>
      </c>
      <c r="AT366" s="1" t="s">
        <v>1113</v>
      </c>
      <c r="AU366" s="1" t="s">
        <v>1244</v>
      </c>
      <c r="AV366" s="1" t="s">
        <v>131</v>
      </c>
      <c r="AW366" s="1"/>
      <c r="AX366" s="1"/>
      <c r="AY366" s="1"/>
      <c r="AZ366" s="1"/>
      <c r="BA366" s="1"/>
      <c r="BB366" s="1"/>
      <c r="BC366" s="1"/>
      <c r="BD366" s="1"/>
    </row>
    <row r="367" ht="11.25" customHeight="1">
      <c r="A367" s="1" t="b">
        <v>1</v>
      </c>
      <c r="B367" s="1" t="s">
        <v>1248</v>
      </c>
      <c r="C367" s="1" t="s">
        <v>1249</v>
      </c>
      <c r="D367" s="1" t="s">
        <v>1109</v>
      </c>
      <c r="E367" s="1"/>
      <c r="F367" s="1"/>
      <c r="G367" s="1" t="s">
        <v>66</v>
      </c>
      <c r="H367" s="1"/>
      <c r="I367" s="1" t="s">
        <v>1110</v>
      </c>
      <c r="J367" s="1" t="s">
        <v>69</v>
      </c>
      <c r="K367" s="1" t="s">
        <v>249</v>
      </c>
      <c r="L367" s="1" t="s">
        <v>0</v>
      </c>
      <c r="M367" s="1" t="b">
        <v>1</v>
      </c>
      <c r="N367" s="1" t="b">
        <v>0</v>
      </c>
      <c r="O367" s="19">
        <v>1500.0</v>
      </c>
      <c r="P367" s="20">
        <v>2.08</v>
      </c>
      <c r="Q367" s="20">
        <v>721.15</v>
      </c>
      <c r="R367" s="21">
        <v>0.6157387506066698</v>
      </c>
      <c r="S367" s="1" t="s">
        <v>117</v>
      </c>
      <c r="T367" s="1" t="s">
        <v>0</v>
      </c>
      <c r="U367" s="1" t="s">
        <v>81</v>
      </c>
      <c r="V367" s="1" t="s">
        <v>81</v>
      </c>
      <c r="W367" s="1" t="s">
        <v>0</v>
      </c>
      <c r="X367" s="1" t="s">
        <v>0</v>
      </c>
      <c r="Y367" s="22" t="str">
        <f t="shared" si="3"/>
        <v>CO</v>
      </c>
      <c r="Z367" s="20" t="str">
        <f>_xlfn.XLOOKUP($B367,[1]F27!$C:$C,[1]F27!$BV:$BV)</f>
        <v>#ERROR!</v>
      </c>
      <c r="AA367" s="1"/>
      <c r="AB367" s="1"/>
      <c r="AC367" s="23"/>
      <c r="AD367" s="1" t="str">
        <f>_xlfn.XLOOKUP($B367,[1]F27!$C:$C,[1]F27!$Y:$Y)</f>
        <v>#ERROR!</v>
      </c>
      <c r="AE367" s="1" t="str">
        <f>_xlfn.XLOOKUP($B367,[1]F27!$C:$C,[1]F27!$Z:$Z)</f>
        <v>#ERROR!</v>
      </c>
      <c r="AF367" s="1" t="str">
        <f>_xlfn.XLOOKUP($B367,[2]PRICING!$B:$B,[2]PRICING!$B:$B,"MISSING")</f>
        <v>#ERROR!</v>
      </c>
      <c r="AG367" s="1" t="str">
        <f>COUNTIFS([2]ACTIVE_SCO!$B:$B,$B367,[2]ACTIVE_SCO!$P:$P,"Y")</f>
        <v>#ERROR!</v>
      </c>
      <c r="AH367" s="1"/>
      <c r="AI367" s="37" t="s">
        <v>157</v>
      </c>
      <c r="AJ367" s="23"/>
      <c r="AK367" s="39"/>
      <c r="AL367" s="39"/>
      <c r="AM367" s="1" t="s">
        <v>86</v>
      </c>
      <c r="AN367" s="40" t="s">
        <v>121</v>
      </c>
      <c r="AO367" s="41" t="s">
        <v>86</v>
      </c>
      <c r="AP367" s="41" t="s">
        <v>121</v>
      </c>
      <c r="AQ367" s="40" t="s">
        <v>0</v>
      </c>
      <c r="AR367" s="39"/>
      <c r="AS367" s="1" t="s">
        <v>1112</v>
      </c>
      <c r="AT367" s="1" t="s">
        <v>1113</v>
      </c>
      <c r="AU367" s="1" t="s">
        <v>1170</v>
      </c>
      <c r="AV367" s="1" t="s">
        <v>131</v>
      </c>
      <c r="AW367" s="1"/>
      <c r="AX367" s="1"/>
      <c r="AY367" s="1"/>
      <c r="AZ367" s="1"/>
      <c r="BA367" s="1"/>
      <c r="BB367" s="1"/>
      <c r="BC367" s="1"/>
      <c r="BD367" s="1"/>
    </row>
    <row r="368" ht="11.25" customHeight="1">
      <c r="A368" s="1" t="b">
        <v>1</v>
      </c>
      <c r="B368" s="1" t="s">
        <v>1251</v>
      </c>
      <c r="C368" s="1" t="s">
        <v>1252</v>
      </c>
      <c r="D368" s="1" t="s">
        <v>1109</v>
      </c>
      <c r="E368" s="1"/>
      <c r="F368" s="1"/>
      <c r="G368" s="1" t="s">
        <v>66</v>
      </c>
      <c r="H368" s="1"/>
      <c r="I368" s="1" t="s">
        <v>1110</v>
      </c>
      <c r="J368" s="1" t="s">
        <v>69</v>
      </c>
      <c r="K368" s="1" t="s">
        <v>249</v>
      </c>
      <c r="L368" s="1" t="s">
        <v>0</v>
      </c>
      <c r="M368" s="1" t="b">
        <v>1</v>
      </c>
      <c r="N368" s="1" t="b">
        <v>0</v>
      </c>
      <c r="O368" s="19">
        <v>1800.0</v>
      </c>
      <c r="P368" s="20">
        <v>2.08</v>
      </c>
      <c r="Q368" s="20">
        <v>865.38</v>
      </c>
      <c r="R368" s="21">
        <v>0.5967436270771221</v>
      </c>
      <c r="S368" s="1" t="s">
        <v>117</v>
      </c>
      <c r="T368" s="1" t="s">
        <v>0</v>
      </c>
      <c r="U368" s="1" t="s">
        <v>81</v>
      </c>
      <c r="V368" s="1" t="s">
        <v>81</v>
      </c>
      <c r="W368" s="1" t="s">
        <v>0</v>
      </c>
      <c r="X368" s="1" t="s">
        <v>0</v>
      </c>
      <c r="Y368" s="22" t="str">
        <f t="shared" si="3"/>
        <v>CO</v>
      </c>
      <c r="Z368" s="20" t="str">
        <f>_xlfn.XLOOKUP($B368,[1]F27!$C:$C,[1]F27!$BV:$BV)</f>
        <v>#ERROR!</v>
      </c>
      <c r="AA368" s="1"/>
      <c r="AB368" s="1"/>
      <c r="AC368" s="23"/>
      <c r="AD368" s="1" t="str">
        <f>_xlfn.XLOOKUP($B368,[1]F27!$C:$C,[1]F27!$Y:$Y)</f>
        <v>#ERROR!</v>
      </c>
      <c r="AE368" s="1" t="str">
        <f>_xlfn.XLOOKUP($B368,[1]F27!$C:$C,[1]F27!$Z:$Z)</f>
        <v>#ERROR!</v>
      </c>
      <c r="AF368" s="1" t="str">
        <f>_xlfn.XLOOKUP($B368,[2]PRICING!$B:$B,[2]PRICING!$B:$B,"MISSING")</f>
        <v>#ERROR!</v>
      </c>
      <c r="AG368" s="1" t="str">
        <f>COUNTIFS([2]ACTIVE_SCO!$B:$B,$B368,[2]ACTIVE_SCO!$P:$P,"Y")</f>
        <v>#ERROR!</v>
      </c>
      <c r="AH368" s="1"/>
      <c r="AI368" s="37" t="s">
        <v>157</v>
      </c>
      <c r="AJ368" s="23"/>
      <c r="AK368" s="39"/>
      <c r="AL368" s="39"/>
      <c r="AM368" s="1" t="s">
        <v>86</v>
      </c>
      <c r="AN368" s="40" t="s">
        <v>121</v>
      </c>
      <c r="AO368" s="41" t="s">
        <v>86</v>
      </c>
      <c r="AP368" s="41" t="s">
        <v>121</v>
      </c>
      <c r="AQ368" s="40" t="s">
        <v>0</v>
      </c>
      <c r="AR368" s="39"/>
      <c r="AS368" s="1" t="s">
        <v>1112</v>
      </c>
      <c r="AT368" s="1" t="s">
        <v>1113</v>
      </c>
      <c r="AU368" s="1" t="s">
        <v>1253</v>
      </c>
      <c r="AV368" s="1" t="s">
        <v>131</v>
      </c>
      <c r="AW368" s="1"/>
      <c r="AX368" s="1"/>
      <c r="AY368" s="1"/>
      <c r="AZ368" s="1"/>
      <c r="BA368" s="1"/>
      <c r="BB368" s="1"/>
      <c r="BC368" s="1"/>
      <c r="BD368" s="1"/>
    </row>
    <row r="369" ht="11.25" customHeight="1">
      <c r="A369" s="1" t="b">
        <v>1</v>
      </c>
      <c r="B369" s="1" t="s">
        <v>1255</v>
      </c>
      <c r="C369" s="1" t="s">
        <v>1256</v>
      </c>
      <c r="D369" s="1" t="s">
        <v>1109</v>
      </c>
      <c r="E369" s="1"/>
      <c r="F369" s="1"/>
      <c r="G369" s="1" t="s">
        <v>66</v>
      </c>
      <c r="H369" s="1"/>
      <c r="I369" s="1" t="s">
        <v>1110</v>
      </c>
      <c r="J369" s="1" t="s">
        <v>69</v>
      </c>
      <c r="K369" s="1" t="s">
        <v>249</v>
      </c>
      <c r="L369" s="1" t="s">
        <v>0</v>
      </c>
      <c r="M369" s="1" t="b">
        <v>1</v>
      </c>
      <c r="N369" s="1" t="b">
        <v>0</v>
      </c>
      <c r="O369" s="19">
        <v>2200.0</v>
      </c>
      <c r="P369" s="20">
        <v>2.08</v>
      </c>
      <c r="Q369" s="20">
        <v>1057.69</v>
      </c>
      <c r="R369" s="21">
        <v>0.6049504108008963</v>
      </c>
      <c r="S369" s="1" t="s">
        <v>117</v>
      </c>
      <c r="T369" s="1" t="s">
        <v>0</v>
      </c>
      <c r="U369" s="1" t="s">
        <v>81</v>
      </c>
      <c r="V369" s="1" t="s">
        <v>81</v>
      </c>
      <c r="W369" s="1" t="s">
        <v>0</v>
      </c>
      <c r="X369" s="1" t="s">
        <v>0</v>
      </c>
      <c r="Y369" s="22" t="str">
        <f t="shared" si="3"/>
        <v>CO</v>
      </c>
      <c r="Z369" s="20" t="str">
        <f>_xlfn.XLOOKUP($B369,[1]F27!$C:$C,[1]F27!$BV:$BV)</f>
        <v>#ERROR!</v>
      </c>
      <c r="AA369" s="1"/>
      <c r="AB369" s="1"/>
      <c r="AC369" s="23"/>
      <c r="AD369" s="1" t="str">
        <f>_xlfn.XLOOKUP($B369,[1]F27!$C:$C,[1]F27!$Y:$Y)</f>
        <v>#ERROR!</v>
      </c>
      <c r="AE369" s="1" t="str">
        <f>_xlfn.XLOOKUP($B369,[1]F27!$C:$C,[1]F27!$Z:$Z)</f>
        <v>#ERROR!</v>
      </c>
      <c r="AF369" s="1" t="str">
        <f>_xlfn.XLOOKUP($B369,[2]PRICING!$B:$B,[2]PRICING!$B:$B,"MISSING")</f>
        <v>#ERROR!</v>
      </c>
      <c r="AG369" s="1" t="str">
        <f>COUNTIFS([2]ACTIVE_SCO!$B:$B,$B369,[2]ACTIVE_SCO!$P:$P,"Y")</f>
        <v>#ERROR!</v>
      </c>
      <c r="AH369" s="1"/>
      <c r="AI369" s="37" t="s">
        <v>157</v>
      </c>
      <c r="AJ369" s="23"/>
      <c r="AK369" s="39"/>
      <c r="AL369" s="39"/>
      <c r="AM369" s="1" t="s">
        <v>86</v>
      </c>
      <c r="AN369" s="40" t="s">
        <v>121</v>
      </c>
      <c r="AO369" s="41" t="s">
        <v>86</v>
      </c>
      <c r="AP369" s="41" t="s">
        <v>121</v>
      </c>
      <c r="AQ369" s="40" t="s">
        <v>0</v>
      </c>
      <c r="AR369" s="39"/>
      <c r="AS369" s="1" t="s">
        <v>1112</v>
      </c>
      <c r="AT369" s="1" t="s">
        <v>1113</v>
      </c>
      <c r="AU369" s="1" t="s">
        <v>1258</v>
      </c>
      <c r="AV369" s="1" t="s">
        <v>131</v>
      </c>
      <c r="AW369" s="1"/>
      <c r="AX369" s="1"/>
      <c r="AY369" s="1"/>
      <c r="AZ369" s="1"/>
      <c r="BA369" s="1"/>
      <c r="BB369" s="1"/>
      <c r="BC369" s="1"/>
      <c r="BD369" s="1"/>
    </row>
    <row r="370" ht="11.25" customHeight="1">
      <c r="A370" s="1" t="b">
        <v>1</v>
      </c>
      <c r="B370" s="1" t="s">
        <v>1259</v>
      </c>
      <c r="C370" s="1" t="s">
        <v>1260</v>
      </c>
      <c r="D370" s="1" t="s">
        <v>1109</v>
      </c>
      <c r="E370" s="1"/>
      <c r="F370" s="1"/>
      <c r="G370" s="1" t="s">
        <v>66</v>
      </c>
      <c r="H370" s="1"/>
      <c r="I370" s="1" t="s">
        <v>1110</v>
      </c>
      <c r="J370" s="1" t="s">
        <v>69</v>
      </c>
      <c r="K370" s="1" t="s">
        <v>249</v>
      </c>
      <c r="L370" s="1" t="s">
        <v>0</v>
      </c>
      <c r="M370" s="1" t="b">
        <v>1</v>
      </c>
      <c r="N370" s="1" t="b">
        <v>0</v>
      </c>
      <c r="O370" s="19">
        <v>1700.0</v>
      </c>
      <c r="P370" s="20">
        <v>2.08</v>
      </c>
      <c r="Q370" s="20">
        <v>817.31</v>
      </c>
      <c r="R370" s="21">
        <v>0.620645777000159</v>
      </c>
      <c r="S370" s="1" t="s">
        <v>117</v>
      </c>
      <c r="T370" s="1" t="s">
        <v>0</v>
      </c>
      <c r="U370" s="1" t="s">
        <v>81</v>
      </c>
      <c r="V370" s="1" t="s">
        <v>81</v>
      </c>
      <c r="W370" s="1" t="s">
        <v>0</v>
      </c>
      <c r="X370" s="1" t="s">
        <v>0</v>
      </c>
      <c r="Y370" s="22" t="str">
        <f t="shared" si="3"/>
        <v>CO</v>
      </c>
      <c r="Z370" s="20" t="str">
        <f>_xlfn.XLOOKUP($B370,[1]F27!$C:$C,[1]F27!$BV:$BV)</f>
        <v>#ERROR!</v>
      </c>
      <c r="AA370" s="1"/>
      <c r="AB370" s="1"/>
      <c r="AC370" s="23"/>
      <c r="AD370" s="1" t="str">
        <f>_xlfn.XLOOKUP($B370,[1]F27!$C:$C,[1]F27!$Y:$Y)</f>
        <v>#ERROR!</v>
      </c>
      <c r="AE370" s="1" t="str">
        <f>_xlfn.XLOOKUP($B370,[1]F27!$C:$C,[1]F27!$Z:$Z)</f>
        <v>#ERROR!</v>
      </c>
      <c r="AF370" s="1" t="str">
        <f>_xlfn.XLOOKUP($B370,[2]PRICING!$B:$B,[2]PRICING!$B:$B,"MISSING")</f>
        <v>#ERROR!</v>
      </c>
      <c r="AG370" s="1" t="str">
        <f>COUNTIFS([2]ACTIVE_SCO!$B:$B,$B370,[2]ACTIVE_SCO!$P:$P,"Y")</f>
        <v>#ERROR!</v>
      </c>
      <c r="AH370" s="1"/>
      <c r="AI370" s="37" t="s">
        <v>157</v>
      </c>
      <c r="AJ370" s="23"/>
      <c r="AK370" s="39"/>
      <c r="AL370" s="39"/>
      <c r="AM370" s="1" t="s">
        <v>86</v>
      </c>
      <c r="AN370" s="40" t="s">
        <v>121</v>
      </c>
      <c r="AO370" s="41" t="s">
        <v>86</v>
      </c>
      <c r="AP370" s="41" t="s">
        <v>121</v>
      </c>
      <c r="AQ370" s="40" t="s">
        <v>0</v>
      </c>
      <c r="AR370" s="39"/>
      <c r="AS370" s="1" t="s">
        <v>1112</v>
      </c>
      <c r="AT370" s="1" t="s">
        <v>1113</v>
      </c>
      <c r="AU370" s="1" t="s">
        <v>1170</v>
      </c>
      <c r="AV370" s="1" t="s">
        <v>131</v>
      </c>
      <c r="AW370" s="1"/>
      <c r="AX370" s="1"/>
      <c r="AY370" s="1"/>
      <c r="AZ370" s="1"/>
      <c r="BA370" s="1"/>
      <c r="BB370" s="1"/>
      <c r="BC370" s="1"/>
      <c r="BD370" s="1"/>
    </row>
    <row r="371" ht="11.25" customHeight="1">
      <c r="A371" s="1" t="b">
        <v>1</v>
      </c>
      <c r="B371" s="1" t="s">
        <v>1308</v>
      </c>
      <c r="C371" s="1" t="s">
        <v>1309</v>
      </c>
      <c r="D371" s="1" t="s">
        <v>1109</v>
      </c>
      <c r="E371" s="1"/>
      <c r="F371" s="1"/>
      <c r="G371" s="1" t="s">
        <v>66</v>
      </c>
      <c r="H371" s="1"/>
      <c r="I371" s="1" t="s">
        <v>1110</v>
      </c>
      <c r="J371" s="1" t="s">
        <v>69</v>
      </c>
      <c r="K371" s="1" t="s">
        <v>249</v>
      </c>
      <c r="L371" s="1" t="s">
        <v>0</v>
      </c>
      <c r="M371" s="1" t="b">
        <v>1</v>
      </c>
      <c r="N371" s="1" t="b">
        <v>0</v>
      </c>
      <c r="O371" s="19">
        <v>1600.0</v>
      </c>
      <c r="P371" s="20">
        <v>2.08</v>
      </c>
      <c r="Q371" s="20">
        <v>769.23</v>
      </c>
      <c r="R371" s="21">
        <v>0.6008346008346008</v>
      </c>
      <c r="S371" s="1" t="s">
        <v>117</v>
      </c>
      <c r="T371" s="1" t="s">
        <v>0</v>
      </c>
      <c r="U371" s="1" t="s">
        <v>81</v>
      </c>
      <c r="V371" s="1" t="s">
        <v>81</v>
      </c>
      <c r="W371" s="1" t="s">
        <v>0</v>
      </c>
      <c r="X371" s="1" t="s">
        <v>0</v>
      </c>
      <c r="Y371" s="22" t="str">
        <f t="shared" si="3"/>
        <v>CO</v>
      </c>
      <c r="Z371" s="20" t="str">
        <f>_xlfn.XLOOKUP($B371,[1]F27!$C:$C,[1]F27!$BV:$BV)</f>
        <v>#ERROR!</v>
      </c>
      <c r="AA371" s="1"/>
      <c r="AB371" s="1"/>
      <c r="AC371" s="23"/>
      <c r="AD371" s="1" t="str">
        <f>_xlfn.XLOOKUP($B371,[1]F27!$C:$C,[1]F27!$Y:$Y)</f>
        <v>#ERROR!</v>
      </c>
      <c r="AE371" s="1" t="str">
        <f>_xlfn.XLOOKUP($B371,[1]F27!$C:$C,[1]F27!$Z:$Z)</f>
        <v>#ERROR!</v>
      </c>
      <c r="AF371" s="1" t="str">
        <f>_xlfn.XLOOKUP($B371,[2]PRICING!$B:$B,[2]PRICING!$B:$B,"MISSING")</f>
        <v>#ERROR!</v>
      </c>
      <c r="AG371" s="1" t="str">
        <f>COUNTIFS([2]ACTIVE_SCO!$B:$B,$B371,[2]ACTIVE_SCO!$P:$P,"Y")</f>
        <v>#ERROR!</v>
      </c>
      <c r="AH371" s="1"/>
      <c r="AI371" s="37" t="s">
        <v>157</v>
      </c>
      <c r="AJ371" s="23"/>
      <c r="AK371" s="39"/>
      <c r="AL371" s="39"/>
      <c r="AM371" s="1" t="s">
        <v>86</v>
      </c>
      <c r="AN371" s="40" t="s">
        <v>121</v>
      </c>
      <c r="AO371" s="41" t="s">
        <v>86</v>
      </c>
      <c r="AP371" s="41" t="s">
        <v>121</v>
      </c>
      <c r="AQ371" s="40" t="s">
        <v>0</v>
      </c>
      <c r="AR371" s="39"/>
      <c r="AS371" s="1" t="s">
        <v>1112</v>
      </c>
      <c r="AT371" s="1" t="s">
        <v>1113</v>
      </c>
      <c r="AU371" s="1" t="s">
        <v>1170</v>
      </c>
      <c r="AV371" s="1" t="s">
        <v>131</v>
      </c>
      <c r="AW371" s="1"/>
      <c r="AX371" s="1"/>
      <c r="AY371" s="1"/>
      <c r="AZ371" s="1"/>
      <c r="BA371" s="1"/>
      <c r="BB371" s="1"/>
      <c r="BC371" s="1"/>
      <c r="BD371" s="1"/>
    </row>
    <row r="372" ht="11.25" customHeight="1">
      <c r="A372" s="1" t="b">
        <v>1</v>
      </c>
      <c r="B372" s="1" t="s">
        <v>1310</v>
      </c>
      <c r="C372" s="1" t="s">
        <v>1311</v>
      </c>
      <c r="D372" s="1" t="s">
        <v>1109</v>
      </c>
      <c r="E372" s="1"/>
      <c r="F372" s="1"/>
      <c r="G372" s="1" t="s">
        <v>66</v>
      </c>
      <c r="H372" s="1"/>
      <c r="I372" s="1" t="s">
        <v>1110</v>
      </c>
      <c r="J372" s="1" t="s">
        <v>69</v>
      </c>
      <c r="K372" s="1" t="s">
        <v>249</v>
      </c>
      <c r="L372" s="1" t="s">
        <v>0</v>
      </c>
      <c r="M372" s="1" t="b">
        <v>1</v>
      </c>
      <c r="N372" s="1" t="b">
        <v>0</v>
      </c>
      <c r="O372" s="19">
        <v>1500.0</v>
      </c>
      <c r="P372" s="20">
        <v>2.08</v>
      </c>
      <c r="Q372" s="20">
        <v>721.15</v>
      </c>
      <c r="R372" s="21">
        <v>0.6074325729737224</v>
      </c>
      <c r="S372" s="1" t="s">
        <v>117</v>
      </c>
      <c r="T372" s="1" t="s">
        <v>0</v>
      </c>
      <c r="U372" s="1" t="s">
        <v>81</v>
      </c>
      <c r="V372" s="1" t="s">
        <v>81</v>
      </c>
      <c r="W372" s="1" t="s">
        <v>0</v>
      </c>
      <c r="X372" s="1" t="s">
        <v>0</v>
      </c>
      <c r="Y372" s="22" t="str">
        <f t="shared" si="3"/>
        <v>CO</v>
      </c>
      <c r="Z372" s="20" t="str">
        <f>_xlfn.XLOOKUP($B372,[1]F27!$C:$C,[1]F27!$BV:$BV)</f>
        <v>#ERROR!</v>
      </c>
      <c r="AA372" s="1"/>
      <c r="AB372" s="1"/>
      <c r="AC372" s="23"/>
      <c r="AD372" s="1" t="str">
        <f>_xlfn.XLOOKUP($B372,[1]F27!$C:$C,[1]F27!$Y:$Y)</f>
        <v>#ERROR!</v>
      </c>
      <c r="AE372" s="1" t="str">
        <f>_xlfn.XLOOKUP($B372,[1]F27!$C:$C,[1]F27!$Z:$Z)</f>
        <v>#ERROR!</v>
      </c>
      <c r="AF372" s="1" t="str">
        <f>_xlfn.XLOOKUP($B372,[2]PRICING!$B:$B,[2]PRICING!$B:$B,"MISSING")</f>
        <v>#ERROR!</v>
      </c>
      <c r="AG372" s="1" t="str">
        <f>COUNTIFS([2]ACTIVE_SCO!$B:$B,$B372,[2]ACTIVE_SCO!$P:$P,"Y")</f>
        <v>#ERROR!</v>
      </c>
      <c r="AH372" s="1"/>
      <c r="AI372" s="37" t="s">
        <v>157</v>
      </c>
      <c r="AJ372" s="23"/>
      <c r="AK372" s="39"/>
      <c r="AL372" s="39"/>
      <c r="AM372" s="1" t="s">
        <v>86</v>
      </c>
      <c r="AN372" s="40" t="s">
        <v>121</v>
      </c>
      <c r="AO372" s="41" t="s">
        <v>86</v>
      </c>
      <c r="AP372" s="41" t="s">
        <v>121</v>
      </c>
      <c r="AQ372" s="40" t="s">
        <v>0</v>
      </c>
      <c r="AR372" s="39"/>
      <c r="AS372" s="1" t="s">
        <v>1112</v>
      </c>
      <c r="AT372" s="1" t="s">
        <v>1113</v>
      </c>
      <c r="AU372" s="1" t="s">
        <v>1114</v>
      </c>
      <c r="AV372" s="1" t="s">
        <v>131</v>
      </c>
      <c r="AW372" s="1"/>
      <c r="AX372" s="1"/>
      <c r="AY372" s="1"/>
      <c r="AZ372" s="1"/>
      <c r="BA372" s="1"/>
      <c r="BB372" s="1"/>
      <c r="BC372" s="1"/>
      <c r="BD372" s="1"/>
    </row>
    <row r="373" ht="11.25" customHeight="1">
      <c r="A373" s="1" t="b">
        <v>1</v>
      </c>
      <c r="B373" s="1" t="s">
        <v>1312</v>
      </c>
      <c r="C373" s="1" t="s">
        <v>1313</v>
      </c>
      <c r="D373" s="1" t="s">
        <v>1109</v>
      </c>
      <c r="E373" s="1"/>
      <c r="F373" s="1"/>
      <c r="G373" s="1" t="s">
        <v>66</v>
      </c>
      <c r="H373" s="1"/>
      <c r="I373" s="1" t="s">
        <v>1110</v>
      </c>
      <c r="J373" s="1" t="s">
        <v>69</v>
      </c>
      <c r="K373" s="1" t="s">
        <v>249</v>
      </c>
      <c r="L373" s="1" t="s">
        <v>0</v>
      </c>
      <c r="M373" s="1" t="b">
        <v>1</v>
      </c>
      <c r="N373" s="1" t="b">
        <v>0</v>
      </c>
      <c r="O373" s="19">
        <v>2200.0</v>
      </c>
      <c r="P373" s="20">
        <v>2.08</v>
      </c>
      <c r="Q373" s="20">
        <v>1057.69</v>
      </c>
      <c r="R373" s="21">
        <v>0.5926783840255652</v>
      </c>
      <c r="S373" s="1" t="s">
        <v>117</v>
      </c>
      <c r="T373" s="1" t="s">
        <v>0</v>
      </c>
      <c r="U373" s="1" t="s">
        <v>81</v>
      </c>
      <c r="V373" s="1" t="s">
        <v>81</v>
      </c>
      <c r="W373" s="1" t="s">
        <v>0</v>
      </c>
      <c r="X373" s="1" t="s">
        <v>0</v>
      </c>
      <c r="Y373" s="22" t="str">
        <f t="shared" si="3"/>
        <v>CO</v>
      </c>
      <c r="Z373" s="20" t="str">
        <f>_xlfn.XLOOKUP($B373,[1]F27!$C:$C,[1]F27!$BV:$BV)</f>
        <v>#ERROR!</v>
      </c>
      <c r="AA373" s="1"/>
      <c r="AB373" s="1"/>
      <c r="AC373" s="23"/>
      <c r="AD373" s="1" t="str">
        <f>_xlfn.XLOOKUP($B373,[1]F27!$C:$C,[1]F27!$Y:$Y)</f>
        <v>#ERROR!</v>
      </c>
      <c r="AE373" s="1" t="str">
        <f>_xlfn.XLOOKUP($B373,[1]F27!$C:$C,[1]F27!$Z:$Z)</f>
        <v>#ERROR!</v>
      </c>
      <c r="AF373" s="1" t="str">
        <f>_xlfn.XLOOKUP($B373,[2]PRICING!$B:$B,[2]PRICING!$B:$B,"MISSING")</f>
        <v>#ERROR!</v>
      </c>
      <c r="AG373" s="1" t="str">
        <f>COUNTIFS([2]ACTIVE_SCO!$B:$B,$B373,[2]ACTIVE_SCO!$P:$P,"Y")</f>
        <v>#ERROR!</v>
      </c>
      <c r="AH373" s="1"/>
      <c r="AI373" s="37" t="s">
        <v>157</v>
      </c>
      <c r="AJ373" s="23"/>
      <c r="AK373" s="39"/>
      <c r="AL373" s="39"/>
      <c r="AM373" s="1" t="s">
        <v>86</v>
      </c>
      <c r="AN373" s="40" t="s">
        <v>121</v>
      </c>
      <c r="AO373" s="41" t="s">
        <v>86</v>
      </c>
      <c r="AP373" s="41" t="s">
        <v>121</v>
      </c>
      <c r="AQ373" s="40" t="s">
        <v>0</v>
      </c>
      <c r="AR373" s="39"/>
      <c r="AS373" s="1" t="s">
        <v>1112</v>
      </c>
      <c r="AT373" s="1" t="s">
        <v>1113</v>
      </c>
      <c r="AU373" s="1" t="s">
        <v>1253</v>
      </c>
      <c r="AV373" s="1" t="s">
        <v>131</v>
      </c>
      <c r="AW373" s="1"/>
      <c r="AX373" s="1"/>
      <c r="AY373" s="1"/>
      <c r="AZ373" s="1"/>
      <c r="BA373" s="1"/>
      <c r="BB373" s="1"/>
      <c r="BC373" s="1"/>
      <c r="BD373" s="1"/>
    </row>
    <row r="374" ht="11.25" customHeight="1">
      <c r="A374" s="1" t="b">
        <v>1</v>
      </c>
      <c r="B374" s="1" t="s">
        <v>1316</v>
      </c>
      <c r="C374" s="1" t="s">
        <v>1317</v>
      </c>
      <c r="D374" s="1" t="s">
        <v>1109</v>
      </c>
      <c r="E374" s="1"/>
      <c r="F374" s="1"/>
      <c r="G374" s="1" t="s">
        <v>66</v>
      </c>
      <c r="H374" s="1"/>
      <c r="I374" s="1" t="s">
        <v>1110</v>
      </c>
      <c r="J374" s="1" t="s">
        <v>69</v>
      </c>
      <c r="K374" s="1" t="s">
        <v>249</v>
      </c>
      <c r="L374" s="1" t="s">
        <v>0</v>
      </c>
      <c r="M374" s="1" t="b">
        <v>1</v>
      </c>
      <c r="N374" s="1" t="b">
        <v>0</v>
      </c>
      <c r="O374" s="19">
        <v>1800.0</v>
      </c>
      <c r="P374" s="20">
        <v>2.08</v>
      </c>
      <c r="Q374" s="20">
        <v>865.38</v>
      </c>
      <c r="R374" s="21">
        <v>0.6163419538237538</v>
      </c>
      <c r="S374" s="1" t="s">
        <v>117</v>
      </c>
      <c r="T374" s="1" t="s">
        <v>0</v>
      </c>
      <c r="U374" s="1" t="s">
        <v>81</v>
      </c>
      <c r="V374" s="1" t="s">
        <v>81</v>
      </c>
      <c r="W374" s="1" t="s">
        <v>0</v>
      </c>
      <c r="X374" s="1" t="s">
        <v>0</v>
      </c>
      <c r="Y374" s="22" t="str">
        <f t="shared" si="3"/>
        <v>CO</v>
      </c>
      <c r="Z374" s="20" t="str">
        <f>_xlfn.XLOOKUP($B374,[1]F27!$C:$C,[1]F27!$BV:$BV)</f>
        <v>#ERROR!</v>
      </c>
      <c r="AA374" s="1"/>
      <c r="AB374" s="1"/>
      <c r="AC374" s="23"/>
      <c r="AD374" s="1" t="str">
        <f>_xlfn.XLOOKUP($B374,[1]F27!$C:$C,[1]F27!$Y:$Y)</f>
        <v>#ERROR!</v>
      </c>
      <c r="AE374" s="1" t="str">
        <f>_xlfn.XLOOKUP($B374,[1]F27!$C:$C,[1]F27!$Z:$Z)</f>
        <v>#ERROR!</v>
      </c>
      <c r="AF374" s="1" t="str">
        <f>_xlfn.XLOOKUP($B374,[2]PRICING!$B:$B,[2]PRICING!$B:$B,"MISSING")</f>
        <v>#ERROR!</v>
      </c>
      <c r="AG374" s="1" t="str">
        <f>COUNTIFS([2]ACTIVE_SCO!$B:$B,$B374,[2]ACTIVE_SCO!$P:$P,"Y")</f>
        <v>#ERROR!</v>
      </c>
      <c r="AH374" s="1"/>
      <c r="AI374" s="37" t="s">
        <v>157</v>
      </c>
      <c r="AJ374" s="23"/>
      <c r="AK374" s="39"/>
      <c r="AL374" s="39"/>
      <c r="AM374" s="1" t="s">
        <v>86</v>
      </c>
      <c r="AN374" s="40" t="s">
        <v>121</v>
      </c>
      <c r="AO374" s="41" t="s">
        <v>86</v>
      </c>
      <c r="AP374" s="41" t="s">
        <v>121</v>
      </c>
      <c r="AQ374" s="40" t="s">
        <v>0</v>
      </c>
      <c r="AR374" s="39"/>
      <c r="AS374" s="1" t="s">
        <v>1112</v>
      </c>
      <c r="AT374" s="1" t="s">
        <v>1113</v>
      </c>
      <c r="AU374" s="1" t="s">
        <v>1170</v>
      </c>
      <c r="AV374" s="1" t="s">
        <v>131</v>
      </c>
      <c r="AW374" s="1"/>
      <c r="AX374" s="1"/>
      <c r="AY374" s="1"/>
      <c r="AZ374" s="1"/>
      <c r="BA374" s="1"/>
      <c r="BB374" s="1"/>
      <c r="BC374" s="1"/>
      <c r="BD374" s="1"/>
    </row>
    <row r="375" ht="11.25" customHeight="1">
      <c r="A375" s="1" t="b">
        <v>1</v>
      </c>
      <c r="B375" s="1" t="s">
        <v>1322</v>
      </c>
      <c r="C375" s="1" t="s">
        <v>1323</v>
      </c>
      <c r="D375" s="1" t="s">
        <v>1109</v>
      </c>
      <c r="E375" s="1"/>
      <c r="F375" s="1"/>
      <c r="G375" s="1" t="s">
        <v>66</v>
      </c>
      <c r="H375" s="1"/>
      <c r="I375" s="1" t="s">
        <v>1110</v>
      </c>
      <c r="J375" s="1" t="s">
        <v>69</v>
      </c>
      <c r="K375" s="1" t="s">
        <v>249</v>
      </c>
      <c r="L375" s="1" t="s">
        <v>0</v>
      </c>
      <c r="M375" s="1" t="b">
        <v>1</v>
      </c>
      <c r="N375" s="1" t="b">
        <v>0</v>
      </c>
      <c r="O375" s="19">
        <v>1200.0</v>
      </c>
      <c r="P375" s="20">
        <v>2.08</v>
      </c>
      <c r="Q375" s="20">
        <v>576.92</v>
      </c>
      <c r="R375" s="21">
        <v>0.6148339457810441</v>
      </c>
      <c r="S375" s="1" t="s">
        <v>117</v>
      </c>
      <c r="T375" s="1" t="s">
        <v>0</v>
      </c>
      <c r="U375" s="1" t="s">
        <v>81</v>
      </c>
      <c r="V375" s="1" t="s">
        <v>81</v>
      </c>
      <c r="W375" s="1" t="s">
        <v>0</v>
      </c>
      <c r="X375" s="1" t="s">
        <v>0</v>
      </c>
      <c r="Y375" s="22" t="str">
        <f t="shared" si="3"/>
        <v>CO</v>
      </c>
      <c r="Z375" s="20" t="str">
        <f>_xlfn.XLOOKUP($B375,[1]F27!$C:$C,[1]F27!$BV:$BV)</f>
        <v>#ERROR!</v>
      </c>
      <c r="AA375" s="1"/>
      <c r="AB375" s="1"/>
      <c r="AC375" s="23"/>
      <c r="AD375" s="1" t="str">
        <f>_xlfn.XLOOKUP($B375,[1]F27!$C:$C,[1]F27!$Y:$Y)</f>
        <v>#ERROR!</v>
      </c>
      <c r="AE375" s="1" t="str">
        <f>_xlfn.XLOOKUP($B375,[1]F27!$C:$C,[1]F27!$Z:$Z)</f>
        <v>#ERROR!</v>
      </c>
      <c r="AF375" s="1" t="str">
        <f>_xlfn.XLOOKUP($B375,[2]PRICING!$B:$B,[2]PRICING!$B:$B,"MISSING")</f>
        <v>#ERROR!</v>
      </c>
      <c r="AG375" s="1" t="str">
        <f>COUNTIFS([2]ACTIVE_SCO!$B:$B,$B375,[2]ACTIVE_SCO!$P:$P,"Y")</f>
        <v>#ERROR!</v>
      </c>
      <c r="AH375" s="1"/>
      <c r="AI375" s="37" t="s">
        <v>157</v>
      </c>
      <c r="AJ375" s="23"/>
      <c r="AK375" s="39"/>
      <c r="AL375" s="39"/>
      <c r="AM375" s="1" t="s">
        <v>86</v>
      </c>
      <c r="AN375" s="40" t="s">
        <v>121</v>
      </c>
      <c r="AO375" s="41" t="s">
        <v>86</v>
      </c>
      <c r="AP375" s="41" t="s">
        <v>121</v>
      </c>
      <c r="AQ375" s="40" t="s">
        <v>0</v>
      </c>
      <c r="AR375" s="39"/>
      <c r="AS375" s="1" t="s">
        <v>1112</v>
      </c>
      <c r="AT375" s="1" t="s">
        <v>1113</v>
      </c>
      <c r="AU375" s="1" t="s">
        <v>1114</v>
      </c>
      <c r="AV375" s="1" t="s">
        <v>131</v>
      </c>
      <c r="AW375" s="1"/>
      <c r="AX375" s="1"/>
      <c r="AY375" s="1"/>
      <c r="AZ375" s="1"/>
      <c r="BA375" s="1"/>
      <c r="BB375" s="1"/>
      <c r="BC375" s="1"/>
      <c r="BD375" s="1"/>
    </row>
    <row r="376" ht="11.25" customHeight="1">
      <c r="A376" s="1" t="b">
        <v>1</v>
      </c>
      <c r="B376" s="1" t="s">
        <v>1800</v>
      </c>
      <c r="C376" s="1" t="s">
        <v>1801</v>
      </c>
      <c r="D376" s="1" t="s">
        <v>65</v>
      </c>
      <c r="E376" s="1"/>
      <c r="F376" s="1"/>
      <c r="G376" s="1" t="s">
        <v>220</v>
      </c>
      <c r="H376" s="1"/>
      <c r="I376" s="1" t="s">
        <v>68</v>
      </c>
      <c r="J376" s="1" t="s">
        <v>69</v>
      </c>
      <c r="K376" s="1" t="s">
        <v>70</v>
      </c>
      <c r="L376" s="1" t="s">
        <v>0</v>
      </c>
      <c r="M376" s="1" t="b">
        <v>1</v>
      </c>
      <c r="N376" s="1" t="b">
        <v>0</v>
      </c>
      <c r="O376" s="19">
        <v>6500.0</v>
      </c>
      <c r="P376" s="20">
        <v>1.9</v>
      </c>
      <c r="Q376" s="20">
        <v>3421.05</v>
      </c>
      <c r="R376" s="21">
        <v>0.5011414624165096</v>
      </c>
      <c r="S376" s="1" t="s">
        <v>242</v>
      </c>
      <c r="T376" s="1" t="s">
        <v>0</v>
      </c>
      <c r="U376" s="1" t="s">
        <v>80</v>
      </c>
      <c r="V376" s="1" t="s">
        <v>81</v>
      </c>
      <c r="W376" s="1" t="s">
        <v>0</v>
      </c>
      <c r="X376" s="1" t="s">
        <v>0</v>
      </c>
      <c r="Y376" s="22" t="str">
        <f t="shared" si="3"/>
        <v>CO</v>
      </c>
      <c r="Z376" s="20" t="str">
        <f>_xlfn.XLOOKUP($B376,[1]F27!$C:$C,[1]F27!$BV:$BV)</f>
        <v>#ERROR!</v>
      </c>
      <c r="AA376" s="1"/>
      <c r="AB376" s="1"/>
      <c r="AC376" s="23"/>
      <c r="AD376" s="1" t="str">
        <f>_xlfn.XLOOKUP($B376,[1]F27!$C:$C,[1]F27!$Y:$Y)</f>
        <v>#ERROR!</v>
      </c>
      <c r="AE376" s="1" t="str">
        <f>_xlfn.XLOOKUP($B376,[1]F27!$C:$C,[1]F27!$Z:$Z)</f>
        <v>#ERROR!</v>
      </c>
      <c r="AF376" s="1" t="str">
        <f>_xlfn.XLOOKUP($B376,[2]PRICING!$B:$B,[2]PRICING!$B:$B,"MISSING")</f>
        <v>#ERROR!</v>
      </c>
      <c r="AG376" s="1" t="str">
        <f>COUNTIFS([2]ACTIVE_SCO!$B:$B,$B376,[2]ACTIVE_SCO!$P:$P,"Y")</f>
        <v>#ERROR!</v>
      </c>
      <c r="AH376" s="1"/>
      <c r="AI376" s="37" t="s">
        <v>157</v>
      </c>
      <c r="AJ376" s="38" t="s">
        <v>2126</v>
      </c>
      <c r="AK376" s="39" t="s">
        <v>204</v>
      </c>
      <c r="AL376" s="39" t="s">
        <v>0</v>
      </c>
      <c r="AM376" s="1" t="s">
        <v>226</v>
      </c>
      <c r="AN376" s="40" t="s">
        <v>1641</v>
      </c>
      <c r="AO376" s="41" t="s">
        <v>226</v>
      </c>
      <c r="AP376" s="41" t="s">
        <v>1641</v>
      </c>
      <c r="AQ376" s="40" t="s">
        <v>0</v>
      </c>
      <c r="AR376" s="39"/>
      <c r="AS376" s="1" t="s">
        <v>68</v>
      </c>
      <c r="AT376" s="1" t="s">
        <v>1885</v>
      </c>
      <c r="AU376" s="1" t="s">
        <v>132</v>
      </c>
      <c r="AV376" s="1" t="s">
        <v>91</v>
      </c>
      <c r="AW376" s="1"/>
      <c r="AX376" s="1"/>
      <c r="AY376" s="1"/>
      <c r="AZ376" s="1"/>
      <c r="BA376" s="1" t="s">
        <v>204</v>
      </c>
      <c r="BB376" s="1" t="s">
        <v>0</v>
      </c>
      <c r="BC376" s="1"/>
      <c r="BD376" s="1"/>
    </row>
    <row r="377" ht="11.25" customHeight="1">
      <c r="A377" s="1" t="b">
        <v>1</v>
      </c>
      <c r="B377" s="1" t="s">
        <v>1802</v>
      </c>
      <c r="C377" s="1" t="s">
        <v>1803</v>
      </c>
      <c r="D377" s="1" t="s">
        <v>65</v>
      </c>
      <c r="E377" s="1"/>
      <c r="F377" s="1"/>
      <c r="G377" s="1" t="s">
        <v>220</v>
      </c>
      <c r="H377" s="1"/>
      <c r="I377" s="1" t="s">
        <v>68</v>
      </c>
      <c r="J377" s="1" t="s">
        <v>69</v>
      </c>
      <c r="K377" s="1" t="s">
        <v>107</v>
      </c>
      <c r="L377" s="1" t="s">
        <v>0</v>
      </c>
      <c r="M377" s="1" t="b">
        <v>1</v>
      </c>
      <c r="N377" s="1" t="b">
        <v>0</v>
      </c>
      <c r="O377" s="19">
        <v>6500.0</v>
      </c>
      <c r="P377" s="20">
        <v>1.9</v>
      </c>
      <c r="Q377" s="20">
        <v>3421.05</v>
      </c>
      <c r="R377" s="21">
        <v>0.5224770172900133</v>
      </c>
      <c r="S377" s="1" t="s">
        <v>242</v>
      </c>
      <c r="T377" s="1" t="s">
        <v>0</v>
      </c>
      <c r="U377" s="1" t="s">
        <v>80</v>
      </c>
      <c r="V377" s="1" t="s">
        <v>81</v>
      </c>
      <c r="W377" s="1" t="s">
        <v>0</v>
      </c>
      <c r="X377" s="1" t="s">
        <v>0</v>
      </c>
      <c r="Y377" s="22" t="str">
        <f t="shared" si="3"/>
        <v>CO</v>
      </c>
      <c r="Z377" s="20" t="str">
        <f>_xlfn.XLOOKUP($B377,[1]F27!$C:$C,[1]F27!$BV:$BV)</f>
        <v>#ERROR!</v>
      </c>
      <c r="AA377" s="1"/>
      <c r="AB377" s="1"/>
      <c r="AC377" s="23"/>
      <c r="AD377" s="1" t="str">
        <f>_xlfn.XLOOKUP($B377,[1]F27!$C:$C,[1]F27!$Y:$Y)</f>
        <v>#ERROR!</v>
      </c>
      <c r="AE377" s="1" t="str">
        <f>_xlfn.XLOOKUP($B377,[1]F27!$C:$C,[1]F27!$Z:$Z)</f>
        <v>#ERROR!</v>
      </c>
      <c r="AF377" s="1" t="str">
        <f>_xlfn.XLOOKUP($B377,[2]PRICING!$B:$B,[2]PRICING!$B:$B,"MISSING")</f>
        <v>#ERROR!</v>
      </c>
      <c r="AG377" s="1" t="str">
        <f>COUNTIFS([2]ACTIVE_SCO!$B:$B,$B377,[2]ACTIVE_SCO!$P:$P,"Y")</f>
        <v>#ERROR!</v>
      </c>
      <c r="AH377" s="1"/>
      <c r="AI377" s="37" t="s">
        <v>157</v>
      </c>
      <c r="AJ377" s="38" t="s">
        <v>2127</v>
      </c>
      <c r="AK377" s="39" t="s">
        <v>204</v>
      </c>
      <c r="AL377" s="39" t="s">
        <v>0</v>
      </c>
      <c r="AM377" s="1" t="s">
        <v>226</v>
      </c>
      <c r="AN377" s="40" t="s">
        <v>1641</v>
      </c>
      <c r="AO377" s="41" t="s">
        <v>226</v>
      </c>
      <c r="AP377" s="41" t="s">
        <v>1641</v>
      </c>
      <c r="AQ377" s="40" t="s">
        <v>0</v>
      </c>
      <c r="AR377" s="39"/>
      <c r="AS377" s="1" t="s">
        <v>68</v>
      </c>
      <c r="AT377" s="1" t="s">
        <v>1885</v>
      </c>
      <c r="AU377" s="1" t="s">
        <v>132</v>
      </c>
      <c r="AV377" s="1" t="s">
        <v>91</v>
      </c>
      <c r="AW377" s="1"/>
      <c r="AX377" s="1"/>
      <c r="AY377" s="1"/>
      <c r="AZ377" s="1"/>
      <c r="BA377" s="1" t="s">
        <v>204</v>
      </c>
      <c r="BB377" s="1" t="s">
        <v>0</v>
      </c>
      <c r="BC377" s="1"/>
      <c r="BD377" s="1"/>
    </row>
    <row r="378" ht="11.25" customHeight="1">
      <c r="A378" s="1" t="b">
        <v>1</v>
      </c>
      <c r="B378" s="1" t="s">
        <v>1804</v>
      </c>
      <c r="C378" s="1" t="s">
        <v>1805</v>
      </c>
      <c r="D378" s="1" t="s">
        <v>65</v>
      </c>
      <c r="E378" s="1"/>
      <c r="F378" s="1"/>
      <c r="G378" s="1" t="s">
        <v>220</v>
      </c>
      <c r="H378" s="1"/>
      <c r="I378" s="1" t="s">
        <v>68</v>
      </c>
      <c r="J378" s="1" t="s">
        <v>69</v>
      </c>
      <c r="K378" s="1" t="s">
        <v>70</v>
      </c>
      <c r="L378" s="1" t="s">
        <v>0</v>
      </c>
      <c r="M378" s="1" t="b">
        <v>1</v>
      </c>
      <c r="N378" s="1" t="b">
        <v>0</v>
      </c>
      <c r="O378" s="19">
        <v>8500.0</v>
      </c>
      <c r="P378" s="20">
        <v>1.9</v>
      </c>
      <c r="Q378" s="20">
        <v>4473.68</v>
      </c>
      <c r="R378" s="21">
        <v>0.5290432038053683</v>
      </c>
      <c r="S378" s="1" t="s">
        <v>242</v>
      </c>
      <c r="T378" s="1" t="s">
        <v>0</v>
      </c>
      <c r="U378" s="1" t="s">
        <v>80</v>
      </c>
      <c r="V378" s="1" t="s">
        <v>81</v>
      </c>
      <c r="W378" s="1" t="s">
        <v>0</v>
      </c>
      <c r="X378" s="1" t="s">
        <v>0</v>
      </c>
      <c r="Y378" s="22" t="str">
        <f t="shared" si="3"/>
        <v>CO</v>
      </c>
      <c r="Z378" s="20" t="str">
        <f>_xlfn.XLOOKUP($B378,[1]F27!$C:$C,[1]F27!$BV:$BV)</f>
        <v>#ERROR!</v>
      </c>
      <c r="AA378" s="1"/>
      <c r="AB378" s="1"/>
      <c r="AC378" s="23"/>
      <c r="AD378" s="1" t="str">
        <f>_xlfn.XLOOKUP($B378,[1]F27!$C:$C,[1]F27!$Y:$Y)</f>
        <v>#ERROR!</v>
      </c>
      <c r="AE378" s="1" t="str">
        <f>_xlfn.XLOOKUP($B378,[1]F27!$C:$C,[1]F27!$Z:$Z)</f>
        <v>#ERROR!</v>
      </c>
      <c r="AF378" s="1" t="str">
        <f>_xlfn.XLOOKUP($B378,[2]PRICING!$B:$B,[2]PRICING!$B:$B,"MISSING")</f>
        <v>#ERROR!</v>
      </c>
      <c r="AG378" s="1" t="str">
        <f>COUNTIFS([2]ACTIVE_SCO!$B:$B,$B378,[2]ACTIVE_SCO!$P:$P,"Y")</f>
        <v>#ERROR!</v>
      </c>
      <c r="AH378" s="1"/>
      <c r="AI378" s="37" t="s">
        <v>157</v>
      </c>
      <c r="AJ378" s="38" t="s">
        <v>2128</v>
      </c>
      <c r="AK378" s="39" t="s">
        <v>204</v>
      </c>
      <c r="AL378" s="39" t="s">
        <v>0</v>
      </c>
      <c r="AM378" s="1" t="s">
        <v>226</v>
      </c>
      <c r="AN378" s="40" t="s">
        <v>1641</v>
      </c>
      <c r="AO378" s="41" t="s">
        <v>226</v>
      </c>
      <c r="AP378" s="41" t="s">
        <v>1641</v>
      </c>
      <c r="AQ378" s="40" t="s">
        <v>0</v>
      </c>
      <c r="AR378" s="39"/>
      <c r="AS378" s="1" t="s">
        <v>68</v>
      </c>
      <c r="AT378" s="1" t="s">
        <v>89</v>
      </c>
      <c r="AU378" s="1" t="s">
        <v>132</v>
      </c>
      <c r="AV378" s="1" t="s">
        <v>91</v>
      </c>
      <c r="AW378" s="1"/>
      <c r="AX378" s="1"/>
      <c r="AY378" s="1"/>
      <c r="AZ378" s="1"/>
      <c r="BA378" s="1" t="s">
        <v>204</v>
      </c>
      <c r="BB378" s="1" t="s">
        <v>0</v>
      </c>
      <c r="BC378" s="1"/>
      <c r="BD378" s="1"/>
    </row>
    <row r="379" ht="11.25" customHeight="1">
      <c r="A379" s="1" t="b">
        <v>1</v>
      </c>
      <c r="B379" s="1" t="s">
        <v>1806</v>
      </c>
      <c r="C379" s="1" t="s">
        <v>1807</v>
      </c>
      <c r="D379" s="1" t="s">
        <v>65</v>
      </c>
      <c r="E379" s="1"/>
      <c r="F379" s="1"/>
      <c r="G379" s="1" t="s">
        <v>220</v>
      </c>
      <c r="H379" s="1"/>
      <c r="I379" s="1" t="s">
        <v>68</v>
      </c>
      <c r="J379" s="1" t="s">
        <v>69</v>
      </c>
      <c r="K379" s="1" t="s">
        <v>107</v>
      </c>
      <c r="L379" s="1" t="s">
        <v>0</v>
      </c>
      <c r="M379" s="1" t="b">
        <v>1</v>
      </c>
      <c r="N379" s="1" t="b">
        <v>0</v>
      </c>
      <c r="O379" s="19">
        <v>8500.0</v>
      </c>
      <c r="P379" s="20">
        <v>1.9</v>
      </c>
      <c r="Q379" s="20">
        <v>4473.68</v>
      </c>
      <c r="R379" s="21">
        <v>0.5661200622306468</v>
      </c>
      <c r="S379" s="1" t="s">
        <v>242</v>
      </c>
      <c r="T379" s="1" t="s">
        <v>0</v>
      </c>
      <c r="U379" s="1" t="s">
        <v>80</v>
      </c>
      <c r="V379" s="1" t="s">
        <v>81</v>
      </c>
      <c r="W379" s="1" t="s">
        <v>0</v>
      </c>
      <c r="X379" s="1" t="s">
        <v>0</v>
      </c>
      <c r="Y379" s="22" t="str">
        <f t="shared" si="3"/>
        <v>CO</v>
      </c>
      <c r="Z379" s="20" t="str">
        <f>_xlfn.XLOOKUP($B379,[1]F27!$C:$C,[1]F27!$BV:$BV)</f>
        <v>#ERROR!</v>
      </c>
      <c r="AA379" s="1"/>
      <c r="AB379" s="1"/>
      <c r="AC379" s="23"/>
      <c r="AD379" s="1" t="str">
        <f>_xlfn.XLOOKUP($B379,[1]F27!$C:$C,[1]F27!$Y:$Y)</f>
        <v>#ERROR!</v>
      </c>
      <c r="AE379" s="1" t="str">
        <f>_xlfn.XLOOKUP($B379,[1]F27!$C:$C,[1]F27!$Z:$Z)</f>
        <v>#ERROR!</v>
      </c>
      <c r="AF379" s="1" t="str">
        <f>_xlfn.XLOOKUP($B379,[2]PRICING!$B:$B,[2]PRICING!$B:$B,"MISSING")</f>
        <v>#ERROR!</v>
      </c>
      <c r="AG379" s="1" t="str">
        <f>COUNTIFS([2]ACTIVE_SCO!$B:$B,$B379,[2]ACTIVE_SCO!$P:$P,"Y")</f>
        <v>#ERROR!</v>
      </c>
      <c r="AH379" s="1"/>
      <c r="AI379" s="37" t="s">
        <v>157</v>
      </c>
      <c r="AJ379" s="38" t="s">
        <v>2129</v>
      </c>
      <c r="AK379" s="39" t="s">
        <v>204</v>
      </c>
      <c r="AL379" s="39" t="s">
        <v>0</v>
      </c>
      <c r="AM379" s="1" t="s">
        <v>226</v>
      </c>
      <c r="AN379" s="40" t="s">
        <v>1641</v>
      </c>
      <c r="AO379" s="41" t="s">
        <v>226</v>
      </c>
      <c r="AP379" s="41" t="s">
        <v>1641</v>
      </c>
      <c r="AQ379" s="40" t="s">
        <v>0</v>
      </c>
      <c r="AR379" s="39"/>
      <c r="AS379" s="1" t="s">
        <v>68</v>
      </c>
      <c r="AT379" s="1" t="s">
        <v>89</v>
      </c>
      <c r="AU379" s="1" t="s">
        <v>132</v>
      </c>
      <c r="AV379" s="1" t="s">
        <v>91</v>
      </c>
      <c r="AW379" s="1"/>
      <c r="AX379" s="1"/>
      <c r="AY379" s="1"/>
      <c r="AZ379" s="1"/>
      <c r="BA379" s="1" t="s">
        <v>204</v>
      </c>
      <c r="BB379" s="1" t="s">
        <v>0</v>
      </c>
      <c r="BC379" s="1"/>
      <c r="BD379" s="1"/>
    </row>
    <row r="380" ht="11.25" customHeight="1">
      <c r="A380" s="1" t="b">
        <v>1</v>
      </c>
      <c r="B380" s="1" t="s">
        <v>1821</v>
      </c>
      <c r="C380" s="1" t="s">
        <v>1822</v>
      </c>
      <c r="D380" s="1" t="s">
        <v>65</v>
      </c>
      <c r="E380" s="1"/>
      <c r="F380" s="1"/>
      <c r="G380" s="1" t="s">
        <v>247</v>
      </c>
      <c r="H380" s="1"/>
      <c r="I380" s="1" t="s">
        <v>68</v>
      </c>
      <c r="J380" s="1" t="s">
        <v>69</v>
      </c>
      <c r="K380" s="1" t="s">
        <v>70</v>
      </c>
      <c r="L380" s="1" t="s">
        <v>0</v>
      </c>
      <c r="M380" s="1" t="b">
        <v>1</v>
      </c>
      <c r="N380" s="1" t="b">
        <v>0</v>
      </c>
      <c r="O380" s="19">
        <v>4500.0</v>
      </c>
      <c r="P380" s="20">
        <v>2.1</v>
      </c>
      <c r="Q380" s="20">
        <v>2142.86</v>
      </c>
      <c r="R380" s="21">
        <v>0.6166291778277629</v>
      </c>
      <c r="S380" s="1" t="s">
        <v>242</v>
      </c>
      <c r="T380" s="1" t="s">
        <v>0</v>
      </c>
      <c r="U380" s="1" t="s">
        <v>166</v>
      </c>
      <c r="V380" s="1" t="s">
        <v>713</v>
      </c>
      <c r="W380" s="1" t="s">
        <v>0</v>
      </c>
      <c r="X380" s="1" t="s">
        <v>0</v>
      </c>
      <c r="Y380" s="22" t="str">
        <f t="shared" si="3"/>
        <v>CO</v>
      </c>
      <c r="Z380" s="20" t="str">
        <f>_xlfn.XLOOKUP($B380,[1]F27!$C:$C,[1]F27!$BV:$BV)</f>
        <v>#ERROR!</v>
      </c>
      <c r="AA380" s="1"/>
      <c r="AB380" s="1"/>
      <c r="AC380" s="23"/>
      <c r="AD380" s="1" t="str">
        <f>_xlfn.XLOOKUP($B380,[1]F27!$C:$C,[1]F27!$Y:$Y)</f>
        <v>#ERROR!</v>
      </c>
      <c r="AE380" s="1" t="str">
        <f>_xlfn.XLOOKUP($B380,[1]F27!$C:$C,[1]F27!$Z:$Z)</f>
        <v>#ERROR!</v>
      </c>
      <c r="AF380" s="1" t="str">
        <f>_xlfn.XLOOKUP($B380,[2]PRICING!$B:$B,[2]PRICING!$B:$B,"MISSING")</f>
        <v>#ERROR!</v>
      </c>
      <c r="AG380" s="1" t="str">
        <f>COUNTIFS([2]ACTIVE_SCO!$B:$B,$B380,[2]ACTIVE_SCO!$P:$P,"Y")</f>
        <v>#ERROR!</v>
      </c>
      <c r="AH380" s="1"/>
      <c r="AI380" s="37" t="s">
        <v>157</v>
      </c>
      <c r="AJ380" s="38" t="s">
        <v>2130</v>
      </c>
      <c r="AK380" s="39" t="s">
        <v>204</v>
      </c>
      <c r="AL380" s="39" t="s">
        <v>0</v>
      </c>
      <c r="AM380" s="1" t="s">
        <v>125</v>
      </c>
      <c r="AN380" s="40" t="s">
        <v>174</v>
      </c>
      <c r="AO380" s="41" t="s">
        <v>776</v>
      </c>
      <c r="AP380" s="41" t="s">
        <v>777</v>
      </c>
      <c r="AQ380" s="40" t="s">
        <v>0</v>
      </c>
      <c r="AR380" s="54"/>
      <c r="AS380" s="1" t="s">
        <v>68</v>
      </c>
      <c r="AT380" s="1" t="s">
        <v>175</v>
      </c>
      <c r="AU380" s="1" t="s">
        <v>206</v>
      </c>
      <c r="AV380" s="1" t="s">
        <v>91</v>
      </c>
      <c r="AW380" s="1"/>
      <c r="AX380" s="1"/>
      <c r="AY380" s="1"/>
      <c r="AZ380" s="1"/>
      <c r="BA380" s="1" t="s">
        <v>204</v>
      </c>
      <c r="BB380" s="1" t="s">
        <v>0</v>
      </c>
      <c r="BC380" s="1"/>
      <c r="BD380" s="1"/>
    </row>
    <row r="381" ht="11.25" customHeight="1">
      <c r="A381" s="1" t="b">
        <v>1</v>
      </c>
      <c r="B381" s="1" t="s">
        <v>1823</v>
      </c>
      <c r="C381" s="1" t="s">
        <v>1824</v>
      </c>
      <c r="D381" s="1" t="s">
        <v>65</v>
      </c>
      <c r="E381" s="1"/>
      <c r="F381" s="1"/>
      <c r="G381" s="1" t="s">
        <v>247</v>
      </c>
      <c r="H381" s="1"/>
      <c r="I381" s="1" t="s">
        <v>68</v>
      </c>
      <c r="J381" s="1" t="s">
        <v>69</v>
      </c>
      <c r="K381" s="1" t="s">
        <v>107</v>
      </c>
      <c r="L381" s="1" t="s">
        <v>0</v>
      </c>
      <c r="M381" s="1" t="b">
        <v>1</v>
      </c>
      <c r="N381" s="1" t="b">
        <v>0</v>
      </c>
      <c r="O381" s="19">
        <v>4500.0</v>
      </c>
      <c r="P381" s="20">
        <v>2.1</v>
      </c>
      <c r="Q381" s="20">
        <v>2142.86</v>
      </c>
      <c r="R381" s="21">
        <v>0.6401771464304715</v>
      </c>
      <c r="S381" s="1" t="s">
        <v>242</v>
      </c>
      <c r="T381" s="1" t="s">
        <v>0</v>
      </c>
      <c r="U381" s="1" t="s">
        <v>166</v>
      </c>
      <c r="V381" s="1" t="s">
        <v>713</v>
      </c>
      <c r="W381" s="1" t="s">
        <v>0</v>
      </c>
      <c r="X381" s="1" t="s">
        <v>0</v>
      </c>
      <c r="Y381" s="22" t="str">
        <f t="shared" si="3"/>
        <v>CO</v>
      </c>
      <c r="Z381" s="20" t="str">
        <f>_xlfn.XLOOKUP($B381,[1]F27!$C:$C,[1]F27!$BV:$BV)</f>
        <v>#ERROR!</v>
      </c>
      <c r="AA381" s="1"/>
      <c r="AB381" s="1"/>
      <c r="AC381" s="23"/>
      <c r="AD381" s="1" t="str">
        <f>_xlfn.XLOOKUP($B381,[1]F27!$C:$C,[1]F27!$Y:$Y)</f>
        <v>#ERROR!</v>
      </c>
      <c r="AE381" s="1" t="str">
        <f>_xlfn.XLOOKUP($B381,[1]F27!$C:$C,[1]F27!$Z:$Z)</f>
        <v>#ERROR!</v>
      </c>
      <c r="AF381" s="1" t="str">
        <f>_xlfn.XLOOKUP($B381,[2]PRICING!$B:$B,[2]PRICING!$B:$B,"MISSING")</f>
        <v>#ERROR!</v>
      </c>
      <c r="AG381" s="1" t="str">
        <f>COUNTIFS([2]ACTIVE_SCO!$B:$B,$B381,[2]ACTIVE_SCO!$P:$P,"Y")</f>
        <v>#ERROR!</v>
      </c>
      <c r="AH381" s="1"/>
      <c r="AI381" s="37" t="s">
        <v>157</v>
      </c>
      <c r="AJ381" s="38" t="s">
        <v>2131</v>
      </c>
      <c r="AK381" s="39" t="s">
        <v>204</v>
      </c>
      <c r="AL381" s="39" t="s">
        <v>0</v>
      </c>
      <c r="AM381" s="1" t="s">
        <v>125</v>
      </c>
      <c r="AN381" s="40" t="s">
        <v>174</v>
      </c>
      <c r="AO381" s="41" t="s">
        <v>776</v>
      </c>
      <c r="AP381" s="41" t="s">
        <v>777</v>
      </c>
      <c r="AQ381" s="40" t="s">
        <v>0</v>
      </c>
      <c r="AR381" s="54"/>
      <c r="AS381" s="1" t="s">
        <v>68</v>
      </c>
      <c r="AT381" s="1" t="s">
        <v>175</v>
      </c>
      <c r="AU381" s="1" t="s">
        <v>206</v>
      </c>
      <c r="AV381" s="1" t="s">
        <v>91</v>
      </c>
      <c r="AW381" s="1"/>
      <c r="AX381" s="1"/>
      <c r="AY381" s="1"/>
      <c r="AZ381" s="1"/>
      <c r="BA381" s="1" t="s">
        <v>204</v>
      </c>
      <c r="BB381" s="1" t="s">
        <v>0</v>
      </c>
      <c r="BC381" s="1"/>
      <c r="BD381" s="1"/>
    </row>
    <row r="382" ht="11.25" customHeight="1">
      <c r="A382" s="1" t="b">
        <v>1</v>
      </c>
      <c r="B382" s="1" t="s">
        <v>905</v>
      </c>
      <c r="C382" s="1" t="s">
        <v>906</v>
      </c>
      <c r="D382" s="1" t="s">
        <v>65</v>
      </c>
      <c r="E382" s="1"/>
      <c r="F382" s="1"/>
      <c r="G382" s="1" t="s">
        <v>66</v>
      </c>
      <c r="H382" s="1"/>
      <c r="I382" s="1" t="s">
        <v>113</v>
      </c>
      <c r="J382" s="1" t="s">
        <v>69</v>
      </c>
      <c r="K382" s="1" t="s">
        <v>70</v>
      </c>
      <c r="L382" s="19" t="s">
        <v>0</v>
      </c>
      <c r="M382" s="1" t="b">
        <v>1</v>
      </c>
      <c r="N382" s="1" t="b">
        <v>0</v>
      </c>
      <c r="O382" s="19">
        <v>2200.0</v>
      </c>
      <c r="P382" s="20">
        <v>2.1</v>
      </c>
      <c r="Q382" s="20">
        <v>1047.62</v>
      </c>
      <c r="R382" s="21">
        <v>0.5933258242492506</v>
      </c>
      <c r="S382" s="1" t="s">
        <v>117</v>
      </c>
      <c r="T382" s="1" t="s">
        <v>0</v>
      </c>
      <c r="U382" s="1" t="s">
        <v>81</v>
      </c>
      <c r="V382" s="1" t="s">
        <v>81</v>
      </c>
      <c r="W382" s="1" t="s">
        <v>0</v>
      </c>
      <c r="X382" s="1" t="s">
        <v>0</v>
      </c>
      <c r="Y382" s="22" t="str">
        <f t="shared" si="3"/>
        <v>CO</v>
      </c>
      <c r="Z382" s="20" t="str">
        <f>_xlfn.XLOOKUP($B382,[1]F27!$C:$C,[1]F27!$BV:$BV)</f>
        <v>#ERROR!</v>
      </c>
      <c r="AA382" s="1"/>
      <c r="AB382" s="1"/>
      <c r="AC382" s="23"/>
      <c r="AD382" s="1" t="str">
        <f>_xlfn.XLOOKUP($B382,[1]F27!$C:$C,[1]F27!$Y:$Y)</f>
        <v>#ERROR!</v>
      </c>
      <c r="AE382" s="1" t="str">
        <f>_xlfn.XLOOKUP($B382,[1]F27!$C:$C,[1]F27!$Z:$Z)</f>
        <v>#ERROR!</v>
      </c>
      <c r="AF382" s="1" t="str">
        <f>_xlfn.XLOOKUP($B382,[2]PRICING!$B:$B,[2]PRICING!$B:$B,"MISSING")</f>
        <v>#ERROR!</v>
      </c>
      <c r="AG382" s="1" t="str">
        <f>COUNTIFS([2]ACTIVE_SCO!$B:$B,$B382,[2]ACTIVE_SCO!$P:$P,"Y")</f>
        <v>#ERROR!</v>
      </c>
      <c r="AH382" s="1"/>
      <c r="AI382" s="37" t="s">
        <v>157</v>
      </c>
      <c r="AJ382" s="38" t="s">
        <v>2132</v>
      </c>
      <c r="AK382" s="39" t="s">
        <v>294</v>
      </c>
      <c r="AL382" s="39" t="s">
        <v>0</v>
      </c>
      <c r="AM382" s="1" t="s">
        <v>86</v>
      </c>
      <c r="AN382" s="40" t="s">
        <v>87</v>
      </c>
      <c r="AO382" s="41" t="s">
        <v>86</v>
      </c>
      <c r="AP382" s="41" t="s">
        <v>169</v>
      </c>
      <c r="AQ382" s="40" t="s">
        <v>0</v>
      </c>
      <c r="AR382" s="39"/>
      <c r="AS382" s="1" t="s">
        <v>126</v>
      </c>
      <c r="AT382" s="1" t="s">
        <v>128</v>
      </c>
      <c r="AU382" s="1" t="s">
        <v>539</v>
      </c>
      <c r="AV382" s="1" t="s">
        <v>131</v>
      </c>
      <c r="AW382" s="1"/>
      <c r="AX382" s="1"/>
      <c r="AY382" s="1"/>
      <c r="AZ382" s="1"/>
      <c r="BA382" s="1" t="s">
        <v>294</v>
      </c>
      <c r="BB382" s="1" t="s">
        <v>0</v>
      </c>
      <c r="BC382" s="1"/>
      <c r="BD382" s="1"/>
    </row>
    <row r="383" ht="11.25" customHeight="1">
      <c r="A383" s="1" t="b">
        <v>1</v>
      </c>
      <c r="B383" s="1" t="s">
        <v>908</v>
      </c>
      <c r="C383" s="1" t="s">
        <v>909</v>
      </c>
      <c r="D383" s="1" t="s">
        <v>65</v>
      </c>
      <c r="E383" s="1"/>
      <c r="F383" s="1"/>
      <c r="G383" s="1" t="s">
        <v>66</v>
      </c>
      <c r="H383" s="1"/>
      <c r="I383" s="1" t="s">
        <v>113</v>
      </c>
      <c r="J383" s="1" t="s">
        <v>69</v>
      </c>
      <c r="K383" s="1" t="s">
        <v>107</v>
      </c>
      <c r="L383" s="19" t="s">
        <v>0</v>
      </c>
      <c r="M383" s="1" t="b">
        <v>1</v>
      </c>
      <c r="N383" s="1" t="b">
        <v>0</v>
      </c>
      <c r="O383" s="19">
        <v>2200.0</v>
      </c>
      <c r="P383" s="20">
        <v>2.1</v>
      </c>
      <c r="Q383" s="20">
        <v>1047.62</v>
      </c>
      <c r="R383" s="21">
        <v>0.5954258223401615</v>
      </c>
      <c r="S383" s="1" t="s">
        <v>117</v>
      </c>
      <c r="T383" s="1" t="s">
        <v>0</v>
      </c>
      <c r="U383" s="1" t="s">
        <v>81</v>
      </c>
      <c r="V383" s="1" t="s">
        <v>81</v>
      </c>
      <c r="W383" s="1" t="s">
        <v>0</v>
      </c>
      <c r="X383" s="1" t="s">
        <v>0</v>
      </c>
      <c r="Y383" s="22" t="str">
        <f t="shared" si="3"/>
        <v>CO</v>
      </c>
      <c r="Z383" s="20" t="str">
        <f>_xlfn.XLOOKUP($B383,[1]F27!$C:$C,[1]F27!$BV:$BV)</f>
        <v>#ERROR!</v>
      </c>
      <c r="AA383" s="1"/>
      <c r="AB383" s="1"/>
      <c r="AC383" s="23"/>
      <c r="AD383" s="1" t="str">
        <f>_xlfn.XLOOKUP($B383,[1]F27!$C:$C,[1]F27!$Y:$Y)</f>
        <v>#ERROR!</v>
      </c>
      <c r="AE383" s="1" t="str">
        <f>_xlfn.XLOOKUP($B383,[1]F27!$C:$C,[1]F27!$Z:$Z)</f>
        <v>#ERROR!</v>
      </c>
      <c r="AF383" s="1" t="str">
        <f>_xlfn.XLOOKUP($B383,[2]PRICING!$B:$B,[2]PRICING!$B:$B,"MISSING")</f>
        <v>#ERROR!</v>
      </c>
      <c r="AG383" s="1" t="str">
        <f>COUNTIFS([2]ACTIVE_SCO!$B:$B,$B383,[2]ACTIVE_SCO!$P:$P,"Y")</f>
        <v>#ERROR!</v>
      </c>
      <c r="AH383" s="1"/>
      <c r="AI383" s="37" t="s">
        <v>157</v>
      </c>
      <c r="AJ383" s="38" t="s">
        <v>2133</v>
      </c>
      <c r="AK383" s="39" t="s">
        <v>294</v>
      </c>
      <c r="AL383" s="39" t="s">
        <v>0</v>
      </c>
      <c r="AM383" s="1" t="s">
        <v>86</v>
      </c>
      <c r="AN383" s="40" t="s">
        <v>87</v>
      </c>
      <c r="AO383" s="41" t="s">
        <v>86</v>
      </c>
      <c r="AP383" s="41" t="s">
        <v>169</v>
      </c>
      <c r="AQ383" s="40" t="s">
        <v>0</v>
      </c>
      <c r="AR383" s="39"/>
      <c r="AS383" s="1" t="s">
        <v>126</v>
      </c>
      <c r="AT383" s="1" t="s">
        <v>128</v>
      </c>
      <c r="AU383" s="1" t="s">
        <v>539</v>
      </c>
      <c r="AV383" s="1" t="s">
        <v>131</v>
      </c>
      <c r="AW383" s="1"/>
      <c r="AX383" s="1"/>
      <c r="AY383" s="1"/>
      <c r="AZ383" s="1"/>
      <c r="BA383" s="1" t="s">
        <v>294</v>
      </c>
      <c r="BB383" s="1" t="s">
        <v>0</v>
      </c>
      <c r="BC383" s="1"/>
      <c r="BD383" s="1"/>
    </row>
    <row r="384" ht="11.25" customHeight="1">
      <c r="A384" s="1" t="b">
        <v>1</v>
      </c>
      <c r="B384" s="1" t="s">
        <v>1673</v>
      </c>
      <c r="C384" s="1" t="s">
        <v>1674</v>
      </c>
      <c r="D384" s="1" t="s">
        <v>65</v>
      </c>
      <c r="E384" s="1"/>
      <c r="F384" s="1"/>
      <c r="G384" s="1" t="s">
        <v>247</v>
      </c>
      <c r="H384" s="1"/>
      <c r="I384" s="1" t="s">
        <v>68</v>
      </c>
      <c r="J384" s="1" t="s">
        <v>69</v>
      </c>
      <c r="K384" s="1" t="s">
        <v>70</v>
      </c>
      <c r="L384" s="1" t="s">
        <v>0</v>
      </c>
      <c r="M384" s="1" t="b">
        <v>0</v>
      </c>
      <c r="N384" s="1" t="b">
        <v>0</v>
      </c>
      <c r="O384" s="19">
        <v>4000.0</v>
      </c>
      <c r="P384" s="20">
        <v>2.1</v>
      </c>
      <c r="Q384" s="20">
        <v>1904.76</v>
      </c>
      <c r="R384" s="21">
        <v>0.5735683235683235</v>
      </c>
      <c r="S384" s="1" t="s">
        <v>117</v>
      </c>
      <c r="T384" s="1" t="s">
        <v>0</v>
      </c>
      <c r="U384" s="1" t="s">
        <v>647</v>
      </c>
      <c r="V384" s="1" t="s">
        <v>81</v>
      </c>
      <c r="W384" s="1" t="s">
        <v>0</v>
      </c>
      <c r="X384" s="1" t="s">
        <v>0</v>
      </c>
      <c r="Y384" s="22" t="str">
        <f t="shared" si="3"/>
        <v>NEW</v>
      </c>
      <c r="Z384" s="20" t="str">
        <f>_xlfn.XLOOKUP($B384,[1]F27!$C:$C,[1]F27!$BV:$BV)</f>
        <v>#ERROR!</v>
      </c>
      <c r="AA384" s="1"/>
      <c r="AB384" s="1"/>
      <c r="AC384" s="23"/>
      <c r="AD384" s="1" t="str">
        <f>_xlfn.XLOOKUP($B384,[1]F27!$C:$C,[1]F27!$Y:$Y)</f>
        <v>#ERROR!</v>
      </c>
      <c r="AE384" s="1" t="str">
        <f>_xlfn.XLOOKUP($B384,[1]F27!$C:$C,[1]F27!$Z:$Z)</f>
        <v>#ERROR!</v>
      </c>
      <c r="AF384" s="1" t="str">
        <f>_xlfn.XLOOKUP($B384,[2]PRICING!$B:$B,[2]PRICING!$B:$B,"MISSING")</f>
        <v>#ERROR!</v>
      </c>
      <c r="AG384" s="1" t="str">
        <f>COUNTIFS([2]ACTIVE_SCO!$B:$B,$B384,[2]ACTIVE_SCO!$P:$P,"Y")</f>
        <v>#ERROR!</v>
      </c>
      <c r="AH384" s="1"/>
      <c r="AI384" s="37" t="s">
        <v>157</v>
      </c>
      <c r="AJ384" s="38" t="s">
        <v>2134</v>
      </c>
      <c r="AK384" s="39" t="s">
        <v>551</v>
      </c>
      <c r="AL384" s="39" t="s">
        <v>0</v>
      </c>
      <c r="AM384" s="1" t="s">
        <v>125</v>
      </c>
      <c r="AN384" s="40" t="s">
        <v>174</v>
      </c>
      <c r="AO384" s="41" t="s">
        <v>776</v>
      </c>
      <c r="AP384" s="41" t="s">
        <v>777</v>
      </c>
      <c r="AQ384" s="40" t="s">
        <v>0</v>
      </c>
      <c r="AR384" s="54"/>
      <c r="AS384" s="1" t="s">
        <v>126</v>
      </c>
      <c r="AT384" s="1" t="s">
        <v>175</v>
      </c>
      <c r="AU384" s="1" t="s">
        <v>130</v>
      </c>
      <c r="AV384" s="1" t="s">
        <v>131</v>
      </c>
      <c r="AW384" s="1"/>
      <c r="AX384" s="1"/>
      <c r="AY384" s="1"/>
      <c r="AZ384" s="1"/>
      <c r="BA384" s="1" t="s">
        <v>551</v>
      </c>
      <c r="BB384" s="1" t="s">
        <v>0</v>
      </c>
      <c r="BC384" s="1"/>
      <c r="BD384" s="1"/>
    </row>
    <row r="385" ht="11.25" customHeight="1">
      <c r="A385" s="1" t="b">
        <v>1</v>
      </c>
      <c r="B385" s="1" t="s">
        <v>1677</v>
      </c>
      <c r="C385" s="1" t="s">
        <v>1678</v>
      </c>
      <c r="D385" s="1" t="s">
        <v>65</v>
      </c>
      <c r="E385" s="1"/>
      <c r="F385" s="1"/>
      <c r="G385" s="1" t="s">
        <v>247</v>
      </c>
      <c r="H385" s="1"/>
      <c r="I385" s="1" t="s">
        <v>68</v>
      </c>
      <c r="J385" s="1" t="s">
        <v>69</v>
      </c>
      <c r="K385" s="1" t="s">
        <v>107</v>
      </c>
      <c r="L385" s="1" t="s">
        <v>0</v>
      </c>
      <c r="M385" s="1" t="b">
        <v>0</v>
      </c>
      <c r="N385" s="1" t="b">
        <v>0</v>
      </c>
      <c r="O385" s="19">
        <v>4000.0</v>
      </c>
      <c r="P385" s="20">
        <v>2.1</v>
      </c>
      <c r="Q385" s="20">
        <v>1904.76</v>
      </c>
      <c r="R385" s="21">
        <v>0.5774848274848274</v>
      </c>
      <c r="S385" s="1" t="s">
        <v>117</v>
      </c>
      <c r="T385" s="1" t="s">
        <v>0</v>
      </c>
      <c r="U385" s="1" t="s">
        <v>647</v>
      </c>
      <c r="V385" s="1" t="s">
        <v>81</v>
      </c>
      <c r="W385" s="1" t="s">
        <v>0</v>
      </c>
      <c r="X385" s="1" t="s">
        <v>0</v>
      </c>
      <c r="Y385" s="22" t="str">
        <f t="shared" si="3"/>
        <v>NEW</v>
      </c>
      <c r="Z385" s="20" t="str">
        <f>_xlfn.XLOOKUP($B385,[1]F27!$C:$C,[1]F27!$BV:$BV)</f>
        <v>#ERROR!</v>
      </c>
      <c r="AA385" s="1"/>
      <c r="AB385" s="1"/>
      <c r="AC385" s="23"/>
      <c r="AD385" s="1" t="str">
        <f>_xlfn.XLOOKUP($B385,[1]F27!$C:$C,[1]F27!$Y:$Y)</f>
        <v>#ERROR!</v>
      </c>
      <c r="AE385" s="1" t="str">
        <f>_xlfn.XLOOKUP($B385,[1]F27!$C:$C,[1]F27!$Z:$Z)</f>
        <v>#ERROR!</v>
      </c>
      <c r="AF385" s="1" t="str">
        <f>_xlfn.XLOOKUP($B385,[2]PRICING!$B:$B,[2]PRICING!$B:$B,"MISSING")</f>
        <v>#ERROR!</v>
      </c>
      <c r="AG385" s="1" t="str">
        <f>COUNTIFS([2]ACTIVE_SCO!$B:$B,$B385,[2]ACTIVE_SCO!$P:$P,"Y")</f>
        <v>#ERROR!</v>
      </c>
      <c r="AH385" s="1"/>
      <c r="AI385" s="37" t="s">
        <v>157</v>
      </c>
      <c r="AJ385" s="38" t="s">
        <v>2135</v>
      </c>
      <c r="AK385" s="39" t="s">
        <v>551</v>
      </c>
      <c r="AL385" s="39" t="s">
        <v>0</v>
      </c>
      <c r="AM385" s="1" t="s">
        <v>125</v>
      </c>
      <c r="AN385" s="40" t="s">
        <v>174</v>
      </c>
      <c r="AO385" s="41" t="s">
        <v>776</v>
      </c>
      <c r="AP385" s="41" t="s">
        <v>777</v>
      </c>
      <c r="AQ385" s="40" t="s">
        <v>0</v>
      </c>
      <c r="AR385" s="54"/>
      <c r="AS385" s="1" t="s">
        <v>126</v>
      </c>
      <c r="AT385" s="1" t="s">
        <v>175</v>
      </c>
      <c r="AU385" s="1" t="s">
        <v>130</v>
      </c>
      <c r="AV385" s="1" t="s">
        <v>131</v>
      </c>
      <c r="AW385" s="1"/>
      <c r="AX385" s="1"/>
      <c r="AY385" s="1"/>
      <c r="AZ385" s="1"/>
      <c r="BA385" s="1" t="s">
        <v>551</v>
      </c>
      <c r="BB385" s="1" t="s">
        <v>0</v>
      </c>
      <c r="BC385" s="1"/>
      <c r="BD385" s="1"/>
    </row>
    <row r="386" ht="11.25" customHeight="1">
      <c r="A386" s="1" t="b">
        <v>0</v>
      </c>
      <c r="B386" s="1" t="s">
        <v>2136</v>
      </c>
      <c r="C386" s="1" t="s">
        <v>1410</v>
      </c>
      <c r="D386" s="1" t="s">
        <v>1109</v>
      </c>
      <c r="E386" s="1"/>
      <c r="F386" s="1"/>
      <c r="G386" s="1" t="s">
        <v>66</v>
      </c>
      <c r="H386" s="1"/>
      <c r="I386" s="1" t="s">
        <v>1119</v>
      </c>
      <c r="J386" s="1" t="s">
        <v>69</v>
      </c>
      <c r="K386" s="1" t="s">
        <v>249</v>
      </c>
      <c r="L386" s="19" t="s">
        <v>0</v>
      </c>
      <c r="M386" s="1" t="b">
        <v>1</v>
      </c>
      <c r="N386" s="1" t="b">
        <v>0</v>
      </c>
      <c r="O386" s="19">
        <v>1400.0</v>
      </c>
      <c r="P386" s="20">
        <v>2.08</v>
      </c>
      <c r="Q386" s="20">
        <v>673.08</v>
      </c>
      <c r="R386" s="21">
        <v>0.6281125571997386</v>
      </c>
      <c r="S386" s="1" t="s">
        <v>117</v>
      </c>
      <c r="T386" s="1" t="s">
        <v>0</v>
      </c>
      <c r="U386" s="1" t="s">
        <v>81</v>
      </c>
      <c r="V386" s="1" t="s">
        <v>81</v>
      </c>
      <c r="W386" s="1" t="s">
        <v>0</v>
      </c>
      <c r="X386" s="1"/>
      <c r="Y386" s="22" t="str">
        <f t="shared" si="3"/>
        <v>CO</v>
      </c>
      <c r="Z386" s="20" t="str">
        <f>_xlfn.XLOOKUP($B386,[1]F27!$C:$C,[1]F27!$BV:$BV)</f>
        <v>#ERROR!</v>
      </c>
      <c r="AA386" s="1"/>
      <c r="AB386" s="1"/>
      <c r="AC386" s="23"/>
      <c r="AD386" s="1" t="str">
        <f>_xlfn.XLOOKUP($B386,[1]F27!$C:$C,[1]F27!$Y:$Y)</f>
        <v>#ERROR!</v>
      </c>
      <c r="AE386" s="1" t="str">
        <f>_xlfn.XLOOKUP($B386,[1]F27!$C:$C,[1]F27!$Z:$Z)</f>
        <v>#ERROR!</v>
      </c>
      <c r="AF386" s="1" t="str">
        <f>_xlfn.XLOOKUP($B386,[2]PRICING!$B:$B,[2]PRICING!$B:$B,"MISSING")</f>
        <v>#ERROR!</v>
      </c>
      <c r="AG386" s="1" t="str">
        <f>COUNTIFS([2]ACTIVE_SCO!$B:$B,$B386,[2]ACTIVE_SCO!$P:$P,"Y")</f>
        <v>#ERROR!</v>
      </c>
      <c r="AH386" s="1"/>
      <c r="AI386" s="1" t="s">
        <v>341</v>
      </c>
      <c r="AJ386" s="1"/>
      <c r="AK386" s="1"/>
      <c r="AL386" s="1"/>
      <c r="AM386" s="1"/>
      <c r="AN386" s="1"/>
      <c r="AO386" s="1"/>
      <c r="AP386" s="1"/>
      <c r="AQ386" s="40" t="s">
        <v>0</v>
      </c>
      <c r="AR386" s="1"/>
      <c r="AS386" s="1" t="s">
        <v>1120</v>
      </c>
      <c r="AT386" s="1" t="s">
        <v>1121</v>
      </c>
      <c r="AU386" s="1" t="s">
        <v>1155</v>
      </c>
      <c r="AV386" s="1"/>
      <c r="AW386" s="1"/>
      <c r="AX386" s="1"/>
      <c r="AY386" s="1"/>
      <c r="AZ386" s="1"/>
      <c r="BA386" s="1"/>
      <c r="BB386" s="1"/>
      <c r="BC386" s="1"/>
      <c r="BD386" s="1"/>
    </row>
    <row r="387" ht="11.25" customHeight="1">
      <c r="A387" s="1" t="b">
        <v>0</v>
      </c>
      <c r="B387" s="1" t="s">
        <v>2137</v>
      </c>
      <c r="C387" s="1" t="s">
        <v>2138</v>
      </c>
      <c r="D387" s="1" t="s">
        <v>1109</v>
      </c>
      <c r="E387" s="1"/>
      <c r="F387" s="1"/>
      <c r="G387" s="1" t="s">
        <v>500</v>
      </c>
      <c r="H387" s="1"/>
      <c r="I387" s="1" t="s">
        <v>1110</v>
      </c>
      <c r="J387" s="1" t="s">
        <v>69</v>
      </c>
      <c r="K387" s="1" t="s">
        <v>249</v>
      </c>
      <c r="L387" s="19" t="s">
        <v>0</v>
      </c>
      <c r="M387" s="1" t="b">
        <v>1</v>
      </c>
      <c r="N387" s="1" t="b">
        <v>0</v>
      </c>
      <c r="O387" s="19">
        <v>7000.0</v>
      </c>
      <c r="P387" s="20">
        <v>2.08</v>
      </c>
      <c r="Q387" s="20">
        <v>3365.38</v>
      </c>
      <c r="R387" s="21">
        <v>0.5046978350141738</v>
      </c>
      <c r="S387" s="1" t="s">
        <v>242</v>
      </c>
      <c r="T387" s="1" t="s">
        <v>0</v>
      </c>
      <c r="U387" s="1" t="s">
        <v>359</v>
      </c>
      <c r="V387" s="1" t="s">
        <v>81</v>
      </c>
      <c r="W387" s="1" t="s">
        <v>0</v>
      </c>
      <c r="X387" s="1"/>
      <c r="Y387" s="22" t="str">
        <f t="shared" si="3"/>
        <v>CO</v>
      </c>
      <c r="Z387" s="20" t="str">
        <f>_xlfn.XLOOKUP($B387,[1]F27!$C:$C,[1]F27!$BV:$BV)</f>
        <v>#ERROR!</v>
      </c>
      <c r="AA387" s="1"/>
      <c r="AB387" s="1"/>
      <c r="AC387" s="23"/>
      <c r="AD387" s="1" t="str">
        <f>_xlfn.XLOOKUP($B387,[1]F27!$C:$C,[1]F27!$Y:$Y)</f>
        <v>#ERROR!</v>
      </c>
      <c r="AE387" s="1" t="str">
        <f>_xlfn.XLOOKUP($B387,[1]F27!$C:$C,[1]F27!$Z:$Z)</f>
        <v>#ERROR!</v>
      </c>
      <c r="AF387" s="1" t="str">
        <f>_xlfn.XLOOKUP($B387,[2]PRICING!$B:$B,[2]PRICING!$B:$B,"MISSING")</f>
        <v>#ERROR!</v>
      </c>
      <c r="AG387" s="1" t="str">
        <f>COUNTIFS([2]ACTIVE_SCO!$B:$B,$B387,[2]ACTIVE_SCO!$P:$P,"Y")</f>
        <v>#ERROR!</v>
      </c>
      <c r="AH387" s="1"/>
      <c r="AI387" s="1" t="s">
        <v>341</v>
      </c>
      <c r="AJ387" s="1"/>
      <c r="AK387" s="1"/>
      <c r="AL387" s="1"/>
      <c r="AM387" s="1"/>
      <c r="AN387" s="1"/>
      <c r="AO387" s="1"/>
      <c r="AP387" s="1"/>
      <c r="AQ387" s="40" t="s">
        <v>0</v>
      </c>
      <c r="AR387" s="1"/>
      <c r="AS387" s="1" t="s">
        <v>1112</v>
      </c>
      <c r="AT387" s="1" t="s">
        <v>1113</v>
      </c>
      <c r="AU387" s="1" t="s">
        <v>1253</v>
      </c>
      <c r="AV387" s="1"/>
      <c r="AW387" s="1"/>
      <c r="AX387" s="1"/>
      <c r="AY387" s="1"/>
      <c r="AZ387" s="1"/>
      <c r="BA387" s="1"/>
      <c r="BB387" s="1"/>
      <c r="BC387" s="1"/>
      <c r="BD387" s="1"/>
    </row>
    <row r="388" ht="11.25" customHeight="1">
      <c r="A388" s="1" t="b">
        <v>0</v>
      </c>
      <c r="B388" s="1" t="s">
        <v>1262</v>
      </c>
      <c r="C388" s="1" t="s">
        <v>1263</v>
      </c>
      <c r="D388" s="1" t="s">
        <v>1109</v>
      </c>
      <c r="E388" s="1"/>
      <c r="F388" s="1"/>
      <c r="G388" s="1" t="s">
        <v>500</v>
      </c>
      <c r="H388" s="1"/>
      <c r="I388" s="1" t="s">
        <v>1110</v>
      </c>
      <c r="J388" s="1" t="s">
        <v>69</v>
      </c>
      <c r="K388" s="1" t="s">
        <v>249</v>
      </c>
      <c r="L388" s="19" t="s">
        <v>0</v>
      </c>
      <c r="M388" s="1" t="b">
        <v>1</v>
      </c>
      <c r="N388" s="1" t="b">
        <v>0</v>
      </c>
      <c r="O388" s="19">
        <v>5500.0</v>
      </c>
      <c r="P388" s="20">
        <v>2.08</v>
      </c>
      <c r="Q388" s="20">
        <v>2644.23</v>
      </c>
      <c r="R388" s="21">
        <v>0.5301808087798716</v>
      </c>
      <c r="S388" s="1" t="s">
        <v>242</v>
      </c>
      <c r="T388" s="1" t="s">
        <v>0</v>
      </c>
      <c r="U388" s="1" t="s">
        <v>359</v>
      </c>
      <c r="V388" s="1" t="s">
        <v>81</v>
      </c>
      <c r="W388" s="1" t="s">
        <v>0</v>
      </c>
      <c r="X388" s="1"/>
      <c r="Y388" s="22" t="str">
        <f t="shared" si="3"/>
        <v>CO</v>
      </c>
      <c r="Z388" s="20" t="str">
        <f>_xlfn.XLOOKUP($B388,[1]F27!$C:$C,[1]F27!$BV:$BV)</f>
        <v>#ERROR!</v>
      </c>
      <c r="AA388" s="1"/>
      <c r="AB388" s="1"/>
      <c r="AC388" s="23"/>
      <c r="AD388" s="1" t="str">
        <f>_xlfn.XLOOKUP($B388,[1]F27!$C:$C,[1]F27!$Y:$Y)</f>
        <v>#ERROR!</v>
      </c>
      <c r="AE388" s="1" t="str">
        <f>_xlfn.XLOOKUP($B388,[1]F27!$C:$C,[1]F27!$Z:$Z)</f>
        <v>#ERROR!</v>
      </c>
      <c r="AF388" s="1" t="str">
        <f>_xlfn.XLOOKUP($B388,[2]PRICING!$B:$B,[2]PRICING!$B:$B,"MISSING")</f>
        <v>#ERROR!</v>
      </c>
      <c r="AG388" s="1" t="str">
        <f>COUNTIFS([2]ACTIVE_SCO!$B:$B,$B388,[2]ACTIVE_SCO!$P:$P,"Y")</f>
        <v>#ERROR!</v>
      </c>
      <c r="AH388" s="1"/>
      <c r="AI388" s="1" t="s">
        <v>341</v>
      </c>
      <c r="AJ388" s="1"/>
      <c r="AK388" s="1"/>
      <c r="AL388" s="1"/>
      <c r="AM388" s="1"/>
      <c r="AN388" s="1"/>
      <c r="AO388" s="1"/>
      <c r="AP388" s="1"/>
      <c r="AQ388" s="40" t="s">
        <v>0</v>
      </c>
      <c r="AR388" s="1"/>
      <c r="AS388" s="1" t="s">
        <v>1112</v>
      </c>
      <c r="AT388" s="1" t="s">
        <v>1113</v>
      </c>
      <c r="AU388" s="1" t="s">
        <v>1170</v>
      </c>
      <c r="AV388" s="1"/>
      <c r="AW388" s="1"/>
      <c r="AX388" s="1"/>
      <c r="AY388" s="1"/>
      <c r="AZ388" s="1"/>
      <c r="BA388" s="1"/>
      <c r="BB388" s="1"/>
      <c r="BC388" s="1"/>
      <c r="BD388" s="1"/>
    </row>
    <row r="389" ht="11.25" customHeight="1">
      <c r="A389" s="1" t="b">
        <v>0</v>
      </c>
      <c r="B389" s="1" t="s">
        <v>2139</v>
      </c>
      <c r="C389" s="1" t="s">
        <v>2140</v>
      </c>
      <c r="D389" s="1" t="s">
        <v>1109</v>
      </c>
      <c r="E389" s="1"/>
      <c r="F389" s="1"/>
      <c r="G389" s="1" t="s">
        <v>500</v>
      </c>
      <c r="H389" s="1"/>
      <c r="I389" s="1" t="s">
        <v>1110</v>
      </c>
      <c r="J389" s="1" t="s">
        <v>69</v>
      </c>
      <c r="K389" s="1" t="s">
        <v>249</v>
      </c>
      <c r="L389" s="19" t="s">
        <v>0</v>
      </c>
      <c r="M389" s="1" t="b">
        <v>1</v>
      </c>
      <c r="N389" s="1" t="b">
        <v>0</v>
      </c>
      <c r="O389" s="19">
        <v>8500.0</v>
      </c>
      <c r="P389" s="20">
        <v>2.08</v>
      </c>
      <c r="Q389" s="20">
        <v>4086.54</v>
      </c>
      <c r="R389" s="21">
        <v>0.5103119020002251</v>
      </c>
      <c r="S389" s="1" t="s">
        <v>242</v>
      </c>
      <c r="T389" s="1" t="s">
        <v>0</v>
      </c>
      <c r="U389" s="1" t="s">
        <v>359</v>
      </c>
      <c r="V389" s="1" t="s">
        <v>81</v>
      </c>
      <c r="W389" s="1" t="s">
        <v>0</v>
      </c>
      <c r="X389" s="1"/>
      <c r="Y389" s="22" t="str">
        <f t="shared" si="3"/>
        <v>CO</v>
      </c>
      <c r="Z389" s="20" t="str">
        <f>_xlfn.XLOOKUP($B389,[1]F27!$C:$C,[1]F27!$BV:$BV)</f>
        <v>#ERROR!</v>
      </c>
      <c r="AA389" s="1"/>
      <c r="AB389" s="1"/>
      <c r="AC389" s="23"/>
      <c r="AD389" s="1" t="str">
        <f>_xlfn.XLOOKUP($B389,[1]F27!$C:$C,[1]F27!$Y:$Y)</f>
        <v>#ERROR!</v>
      </c>
      <c r="AE389" s="1" t="str">
        <f>_xlfn.XLOOKUP($B389,[1]F27!$C:$C,[1]F27!$Z:$Z)</f>
        <v>#ERROR!</v>
      </c>
      <c r="AF389" s="1" t="str">
        <f>_xlfn.XLOOKUP($B389,[2]PRICING!$B:$B,[2]PRICING!$B:$B,"MISSING")</f>
        <v>#ERROR!</v>
      </c>
      <c r="AG389" s="1" t="str">
        <f>COUNTIFS([2]ACTIVE_SCO!$B:$B,$B389,[2]ACTIVE_SCO!$P:$P,"Y")</f>
        <v>#ERROR!</v>
      </c>
      <c r="AH389" s="1"/>
      <c r="AI389" s="1" t="s">
        <v>341</v>
      </c>
      <c r="AJ389" s="1"/>
      <c r="AK389" s="1"/>
      <c r="AL389" s="1"/>
      <c r="AM389" s="1"/>
      <c r="AN389" s="1"/>
      <c r="AO389" s="1"/>
      <c r="AP389" s="1"/>
      <c r="AQ389" s="40" t="s">
        <v>0</v>
      </c>
      <c r="AR389" s="1"/>
      <c r="AS389" s="1" t="s">
        <v>1112</v>
      </c>
      <c r="AT389" s="1" t="s">
        <v>1113</v>
      </c>
      <c r="AU389" s="1" t="s">
        <v>1258</v>
      </c>
      <c r="AV389" s="1"/>
      <c r="AW389" s="1"/>
      <c r="AX389" s="1"/>
      <c r="AY389" s="1"/>
      <c r="AZ389" s="1"/>
      <c r="BA389" s="1"/>
      <c r="BB389" s="1"/>
      <c r="BC389" s="1"/>
      <c r="BD389" s="1"/>
    </row>
    <row r="390" ht="11.25" customHeight="1">
      <c r="A390" s="1" t="b">
        <v>0</v>
      </c>
      <c r="B390" s="1" t="s">
        <v>1293</v>
      </c>
      <c r="C390" s="1" t="s">
        <v>1294</v>
      </c>
      <c r="D390" s="1" t="s">
        <v>1109</v>
      </c>
      <c r="E390" s="1"/>
      <c r="F390" s="1"/>
      <c r="G390" s="1" t="s">
        <v>66</v>
      </c>
      <c r="H390" s="1"/>
      <c r="I390" s="1" t="s">
        <v>1110</v>
      </c>
      <c r="J390" s="1" t="s">
        <v>69</v>
      </c>
      <c r="K390" s="1" t="s">
        <v>249</v>
      </c>
      <c r="L390" s="19" t="s">
        <v>0</v>
      </c>
      <c r="M390" s="1" t="b">
        <v>1</v>
      </c>
      <c r="N390" s="1" t="b">
        <v>0</v>
      </c>
      <c r="O390" s="19">
        <v>5000.0</v>
      </c>
      <c r="P390" s="20">
        <v>2.08</v>
      </c>
      <c r="Q390" s="20">
        <v>2403.85</v>
      </c>
      <c r="R390" s="21">
        <v>0.52576491877613</v>
      </c>
      <c r="S390" s="1" t="s">
        <v>117</v>
      </c>
      <c r="T390" s="1" t="s">
        <v>0</v>
      </c>
      <c r="U390" s="1" t="s">
        <v>359</v>
      </c>
      <c r="V390" s="1" t="s">
        <v>81</v>
      </c>
      <c r="W390" s="1" t="s">
        <v>0</v>
      </c>
      <c r="X390" s="1"/>
      <c r="Y390" s="22" t="str">
        <f t="shared" si="3"/>
        <v>CO</v>
      </c>
      <c r="Z390" s="20" t="str">
        <f>_xlfn.XLOOKUP($B390,[1]F27!$C:$C,[1]F27!$BV:$BV)</f>
        <v>#ERROR!</v>
      </c>
      <c r="AA390" s="1"/>
      <c r="AB390" s="1"/>
      <c r="AC390" s="23"/>
      <c r="AD390" s="1" t="str">
        <f>_xlfn.XLOOKUP($B390,[1]F27!$C:$C,[1]F27!$Y:$Y)</f>
        <v>#ERROR!</v>
      </c>
      <c r="AE390" s="1" t="str">
        <f>_xlfn.XLOOKUP($B390,[1]F27!$C:$C,[1]F27!$Z:$Z)</f>
        <v>#ERROR!</v>
      </c>
      <c r="AF390" s="1" t="str">
        <f>_xlfn.XLOOKUP($B390,[2]PRICING!$B:$B,[2]PRICING!$B:$B,"MISSING")</f>
        <v>#ERROR!</v>
      </c>
      <c r="AG390" s="1" t="str">
        <f>COUNTIFS([2]ACTIVE_SCO!$B:$B,$B390,[2]ACTIVE_SCO!$P:$P,"Y")</f>
        <v>#ERROR!</v>
      </c>
      <c r="AH390" s="1"/>
      <c r="AI390" s="1" t="s">
        <v>341</v>
      </c>
      <c r="AJ390" s="1"/>
      <c r="AK390" s="1"/>
      <c r="AL390" s="1"/>
      <c r="AM390" s="1"/>
      <c r="AN390" s="1"/>
      <c r="AO390" s="1"/>
      <c r="AP390" s="1"/>
      <c r="AQ390" s="40" t="s">
        <v>0</v>
      </c>
      <c r="AR390" s="1"/>
      <c r="AS390" s="1" t="s">
        <v>1112</v>
      </c>
      <c r="AT390" s="1" t="s">
        <v>1113</v>
      </c>
      <c r="AU390" s="1" t="s">
        <v>1114</v>
      </c>
      <c r="AV390" s="1"/>
      <c r="AW390" s="1"/>
      <c r="AX390" s="1"/>
      <c r="AY390" s="1"/>
      <c r="AZ390" s="1"/>
      <c r="BA390" s="1"/>
      <c r="BB390" s="1"/>
      <c r="BC390" s="1"/>
      <c r="BD390" s="1"/>
    </row>
    <row r="391" ht="11.25" customHeight="1">
      <c r="A391" s="1" t="b">
        <v>0</v>
      </c>
      <c r="B391" s="1" t="s">
        <v>1302</v>
      </c>
      <c r="C391" s="1" t="s">
        <v>1303</v>
      </c>
      <c r="D391" s="1" t="s">
        <v>1109</v>
      </c>
      <c r="E391" s="1"/>
      <c r="F391" s="1"/>
      <c r="G391" s="1" t="s">
        <v>66</v>
      </c>
      <c r="H391" s="1"/>
      <c r="I391" s="1" t="s">
        <v>1110</v>
      </c>
      <c r="J391" s="1" t="s">
        <v>141</v>
      </c>
      <c r="K391" s="1" t="s">
        <v>249</v>
      </c>
      <c r="L391" s="19" t="s">
        <v>0</v>
      </c>
      <c r="M391" s="1" t="b">
        <v>1</v>
      </c>
      <c r="N391" s="1" t="b">
        <v>0</v>
      </c>
      <c r="O391" s="19">
        <v>1500.0</v>
      </c>
      <c r="P391" s="20">
        <v>2.08</v>
      </c>
      <c r="Q391" s="20">
        <v>721.15</v>
      </c>
      <c r="R391" s="21">
        <v>0.6648686126326007</v>
      </c>
      <c r="S391" s="1" t="s">
        <v>78</v>
      </c>
      <c r="T391" s="1" t="s">
        <v>0</v>
      </c>
      <c r="U391" s="1" t="s">
        <v>81</v>
      </c>
      <c r="V391" s="1" t="s">
        <v>81</v>
      </c>
      <c r="W391" s="1" t="s">
        <v>0</v>
      </c>
      <c r="X391" s="1"/>
      <c r="Y391" s="22" t="str">
        <f t="shared" si="3"/>
        <v>CO</v>
      </c>
      <c r="Z391" s="20" t="str">
        <f>_xlfn.XLOOKUP($B391,[1]F27!$C:$C,[1]F27!$BV:$BV)</f>
        <v>#ERROR!</v>
      </c>
      <c r="AA391" s="1"/>
      <c r="AB391" s="1"/>
      <c r="AC391" s="23"/>
      <c r="AD391" s="1" t="str">
        <f>_xlfn.XLOOKUP($B391,[1]F27!$C:$C,[1]F27!$Y:$Y)</f>
        <v>#ERROR!</v>
      </c>
      <c r="AE391" s="1" t="str">
        <f>_xlfn.XLOOKUP($B391,[1]F27!$C:$C,[1]F27!$Z:$Z)</f>
        <v>#ERROR!</v>
      </c>
      <c r="AF391" s="1" t="str">
        <f>_xlfn.XLOOKUP($B391,[2]PRICING!$B:$B,[2]PRICING!$B:$B,"MISSING")</f>
        <v>#ERROR!</v>
      </c>
      <c r="AG391" s="1" t="str">
        <f>COUNTIFS([2]ACTIVE_SCO!$B:$B,$B391,[2]ACTIVE_SCO!$P:$P,"Y")</f>
        <v>#ERROR!</v>
      </c>
      <c r="AH391" s="1"/>
      <c r="AI391" s="1" t="s">
        <v>341</v>
      </c>
      <c r="AJ391" s="1"/>
      <c r="AK391" s="1"/>
      <c r="AL391" s="1"/>
      <c r="AM391" s="1"/>
      <c r="AN391" s="1"/>
      <c r="AO391" s="1"/>
      <c r="AP391" s="1"/>
      <c r="AQ391" s="40" t="s">
        <v>0</v>
      </c>
      <c r="AR391" s="1"/>
      <c r="AS391" s="1" t="s">
        <v>1112</v>
      </c>
      <c r="AT391" s="1" t="s">
        <v>1113</v>
      </c>
      <c r="AU391" s="1" t="s">
        <v>1114</v>
      </c>
      <c r="AV391" s="1"/>
      <c r="AW391" s="1"/>
      <c r="AX391" s="1"/>
      <c r="AY391" s="1"/>
      <c r="AZ391" s="1"/>
      <c r="BA391" s="1"/>
      <c r="BB391" s="1"/>
      <c r="BC391" s="1"/>
      <c r="BD391" s="1"/>
    </row>
    <row r="392" ht="11.25" customHeight="1">
      <c r="A392" s="1" t="b">
        <v>0</v>
      </c>
      <c r="B392" s="1" t="s">
        <v>1305</v>
      </c>
      <c r="C392" s="1" t="s">
        <v>1306</v>
      </c>
      <c r="D392" s="1" t="s">
        <v>1109</v>
      </c>
      <c r="E392" s="1"/>
      <c r="F392" s="1"/>
      <c r="G392" s="1" t="s">
        <v>66</v>
      </c>
      <c r="H392" s="1"/>
      <c r="I392" s="1" t="s">
        <v>1110</v>
      </c>
      <c r="J392" s="1" t="s">
        <v>141</v>
      </c>
      <c r="K392" s="1" t="s">
        <v>249</v>
      </c>
      <c r="L392" s="19" t="s">
        <v>0</v>
      </c>
      <c r="M392" s="1" t="b">
        <v>1</v>
      </c>
      <c r="N392" s="1" t="b">
        <v>0</v>
      </c>
      <c r="O392" s="19">
        <v>1500.0</v>
      </c>
      <c r="P392" s="20">
        <v>2.08</v>
      </c>
      <c r="Q392" s="20">
        <v>721.15</v>
      </c>
      <c r="R392" s="21">
        <v>0.6240449282396172</v>
      </c>
      <c r="S392" s="1" t="s">
        <v>78</v>
      </c>
      <c r="T392" s="1" t="s">
        <v>0</v>
      </c>
      <c r="U392" s="1" t="s">
        <v>81</v>
      </c>
      <c r="V392" s="1" t="s">
        <v>81</v>
      </c>
      <c r="W392" s="1" t="s">
        <v>0</v>
      </c>
      <c r="X392" s="1"/>
      <c r="Y392" s="22" t="str">
        <f t="shared" si="3"/>
        <v>CO</v>
      </c>
      <c r="Z392" s="20" t="str">
        <f>_xlfn.XLOOKUP($B392,[1]F27!$C:$C,[1]F27!$BV:$BV)</f>
        <v>#ERROR!</v>
      </c>
      <c r="AA392" s="1"/>
      <c r="AB392" s="1"/>
      <c r="AC392" s="23"/>
      <c r="AD392" s="1" t="str">
        <f>_xlfn.XLOOKUP($B392,[1]F27!$C:$C,[1]F27!$Y:$Y)</f>
        <v>#ERROR!</v>
      </c>
      <c r="AE392" s="1" t="str">
        <f>_xlfn.XLOOKUP($B392,[1]F27!$C:$C,[1]F27!$Z:$Z)</f>
        <v>#ERROR!</v>
      </c>
      <c r="AF392" s="1" t="str">
        <f>_xlfn.XLOOKUP($B392,[2]PRICING!$B:$B,[2]PRICING!$B:$B,"MISSING")</f>
        <v>#ERROR!</v>
      </c>
      <c r="AG392" s="1" t="str">
        <f>COUNTIFS([2]ACTIVE_SCO!$B:$B,$B392,[2]ACTIVE_SCO!$P:$P,"Y")</f>
        <v>#ERROR!</v>
      </c>
      <c r="AH392" s="1"/>
      <c r="AI392" s="1" t="s">
        <v>341</v>
      </c>
      <c r="AJ392" s="1"/>
      <c r="AK392" s="1"/>
      <c r="AL392" s="1"/>
      <c r="AM392" s="1"/>
      <c r="AN392" s="1"/>
      <c r="AO392" s="1"/>
      <c r="AP392" s="1"/>
      <c r="AQ392" s="40" t="s">
        <v>0</v>
      </c>
      <c r="AR392" s="1"/>
      <c r="AS392" s="1" t="s">
        <v>1112</v>
      </c>
      <c r="AT392" s="1" t="s">
        <v>1113</v>
      </c>
      <c r="AU392" s="1" t="s">
        <v>1170</v>
      </c>
      <c r="AV392" s="1"/>
      <c r="AW392" s="1"/>
      <c r="AX392" s="1"/>
      <c r="AY392" s="1"/>
      <c r="AZ392" s="1"/>
      <c r="BA392" s="1"/>
      <c r="BB392" s="1"/>
      <c r="BC392" s="1"/>
      <c r="BD392" s="1"/>
    </row>
    <row r="393" ht="11.25" customHeight="1">
      <c r="A393" s="1" t="b">
        <v>1</v>
      </c>
      <c r="B393" s="1" t="s">
        <v>2143</v>
      </c>
      <c r="C393" s="1" t="s">
        <v>2144</v>
      </c>
      <c r="D393" s="1" t="s">
        <v>65</v>
      </c>
      <c r="E393" s="1"/>
      <c r="F393" s="1"/>
      <c r="G393" s="1" t="s">
        <v>66</v>
      </c>
      <c r="H393" s="1"/>
      <c r="I393" s="1" t="s">
        <v>355</v>
      </c>
      <c r="J393" s="1" t="s">
        <v>69</v>
      </c>
      <c r="K393" s="1" t="s">
        <v>70</v>
      </c>
      <c r="L393" s="19" t="s">
        <v>0</v>
      </c>
      <c r="M393" s="1" t="b">
        <v>1</v>
      </c>
      <c r="N393" s="1" t="b">
        <v>0</v>
      </c>
      <c r="O393" s="19">
        <v>5000.0</v>
      </c>
      <c r="P393" s="20">
        <v>2.1</v>
      </c>
      <c r="Q393" s="20">
        <v>2380.95</v>
      </c>
      <c r="R393" s="21">
        <v>0.648106848106848</v>
      </c>
      <c r="S393" s="1" t="s">
        <v>117</v>
      </c>
      <c r="T393" s="1" t="s">
        <v>0</v>
      </c>
      <c r="U393" s="1" t="s">
        <v>359</v>
      </c>
      <c r="V393" s="1" t="s">
        <v>81</v>
      </c>
      <c r="W393" s="1" t="s">
        <v>0</v>
      </c>
      <c r="X393" s="1"/>
      <c r="Y393" s="22" t="str">
        <f t="shared" si="3"/>
        <v>CO</v>
      </c>
      <c r="Z393" s="20" t="str">
        <f>_xlfn.XLOOKUP($B393,[1]F27!$C:$C,[1]F27!$BV:$BV)</f>
        <v>#ERROR!</v>
      </c>
      <c r="AA393" s="1"/>
      <c r="AB393" s="1"/>
      <c r="AC393" s="23"/>
      <c r="AD393" s="1" t="str">
        <f>_xlfn.XLOOKUP($B393,[1]F27!$C:$C,[1]F27!$Y:$Y)</f>
        <v>#ERROR!</v>
      </c>
      <c r="AE393" s="1" t="str">
        <f>_xlfn.XLOOKUP($B393,[1]F27!$C:$C,[1]F27!$Z:$Z)</f>
        <v>#ERROR!</v>
      </c>
      <c r="AF393" s="1" t="str">
        <f>_xlfn.XLOOKUP($B393,[2]PRICING!$B:$B,[2]PRICING!$B:$B,"MISSING")</f>
        <v>#ERROR!</v>
      </c>
      <c r="AG393" s="1" t="str">
        <f>COUNTIFS([2]ACTIVE_SCO!$B:$B,$B393,[2]ACTIVE_SCO!$P:$P,"Y")</f>
        <v>#ERROR!</v>
      </c>
      <c r="AH393" s="1"/>
      <c r="AI393" s="37" t="s">
        <v>341</v>
      </c>
      <c r="AJ393" s="55" t="s">
        <v>2145</v>
      </c>
      <c r="AK393" s="49" t="s">
        <v>365</v>
      </c>
      <c r="AL393" s="39" t="s">
        <v>551</v>
      </c>
      <c r="AM393" s="1" t="s">
        <v>125</v>
      </c>
      <c r="AN393" s="40" t="s">
        <v>127</v>
      </c>
      <c r="AO393" s="41" t="s">
        <v>125</v>
      </c>
      <c r="AP393" s="39"/>
      <c r="AQ393" s="40" t="s">
        <v>0</v>
      </c>
      <c r="AR393" s="39"/>
      <c r="AS393" s="1" t="s">
        <v>355</v>
      </c>
      <c r="AT393" s="1" t="s">
        <v>161</v>
      </c>
      <c r="AU393" s="1" t="s">
        <v>448</v>
      </c>
      <c r="AV393" s="1" t="s">
        <v>131</v>
      </c>
      <c r="AW393" s="1"/>
      <c r="AX393" s="1"/>
      <c r="AY393" s="1"/>
      <c r="AZ393" s="1"/>
      <c r="BA393" s="50" t="s">
        <v>365</v>
      </c>
      <c r="BB393" s="1" t="s">
        <v>551</v>
      </c>
      <c r="BC393" s="25"/>
      <c r="BD393" s="25" t="s">
        <v>2146</v>
      </c>
    </row>
    <row r="394" ht="11.25" customHeight="1">
      <c r="A394" s="1" t="b">
        <v>1</v>
      </c>
      <c r="B394" s="1" t="s">
        <v>2147</v>
      </c>
      <c r="C394" s="1" t="s">
        <v>2148</v>
      </c>
      <c r="D394" s="1" t="s">
        <v>65</v>
      </c>
      <c r="E394" s="1"/>
      <c r="F394" s="1"/>
      <c r="G394" s="1" t="s">
        <v>66</v>
      </c>
      <c r="H394" s="1"/>
      <c r="I394" s="1" t="s">
        <v>355</v>
      </c>
      <c r="J394" s="1" t="s">
        <v>69</v>
      </c>
      <c r="K394" s="1" t="s">
        <v>107</v>
      </c>
      <c r="L394" s="19" t="s">
        <v>0</v>
      </c>
      <c r="M394" s="1" t="b">
        <v>1</v>
      </c>
      <c r="N394" s="1" t="b">
        <v>0</v>
      </c>
      <c r="O394" s="19">
        <v>5000.0</v>
      </c>
      <c r="P394" s="20">
        <v>2.1</v>
      </c>
      <c r="Q394" s="20">
        <v>2380.95</v>
      </c>
      <c r="R394" s="21">
        <v>0.6697158697158696</v>
      </c>
      <c r="S394" s="1" t="s">
        <v>117</v>
      </c>
      <c r="T394" s="1" t="s">
        <v>0</v>
      </c>
      <c r="U394" s="1" t="s">
        <v>359</v>
      </c>
      <c r="V394" s="1" t="s">
        <v>81</v>
      </c>
      <c r="W394" s="1" t="s">
        <v>0</v>
      </c>
      <c r="X394" s="1"/>
      <c r="Y394" s="22" t="str">
        <f t="shared" si="3"/>
        <v>CO</v>
      </c>
      <c r="Z394" s="20" t="str">
        <f>_xlfn.XLOOKUP($B394,[1]F27!$C:$C,[1]F27!$BV:$BV)</f>
        <v>#ERROR!</v>
      </c>
      <c r="AA394" s="1"/>
      <c r="AB394" s="1"/>
      <c r="AC394" s="23"/>
      <c r="AD394" s="1" t="str">
        <f>_xlfn.XLOOKUP($B394,[1]F27!$C:$C,[1]F27!$Y:$Y)</f>
        <v>#ERROR!</v>
      </c>
      <c r="AE394" s="1" t="str">
        <f>_xlfn.XLOOKUP($B394,[1]F27!$C:$C,[1]F27!$Z:$Z)</f>
        <v>#ERROR!</v>
      </c>
      <c r="AF394" s="1" t="str">
        <f>_xlfn.XLOOKUP($B394,[2]PRICING!$B:$B,[2]PRICING!$B:$B,"MISSING")</f>
        <v>#ERROR!</v>
      </c>
      <c r="AG394" s="1" t="str">
        <f>COUNTIFS([2]ACTIVE_SCO!$B:$B,$B394,[2]ACTIVE_SCO!$P:$P,"Y")</f>
        <v>#ERROR!</v>
      </c>
      <c r="AH394" s="1"/>
      <c r="AI394" s="37" t="s">
        <v>341</v>
      </c>
      <c r="AJ394" s="55" t="s">
        <v>2149</v>
      </c>
      <c r="AK394" s="49" t="s">
        <v>365</v>
      </c>
      <c r="AL394" s="39" t="s">
        <v>551</v>
      </c>
      <c r="AM394" s="1" t="s">
        <v>125</v>
      </c>
      <c r="AN394" s="40" t="s">
        <v>127</v>
      </c>
      <c r="AO394" s="41" t="s">
        <v>125</v>
      </c>
      <c r="AP394" s="39"/>
      <c r="AQ394" s="40" t="s">
        <v>0</v>
      </c>
      <c r="AR394" s="39"/>
      <c r="AS394" s="1" t="s">
        <v>355</v>
      </c>
      <c r="AT394" s="1" t="s">
        <v>161</v>
      </c>
      <c r="AU394" s="1" t="s">
        <v>448</v>
      </c>
      <c r="AV394" s="1" t="s">
        <v>131</v>
      </c>
      <c r="AW394" s="1"/>
      <c r="AX394" s="1"/>
      <c r="AY394" s="1"/>
      <c r="AZ394" s="1"/>
      <c r="BA394" s="50" t="s">
        <v>365</v>
      </c>
      <c r="BB394" s="1" t="s">
        <v>551</v>
      </c>
      <c r="BC394" s="25"/>
      <c r="BD394" s="25" t="s">
        <v>2146</v>
      </c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9"/>
      <c r="M395" s="1"/>
      <c r="N395" s="1"/>
      <c r="O395" s="19"/>
      <c r="P395" s="20"/>
      <c r="Q395" s="20"/>
      <c r="R395" s="21"/>
      <c r="S395" s="1"/>
      <c r="T395" s="1"/>
      <c r="U395" s="1"/>
      <c r="V395" s="1"/>
      <c r="W395" s="1"/>
      <c r="X395" s="1"/>
      <c r="Y395" s="22"/>
      <c r="Z395" s="20"/>
      <c r="AA395" s="1"/>
      <c r="AB395" s="1"/>
      <c r="AC395" s="23"/>
      <c r="AD395" s="1"/>
      <c r="AE395" s="1"/>
      <c r="AF395" s="1"/>
      <c r="AG395" s="1"/>
      <c r="AH395" s="1"/>
      <c r="AI395" s="39"/>
      <c r="AJ395" s="39"/>
      <c r="AK395" s="39"/>
      <c r="AL395" s="39"/>
      <c r="AM395" s="1"/>
      <c r="AN395" s="1"/>
      <c r="AO395" s="39"/>
      <c r="AP395" s="39"/>
      <c r="AQ395" s="1"/>
      <c r="AR395" s="39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9"/>
      <c r="M396" s="1"/>
      <c r="N396" s="1"/>
      <c r="O396" s="19"/>
      <c r="P396" s="20"/>
      <c r="Q396" s="20"/>
      <c r="R396" s="21"/>
      <c r="S396" s="1"/>
      <c r="T396" s="1"/>
      <c r="U396" s="1"/>
      <c r="V396" s="1"/>
      <c r="W396" s="1"/>
      <c r="X396" s="1"/>
      <c r="Y396" s="22"/>
      <c r="Z396" s="20"/>
      <c r="AA396" s="1"/>
      <c r="AB396" s="1"/>
      <c r="AC396" s="23"/>
      <c r="AD396" s="1"/>
      <c r="AE396" s="1"/>
      <c r="AF396" s="1"/>
      <c r="AG396" s="1"/>
      <c r="AH396" s="1"/>
      <c r="AI396" s="39"/>
      <c r="AJ396" s="39"/>
      <c r="AK396" s="39"/>
      <c r="AL396" s="39"/>
      <c r="AM396" s="1"/>
      <c r="AN396" s="1"/>
      <c r="AO396" s="39"/>
      <c r="AP396" s="39"/>
      <c r="AQ396" s="1"/>
      <c r="AR396" s="39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9"/>
      <c r="M397" s="1"/>
      <c r="N397" s="1"/>
      <c r="O397" s="19"/>
      <c r="P397" s="20"/>
      <c r="Q397" s="20"/>
      <c r="R397" s="21"/>
      <c r="S397" s="1"/>
      <c r="T397" s="1"/>
      <c r="U397" s="1"/>
      <c r="V397" s="1"/>
      <c r="W397" s="1"/>
      <c r="X397" s="1"/>
      <c r="Y397" s="22"/>
      <c r="Z397" s="20"/>
      <c r="AA397" s="1"/>
      <c r="AB397" s="1"/>
      <c r="AC397" s="23"/>
      <c r="AD397" s="1"/>
      <c r="AE397" s="1"/>
      <c r="AF397" s="1"/>
      <c r="AG397" s="1"/>
      <c r="AH397" s="1"/>
      <c r="AI397" s="39"/>
      <c r="AJ397" s="39"/>
      <c r="AK397" s="39"/>
      <c r="AL397" s="39"/>
      <c r="AM397" s="1"/>
      <c r="AN397" s="1"/>
      <c r="AO397" s="39"/>
      <c r="AP397" s="39"/>
      <c r="AQ397" s="1"/>
      <c r="AR397" s="39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9"/>
      <c r="M398" s="1"/>
      <c r="N398" s="1"/>
      <c r="O398" s="19"/>
      <c r="P398" s="20"/>
      <c r="Q398" s="20"/>
      <c r="R398" s="21"/>
      <c r="S398" s="1"/>
      <c r="T398" s="1"/>
      <c r="U398" s="1"/>
      <c r="V398" s="1"/>
      <c r="W398" s="1"/>
      <c r="X398" s="1"/>
      <c r="Y398" s="22"/>
      <c r="Z398" s="20"/>
      <c r="AA398" s="1"/>
      <c r="AB398" s="1"/>
      <c r="AC398" s="23"/>
      <c r="AD398" s="1"/>
      <c r="AE398" s="1"/>
      <c r="AF398" s="1"/>
      <c r="AG398" s="1"/>
      <c r="AH398" s="1"/>
      <c r="AI398" s="39"/>
      <c r="AJ398" s="39"/>
      <c r="AK398" s="39"/>
      <c r="AL398" s="39"/>
      <c r="AM398" s="1"/>
      <c r="AN398" s="1"/>
      <c r="AO398" s="39"/>
      <c r="AP398" s="39"/>
      <c r="AQ398" s="1"/>
      <c r="AR398" s="39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9"/>
      <c r="M399" s="1"/>
      <c r="N399" s="1"/>
      <c r="O399" s="19"/>
      <c r="P399" s="20"/>
      <c r="Q399" s="20"/>
      <c r="R399" s="21"/>
      <c r="S399" s="1"/>
      <c r="T399" s="1"/>
      <c r="U399" s="1"/>
      <c r="V399" s="1"/>
      <c r="W399" s="1"/>
      <c r="X399" s="1"/>
      <c r="Y399" s="22"/>
      <c r="Z399" s="20"/>
      <c r="AA399" s="1"/>
      <c r="AB399" s="1"/>
      <c r="AC399" s="23"/>
      <c r="AD399" s="1"/>
      <c r="AE399" s="1"/>
      <c r="AF399" s="1"/>
      <c r="AG399" s="1"/>
      <c r="AH399" s="1"/>
      <c r="AI399" s="39"/>
      <c r="AJ399" s="39"/>
      <c r="AK399" s="39"/>
      <c r="AL399" s="39"/>
      <c r="AM399" s="1"/>
      <c r="AN399" s="1"/>
      <c r="AO399" s="39"/>
      <c r="AP399" s="39"/>
      <c r="AQ399" s="1"/>
      <c r="AR399" s="39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9"/>
      <c r="M400" s="1"/>
      <c r="N400" s="1"/>
      <c r="O400" s="19"/>
      <c r="P400" s="20"/>
      <c r="Q400" s="20"/>
      <c r="R400" s="21"/>
      <c r="S400" s="1"/>
      <c r="T400" s="1"/>
      <c r="U400" s="1"/>
      <c r="V400" s="1"/>
      <c r="W400" s="1"/>
      <c r="X400" s="1"/>
      <c r="Y400" s="22"/>
      <c r="Z400" s="20"/>
      <c r="AA400" s="1"/>
      <c r="AB400" s="1"/>
      <c r="AC400" s="23"/>
      <c r="AD400" s="1"/>
      <c r="AE400" s="1"/>
      <c r="AF400" s="1"/>
      <c r="AG400" s="1"/>
      <c r="AH400" s="1"/>
      <c r="AI400" s="39"/>
      <c r="AJ400" s="39"/>
      <c r="AK400" s="39"/>
      <c r="AL400" s="39"/>
      <c r="AM400" s="1"/>
      <c r="AN400" s="1"/>
      <c r="AO400" s="39"/>
      <c r="AP400" s="39"/>
      <c r="AQ400" s="1"/>
      <c r="AR400" s="39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9"/>
      <c r="M401" s="1"/>
      <c r="N401" s="1"/>
      <c r="O401" s="19"/>
      <c r="P401" s="20"/>
      <c r="Q401" s="20"/>
      <c r="R401" s="21"/>
      <c r="S401" s="1"/>
      <c r="T401" s="1"/>
      <c r="U401" s="1"/>
      <c r="V401" s="1"/>
      <c r="W401" s="1"/>
      <c r="X401" s="1"/>
      <c r="Y401" s="22"/>
      <c r="Z401" s="20"/>
      <c r="AA401" s="1"/>
      <c r="AB401" s="1"/>
      <c r="AC401" s="23"/>
      <c r="AD401" s="1"/>
      <c r="AE401" s="1"/>
      <c r="AF401" s="1"/>
      <c r="AG401" s="1"/>
      <c r="AH401" s="1"/>
      <c r="AI401" s="39"/>
      <c r="AJ401" s="39"/>
      <c r="AK401" s="39"/>
      <c r="AL401" s="39"/>
      <c r="AM401" s="1"/>
      <c r="AN401" s="1"/>
      <c r="AO401" s="39"/>
      <c r="AP401" s="39"/>
      <c r="AQ401" s="1"/>
      <c r="AR401" s="39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9"/>
      <c r="M402" s="1"/>
      <c r="N402" s="1"/>
      <c r="O402" s="19"/>
      <c r="P402" s="20"/>
      <c r="Q402" s="20"/>
      <c r="R402" s="21"/>
      <c r="S402" s="1"/>
      <c r="T402" s="1"/>
      <c r="U402" s="1"/>
      <c r="V402" s="1"/>
      <c r="W402" s="1"/>
      <c r="X402" s="1"/>
      <c r="Y402" s="22"/>
      <c r="Z402" s="20"/>
      <c r="AA402" s="1"/>
      <c r="AB402" s="1"/>
      <c r="AC402" s="23"/>
      <c r="AD402" s="1"/>
      <c r="AE402" s="1"/>
      <c r="AF402" s="1"/>
      <c r="AG402" s="1"/>
      <c r="AH402" s="1"/>
      <c r="AI402" s="39"/>
      <c r="AJ402" s="39"/>
      <c r="AK402" s="39"/>
      <c r="AL402" s="39"/>
      <c r="AM402" s="1"/>
      <c r="AN402" s="1"/>
      <c r="AO402" s="39"/>
      <c r="AP402" s="39"/>
      <c r="AQ402" s="1"/>
      <c r="AR402" s="39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9"/>
      <c r="M403" s="1"/>
      <c r="N403" s="1"/>
      <c r="O403" s="19"/>
      <c r="P403" s="20"/>
      <c r="Q403" s="20"/>
      <c r="R403" s="21"/>
      <c r="S403" s="1"/>
      <c r="T403" s="1"/>
      <c r="U403" s="1"/>
      <c r="V403" s="1"/>
      <c r="W403" s="1"/>
      <c r="X403" s="1"/>
      <c r="Y403" s="22"/>
      <c r="Z403" s="20"/>
      <c r="AA403" s="1"/>
      <c r="AB403" s="1"/>
      <c r="AC403" s="23"/>
      <c r="AD403" s="1"/>
      <c r="AE403" s="1"/>
      <c r="AF403" s="1"/>
      <c r="AG403" s="1"/>
      <c r="AH403" s="1"/>
      <c r="AI403" s="39"/>
      <c r="AJ403" s="39"/>
      <c r="AK403" s="39"/>
      <c r="AL403" s="39"/>
      <c r="AM403" s="1"/>
      <c r="AN403" s="1"/>
      <c r="AO403" s="39"/>
      <c r="AP403" s="39"/>
      <c r="AQ403" s="1"/>
      <c r="AR403" s="39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9"/>
      <c r="M404" s="1"/>
      <c r="N404" s="1"/>
      <c r="O404" s="19"/>
      <c r="P404" s="20"/>
      <c r="Q404" s="20"/>
      <c r="R404" s="21"/>
      <c r="S404" s="1"/>
      <c r="T404" s="1"/>
      <c r="U404" s="1"/>
      <c r="V404" s="1"/>
      <c r="W404" s="1"/>
      <c r="X404" s="1"/>
      <c r="Y404" s="22"/>
      <c r="Z404" s="20"/>
      <c r="AA404" s="1"/>
      <c r="AB404" s="1"/>
      <c r="AC404" s="23"/>
      <c r="AD404" s="1"/>
      <c r="AE404" s="1"/>
      <c r="AF404" s="1"/>
      <c r="AG404" s="1"/>
      <c r="AH404" s="1"/>
      <c r="AI404" s="39"/>
      <c r="AJ404" s="39"/>
      <c r="AK404" s="39"/>
      <c r="AL404" s="39"/>
      <c r="AM404" s="1"/>
      <c r="AN404" s="1"/>
      <c r="AO404" s="39"/>
      <c r="AP404" s="39"/>
      <c r="AQ404" s="1"/>
      <c r="AR404" s="39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9"/>
      <c r="M405" s="1"/>
      <c r="N405" s="1"/>
      <c r="O405" s="19"/>
      <c r="P405" s="20"/>
      <c r="Q405" s="20"/>
      <c r="R405" s="21"/>
      <c r="S405" s="1"/>
      <c r="T405" s="1"/>
      <c r="U405" s="1"/>
      <c r="V405" s="1"/>
      <c r="W405" s="1"/>
      <c r="X405" s="1"/>
      <c r="Y405" s="22"/>
      <c r="Z405" s="20"/>
      <c r="AA405" s="1"/>
      <c r="AB405" s="1"/>
      <c r="AC405" s="23"/>
      <c r="AD405" s="1"/>
      <c r="AE405" s="1"/>
      <c r="AF405" s="1"/>
      <c r="AG405" s="1"/>
      <c r="AH405" s="1"/>
      <c r="AI405" s="39"/>
      <c r="AJ405" s="39"/>
      <c r="AK405" s="39"/>
      <c r="AL405" s="39"/>
      <c r="AM405" s="1"/>
      <c r="AN405" s="1"/>
      <c r="AO405" s="39"/>
      <c r="AP405" s="39"/>
      <c r="AQ405" s="1"/>
      <c r="AR405" s="39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0"/>
      <c r="Q406" s="20"/>
      <c r="R406" s="21"/>
      <c r="S406" s="1"/>
      <c r="T406" s="1"/>
      <c r="U406" s="1"/>
      <c r="V406" s="1"/>
      <c r="W406" s="1"/>
      <c r="X406" s="1"/>
      <c r="Y406" s="22"/>
      <c r="Z406" s="20"/>
      <c r="AA406" s="1"/>
      <c r="AB406" s="1"/>
      <c r="AC406" s="23"/>
      <c r="AD406" s="1"/>
      <c r="AE406" s="19"/>
      <c r="AF406" s="1"/>
      <c r="AG406" s="1"/>
      <c r="AH406" s="1"/>
      <c r="AI406" s="39"/>
      <c r="AJ406" s="39"/>
      <c r="AK406" s="39"/>
      <c r="AL406" s="39"/>
      <c r="AM406" s="1"/>
      <c r="AN406" s="1"/>
      <c r="AO406" s="39"/>
      <c r="AP406" s="39"/>
      <c r="AQ406" s="1"/>
      <c r="AR406" s="39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0"/>
      <c r="Q407" s="20"/>
      <c r="R407" s="21"/>
      <c r="S407" s="1"/>
      <c r="T407" s="1"/>
      <c r="U407" s="1"/>
      <c r="V407" s="1"/>
      <c r="W407" s="1"/>
      <c r="X407" s="1"/>
      <c r="Y407" s="22"/>
      <c r="Z407" s="20"/>
      <c r="AA407" s="1"/>
      <c r="AB407" s="1"/>
      <c r="AC407" s="23"/>
      <c r="AD407" s="1"/>
      <c r="AE407" s="19"/>
      <c r="AF407" s="1"/>
      <c r="AG407" s="1"/>
      <c r="AH407" s="1"/>
      <c r="AI407" s="39"/>
      <c r="AJ407" s="39"/>
      <c r="AK407" s="39"/>
      <c r="AL407" s="39"/>
      <c r="AM407" s="1"/>
      <c r="AN407" s="1"/>
      <c r="AO407" s="39"/>
      <c r="AP407" s="39"/>
      <c r="AQ407" s="1"/>
      <c r="AR407" s="39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0"/>
      <c r="Q408" s="20"/>
      <c r="R408" s="21"/>
      <c r="S408" s="1"/>
      <c r="T408" s="1"/>
      <c r="U408" s="1"/>
      <c r="V408" s="1"/>
      <c r="W408" s="1"/>
      <c r="X408" s="1"/>
      <c r="Y408" s="22"/>
      <c r="Z408" s="20"/>
      <c r="AA408" s="1"/>
      <c r="AB408" s="1"/>
      <c r="AC408" s="23"/>
      <c r="AD408" s="1"/>
      <c r="AE408" s="19"/>
      <c r="AF408" s="1"/>
      <c r="AG408" s="1"/>
      <c r="AH408" s="1"/>
      <c r="AI408" s="39"/>
      <c r="AJ408" s="39"/>
      <c r="AK408" s="39"/>
      <c r="AL408" s="39"/>
      <c r="AM408" s="1"/>
      <c r="AN408" s="1"/>
      <c r="AO408" s="39"/>
      <c r="AP408" s="39"/>
      <c r="AQ408" s="1"/>
      <c r="AR408" s="39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0"/>
      <c r="Q409" s="20"/>
      <c r="R409" s="21"/>
      <c r="S409" s="1"/>
      <c r="T409" s="1"/>
      <c r="U409" s="1"/>
      <c r="V409" s="1"/>
      <c r="W409" s="1"/>
      <c r="X409" s="1"/>
      <c r="Y409" s="22"/>
      <c r="Z409" s="20"/>
      <c r="AA409" s="1"/>
      <c r="AB409" s="1"/>
      <c r="AC409" s="23"/>
      <c r="AD409" s="1"/>
      <c r="AE409" s="19"/>
      <c r="AF409" s="1"/>
      <c r="AG409" s="1"/>
      <c r="AH409" s="1"/>
      <c r="AI409" s="39"/>
      <c r="AJ409" s="39"/>
      <c r="AK409" s="39"/>
      <c r="AL409" s="39"/>
      <c r="AM409" s="1"/>
      <c r="AN409" s="1"/>
      <c r="AO409" s="39"/>
      <c r="AP409" s="39"/>
      <c r="AQ409" s="1"/>
      <c r="AR409" s="39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0"/>
      <c r="Q410" s="20"/>
      <c r="R410" s="21"/>
      <c r="S410" s="1"/>
      <c r="T410" s="1"/>
      <c r="U410" s="1"/>
      <c r="V410" s="1"/>
      <c r="W410" s="1"/>
      <c r="X410" s="1"/>
      <c r="Y410" s="22"/>
      <c r="Z410" s="20"/>
      <c r="AA410" s="1"/>
      <c r="AB410" s="1"/>
      <c r="AC410" s="23"/>
      <c r="AD410" s="1"/>
      <c r="AE410" s="19"/>
      <c r="AF410" s="1"/>
      <c r="AG410" s="1"/>
      <c r="AH410" s="1"/>
      <c r="AI410" s="39"/>
      <c r="AJ410" s="39"/>
      <c r="AK410" s="39"/>
      <c r="AL410" s="39"/>
      <c r="AM410" s="1"/>
      <c r="AN410" s="1"/>
      <c r="AO410" s="39"/>
      <c r="AP410" s="39"/>
      <c r="AQ410" s="1"/>
      <c r="AR410" s="39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0"/>
      <c r="Q411" s="20"/>
      <c r="R411" s="21"/>
      <c r="S411" s="1"/>
      <c r="T411" s="1"/>
      <c r="U411" s="1"/>
      <c r="V411" s="1"/>
      <c r="W411" s="1"/>
      <c r="X411" s="1"/>
      <c r="Y411" s="22"/>
      <c r="Z411" s="20"/>
      <c r="AA411" s="1"/>
      <c r="AB411" s="1"/>
      <c r="AC411" s="23"/>
      <c r="AD411" s="1"/>
      <c r="AE411" s="19"/>
      <c r="AF411" s="1"/>
      <c r="AG411" s="1"/>
      <c r="AH411" s="1"/>
      <c r="AI411" s="39"/>
      <c r="AJ411" s="39"/>
      <c r="AK411" s="39"/>
      <c r="AL411" s="39"/>
      <c r="AM411" s="1"/>
      <c r="AN411" s="1"/>
      <c r="AO411" s="39"/>
      <c r="AP411" s="39"/>
      <c r="AQ411" s="1"/>
      <c r="AR411" s="39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0"/>
      <c r="Q412" s="20"/>
      <c r="R412" s="21"/>
      <c r="S412" s="1"/>
      <c r="T412" s="1"/>
      <c r="U412" s="1"/>
      <c r="V412" s="1"/>
      <c r="W412" s="1"/>
      <c r="X412" s="1"/>
      <c r="Y412" s="22"/>
      <c r="Z412" s="20"/>
      <c r="AA412" s="1"/>
      <c r="AB412" s="1"/>
      <c r="AC412" s="23"/>
      <c r="AD412" s="1"/>
      <c r="AE412" s="19"/>
      <c r="AF412" s="1"/>
      <c r="AG412" s="1"/>
      <c r="AH412" s="1"/>
      <c r="AI412" s="39"/>
      <c r="AJ412" s="39"/>
      <c r="AK412" s="39"/>
      <c r="AL412" s="39"/>
      <c r="AM412" s="1"/>
      <c r="AN412" s="1"/>
      <c r="AO412" s="39"/>
      <c r="AP412" s="39"/>
      <c r="AQ412" s="1"/>
      <c r="AR412" s="39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0"/>
      <c r="Q413" s="20"/>
      <c r="R413" s="21"/>
      <c r="S413" s="1"/>
      <c r="T413" s="1"/>
      <c r="U413" s="1"/>
      <c r="V413" s="1"/>
      <c r="W413" s="1"/>
      <c r="X413" s="1"/>
      <c r="Y413" s="22"/>
      <c r="Z413" s="20"/>
      <c r="AA413" s="1"/>
      <c r="AB413" s="1"/>
      <c r="AC413" s="23"/>
      <c r="AD413" s="1"/>
      <c r="AE413" s="19"/>
      <c r="AF413" s="1"/>
      <c r="AG413" s="1"/>
      <c r="AH413" s="1"/>
      <c r="AI413" s="39"/>
      <c r="AJ413" s="39"/>
      <c r="AK413" s="39"/>
      <c r="AL413" s="39"/>
      <c r="AM413" s="1"/>
      <c r="AN413" s="1"/>
      <c r="AO413" s="39"/>
      <c r="AP413" s="39"/>
      <c r="AQ413" s="1"/>
      <c r="AR413" s="39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0"/>
      <c r="Q414" s="20"/>
      <c r="R414" s="21"/>
      <c r="S414" s="1"/>
      <c r="T414" s="1"/>
      <c r="U414" s="1"/>
      <c r="V414" s="1"/>
      <c r="W414" s="1"/>
      <c r="X414" s="1"/>
      <c r="Y414" s="22"/>
      <c r="Z414" s="20"/>
      <c r="AA414" s="1"/>
      <c r="AB414" s="1"/>
      <c r="AC414" s="23"/>
      <c r="AD414" s="1"/>
      <c r="AE414" s="19"/>
      <c r="AF414" s="1"/>
      <c r="AG414" s="1"/>
      <c r="AH414" s="1"/>
      <c r="AI414" s="39"/>
      <c r="AJ414" s="39"/>
      <c r="AK414" s="39"/>
      <c r="AL414" s="39"/>
      <c r="AM414" s="1"/>
      <c r="AN414" s="1"/>
      <c r="AO414" s="39"/>
      <c r="AP414" s="39"/>
      <c r="AQ414" s="1"/>
      <c r="AR414" s="39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0"/>
      <c r="Q415" s="20"/>
      <c r="R415" s="21"/>
      <c r="S415" s="1"/>
      <c r="T415" s="1"/>
      <c r="U415" s="1"/>
      <c r="V415" s="1"/>
      <c r="W415" s="1"/>
      <c r="X415" s="1"/>
      <c r="Y415" s="22"/>
      <c r="Z415" s="20"/>
      <c r="AA415" s="1"/>
      <c r="AB415" s="1"/>
      <c r="AC415" s="23"/>
      <c r="AD415" s="1"/>
      <c r="AE415" s="19"/>
      <c r="AF415" s="1"/>
      <c r="AG415" s="1"/>
      <c r="AH415" s="1"/>
      <c r="AI415" s="39"/>
      <c r="AJ415" s="39"/>
      <c r="AK415" s="39"/>
      <c r="AL415" s="39"/>
      <c r="AM415" s="1"/>
      <c r="AN415" s="1"/>
      <c r="AO415" s="39"/>
      <c r="AP415" s="39"/>
      <c r="AQ415" s="1"/>
      <c r="AR415" s="39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0"/>
      <c r="Q416" s="20"/>
      <c r="R416" s="21"/>
      <c r="S416" s="1"/>
      <c r="T416" s="1"/>
      <c r="U416" s="1"/>
      <c r="V416" s="1"/>
      <c r="W416" s="1"/>
      <c r="X416" s="1"/>
      <c r="Y416" s="22"/>
      <c r="Z416" s="20"/>
      <c r="AA416" s="1"/>
      <c r="AB416" s="1"/>
      <c r="AC416" s="23"/>
      <c r="AD416" s="1"/>
      <c r="AE416" s="19"/>
      <c r="AF416" s="1"/>
      <c r="AG416" s="1"/>
      <c r="AH416" s="1"/>
      <c r="AI416" s="39"/>
      <c r="AJ416" s="39"/>
      <c r="AK416" s="39"/>
      <c r="AL416" s="39"/>
      <c r="AM416" s="1"/>
      <c r="AN416" s="1"/>
      <c r="AO416" s="39"/>
      <c r="AP416" s="39"/>
      <c r="AQ416" s="1"/>
      <c r="AR416" s="39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0"/>
      <c r="Q417" s="20"/>
      <c r="R417" s="21"/>
      <c r="S417" s="1"/>
      <c r="T417" s="1"/>
      <c r="U417" s="1"/>
      <c r="V417" s="1"/>
      <c r="W417" s="1"/>
      <c r="X417" s="1"/>
      <c r="Y417" s="22"/>
      <c r="Z417" s="20"/>
      <c r="AA417" s="1"/>
      <c r="AB417" s="1"/>
      <c r="AC417" s="23"/>
      <c r="AD417" s="1"/>
      <c r="AE417" s="19"/>
      <c r="AF417" s="1"/>
      <c r="AG417" s="1"/>
      <c r="AH417" s="1"/>
      <c r="AI417" s="39"/>
      <c r="AJ417" s="39"/>
      <c r="AK417" s="39"/>
      <c r="AL417" s="39"/>
      <c r="AM417" s="1"/>
      <c r="AN417" s="1"/>
      <c r="AO417" s="39"/>
      <c r="AP417" s="39"/>
      <c r="AQ417" s="1"/>
      <c r="AR417" s="39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0"/>
      <c r="Q418" s="20"/>
      <c r="R418" s="21"/>
      <c r="S418" s="1"/>
      <c r="T418" s="1"/>
      <c r="U418" s="1"/>
      <c r="V418" s="1"/>
      <c r="W418" s="1"/>
      <c r="X418" s="1"/>
      <c r="Y418" s="22"/>
      <c r="Z418" s="20"/>
      <c r="AA418" s="1"/>
      <c r="AB418" s="1"/>
      <c r="AC418" s="23"/>
      <c r="AD418" s="1"/>
      <c r="AE418" s="19"/>
      <c r="AF418" s="1"/>
      <c r="AG418" s="1"/>
      <c r="AH418" s="1"/>
      <c r="AI418" s="39"/>
      <c r="AJ418" s="39"/>
      <c r="AK418" s="39"/>
      <c r="AL418" s="39"/>
      <c r="AM418" s="1"/>
      <c r="AN418" s="1"/>
      <c r="AO418" s="39"/>
      <c r="AP418" s="39"/>
      <c r="AQ418" s="1"/>
      <c r="AR418" s="39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0"/>
      <c r="Q419" s="20"/>
      <c r="R419" s="21"/>
      <c r="S419" s="1"/>
      <c r="T419" s="1"/>
      <c r="U419" s="1"/>
      <c r="V419" s="1"/>
      <c r="W419" s="1"/>
      <c r="X419" s="1"/>
      <c r="Y419" s="22"/>
      <c r="Z419" s="20"/>
      <c r="AA419" s="1"/>
      <c r="AB419" s="1"/>
      <c r="AC419" s="23"/>
      <c r="AD419" s="1"/>
      <c r="AE419" s="19"/>
      <c r="AF419" s="1"/>
      <c r="AG419" s="1"/>
      <c r="AH419" s="1"/>
      <c r="AI419" s="39"/>
      <c r="AJ419" s="39"/>
      <c r="AK419" s="39"/>
      <c r="AL419" s="39"/>
      <c r="AM419" s="1"/>
      <c r="AN419" s="1"/>
      <c r="AO419" s="39"/>
      <c r="AP419" s="39"/>
      <c r="AQ419" s="1"/>
      <c r="AR419" s="39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0"/>
      <c r="Q420" s="20"/>
      <c r="R420" s="21"/>
      <c r="S420" s="1"/>
      <c r="T420" s="1"/>
      <c r="U420" s="1"/>
      <c r="V420" s="1"/>
      <c r="W420" s="1"/>
      <c r="X420" s="1"/>
      <c r="Y420" s="22"/>
      <c r="Z420" s="20"/>
      <c r="AA420" s="1"/>
      <c r="AB420" s="1"/>
      <c r="AC420" s="23"/>
      <c r="AD420" s="1"/>
      <c r="AE420" s="19"/>
      <c r="AF420" s="1"/>
      <c r="AG420" s="1"/>
      <c r="AH420" s="1"/>
      <c r="AI420" s="39"/>
      <c r="AJ420" s="39"/>
      <c r="AK420" s="39"/>
      <c r="AL420" s="39"/>
      <c r="AM420" s="1"/>
      <c r="AN420" s="1"/>
      <c r="AO420" s="39"/>
      <c r="AP420" s="39"/>
      <c r="AQ420" s="1"/>
      <c r="AR420" s="39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0"/>
      <c r="Q421" s="20"/>
      <c r="R421" s="21"/>
      <c r="S421" s="1"/>
      <c r="T421" s="1"/>
      <c r="U421" s="1"/>
      <c r="V421" s="1"/>
      <c r="W421" s="1"/>
      <c r="X421" s="1"/>
      <c r="Y421" s="22"/>
      <c r="Z421" s="20"/>
      <c r="AA421" s="1"/>
      <c r="AB421" s="1"/>
      <c r="AC421" s="23"/>
      <c r="AD421" s="1"/>
      <c r="AE421" s="19"/>
      <c r="AF421" s="1"/>
      <c r="AG421" s="1"/>
      <c r="AH421" s="1"/>
      <c r="AI421" s="39"/>
      <c r="AJ421" s="39"/>
      <c r="AK421" s="39"/>
      <c r="AL421" s="39"/>
      <c r="AM421" s="1"/>
      <c r="AN421" s="1"/>
      <c r="AO421" s="39"/>
      <c r="AP421" s="39"/>
      <c r="AQ421" s="1"/>
      <c r="AR421" s="39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0"/>
      <c r="Q422" s="20"/>
      <c r="R422" s="21"/>
      <c r="S422" s="1"/>
      <c r="T422" s="1"/>
      <c r="U422" s="1"/>
      <c r="V422" s="1"/>
      <c r="W422" s="1"/>
      <c r="X422" s="1"/>
      <c r="Y422" s="22"/>
      <c r="Z422" s="20"/>
      <c r="AA422" s="1"/>
      <c r="AB422" s="1"/>
      <c r="AC422" s="23"/>
      <c r="AD422" s="1"/>
      <c r="AE422" s="19"/>
      <c r="AF422" s="1"/>
      <c r="AG422" s="1"/>
      <c r="AH422" s="1"/>
      <c r="AI422" s="39"/>
      <c r="AJ422" s="39"/>
      <c r="AK422" s="39"/>
      <c r="AL422" s="39"/>
      <c r="AM422" s="1"/>
      <c r="AN422" s="1"/>
      <c r="AO422" s="39"/>
      <c r="AP422" s="39"/>
      <c r="AQ422" s="1"/>
      <c r="AR422" s="39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0"/>
      <c r="Q423" s="20"/>
      <c r="R423" s="21"/>
      <c r="S423" s="1"/>
      <c r="T423" s="1"/>
      <c r="U423" s="1"/>
      <c r="V423" s="1"/>
      <c r="W423" s="1"/>
      <c r="X423" s="1"/>
      <c r="Y423" s="22"/>
      <c r="Z423" s="20"/>
      <c r="AA423" s="1"/>
      <c r="AB423" s="1"/>
      <c r="AC423" s="23"/>
      <c r="AD423" s="1"/>
      <c r="AE423" s="19"/>
      <c r="AF423" s="1"/>
      <c r="AG423" s="1"/>
      <c r="AH423" s="1"/>
      <c r="AI423" s="39"/>
      <c r="AJ423" s="39"/>
      <c r="AK423" s="39"/>
      <c r="AL423" s="39"/>
      <c r="AM423" s="1"/>
      <c r="AN423" s="1"/>
      <c r="AO423" s="39"/>
      <c r="AP423" s="39"/>
      <c r="AQ423" s="1"/>
      <c r="AR423" s="39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0"/>
      <c r="Q424" s="20"/>
      <c r="R424" s="21"/>
      <c r="S424" s="1"/>
      <c r="T424" s="1"/>
      <c r="U424" s="1"/>
      <c r="V424" s="1"/>
      <c r="W424" s="1"/>
      <c r="X424" s="1"/>
      <c r="Y424" s="22"/>
      <c r="Z424" s="20"/>
      <c r="AA424" s="1"/>
      <c r="AB424" s="1"/>
      <c r="AC424" s="23"/>
      <c r="AD424" s="1"/>
      <c r="AE424" s="19"/>
      <c r="AF424" s="1"/>
      <c r="AG424" s="1"/>
      <c r="AH424" s="1"/>
      <c r="AI424" s="39"/>
      <c r="AJ424" s="39"/>
      <c r="AK424" s="39"/>
      <c r="AL424" s="39"/>
      <c r="AM424" s="1"/>
      <c r="AN424" s="1"/>
      <c r="AO424" s="39"/>
      <c r="AP424" s="39"/>
      <c r="AQ424" s="1"/>
      <c r="AR424" s="39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0"/>
      <c r="Q425" s="20"/>
      <c r="R425" s="21"/>
      <c r="S425" s="1"/>
      <c r="T425" s="1"/>
      <c r="U425" s="1"/>
      <c r="V425" s="1"/>
      <c r="W425" s="1"/>
      <c r="X425" s="1"/>
      <c r="Y425" s="22"/>
      <c r="Z425" s="20"/>
      <c r="AA425" s="1"/>
      <c r="AB425" s="1"/>
      <c r="AC425" s="23"/>
      <c r="AD425" s="1"/>
      <c r="AE425" s="19"/>
      <c r="AF425" s="1"/>
      <c r="AG425" s="1"/>
      <c r="AH425" s="1"/>
      <c r="AI425" s="39"/>
      <c r="AJ425" s="39"/>
      <c r="AK425" s="39"/>
      <c r="AL425" s="39"/>
      <c r="AM425" s="1"/>
      <c r="AN425" s="1"/>
      <c r="AO425" s="39"/>
      <c r="AP425" s="39"/>
      <c r="AQ425" s="1"/>
      <c r="AR425" s="39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0"/>
      <c r="Q426" s="20"/>
      <c r="R426" s="21"/>
      <c r="S426" s="1"/>
      <c r="T426" s="1"/>
      <c r="U426" s="1"/>
      <c r="V426" s="1"/>
      <c r="W426" s="1"/>
      <c r="X426" s="1"/>
      <c r="Y426" s="22"/>
      <c r="Z426" s="20"/>
      <c r="AA426" s="1"/>
      <c r="AB426" s="1"/>
      <c r="AC426" s="23"/>
      <c r="AD426" s="1"/>
      <c r="AE426" s="19"/>
      <c r="AF426" s="1"/>
      <c r="AG426" s="1"/>
      <c r="AH426" s="1"/>
      <c r="AI426" s="39"/>
      <c r="AJ426" s="39"/>
      <c r="AK426" s="39"/>
      <c r="AL426" s="39"/>
      <c r="AM426" s="1"/>
      <c r="AN426" s="1"/>
      <c r="AO426" s="39"/>
      <c r="AP426" s="39"/>
      <c r="AQ426" s="1"/>
      <c r="AR426" s="39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0"/>
      <c r="Q427" s="20"/>
      <c r="R427" s="21"/>
      <c r="S427" s="1"/>
      <c r="T427" s="1"/>
      <c r="U427" s="1"/>
      <c r="V427" s="1"/>
      <c r="W427" s="1"/>
      <c r="X427" s="1"/>
      <c r="Y427" s="22"/>
      <c r="Z427" s="20"/>
      <c r="AA427" s="1"/>
      <c r="AB427" s="1"/>
      <c r="AC427" s="23"/>
      <c r="AD427" s="1"/>
      <c r="AE427" s="19"/>
      <c r="AF427" s="1"/>
      <c r="AG427" s="1"/>
      <c r="AH427" s="1"/>
      <c r="AI427" s="39"/>
      <c r="AJ427" s="39"/>
      <c r="AK427" s="39"/>
      <c r="AL427" s="39"/>
      <c r="AM427" s="1"/>
      <c r="AN427" s="1"/>
      <c r="AO427" s="39"/>
      <c r="AP427" s="39"/>
      <c r="AQ427" s="1"/>
      <c r="AR427" s="39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0"/>
      <c r="Q428" s="1"/>
      <c r="R428" s="21"/>
      <c r="S428" s="1"/>
      <c r="T428" s="1"/>
      <c r="U428" s="1"/>
      <c r="V428" s="1"/>
      <c r="W428" s="1"/>
      <c r="X428" s="1"/>
      <c r="Y428" s="22"/>
      <c r="Z428" s="20"/>
      <c r="AA428" s="1"/>
      <c r="AB428" s="1"/>
      <c r="AC428" s="23"/>
      <c r="AD428" s="1"/>
      <c r="AE428" s="19"/>
      <c r="AF428" s="1"/>
      <c r="AG428" s="1"/>
      <c r="AH428" s="1"/>
      <c r="AI428" s="39"/>
      <c r="AJ428" s="39"/>
      <c r="AK428" s="39"/>
      <c r="AL428" s="39"/>
      <c r="AM428" s="1"/>
      <c r="AN428" s="1"/>
      <c r="AO428" s="39"/>
      <c r="AP428" s="39"/>
      <c r="AQ428" s="1"/>
      <c r="AR428" s="39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0"/>
      <c r="Q429" s="1"/>
      <c r="R429" s="21"/>
      <c r="S429" s="1"/>
      <c r="T429" s="1"/>
      <c r="U429" s="1"/>
      <c r="V429" s="1"/>
      <c r="W429" s="1"/>
      <c r="X429" s="1"/>
      <c r="Y429" s="22"/>
      <c r="Z429" s="20"/>
      <c r="AA429" s="1"/>
      <c r="AB429" s="1"/>
      <c r="AC429" s="23"/>
      <c r="AD429" s="1"/>
      <c r="AE429" s="19"/>
      <c r="AF429" s="1"/>
      <c r="AG429" s="1"/>
      <c r="AH429" s="1"/>
      <c r="AI429" s="39"/>
      <c r="AJ429" s="39"/>
      <c r="AK429" s="39"/>
      <c r="AL429" s="39"/>
      <c r="AM429" s="1"/>
      <c r="AN429" s="1"/>
      <c r="AO429" s="39"/>
      <c r="AP429" s="39"/>
      <c r="AQ429" s="1"/>
      <c r="AR429" s="39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0"/>
      <c r="Q430" s="20"/>
      <c r="R430" s="21"/>
      <c r="S430" s="1"/>
      <c r="T430" s="1"/>
      <c r="U430" s="1"/>
      <c r="V430" s="1"/>
      <c r="W430" s="1"/>
      <c r="X430" s="1"/>
      <c r="Y430" s="22"/>
      <c r="Z430" s="20"/>
      <c r="AA430" s="1"/>
      <c r="AB430" s="1"/>
      <c r="AC430" s="23"/>
      <c r="AD430" s="1"/>
      <c r="AE430" s="19"/>
      <c r="AF430" s="1"/>
      <c r="AG430" s="1"/>
      <c r="AH430" s="1"/>
      <c r="AI430" s="39"/>
      <c r="AJ430" s="39"/>
      <c r="AK430" s="39"/>
      <c r="AL430" s="39"/>
      <c r="AM430" s="1"/>
      <c r="AN430" s="1"/>
      <c r="AO430" s="39"/>
      <c r="AP430" s="39"/>
      <c r="AQ430" s="1"/>
      <c r="AR430" s="39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0"/>
      <c r="Q431" s="20"/>
      <c r="R431" s="21"/>
      <c r="S431" s="1"/>
      <c r="T431" s="1"/>
      <c r="U431" s="1"/>
      <c r="V431" s="1"/>
      <c r="W431" s="1"/>
      <c r="X431" s="1"/>
      <c r="Y431" s="22"/>
      <c r="Z431" s="20"/>
      <c r="AA431" s="1"/>
      <c r="AB431" s="1"/>
      <c r="AC431" s="23"/>
      <c r="AD431" s="1"/>
      <c r="AE431" s="19"/>
      <c r="AF431" s="1"/>
      <c r="AG431" s="1"/>
      <c r="AH431" s="1"/>
      <c r="AI431" s="39"/>
      <c r="AJ431" s="39"/>
      <c r="AK431" s="39"/>
      <c r="AL431" s="39"/>
      <c r="AM431" s="1"/>
      <c r="AN431" s="1"/>
      <c r="AO431" s="39"/>
      <c r="AP431" s="39"/>
      <c r="AQ431" s="1"/>
      <c r="AR431" s="39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0"/>
      <c r="Q432" s="20"/>
      <c r="R432" s="21"/>
      <c r="S432" s="1"/>
      <c r="T432" s="1"/>
      <c r="U432" s="1"/>
      <c r="V432" s="1"/>
      <c r="W432" s="1"/>
      <c r="X432" s="1"/>
      <c r="Y432" s="22"/>
      <c r="Z432" s="20"/>
      <c r="AA432" s="1"/>
      <c r="AB432" s="1"/>
      <c r="AC432" s="23"/>
      <c r="AD432" s="1"/>
      <c r="AE432" s="19"/>
      <c r="AF432" s="1"/>
      <c r="AG432" s="1"/>
      <c r="AH432" s="1"/>
      <c r="AI432" s="39"/>
      <c r="AJ432" s="39"/>
      <c r="AK432" s="39"/>
      <c r="AL432" s="39"/>
      <c r="AM432" s="1"/>
      <c r="AN432" s="1"/>
      <c r="AO432" s="39"/>
      <c r="AP432" s="39"/>
      <c r="AQ432" s="1"/>
      <c r="AR432" s="39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0"/>
      <c r="Q433" s="20"/>
      <c r="R433" s="21"/>
      <c r="S433" s="1"/>
      <c r="T433" s="1"/>
      <c r="U433" s="1"/>
      <c r="V433" s="1"/>
      <c r="W433" s="1"/>
      <c r="X433" s="1"/>
      <c r="Y433" s="22"/>
      <c r="Z433" s="20"/>
      <c r="AA433" s="1"/>
      <c r="AB433" s="1"/>
      <c r="AC433" s="23"/>
      <c r="AD433" s="1"/>
      <c r="AE433" s="19"/>
      <c r="AF433" s="1"/>
      <c r="AG433" s="1"/>
      <c r="AH433" s="1"/>
      <c r="AI433" s="39"/>
      <c r="AJ433" s="39"/>
      <c r="AK433" s="39"/>
      <c r="AL433" s="39"/>
      <c r="AM433" s="1"/>
      <c r="AN433" s="1"/>
      <c r="AO433" s="39"/>
      <c r="AP433" s="39"/>
      <c r="AQ433" s="1"/>
      <c r="AR433" s="39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0"/>
      <c r="Q434" s="20"/>
      <c r="R434" s="21"/>
      <c r="S434" s="1"/>
      <c r="T434" s="1"/>
      <c r="U434" s="1"/>
      <c r="V434" s="1"/>
      <c r="W434" s="1"/>
      <c r="X434" s="1"/>
      <c r="Y434" s="22"/>
      <c r="Z434" s="20"/>
      <c r="AA434" s="1"/>
      <c r="AB434" s="1"/>
      <c r="AC434" s="23"/>
      <c r="AD434" s="1"/>
      <c r="AE434" s="19"/>
      <c r="AF434" s="1"/>
      <c r="AG434" s="1"/>
      <c r="AH434" s="1"/>
      <c r="AI434" s="39"/>
      <c r="AJ434" s="39"/>
      <c r="AK434" s="39"/>
      <c r="AL434" s="39"/>
      <c r="AM434" s="1"/>
      <c r="AN434" s="1"/>
      <c r="AO434" s="39"/>
      <c r="AP434" s="39"/>
      <c r="AQ434" s="1"/>
      <c r="AR434" s="39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0"/>
      <c r="Q435" s="20"/>
      <c r="R435" s="21"/>
      <c r="S435" s="1"/>
      <c r="T435" s="1"/>
      <c r="U435" s="1"/>
      <c r="V435" s="1"/>
      <c r="W435" s="1"/>
      <c r="X435" s="1"/>
      <c r="Y435" s="22"/>
      <c r="Z435" s="20"/>
      <c r="AA435" s="1"/>
      <c r="AB435" s="1"/>
      <c r="AC435" s="23"/>
      <c r="AD435" s="1"/>
      <c r="AE435" s="19"/>
      <c r="AF435" s="1"/>
      <c r="AG435" s="1"/>
      <c r="AH435" s="1"/>
      <c r="AI435" s="39"/>
      <c r="AJ435" s="39"/>
      <c r="AK435" s="39"/>
      <c r="AL435" s="39"/>
      <c r="AM435" s="1"/>
      <c r="AN435" s="1"/>
      <c r="AO435" s="39"/>
      <c r="AP435" s="39"/>
      <c r="AQ435" s="1"/>
      <c r="AR435" s="39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 t="s">
        <v>0</v>
      </c>
      <c r="AB436" s="1" t="s">
        <v>0</v>
      </c>
      <c r="AC436" s="23" t="s">
        <v>0</v>
      </c>
      <c r="AD436" s="1"/>
      <c r="AE436" s="19"/>
      <c r="AF436" s="1"/>
      <c r="AG436" s="1"/>
      <c r="AH436" s="1"/>
      <c r="AI436" s="39"/>
      <c r="AJ436" s="39"/>
      <c r="AK436" s="39"/>
      <c r="AL436" s="39"/>
      <c r="AM436" s="1"/>
      <c r="AN436" s="1"/>
      <c r="AO436" s="39"/>
      <c r="AP436" s="39"/>
      <c r="AQ436" s="1"/>
      <c r="AR436" s="39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 t="s">
        <v>0</v>
      </c>
      <c r="AB437" s="1" t="s">
        <v>0</v>
      </c>
      <c r="AC437" s="23" t="s">
        <v>0</v>
      </c>
      <c r="AD437" s="1"/>
      <c r="AE437" s="19"/>
      <c r="AF437" s="1"/>
      <c r="AG437" s="1"/>
      <c r="AH437" s="1"/>
      <c r="AI437" s="39"/>
      <c r="AJ437" s="39"/>
      <c r="AK437" s="39"/>
      <c r="AL437" s="39"/>
      <c r="AM437" s="1"/>
      <c r="AN437" s="1"/>
      <c r="AO437" s="39"/>
      <c r="AP437" s="39"/>
      <c r="AQ437" s="1"/>
      <c r="AR437" s="39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 t="s">
        <v>0</v>
      </c>
      <c r="AB438" s="1" t="s">
        <v>0</v>
      </c>
      <c r="AC438" s="23" t="s">
        <v>0</v>
      </c>
      <c r="AD438" s="1"/>
      <c r="AE438" s="19"/>
      <c r="AF438" s="1"/>
      <c r="AG438" s="1"/>
      <c r="AH438" s="1"/>
      <c r="AI438" s="39"/>
      <c r="AJ438" s="39"/>
      <c r="AK438" s="39"/>
      <c r="AL438" s="39"/>
      <c r="AM438" s="1"/>
      <c r="AN438" s="1"/>
      <c r="AO438" s="39"/>
      <c r="AP438" s="39"/>
      <c r="AQ438" s="1"/>
      <c r="AR438" s="39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 t="s">
        <v>0</v>
      </c>
      <c r="AB439" s="1" t="s">
        <v>0</v>
      </c>
      <c r="AC439" s="23" t="s">
        <v>0</v>
      </c>
      <c r="AD439" s="1"/>
      <c r="AE439" s="19"/>
      <c r="AF439" s="1"/>
      <c r="AG439" s="1"/>
      <c r="AH439" s="1"/>
      <c r="AI439" s="39"/>
      <c r="AJ439" s="39"/>
      <c r="AK439" s="39"/>
      <c r="AL439" s="39"/>
      <c r="AM439" s="1"/>
      <c r="AN439" s="1"/>
      <c r="AO439" s="39"/>
      <c r="AP439" s="39"/>
      <c r="AQ439" s="1"/>
      <c r="AR439" s="39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 t="s">
        <v>0</v>
      </c>
      <c r="AB440" s="1" t="s">
        <v>0</v>
      </c>
      <c r="AC440" s="23" t="s">
        <v>0</v>
      </c>
      <c r="AD440" s="1"/>
      <c r="AE440" s="19"/>
      <c r="AF440" s="1"/>
      <c r="AG440" s="1"/>
      <c r="AH440" s="1"/>
      <c r="AI440" s="39"/>
      <c r="AJ440" s="39"/>
      <c r="AK440" s="39"/>
      <c r="AL440" s="39"/>
      <c r="AM440" s="1"/>
      <c r="AN440" s="1"/>
      <c r="AO440" s="39"/>
      <c r="AP440" s="39"/>
      <c r="AQ440" s="1"/>
      <c r="AR440" s="39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 t="s">
        <v>0</v>
      </c>
      <c r="AB441" s="1" t="s">
        <v>0</v>
      </c>
      <c r="AC441" s="23" t="s">
        <v>0</v>
      </c>
      <c r="AD441" s="1"/>
      <c r="AE441" s="19"/>
      <c r="AF441" s="1"/>
      <c r="AG441" s="1"/>
      <c r="AH441" s="1"/>
      <c r="AI441" s="39"/>
      <c r="AJ441" s="39"/>
      <c r="AK441" s="39"/>
      <c r="AL441" s="39"/>
      <c r="AM441" s="1"/>
      <c r="AN441" s="1"/>
      <c r="AO441" s="39"/>
      <c r="AP441" s="39"/>
      <c r="AQ441" s="1"/>
      <c r="AR441" s="39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 t="s">
        <v>0</v>
      </c>
      <c r="AB442" s="1" t="s">
        <v>0</v>
      </c>
      <c r="AC442" s="23" t="s">
        <v>0</v>
      </c>
      <c r="AD442" s="1"/>
      <c r="AE442" s="19"/>
      <c r="AF442" s="1"/>
      <c r="AG442" s="1"/>
      <c r="AH442" s="1"/>
      <c r="AI442" s="39"/>
      <c r="AJ442" s="39"/>
      <c r="AK442" s="39"/>
      <c r="AL442" s="39"/>
      <c r="AM442" s="1"/>
      <c r="AN442" s="1"/>
      <c r="AO442" s="39"/>
      <c r="AP442" s="39"/>
      <c r="AQ442" s="1"/>
      <c r="AR442" s="39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 t="s">
        <v>0</v>
      </c>
      <c r="AB443" s="1" t="s">
        <v>0</v>
      </c>
      <c r="AC443" s="23" t="s">
        <v>0</v>
      </c>
      <c r="AD443" s="1"/>
      <c r="AE443" s="19"/>
      <c r="AF443" s="1"/>
      <c r="AG443" s="1"/>
      <c r="AH443" s="1"/>
      <c r="AI443" s="39"/>
      <c r="AJ443" s="39"/>
      <c r="AK443" s="39"/>
      <c r="AL443" s="39"/>
      <c r="AM443" s="1"/>
      <c r="AN443" s="1"/>
      <c r="AO443" s="39"/>
      <c r="AP443" s="39"/>
      <c r="AQ443" s="1"/>
      <c r="AR443" s="39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 t="s">
        <v>0</v>
      </c>
      <c r="AB444" s="1" t="s">
        <v>0</v>
      </c>
      <c r="AC444" s="23" t="s">
        <v>0</v>
      </c>
      <c r="AD444" s="1"/>
      <c r="AE444" s="19"/>
      <c r="AF444" s="1"/>
      <c r="AG444" s="1"/>
      <c r="AH444" s="1"/>
      <c r="AI444" s="39"/>
      <c r="AJ444" s="39"/>
      <c r="AK444" s="39"/>
      <c r="AL444" s="39"/>
      <c r="AM444" s="1"/>
      <c r="AN444" s="1"/>
      <c r="AO444" s="39"/>
      <c r="AP444" s="39"/>
      <c r="AQ444" s="1"/>
      <c r="AR444" s="39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 t="s">
        <v>0</v>
      </c>
      <c r="AB445" s="1" t="s">
        <v>0</v>
      </c>
      <c r="AC445" s="23" t="s">
        <v>0</v>
      </c>
      <c r="AD445" s="1"/>
      <c r="AE445" s="19"/>
      <c r="AF445" s="1"/>
      <c r="AG445" s="1"/>
      <c r="AH445" s="1"/>
      <c r="AI445" s="39"/>
      <c r="AJ445" s="39"/>
      <c r="AK445" s="39"/>
      <c r="AL445" s="39"/>
      <c r="AM445" s="1"/>
      <c r="AN445" s="1"/>
      <c r="AO445" s="39"/>
      <c r="AP445" s="39"/>
      <c r="AQ445" s="1"/>
      <c r="AR445" s="39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 t="s">
        <v>0</v>
      </c>
      <c r="AB446" s="1" t="s">
        <v>0</v>
      </c>
      <c r="AC446" s="23" t="s">
        <v>0</v>
      </c>
      <c r="AD446" s="1"/>
      <c r="AE446" s="19"/>
      <c r="AF446" s="1"/>
      <c r="AG446" s="1"/>
      <c r="AH446" s="1"/>
      <c r="AI446" s="39"/>
      <c r="AJ446" s="39"/>
      <c r="AK446" s="39"/>
      <c r="AL446" s="39"/>
      <c r="AM446" s="1"/>
      <c r="AN446" s="1"/>
      <c r="AO446" s="39"/>
      <c r="AP446" s="39"/>
      <c r="AQ446" s="1"/>
      <c r="AR446" s="39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 t="s">
        <v>0</v>
      </c>
      <c r="AB447" s="1" t="s">
        <v>0</v>
      </c>
      <c r="AC447" s="23" t="s">
        <v>0</v>
      </c>
      <c r="AD447" s="1"/>
      <c r="AE447" s="19"/>
      <c r="AF447" s="1"/>
      <c r="AG447" s="1"/>
      <c r="AH447" s="1"/>
      <c r="AI447" s="39"/>
      <c r="AJ447" s="39"/>
      <c r="AK447" s="39"/>
      <c r="AL447" s="39"/>
      <c r="AM447" s="1"/>
      <c r="AN447" s="1"/>
      <c r="AO447" s="39"/>
      <c r="AP447" s="39"/>
      <c r="AQ447" s="1"/>
      <c r="AR447" s="39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 t="s">
        <v>0</v>
      </c>
      <c r="AB448" s="1" t="s">
        <v>0</v>
      </c>
      <c r="AC448" s="23" t="s">
        <v>0</v>
      </c>
      <c r="AD448" s="1"/>
      <c r="AE448" s="19"/>
      <c r="AF448" s="1"/>
      <c r="AG448" s="1"/>
      <c r="AH448" s="1"/>
      <c r="AI448" s="39"/>
      <c r="AJ448" s="39"/>
      <c r="AK448" s="39"/>
      <c r="AL448" s="39"/>
      <c r="AM448" s="1"/>
      <c r="AN448" s="1"/>
      <c r="AO448" s="39"/>
      <c r="AP448" s="39"/>
      <c r="AQ448" s="1"/>
      <c r="AR448" s="39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 t="s">
        <v>0</v>
      </c>
      <c r="AB449" s="1" t="s">
        <v>0</v>
      </c>
      <c r="AC449" s="23" t="s">
        <v>0</v>
      </c>
      <c r="AD449" s="1"/>
      <c r="AE449" s="19"/>
      <c r="AF449" s="1"/>
      <c r="AG449" s="1"/>
      <c r="AH449" s="1"/>
      <c r="AI449" s="39"/>
      <c r="AJ449" s="39"/>
      <c r="AK449" s="39"/>
      <c r="AL449" s="39"/>
      <c r="AM449" s="1"/>
      <c r="AN449" s="1"/>
      <c r="AO449" s="39"/>
      <c r="AP449" s="39"/>
      <c r="AQ449" s="1"/>
      <c r="AR449" s="39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 t="s">
        <v>0</v>
      </c>
      <c r="AB450" s="1" t="s">
        <v>0</v>
      </c>
      <c r="AC450" s="23" t="s">
        <v>0</v>
      </c>
      <c r="AD450" s="1"/>
      <c r="AE450" s="19"/>
      <c r="AF450" s="1"/>
      <c r="AG450" s="1"/>
      <c r="AH450" s="1"/>
      <c r="AI450" s="39"/>
      <c r="AJ450" s="39"/>
      <c r="AK450" s="39"/>
      <c r="AL450" s="39"/>
      <c r="AM450" s="1"/>
      <c r="AN450" s="1"/>
      <c r="AO450" s="39"/>
      <c r="AP450" s="39"/>
      <c r="AQ450" s="1"/>
      <c r="AR450" s="39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 t="s">
        <v>0</v>
      </c>
      <c r="AB451" s="1" t="s">
        <v>0</v>
      </c>
      <c r="AC451" s="23" t="s">
        <v>0</v>
      </c>
      <c r="AD451" s="1"/>
      <c r="AE451" s="19"/>
      <c r="AF451" s="1"/>
      <c r="AG451" s="1"/>
      <c r="AH451" s="1"/>
      <c r="AI451" s="39"/>
      <c r="AJ451" s="39"/>
      <c r="AK451" s="39"/>
      <c r="AL451" s="39"/>
      <c r="AM451" s="1"/>
      <c r="AN451" s="1"/>
      <c r="AO451" s="39"/>
      <c r="AP451" s="39"/>
      <c r="AQ451" s="1"/>
      <c r="AR451" s="39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 t="s">
        <v>0</v>
      </c>
      <c r="AB452" s="1" t="s">
        <v>0</v>
      </c>
      <c r="AC452" s="23" t="s">
        <v>0</v>
      </c>
      <c r="AD452" s="1"/>
      <c r="AE452" s="19"/>
      <c r="AF452" s="1"/>
      <c r="AG452" s="1"/>
      <c r="AH452" s="1"/>
      <c r="AI452" s="39"/>
      <c r="AJ452" s="39"/>
      <c r="AK452" s="39"/>
      <c r="AL452" s="39"/>
      <c r="AM452" s="1"/>
      <c r="AN452" s="1"/>
      <c r="AO452" s="39"/>
      <c r="AP452" s="39"/>
      <c r="AQ452" s="1"/>
      <c r="AR452" s="39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 t="s">
        <v>0</v>
      </c>
      <c r="AB453" s="1" t="s">
        <v>0</v>
      </c>
      <c r="AC453" s="23" t="s">
        <v>0</v>
      </c>
      <c r="AD453" s="1"/>
      <c r="AE453" s="19"/>
      <c r="AF453" s="1"/>
      <c r="AG453" s="1"/>
      <c r="AH453" s="1"/>
      <c r="AI453" s="39"/>
      <c r="AJ453" s="39"/>
      <c r="AK453" s="39"/>
      <c r="AL453" s="39"/>
      <c r="AM453" s="1"/>
      <c r="AN453" s="1"/>
      <c r="AO453" s="39"/>
      <c r="AP453" s="39"/>
      <c r="AQ453" s="1"/>
      <c r="AR453" s="39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 t="s">
        <v>0</v>
      </c>
      <c r="AB454" s="1" t="s">
        <v>0</v>
      </c>
      <c r="AC454" s="23" t="s">
        <v>0</v>
      </c>
      <c r="AD454" s="1"/>
      <c r="AE454" s="19"/>
      <c r="AF454" s="1"/>
      <c r="AG454" s="1"/>
      <c r="AH454" s="1"/>
      <c r="AI454" s="39"/>
      <c r="AJ454" s="39"/>
      <c r="AK454" s="39"/>
      <c r="AL454" s="39"/>
      <c r="AM454" s="1"/>
      <c r="AN454" s="1"/>
      <c r="AO454" s="39"/>
      <c r="AP454" s="39"/>
      <c r="AQ454" s="1"/>
      <c r="AR454" s="39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 t="s">
        <v>0</v>
      </c>
      <c r="AB455" s="1" t="s">
        <v>0</v>
      </c>
      <c r="AC455" s="23" t="s">
        <v>0</v>
      </c>
      <c r="AD455" s="1"/>
      <c r="AE455" s="19"/>
      <c r="AF455" s="1"/>
      <c r="AG455" s="1"/>
      <c r="AH455" s="1"/>
      <c r="AI455" s="39"/>
      <c r="AJ455" s="39"/>
      <c r="AK455" s="39"/>
      <c r="AL455" s="39"/>
      <c r="AM455" s="1"/>
      <c r="AN455" s="1"/>
      <c r="AO455" s="39"/>
      <c r="AP455" s="39"/>
      <c r="AQ455" s="1"/>
      <c r="AR455" s="39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 t="s">
        <v>0</v>
      </c>
      <c r="AB456" s="1" t="s">
        <v>0</v>
      </c>
      <c r="AC456" s="23" t="s">
        <v>0</v>
      </c>
      <c r="AD456" s="1"/>
      <c r="AE456" s="19"/>
      <c r="AF456" s="1"/>
      <c r="AG456" s="1"/>
      <c r="AH456" s="1"/>
      <c r="AI456" s="39"/>
      <c r="AJ456" s="39"/>
      <c r="AK456" s="39"/>
      <c r="AL456" s="39"/>
      <c r="AM456" s="1"/>
      <c r="AN456" s="1"/>
      <c r="AO456" s="39"/>
      <c r="AP456" s="39"/>
      <c r="AQ456" s="1"/>
      <c r="AR456" s="39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 t="s">
        <v>0</v>
      </c>
      <c r="AB457" s="1" t="s">
        <v>0</v>
      </c>
      <c r="AC457" s="23" t="s">
        <v>0</v>
      </c>
      <c r="AD457" s="1"/>
      <c r="AE457" s="19"/>
      <c r="AF457" s="1"/>
      <c r="AG457" s="1"/>
      <c r="AH457" s="1"/>
      <c r="AI457" s="39"/>
      <c r="AJ457" s="39"/>
      <c r="AK457" s="39"/>
      <c r="AL457" s="39"/>
      <c r="AM457" s="1"/>
      <c r="AN457" s="1"/>
      <c r="AO457" s="39"/>
      <c r="AP457" s="39"/>
      <c r="AQ457" s="1"/>
      <c r="AR457" s="39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 t="s">
        <v>0</v>
      </c>
      <c r="AB458" s="1" t="s">
        <v>0</v>
      </c>
      <c r="AC458" s="23" t="s">
        <v>0</v>
      </c>
      <c r="AD458" s="1"/>
      <c r="AE458" s="19"/>
      <c r="AF458" s="1"/>
      <c r="AG458" s="1"/>
      <c r="AH458" s="1"/>
      <c r="AI458" s="39"/>
      <c r="AJ458" s="39"/>
      <c r="AK458" s="39"/>
      <c r="AL458" s="39"/>
      <c r="AM458" s="1"/>
      <c r="AN458" s="1"/>
      <c r="AO458" s="39"/>
      <c r="AP458" s="39"/>
      <c r="AQ458" s="1"/>
      <c r="AR458" s="39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 t="s">
        <v>0</v>
      </c>
      <c r="AB459" s="1" t="s">
        <v>0</v>
      </c>
      <c r="AC459" s="23" t="s">
        <v>0</v>
      </c>
      <c r="AD459" s="1"/>
      <c r="AE459" s="19"/>
      <c r="AF459" s="1"/>
      <c r="AG459" s="1"/>
      <c r="AH459" s="1"/>
      <c r="AI459" s="39"/>
      <c r="AJ459" s="39"/>
      <c r="AK459" s="39"/>
      <c r="AL459" s="39"/>
      <c r="AM459" s="1"/>
      <c r="AN459" s="1"/>
      <c r="AO459" s="39"/>
      <c r="AP459" s="39"/>
      <c r="AQ459" s="1"/>
      <c r="AR459" s="39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 t="s">
        <v>0</v>
      </c>
      <c r="AB460" s="1" t="s">
        <v>0</v>
      </c>
      <c r="AC460" s="23" t="s">
        <v>0</v>
      </c>
      <c r="AD460" s="1"/>
      <c r="AE460" s="19"/>
      <c r="AF460" s="1"/>
      <c r="AG460" s="1"/>
      <c r="AH460" s="1"/>
      <c r="AI460" s="39"/>
      <c r="AJ460" s="39"/>
      <c r="AK460" s="39"/>
      <c r="AL460" s="39"/>
      <c r="AM460" s="1"/>
      <c r="AN460" s="1"/>
      <c r="AO460" s="39"/>
      <c r="AP460" s="39"/>
      <c r="AQ460" s="1"/>
      <c r="AR460" s="39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 t="s">
        <v>0</v>
      </c>
      <c r="AB461" s="1" t="s">
        <v>0</v>
      </c>
      <c r="AC461" s="23" t="s">
        <v>0</v>
      </c>
      <c r="AD461" s="1"/>
      <c r="AE461" s="19"/>
      <c r="AF461" s="1"/>
      <c r="AG461" s="1"/>
      <c r="AH461" s="1"/>
      <c r="AI461" s="39"/>
      <c r="AJ461" s="39"/>
      <c r="AK461" s="39"/>
      <c r="AL461" s="39"/>
      <c r="AM461" s="1"/>
      <c r="AN461" s="1"/>
      <c r="AO461" s="39"/>
      <c r="AP461" s="39"/>
      <c r="AQ461" s="1"/>
      <c r="AR461" s="39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 t="s">
        <v>0</v>
      </c>
      <c r="AB462" s="1" t="s">
        <v>0</v>
      </c>
      <c r="AC462" s="23" t="s">
        <v>0</v>
      </c>
      <c r="AD462" s="1"/>
      <c r="AE462" s="19"/>
      <c r="AF462" s="1"/>
      <c r="AG462" s="1"/>
      <c r="AH462" s="1"/>
      <c r="AI462" s="39"/>
      <c r="AJ462" s="39"/>
      <c r="AK462" s="39"/>
      <c r="AL462" s="39"/>
      <c r="AM462" s="1"/>
      <c r="AN462" s="1"/>
      <c r="AO462" s="39"/>
      <c r="AP462" s="39"/>
      <c r="AQ462" s="1"/>
      <c r="AR462" s="39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 t="s">
        <v>0</v>
      </c>
      <c r="AB463" s="1" t="s">
        <v>0</v>
      </c>
      <c r="AC463" s="23" t="s">
        <v>0</v>
      </c>
      <c r="AD463" s="1"/>
      <c r="AE463" s="19"/>
      <c r="AF463" s="1"/>
      <c r="AG463" s="1"/>
      <c r="AH463" s="1"/>
      <c r="AI463" s="39"/>
      <c r="AJ463" s="39"/>
      <c r="AK463" s="39"/>
      <c r="AL463" s="39"/>
      <c r="AM463" s="1"/>
      <c r="AN463" s="1"/>
      <c r="AO463" s="39"/>
      <c r="AP463" s="39"/>
      <c r="AQ463" s="1"/>
      <c r="AR463" s="39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 t="s">
        <v>0</v>
      </c>
      <c r="AB464" s="1" t="s">
        <v>0</v>
      </c>
      <c r="AC464" s="23" t="s">
        <v>0</v>
      </c>
      <c r="AD464" s="1"/>
      <c r="AE464" s="19"/>
      <c r="AF464" s="1"/>
      <c r="AG464" s="1"/>
      <c r="AH464" s="1"/>
      <c r="AI464" s="39"/>
      <c r="AJ464" s="39"/>
      <c r="AK464" s="39"/>
      <c r="AL464" s="39"/>
      <c r="AM464" s="1"/>
      <c r="AN464" s="1"/>
      <c r="AO464" s="39"/>
      <c r="AP464" s="39"/>
      <c r="AQ464" s="1"/>
      <c r="AR464" s="39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 t="s">
        <v>0</v>
      </c>
      <c r="AB465" s="1" t="s">
        <v>0</v>
      </c>
      <c r="AC465" s="23" t="s">
        <v>0</v>
      </c>
      <c r="AD465" s="1"/>
      <c r="AE465" s="19"/>
      <c r="AF465" s="1"/>
      <c r="AG465" s="1"/>
      <c r="AH465" s="1"/>
      <c r="AI465" s="39"/>
      <c r="AJ465" s="39"/>
      <c r="AK465" s="39"/>
      <c r="AL465" s="39"/>
      <c r="AM465" s="1"/>
      <c r="AN465" s="1"/>
      <c r="AO465" s="39"/>
      <c r="AP465" s="39"/>
      <c r="AQ465" s="1"/>
      <c r="AR465" s="39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 t="s">
        <v>0</v>
      </c>
      <c r="AB466" s="1" t="s">
        <v>0</v>
      </c>
      <c r="AC466" s="23" t="s">
        <v>0</v>
      </c>
      <c r="AD466" s="1"/>
      <c r="AE466" s="19"/>
      <c r="AF466" s="1"/>
      <c r="AG466" s="1"/>
      <c r="AH466" s="1"/>
      <c r="AI466" s="39"/>
      <c r="AJ466" s="39"/>
      <c r="AK466" s="39"/>
      <c r="AL466" s="39"/>
      <c r="AM466" s="1"/>
      <c r="AN466" s="1"/>
      <c r="AO466" s="39"/>
      <c r="AP466" s="39"/>
      <c r="AQ466" s="1"/>
      <c r="AR466" s="39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 t="s">
        <v>0</v>
      </c>
      <c r="AB467" s="1" t="s">
        <v>0</v>
      </c>
      <c r="AC467" s="23" t="s">
        <v>0</v>
      </c>
      <c r="AD467" s="1"/>
      <c r="AE467" s="19"/>
      <c r="AF467" s="1"/>
      <c r="AG467" s="1"/>
      <c r="AH467" s="1"/>
      <c r="AI467" s="39"/>
      <c r="AJ467" s="39"/>
      <c r="AK467" s="39"/>
      <c r="AL467" s="39"/>
      <c r="AM467" s="1"/>
      <c r="AN467" s="1"/>
      <c r="AO467" s="39"/>
      <c r="AP467" s="39"/>
      <c r="AQ467" s="1"/>
      <c r="AR467" s="39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 t="s">
        <v>0</v>
      </c>
      <c r="AB468" s="1" t="s">
        <v>0</v>
      </c>
      <c r="AC468" s="23" t="s">
        <v>0</v>
      </c>
      <c r="AD468" s="1"/>
      <c r="AE468" s="19"/>
      <c r="AF468" s="1"/>
      <c r="AG468" s="1"/>
      <c r="AH468" s="1"/>
      <c r="AI468" s="39"/>
      <c r="AJ468" s="39"/>
      <c r="AK468" s="39"/>
      <c r="AL468" s="39"/>
      <c r="AM468" s="1"/>
      <c r="AN468" s="1"/>
      <c r="AO468" s="39"/>
      <c r="AP468" s="39"/>
      <c r="AQ468" s="1"/>
      <c r="AR468" s="39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 t="s">
        <v>0</v>
      </c>
      <c r="AB469" s="1" t="s">
        <v>0</v>
      </c>
      <c r="AC469" s="23" t="s">
        <v>0</v>
      </c>
      <c r="AD469" s="1"/>
      <c r="AE469" s="19"/>
      <c r="AF469" s="1"/>
      <c r="AG469" s="1"/>
      <c r="AH469" s="1"/>
      <c r="AI469" s="39"/>
      <c r="AJ469" s="39"/>
      <c r="AK469" s="39"/>
      <c r="AL469" s="39"/>
      <c r="AM469" s="1"/>
      <c r="AN469" s="1"/>
      <c r="AO469" s="39"/>
      <c r="AP469" s="39"/>
      <c r="AQ469" s="1"/>
      <c r="AR469" s="39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 t="s">
        <v>0</v>
      </c>
      <c r="AB470" s="1" t="s">
        <v>0</v>
      </c>
      <c r="AC470" s="23" t="s">
        <v>0</v>
      </c>
      <c r="AD470" s="1"/>
      <c r="AE470" s="19"/>
      <c r="AF470" s="1"/>
      <c r="AG470" s="1"/>
      <c r="AH470" s="1"/>
      <c r="AI470" s="39"/>
      <c r="AJ470" s="39"/>
      <c r="AK470" s="39"/>
      <c r="AL470" s="39"/>
      <c r="AM470" s="1"/>
      <c r="AN470" s="1"/>
      <c r="AO470" s="39"/>
      <c r="AP470" s="39"/>
      <c r="AQ470" s="1"/>
      <c r="AR470" s="39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 t="s">
        <v>0</v>
      </c>
      <c r="AB471" s="1" t="s">
        <v>0</v>
      </c>
      <c r="AC471" s="23" t="s">
        <v>0</v>
      </c>
      <c r="AD471" s="1"/>
      <c r="AE471" s="19"/>
      <c r="AF471" s="1"/>
      <c r="AG471" s="1"/>
      <c r="AH471" s="1"/>
      <c r="AI471" s="39"/>
      <c r="AJ471" s="39"/>
      <c r="AK471" s="39"/>
      <c r="AL471" s="39"/>
      <c r="AM471" s="1"/>
      <c r="AN471" s="1"/>
      <c r="AO471" s="39"/>
      <c r="AP471" s="39"/>
      <c r="AQ471" s="1"/>
      <c r="AR471" s="39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 t="s">
        <v>0</v>
      </c>
      <c r="AB472" s="1" t="s">
        <v>0</v>
      </c>
      <c r="AC472" s="23" t="s">
        <v>0</v>
      </c>
      <c r="AD472" s="1"/>
      <c r="AE472" s="19"/>
      <c r="AF472" s="1"/>
      <c r="AG472" s="1"/>
      <c r="AH472" s="1"/>
      <c r="AI472" s="39"/>
      <c r="AJ472" s="39"/>
      <c r="AK472" s="39"/>
      <c r="AL472" s="39"/>
      <c r="AM472" s="1"/>
      <c r="AN472" s="1"/>
      <c r="AO472" s="39"/>
      <c r="AP472" s="39"/>
      <c r="AQ472" s="1"/>
      <c r="AR472" s="39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 t="s">
        <v>0</v>
      </c>
      <c r="AB473" s="1" t="s">
        <v>0</v>
      </c>
      <c r="AC473" s="23" t="s">
        <v>0</v>
      </c>
      <c r="AD473" s="1"/>
      <c r="AE473" s="19"/>
      <c r="AF473" s="1"/>
      <c r="AG473" s="1"/>
      <c r="AH473" s="1"/>
      <c r="AI473" s="39"/>
      <c r="AJ473" s="39"/>
      <c r="AK473" s="39"/>
      <c r="AL473" s="39"/>
      <c r="AM473" s="1"/>
      <c r="AN473" s="1"/>
      <c r="AO473" s="39"/>
      <c r="AP473" s="39"/>
      <c r="AQ473" s="1"/>
      <c r="AR473" s="39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 t="s">
        <v>0</v>
      </c>
      <c r="AB474" s="1" t="s">
        <v>0</v>
      </c>
      <c r="AC474" s="23" t="s">
        <v>0</v>
      </c>
      <c r="AD474" s="1"/>
      <c r="AE474" s="19"/>
      <c r="AF474" s="1"/>
      <c r="AG474" s="1"/>
      <c r="AH474" s="1"/>
      <c r="AI474" s="39"/>
      <c r="AJ474" s="39"/>
      <c r="AK474" s="39"/>
      <c r="AL474" s="39"/>
      <c r="AM474" s="1"/>
      <c r="AN474" s="1"/>
      <c r="AO474" s="39"/>
      <c r="AP474" s="39"/>
      <c r="AQ474" s="1"/>
      <c r="AR474" s="39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 t="s">
        <v>0</v>
      </c>
      <c r="AB475" s="1" t="s">
        <v>0</v>
      </c>
      <c r="AC475" s="23" t="s">
        <v>0</v>
      </c>
      <c r="AD475" s="1"/>
      <c r="AE475" s="19"/>
      <c r="AF475" s="1"/>
      <c r="AG475" s="1"/>
      <c r="AH475" s="1"/>
      <c r="AI475" s="39"/>
      <c r="AJ475" s="39"/>
      <c r="AK475" s="39"/>
      <c r="AL475" s="39"/>
      <c r="AM475" s="1"/>
      <c r="AN475" s="1"/>
      <c r="AO475" s="39"/>
      <c r="AP475" s="39"/>
      <c r="AQ475" s="1"/>
      <c r="AR475" s="39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 t="s">
        <v>0</v>
      </c>
      <c r="AB476" s="1" t="s">
        <v>0</v>
      </c>
      <c r="AC476" s="23" t="s">
        <v>0</v>
      </c>
      <c r="AD476" s="1"/>
      <c r="AE476" s="19"/>
      <c r="AF476" s="1"/>
      <c r="AG476" s="1"/>
      <c r="AH476" s="1"/>
      <c r="AI476" s="39"/>
      <c r="AJ476" s="39"/>
      <c r="AK476" s="39"/>
      <c r="AL476" s="39"/>
      <c r="AM476" s="1"/>
      <c r="AN476" s="1"/>
      <c r="AO476" s="39"/>
      <c r="AP476" s="39"/>
      <c r="AQ476" s="1"/>
      <c r="AR476" s="39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 t="s">
        <v>0</v>
      </c>
      <c r="AB477" s="1" t="s">
        <v>0</v>
      </c>
      <c r="AC477" s="23" t="s">
        <v>0</v>
      </c>
      <c r="AD477" s="1"/>
      <c r="AE477" s="19"/>
      <c r="AF477" s="1"/>
      <c r="AG477" s="1"/>
      <c r="AH477" s="1"/>
      <c r="AI477" s="39"/>
      <c r="AJ477" s="39"/>
      <c r="AK477" s="39"/>
      <c r="AL477" s="39"/>
      <c r="AM477" s="1"/>
      <c r="AN477" s="1"/>
      <c r="AO477" s="39"/>
      <c r="AP477" s="39"/>
      <c r="AQ477" s="1"/>
      <c r="AR477" s="39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 t="s">
        <v>0</v>
      </c>
      <c r="AB478" s="1" t="s">
        <v>0</v>
      </c>
      <c r="AC478" s="23" t="s">
        <v>0</v>
      </c>
      <c r="AD478" s="1"/>
      <c r="AE478" s="19"/>
      <c r="AF478" s="1"/>
      <c r="AG478" s="1"/>
      <c r="AH478" s="1"/>
      <c r="AI478" s="39"/>
      <c r="AJ478" s="39"/>
      <c r="AK478" s="39"/>
      <c r="AL478" s="39"/>
      <c r="AM478" s="1"/>
      <c r="AN478" s="1"/>
      <c r="AO478" s="39"/>
      <c r="AP478" s="39"/>
      <c r="AQ478" s="1"/>
      <c r="AR478" s="39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 t="s">
        <v>0</v>
      </c>
      <c r="AB479" s="1" t="s">
        <v>0</v>
      </c>
      <c r="AC479" s="23" t="s">
        <v>0</v>
      </c>
      <c r="AD479" s="1"/>
      <c r="AE479" s="19"/>
      <c r="AF479" s="1"/>
      <c r="AG479" s="1"/>
      <c r="AH479" s="1"/>
      <c r="AI479" s="39"/>
      <c r="AJ479" s="39"/>
      <c r="AK479" s="39"/>
      <c r="AL479" s="39"/>
      <c r="AM479" s="1"/>
      <c r="AN479" s="1"/>
      <c r="AO479" s="39"/>
      <c r="AP479" s="39"/>
      <c r="AQ479" s="1"/>
      <c r="AR479" s="39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 t="s">
        <v>0</v>
      </c>
      <c r="AB480" s="1" t="s">
        <v>0</v>
      </c>
      <c r="AC480" s="23" t="s">
        <v>0</v>
      </c>
      <c r="AD480" s="1"/>
      <c r="AE480" s="19"/>
      <c r="AF480" s="1"/>
      <c r="AG480" s="1"/>
      <c r="AH480" s="1"/>
      <c r="AI480" s="39"/>
      <c r="AJ480" s="39"/>
      <c r="AK480" s="39"/>
      <c r="AL480" s="39"/>
      <c r="AM480" s="1"/>
      <c r="AN480" s="1"/>
      <c r="AO480" s="39"/>
      <c r="AP480" s="39"/>
      <c r="AQ480" s="1"/>
      <c r="AR480" s="39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 t="s">
        <v>0</v>
      </c>
      <c r="AB481" s="1" t="s">
        <v>0</v>
      </c>
      <c r="AC481" s="23" t="s">
        <v>0</v>
      </c>
      <c r="AD481" s="1"/>
      <c r="AE481" s="19"/>
      <c r="AF481" s="1"/>
      <c r="AG481" s="1"/>
      <c r="AH481" s="1"/>
      <c r="AI481" s="39"/>
      <c r="AJ481" s="39"/>
      <c r="AK481" s="39"/>
      <c r="AL481" s="39"/>
      <c r="AM481" s="1"/>
      <c r="AN481" s="1"/>
      <c r="AO481" s="39"/>
      <c r="AP481" s="39"/>
      <c r="AQ481" s="1"/>
      <c r="AR481" s="39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 t="s">
        <v>0</v>
      </c>
      <c r="AB482" s="1" t="s">
        <v>0</v>
      </c>
      <c r="AC482" s="23" t="s">
        <v>0</v>
      </c>
      <c r="AD482" s="1"/>
      <c r="AE482" s="19"/>
      <c r="AF482" s="1"/>
      <c r="AG482" s="1"/>
      <c r="AH482" s="1"/>
      <c r="AI482" s="39"/>
      <c r="AJ482" s="39"/>
      <c r="AK482" s="39"/>
      <c r="AL482" s="39"/>
      <c r="AM482" s="1"/>
      <c r="AN482" s="1"/>
      <c r="AO482" s="39"/>
      <c r="AP482" s="39"/>
      <c r="AQ482" s="1"/>
      <c r="AR482" s="39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 t="s">
        <v>0</v>
      </c>
      <c r="AB483" s="1" t="s">
        <v>0</v>
      </c>
      <c r="AC483" s="23" t="s">
        <v>0</v>
      </c>
      <c r="AD483" s="1"/>
      <c r="AE483" s="19"/>
      <c r="AF483" s="1"/>
      <c r="AG483" s="1"/>
      <c r="AH483" s="1"/>
      <c r="AI483" s="39"/>
      <c r="AJ483" s="39"/>
      <c r="AK483" s="39"/>
      <c r="AL483" s="39"/>
      <c r="AM483" s="1"/>
      <c r="AN483" s="1"/>
      <c r="AO483" s="39"/>
      <c r="AP483" s="39"/>
      <c r="AQ483" s="1"/>
      <c r="AR483" s="39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 t="s">
        <v>0</v>
      </c>
      <c r="AB484" s="1" t="s">
        <v>0</v>
      </c>
      <c r="AC484" s="23" t="s">
        <v>0</v>
      </c>
      <c r="AD484" s="1"/>
      <c r="AE484" s="19"/>
      <c r="AF484" s="1"/>
      <c r="AG484" s="1"/>
      <c r="AH484" s="1"/>
      <c r="AI484" s="39"/>
      <c r="AJ484" s="39"/>
      <c r="AK484" s="39"/>
      <c r="AL484" s="39"/>
      <c r="AM484" s="1"/>
      <c r="AN484" s="1"/>
      <c r="AO484" s="39"/>
      <c r="AP484" s="39"/>
      <c r="AQ484" s="1"/>
      <c r="AR484" s="39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 t="s">
        <v>0</v>
      </c>
      <c r="AB485" s="1" t="s">
        <v>0</v>
      </c>
      <c r="AC485" s="23" t="s">
        <v>0</v>
      </c>
      <c r="AD485" s="1"/>
      <c r="AE485" s="19"/>
      <c r="AF485" s="1"/>
      <c r="AG485" s="1"/>
      <c r="AH485" s="1"/>
      <c r="AI485" s="39"/>
      <c r="AJ485" s="39"/>
      <c r="AK485" s="39"/>
      <c r="AL485" s="39"/>
      <c r="AM485" s="1"/>
      <c r="AN485" s="1"/>
      <c r="AO485" s="39"/>
      <c r="AP485" s="39"/>
      <c r="AQ485" s="1"/>
      <c r="AR485" s="39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 t="s">
        <v>0</v>
      </c>
      <c r="AB486" s="1" t="s">
        <v>0</v>
      </c>
      <c r="AC486" s="23" t="s">
        <v>0</v>
      </c>
      <c r="AD486" s="1"/>
      <c r="AE486" s="19"/>
      <c r="AF486" s="1"/>
      <c r="AG486" s="1"/>
      <c r="AH486" s="1"/>
      <c r="AI486" s="39"/>
      <c r="AJ486" s="39"/>
      <c r="AK486" s="39"/>
      <c r="AL486" s="39"/>
      <c r="AM486" s="1"/>
      <c r="AN486" s="1"/>
      <c r="AO486" s="39"/>
      <c r="AP486" s="39"/>
      <c r="AQ486" s="1"/>
      <c r="AR486" s="39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 t="s">
        <v>0</v>
      </c>
      <c r="AB487" s="1" t="s">
        <v>0</v>
      </c>
      <c r="AC487" s="23" t="s">
        <v>0</v>
      </c>
      <c r="AD487" s="1"/>
      <c r="AE487" s="19"/>
      <c r="AF487" s="1"/>
      <c r="AG487" s="1"/>
      <c r="AH487" s="1"/>
      <c r="AI487" s="39"/>
      <c r="AJ487" s="39"/>
      <c r="AK487" s="39"/>
      <c r="AL487" s="39"/>
      <c r="AM487" s="1"/>
      <c r="AN487" s="1"/>
      <c r="AO487" s="39"/>
      <c r="AP487" s="39"/>
      <c r="AQ487" s="1"/>
      <c r="AR487" s="39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 t="s">
        <v>0</v>
      </c>
      <c r="AB488" s="1" t="s">
        <v>0</v>
      </c>
      <c r="AC488" s="23" t="s">
        <v>0</v>
      </c>
      <c r="AD488" s="1"/>
      <c r="AE488" s="19"/>
      <c r="AF488" s="1"/>
      <c r="AG488" s="1"/>
      <c r="AH488" s="1"/>
      <c r="AI488" s="39"/>
      <c r="AJ488" s="39"/>
      <c r="AK488" s="39"/>
      <c r="AL488" s="39"/>
      <c r="AM488" s="1"/>
      <c r="AN488" s="1"/>
      <c r="AO488" s="39"/>
      <c r="AP488" s="39"/>
      <c r="AQ488" s="1"/>
      <c r="AR488" s="39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 t="s">
        <v>0</v>
      </c>
      <c r="AB489" s="1" t="s">
        <v>0</v>
      </c>
      <c r="AC489" s="23" t="s">
        <v>0</v>
      </c>
      <c r="AD489" s="1"/>
      <c r="AE489" s="19"/>
      <c r="AF489" s="1"/>
      <c r="AG489" s="1"/>
      <c r="AH489" s="1"/>
      <c r="AI489" s="39"/>
      <c r="AJ489" s="39"/>
      <c r="AK489" s="39"/>
      <c r="AL489" s="39"/>
      <c r="AM489" s="1"/>
      <c r="AN489" s="1"/>
      <c r="AO489" s="39"/>
      <c r="AP489" s="39"/>
      <c r="AQ489" s="1"/>
      <c r="AR489" s="39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 t="s">
        <v>0</v>
      </c>
      <c r="AB490" s="1" t="s">
        <v>0</v>
      </c>
      <c r="AC490" s="23" t="s">
        <v>0</v>
      </c>
      <c r="AD490" s="1"/>
      <c r="AE490" s="19"/>
      <c r="AF490" s="1"/>
      <c r="AG490" s="1"/>
      <c r="AH490" s="1"/>
      <c r="AI490" s="39"/>
      <c r="AJ490" s="39"/>
      <c r="AK490" s="39"/>
      <c r="AL490" s="39"/>
      <c r="AM490" s="1"/>
      <c r="AN490" s="1"/>
      <c r="AO490" s="39"/>
      <c r="AP490" s="39"/>
      <c r="AQ490" s="1"/>
      <c r="AR490" s="39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 t="s">
        <v>0</v>
      </c>
      <c r="AB491" s="1" t="s">
        <v>0</v>
      </c>
      <c r="AC491" s="23" t="s">
        <v>0</v>
      </c>
      <c r="AD491" s="1"/>
      <c r="AE491" s="19"/>
      <c r="AF491" s="1"/>
      <c r="AG491" s="1"/>
      <c r="AH491" s="1"/>
      <c r="AI491" s="39"/>
      <c r="AJ491" s="39"/>
      <c r="AK491" s="39"/>
      <c r="AL491" s="39"/>
      <c r="AM491" s="1"/>
      <c r="AN491" s="1"/>
      <c r="AO491" s="39"/>
      <c r="AP491" s="39"/>
      <c r="AQ491" s="1"/>
      <c r="AR491" s="39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 t="s">
        <v>0</v>
      </c>
      <c r="AB492" s="1" t="s">
        <v>0</v>
      </c>
      <c r="AC492" s="23" t="s">
        <v>0</v>
      </c>
      <c r="AD492" s="1"/>
      <c r="AE492" s="19"/>
      <c r="AF492" s="1"/>
      <c r="AG492" s="1"/>
      <c r="AH492" s="1"/>
      <c r="AI492" s="39"/>
      <c r="AJ492" s="39"/>
      <c r="AK492" s="39"/>
      <c r="AL492" s="39"/>
      <c r="AM492" s="1"/>
      <c r="AN492" s="1"/>
      <c r="AO492" s="39"/>
      <c r="AP492" s="39"/>
      <c r="AQ492" s="1"/>
      <c r="AR492" s="39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 t="s">
        <v>0</v>
      </c>
      <c r="AB493" s="1" t="s">
        <v>0</v>
      </c>
      <c r="AC493" s="23" t="s">
        <v>0</v>
      </c>
      <c r="AD493" s="1"/>
      <c r="AE493" s="19"/>
      <c r="AF493" s="1"/>
      <c r="AG493" s="1"/>
      <c r="AH493" s="1"/>
      <c r="AI493" s="39"/>
      <c r="AJ493" s="39"/>
      <c r="AK493" s="39"/>
      <c r="AL493" s="39"/>
      <c r="AM493" s="1"/>
      <c r="AN493" s="1"/>
      <c r="AO493" s="39"/>
      <c r="AP493" s="39"/>
      <c r="AQ493" s="1"/>
      <c r="AR493" s="39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 t="s">
        <v>0</v>
      </c>
      <c r="AB494" s="1" t="s">
        <v>0</v>
      </c>
      <c r="AC494" s="23" t="s">
        <v>0</v>
      </c>
      <c r="AD494" s="1"/>
      <c r="AE494" s="19"/>
      <c r="AF494" s="1"/>
      <c r="AG494" s="1"/>
      <c r="AH494" s="1"/>
      <c r="AI494" s="39"/>
      <c r="AJ494" s="39"/>
      <c r="AK494" s="39"/>
      <c r="AL494" s="39"/>
      <c r="AM494" s="1"/>
      <c r="AN494" s="1"/>
      <c r="AO494" s="39"/>
      <c r="AP494" s="39"/>
      <c r="AQ494" s="1"/>
      <c r="AR494" s="39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 t="s">
        <v>0</v>
      </c>
      <c r="AB495" s="1" t="s">
        <v>0</v>
      </c>
      <c r="AC495" s="23" t="s">
        <v>0</v>
      </c>
      <c r="AD495" s="1"/>
      <c r="AE495" s="19"/>
      <c r="AF495" s="1"/>
      <c r="AG495" s="1"/>
      <c r="AH495" s="1"/>
      <c r="AI495" s="39"/>
      <c r="AJ495" s="39"/>
      <c r="AK495" s="39"/>
      <c r="AL495" s="39"/>
      <c r="AM495" s="1"/>
      <c r="AN495" s="1"/>
      <c r="AO495" s="39"/>
      <c r="AP495" s="39"/>
      <c r="AQ495" s="1"/>
      <c r="AR495" s="39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 t="s">
        <v>0</v>
      </c>
      <c r="AB496" s="1" t="s">
        <v>0</v>
      </c>
      <c r="AC496" s="23" t="s">
        <v>0</v>
      </c>
      <c r="AD496" s="1"/>
      <c r="AE496" s="19"/>
      <c r="AF496" s="1"/>
      <c r="AG496" s="1"/>
      <c r="AH496" s="1"/>
      <c r="AI496" s="39"/>
      <c r="AJ496" s="39"/>
      <c r="AK496" s="39"/>
      <c r="AL496" s="39"/>
      <c r="AM496" s="1"/>
      <c r="AN496" s="1"/>
      <c r="AO496" s="39"/>
      <c r="AP496" s="39"/>
      <c r="AQ496" s="1"/>
      <c r="AR496" s="39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 t="s">
        <v>0</v>
      </c>
      <c r="AB497" s="1" t="s">
        <v>0</v>
      </c>
      <c r="AC497" s="23" t="s">
        <v>0</v>
      </c>
      <c r="AD497" s="1"/>
      <c r="AE497" s="19"/>
      <c r="AF497" s="1"/>
      <c r="AG497" s="1"/>
      <c r="AH497" s="1"/>
      <c r="AI497" s="39"/>
      <c r="AJ497" s="39"/>
      <c r="AK497" s="39"/>
      <c r="AL497" s="39"/>
      <c r="AM497" s="1"/>
      <c r="AN497" s="1"/>
      <c r="AO497" s="39"/>
      <c r="AP497" s="39"/>
      <c r="AQ497" s="1"/>
      <c r="AR497" s="39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 t="s">
        <v>0</v>
      </c>
      <c r="AB498" s="1" t="s">
        <v>0</v>
      </c>
      <c r="AC498" s="23" t="s">
        <v>0</v>
      </c>
      <c r="AD498" s="1"/>
      <c r="AE498" s="19"/>
      <c r="AF498" s="1"/>
      <c r="AG498" s="1"/>
      <c r="AH498" s="1"/>
      <c r="AI498" s="39"/>
      <c r="AJ498" s="39"/>
      <c r="AK498" s="39"/>
      <c r="AL498" s="39"/>
      <c r="AM498" s="1"/>
      <c r="AN498" s="1"/>
      <c r="AO498" s="39"/>
      <c r="AP498" s="39"/>
      <c r="AQ498" s="1"/>
      <c r="AR498" s="39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 t="s">
        <v>0</v>
      </c>
      <c r="AB499" s="1" t="s">
        <v>0</v>
      </c>
      <c r="AC499" s="23" t="s">
        <v>0</v>
      </c>
      <c r="AD499" s="1"/>
      <c r="AE499" s="19"/>
      <c r="AF499" s="1"/>
      <c r="AG499" s="1"/>
      <c r="AH499" s="1"/>
      <c r="AI499" s="39"/>
      <c r="AJ499" s="39"/>
      <c r="AK499" s="39"/>
      <c r="AL499" s="39"/>
      <c r="AM499" s="1"/>
      <c r="AN499" s="1"/>
      <c r="AO499" s="39"/>
      <c r="AP499" s="39"/>
      <c r="AQ499" s="1"/>
      <c r="AR499" s="39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 t="s">
        <v>0</v>
      </c>
      <c r="AB500" s="1" t="s">
        <v>0</v>
      </c>
      <c r="AC500" s="23" t="s">
        <v>0</v>
      </c>
      <c r="AD500" s="1"/>
      <c r="AE500" s="19"/>
      <c r="AF500" s="1"/>
      <c r="AG500" s="1"/>
      <c r="AH500" s="1"/>
      <c r="AI500" s="39"/>
      <c r="AJ500" s="39"/>
      <c r="AK500" s="39"/>
      <c r="AL500" s="39"/>
      <c r="AM500" s="1"/>
      <c r="AN500" s="1"/>
      <c r="AO500" s="39"/>
      <c r="AP500" s="39"/>
      <c r="AQ500" s="1"/>
      <c r="AR500" s="39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 t="s">
        <v>0</v>
      </c>
      <c r="AB501" s="1" t="s">
        <v>0</v>
      </c>
      <c r="AC501" s="23" t="s">
        <v>0</v>
      </c>
      <c r="AD501" s="1"/>
      <c r="AE501" s="19"/>
      <c r="AF501" s="1"/>
      <c r="AG501" s="1"/>
      <c r="AH501" s="1"/>
      <c r="AI501" s="39"/>
      <c r="AJ501" s="39"/>
      <c r="AK501" s="39"/>
      <c r="AL501" s="39"/>
      <c r="AM501" s="1"/>
      <c r="AN501" s="1"/>
      <c r="AO501" s="39"/>
      <c r="AP501" s="39"/>
      <c r="AQ501" s="1"/>
      <c r="AR501" s="39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 t="s">
        <v>0</v>
      </c>
      <c r="AB502" s="1" t="s">
        <v>0</v>
      </c>
      <c r="AC502" s="23" t="s">
        <v>0</v>
      </c>
      <c r="AD502" s="1"/>
      <c r="AE502" s="19"/>
      <c r="AF502" s="1"/>
      <c r="AG502" s="1"/>
      <c r="AH502" s="1"/>
      <c r="AI502" s="39"/>
      <c r="AJ502" s="39"/>
      <c r="AK502" s="39"/>
      <c r="AL502" s="39"/>
      <c r="AM502" s="1"/>
      <c r="AN502" s="1"/>
      <c r="AO502" s="39"/>
      <c r="AP502" s="39"/>
      <c r="AQ502" s="1"/>
      <c r="AR502" s="39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 t="s">
        <v>0</v>
      </c>
      <c r="AB503" s="1" t="s">
        <v>0</v>
      </c>
      <c r="AC503" s="23" t="s">
        <v>0</v>
      </c>
      <c r="AD503" s="1"/>
      <c r="AE503" s="19"/>
      <c r="AF503" s="1"/>
      <c r="AG503" s="1"/>
      <c r="AH503" s="1"/>
      <c r="AI503" s="39"/>
      <c r="AJ503" s="39"/>
      <c r="AK503" s="39"/>
      <c r="AL503" s="39"/>
      <c r="AM503" s="1"/>
      <c r="AN503" s="1"/>
      <c r="AO503" s="39"/>
      <c r="AP503" s="39"/>
      <c r="AQ503" s="1"/>
      <c r="AR503" s="39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 t="s">
        <v>0</v>
      </c>
      <c r="AB504" s="1" t="s">
        <v>0</v>
      </c>
      <c r="AC504" s="23" t="s">
        <v>0</v>
      </c>
      <c r="AD504" s="1"/>
      <c r="AE504" s="19"/>
      <c r="AF504" s="1"/>
      <c r="AG504" s="1"/>
      <c r="AH504" s="1"/>
      <c r="AI504" s="39"/>
      <c r="AJ504" s="39"/>
      <c r="AK504" s="39"/>
      <c r="AL504" s="39"/>
      <c r="AM504" s="1"/>
      <c r="AN504" s="1"/>
      <c r="AO504" s="39"/>
      <c r="AP504" s="39"/>
      <c r="AQ504" s="1"/>
      <c r="AR504" s="39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 t="s">
        <v>0</v>
      </c>
      <c r="AB505" s="1" t="s">
        <v>0</v>
      </c>
      <c r="AC505" s="23" t="s">
        <v>0</v>
      </c>
      <c r="AD505" s="1"/>
      <c r="AE505" s="19"/>
      <c r="AF505" s="1"/>
      <c r="AG505" s="1"/>
      <c r="AH505" s="1"/>
      <c r="AI505" s="39"/>
      <c r="AJ505" s="39"/>
      <c r="AK505" s="39"/>
      <c r="AL505" s="39"/>
      <c r="AM505" s="1"/>
      <c r="AN505" s="1"/>
      <c r="AO505" s="39"/>
      <c r="AP505" s="39"/>
      <c r="AQ505" s="1"/>
      <c r="AR505" s="39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 t="s">
        <v>0</v>
      </c>
      <c r="AB506" s="1" t="s">
        <v>0</v>
      </c>
      <c r="AC506" s="23" t="s">
        <v>0</v>
      </c>
      <c r="AD506" s="1"/>
      <c r="AE506" s="19"/>
      <c r="AF506" s="1"/>
      <c r="AG506" s="1"/>
      <c r="AH506" s="1"/>
      <c r="AI506" s="39"/>
      <c r="AJ506" s="39"/>
      <c r="AK506" s="39"/>
      <c r="AL506" s="39"/>
      <c r="AM506" s="1"/>
      <c r="AN506" s="1"/>
      <c r="AO506" s="39"/>
      <c r="AP506" s="39"/>
      <c r="AQ506" s="1"/>
      <c r="AR506" s="39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 t="s">
        <v>0</v>
      </c>
      <c r="AB507" s="1" t="s">
        <v>0</v>
      </c>
      <c r="AC507" s="23" t="s">
        <v>0</v>
      </c>
      <c r="AD507" s="1"/>
      <c r="AE507" s="19"/>
      <c r="AF507" s="1"/>
      <c r="AG507" s="1"/>
      <c r="AH507" s="1"/>
      <c r="AI507" s="39"/>
      <c r="AJ507" s="39"/>
      <c r="AK507" s="39"/>
      <c r="AL507" s="39"/>
      <c r="AM507" s="1"/>
      <c r="AN507" s="1"/>
      <c r="AO507" s="39"/>
      <c r="AP507" s="39"/>
      <c r="AQ507" s="1"/>
      <c r="AR507" s="39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 t="s">
        <v>0</v>
      </c>
      <c r="AB508" s="1" t="s">
        <v>0</v>
      </c>
      <c r="AC508" s="23" t="s">
        <v>0</v>
      </c>
      <c r="AD508" s="1"/>
      <c r="AE508" s="19"/>
      <c r="AF508" s="1"/>
      <c r="AG508" s="1"/>
      <c r="AH508" s="1"/>
      <c r="AI508" s="39"/>
      <c r="AJ508" s="39"/>
      <c r="AK508" s="39"/>
      <c r="AL508" s="39"/>
      <c r="AM508" s="1"/>
      <c r="AN508" s="1"/>
      <c r="AO508" s="39"/>
      <c r="AP508" s="39"/>
      <c r="AQ508" s="1"/>
      <c r="AR508" s="39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 t="s">
        <v>0</v>
      </c>
      <c r="AB509" s="1" t="s">
        <v>0</v>
      </c>
      <c r="AC509" s="23" t="s">
        <v>0</v>
      </c>
      <c r="AD509" s="1"/>
      <c r="AE509" s="19"/>
      <c r="AF509" s="1"/>
      <c r="AG509" s="1"/>
      <c r="AH509" s="1"/>
      <c r="AI509" s="39"/>
      <c r="AJ509" s="39"/>
      <c r="AK509" s="39"/>
      <c r="AL509" s="39"/>
      <c r="AM509" s="1"/>
      <c r="AN509" s="1"/>
      <c r="AO509" s="39"/>
      <c r="AP509" s="39"/>
      <c r="AQ509" s="1"/>
      <c r="AR509" s="39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 t="s">
        <v>0</v>
      </c>
      <c r="AB510" s="1" t="s">
        <v>0</v>
      </c>
      <c r="AC510" s="23" t="s">
        <v>0</v>
      </c>
      <c r="AD510" s="1"/>
      <c r="AE510" s="19"/>
      <c r="AF510" s="1"/>
      <c r="AG510" s="1"/>
      <c r="AH510" s="1"/>
      <c r="AI510" s="39"/>
      <c r="AJ510" s="39"/>
      <c r="AK510" s="39"/>
      <c r="AL510" s="39"/>
      <c r="AM510" s="1"/>
      <c r="AN510" s="1"/>
      <c r="AO510" s="39"/>
      <c r="AP510" s="39"/>
      <c r="AQ510" s="1"/>
      <c r="AR510" s="39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 t="s">
        <v>0</v>
      </c>
      <c r="AB511" s="1" t="s">
        <v>0</v>
      </c>
      <c r="AC511" s="23" t="s">
        <v>0</v>
      </c>
      <c r="AD511" s="1"/>
      <c r="AE511" s="19"/>
      <c r="AF511" s="1"/>
      <c r="AG511" s="1"/>
      <c r="AH511" s="1"/>
      <c r="AI511" s="39"/>
      <c r="AJ511" s="39"/>
      <c r="AK511" s="39"/>
      <c r="AL511" s="39"/>
      <c r="AM511" s="1"/>
      <c r="AN511" s="1"/>
      <c r="AO511" s="39"/>
      <c r="AP511" s="39"/>
      <c r="AQ511" s="1"/>
      <c r="AR511" s="39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 t="s">
        <v>0</v>
      </c>
      <c r="AB512" s="1" t="s">
        <v>0</v>
      </c>
      <c r="AC512" s="23" t="s">
        <v>0</v>
      </c>
      <c r="AD512" s="1"/>
      <c r="AE512" s="19"/>
      <c r="AF512" s="1"/>
      <c r="AG512" s="1"/>
      <c r="AH512" s="1"/>
      <c r="AI512" s="39"/>
      <c r="AJ512" s="39"/>
      <c r="AK512" s="39"/>
      <c r="AL512" s="39"/>
      <c r="AM512" s="1"/>
      <c r="AN512" s="1"/>
      <c r="AO512" s="39"/>
      <c r="AP512" s="39"/>
      <c r="AQ512" s="1"/>
      <c r="AR512" s="39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 t="s">
        <v>0</v>
      </c>
      <c r="AB513" s="1" t="s">
        <v>0</v>
      </c>
      <c r="AC513" s="23" t="s">
        <v>0</v>
      </c>
      <c r="AD513" s="1"/>
      <c r="AE513" s="19"/>
      <c r="AF513" s="1"/>
      <c r="AG513" s="1"/>
      <c r="AH513" s="1"/>
      <c r="AI513" s="39"/>
      <c r="AJ513" s="39"/>
      <c r="AK513" s="39"/>
      <c r="AL513" s="39"/>
      <c r="AM513" s="1"/>
      <c r="AN513" s="1"/>
      <c r="AO513" s="39"/>
      <c r="AP513" s="39"/>
      <c r="AQ513" s="1"/>
      <c r="AR513" s="39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 t="s">
        <v>0</v>
      </c>
      <c r="AB514" s="1" t="s">
        <v>0</v>
      </c>
      <c r="AC514" s="23" t="s">
        <v>0</v>
      </c>
      <c r="AD514" s="1"/>
      <c r="AE514" s="19"/>
      <c r="AF514" s="1"/>
      <c r="AG514" s="1"/>
      <c r="AH514" s="1"/>
      <c r="AI514" s="39"/>
      <c r="AJ514" s="39"/>
      <c r="AK514" s="39"/>
      <c r="AL514" s="39"/>
      <c r="AM514" s="1"/>
      <c r="AN514" s="1"/>
      <c r="AO514" s="39"/>
      <c r="AP514" s="39"/>
      <c r="AQ514" s="1"/>
      <c r="AR514" s="39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 t="s">
        <v>0</v>
      </c>
      <c r="AB515" s="1" t="s">
        <v>0</v>
      </c>
      <c r="AC515" s="23" t="s">
        <v>0</v>
      </c>
      <c r="AD515" s="1"/>
      <c r="AE515" s="19"/>
      <c r="AF515" s="1"/>
      <c r="AG515" s="1"/>
      <c r="AH515" s="1"/>
      <c r="AI515" s="39"/>
      <c r="AJ515" s="39"/>
      <c r="AK515" s="39"/>
      <c r="AL515" s="39"/>
      <c r="AM515" s="1"/>
      <c r="AN515" s="1"/>
      <c r="AO515" s="39"/>
      <c r="AP515" s="39"/>
      <c r="AQ515" s="1"/>
      <c r="AR515" s="39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 t="s">
        <v>0</v>
      </c>
      <c r="AB516" s="1" t="s">
        <v>0</v>
      </c>
      <c r="AC516" s="23" t="s">
        <v>0</v>
      </c>
      <c r="AD516" s="1"/>
      <c r="AE516" s="19"/>
      <c r="AF516" s="1"/>
      <c r="AG516" s="1"/>
      <c r="AH516" s="1"/>
      <c r="AI516" s="39"/>
      <c r="AJ516" s="39"/>
      <c r="AK516" s="39"/>
      <c r="AL516" s="39"/>
      <c r="AM516" s="1"/>
      <c r="AN516" s="1"/>
      <c r="AO516" s="39"/>
      <c r="AP516" s="39"/>
      <c r="AQ516" s="1"/>
      <c r="AR516" s="39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 t="s">
        <v>0</v>
      </c>
      <c r="AB517" s="1" t="s">
        <v>0</v>
      </c>
      <c r="AC517" s="23" t="s">
        <v>0</v>
      </c>
      <c r="AD517" s="1"/>
      <c r="AE517" s="19"/>
      <c r="AF517" s="1"/>
      <c r="AG517" s="1"/>
      <c r="AH517" s="1"/>
      <c r="AI517" s="39"/>
      <c r="AJ517" s="39"/>
      <c r="AK517" s="39"/>
      <c r="AL517" s="39"/>
      <c r="AM517" s="1"/>
      <c r="AN517" s="1"/>
      <c r="AO517" s="39"/>
      <c r="AP517" s="39"/>
      <c r="AQ517" s="1"/>
      <c r="AR517" s="39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 t="s">
        <v>0</v>
      </c>
      <c r="AB518" s="1" t="s">
        <v>0</v>
      </c>
      <c r="AC518" s="23" t="s">
        <v>0</v>
      </c>
      <c r="AD518" s="1"/>
      <c r="AE518" s="19"/>
      <c r="AF518" s="1"/>
      <c r="AG518" s="1"/>
      <c r="AH518" s="1"/>
      <c r="AI518" s="39"/>
      <c r="AJ518" s="39"/>
      <c r="AK518" s="39"/>
      <c r="AL518" s="39"/>
      <c r="AM518" s="1"/>
      <c r="AN518" s="1"/>
      <c r="AO518" s="39"/>
      <c r="AP518" s="39"/>
      <c r="AQ518" s="1"/>
      <c r="AR518" s="39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 t="s">
        <v>0</v>
      </c>
      <c r="AB519" s="1" t="s">
        <v>0</v>
      </c>
      <c r="AC519" s="23" t="s">
        <v>0</v>
      </c>
      <c r="AD519" s="1"/>
      <c r="AE519" s="19"/>
      <c r="AF519" s="1"/>
      <c r="AG519" s="1"/>
      <c r="AH519" s="1"/>
      <c r="AI519" s="39"/>
      <c r="AJ519" s="39"/>
      <c r="AK519" s="39"/>
      <c r="AL519" s="39"/>
      <c r="AM519" s="1"/>
      <c r="AN519" s="1"/>
      <c r="AO519" s="39"/>
      <c r="AP519" s="39"/>
      <c r="AQ519" s="1"/>
      <c r="AR519" s="39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 t="s">
        <v>0</v>
      </c>
      <c r="AB520" s="1" t="s">
        <v>0</v>
      </c>
      <c r="AC520" s="23" t="s">
        <v>0</v>
      </c>
      <c r="AD520" s="1"/>
      <c r="AE520" s="19"/>
      <c r="AF520" s="1"/>
      <c r="AG520" s="1"/>
      <c r="AH520" s="1"/>
      <c r="AI520" s="39"/>
      <c r="AJ520" s="39"/>
      <c r="AK520" s="39"/>
      <c r="AL520" s="39"/>
      <c r="AM520" s="1"/>
      <c r="AN520" s="1"/>
      <c r="AO520" s="39"/>
      <c r="AP520" s="39"/>
      <c r="AQ520" s="1"/>
      <c r="AR520" s="39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 t="s">
        <v>0</v>
      </c>
      <c r="AB521" s="1" t="s">
        <v>0</v>
      </c>
      <c r="AC521" s="23" t="s">
        <v>0</v>
      </c>
      <c r="AD521" s="1"/>
      <c r="AE521" s="19"/>
      <c r="AF521" s="1"/>
      <c r="AG521" s="1"/>
      <c r="AH521" s="1"/>
      <c r="AI521" s="39"/>
      <c r="AJ521" s="39"/>
      <c r="AK521" s="39"/>
      <c r="AL521" s="39"/>
      <c r="AM521" s="1"/>
      <c r="AN521" s="1"/>
      <c r="AO521" s="39"/>
      <c r="AP521" s="39"/>
      <c r="AQ521" s="1"/>
      <c r="AR521" s="39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 t="s">
        <v>0</v>
      </c>
      <c r="AB522" s="1" t="s">
        <v>0</v>
      </c>
      <c r="AC522" s="23" t="s">
        <v>0</v>
      </c>
      <c r="AD522" s="1"/>
      <c r="AE522" s="19"/>
      <c r="AF522" s="1"/>
      <c r="AG522" s="1"/>
      <c r="AH522" s="1"/>
      <c r="AI522" s="39"/>
      <c r="AJ522" s="39"/>
      <c r="AK522" s="39"/>
      <c r="AL522" s="39"/>
      <c r="AM522" s="1"/>
      <c r="AN522" s="1"/>
      <c r="AO522" s="39"/>
      <c r="AP522" s="39"/>
      <c r="AQ522" s="1"/>
      <c r="AR522" s="39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 t="s">
        <v>0</v>
      </c>
      <c r="AB523" s="1" t="s">
        <v>0</v>
      </c>
      <c r="AC523" s="23" t="s">
        <v>0</v>
      </c>
      <c r="AD523" s="1"/>
      <c r="AE523" s="19"/>
      <c r="AF523" s="1"/>
      <c r="AG523" s="1"/>
      <c r="AH523" s="1"/>
      <c r="AI523" s="39"/>
      <c r="AJ523" s="39"/>
      <c r="AK523" s="39"/>
      <c r="AL523" s="39"/>
      <c r="AM523" s="1"/>
      <c r="AN523" s="1"/>
      <c r="AO523" s="39"/>
      <c r="AP523" s="39"/>
      <c r="AQ523" s="1"/>
      <c r="AR523" s="39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 t="s">
        <v>0</v>
      </c>
      <c r="AB524" s="1" t="s">
        <v>0</v>
      </c>
      <c r="AC524" s="23" t="s">
        <v>0</v>
      </c>
      <c r="AD524" s="1"/>
      <c r="AE524" s="19"/>
      <c r="AF524" s="1"/>
      <c r="AG524" s="1"/>
      <c r="AH524" s="1"/>
      <c r="AI524" s="39"/>
      <c r="AJ524" s="39"/>
      <c r="AK524" s="39"/>
      <c r="AL524" s="39"/>
      <c r="AM524" s="1"/>
      <c r="AN524" s="1"/>
      <c r="AO524" s="39"/>
      <c r="AP524" s="39"/>
      <c r="AQ524" s="1"/>
      <c r="AR524" s="39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 t="s">
        <v>0</v>
      </c>
      <c r="AB525" s="1" t="s">
        <v>0</v>
      </c>
      <c r="AC525" s="23" t="s">
        <v>0</v>
      </c>
      <c r="AD525" s="1"/>
      <c r="AE525" s="19"/>
      <c r="AF525" s="1"/>
      <c r="AG525" s="1"/>
      <c r="AH525" s="1"/>
      <c r="AI525" s="39"/>
      <c r="AJ525" s="39"/>
      <c r="AK525" s="39"/>
      <c r="AL525" s="39"/>
      <c r="AM525" s="1"/>
      <c r="AN525" s="1"/>
      <c r="AO525" s="39"/>
      <c r="AP525" s="39"/>
      <c r="AQ525" s="1"/>
      <c r="AR525" s="39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 t="s">
        <v>0</v>
      </c>
      <c r="AB526" s="1" t="s">
        <v>0</v>
      </c>
      <c r="AC526" s="23" t="s">
        <v>0</v>
      </c>
      <c r="AD526" s="1"/>
      <c r="AE526" s="19"/>
      <c r="AF526" s="1"/>
      <c r="AG526" s="1"/>
      <c r="AH526" s="1"/>
      <c r="AI526" s="39"/>
      <c r="AJ526" s="39"/>
      <c r="AK526" s="39"/>
      <c r="AL526" s="39"/>
      <c r="AM526" s="1"/>
      <c r="AN526" s="1"/>
      <c r="AO526" s="39"/>
      <c r="AP526" s="39"/>
      <c r="AQ526" s="1"/>
      <c r="AR526" s="39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 t="s">
        <v>0</v>
      </c>
      <c r="AB527" s="1" t="s">
        <v>0</v>
      </c>
      <c r="AC527" s="23" t="s">
        <v>0</v>
      </c>
      <c r="AD527" s="1"/>
      <c r="AE527" s="19"/>
      <c r="AF527" s="1"/>
      <c r="AG527" s="1"/>
      <c r="AH527" s="1"/>
      <c r="AI527" s="39"/>
      <c r="AJ527" s="39"/>
      <c r="AK527" s="39"/>
      <c r="AL527" s="39"/>
      <c r="AM527" s="1"/>
      <c r="AN527" s="1"/>
      <c r="AO527" s="39"/>
      <c r="AP527" s="39"/>
      <c r="AQ527" s="1"/>
      <c r="AR527" s="39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 t="s">
        <v>0</v>
      </c>
      <c r="AB528" s="1" t="s">
        <v>0</v>
      </c>
      <c r="AC528" s="23" t="s">
        <v>0</v>
      </c>
      <c r="AD528" s="1"/>
      <c r="AE528" s="19"/>
      <c r="AF528" s="1"/>
      <c r="AG528" s="1"/>
      <c r="AH528" s="1"/>
      <c r="AI528" s="39"/>
      <c r="AJ528" s="39"/>
      <c r="AK528" s="39"/>
      <c r="AL528" s="39"/>
      <c r="AM528" s="1"/>
      <c r="AN528" s="1"/>
      <c r="AO528" s="39"/>
      <c r="AP528" s="39"/>
      <c r="AQ528" s="1"/>
      <c r="AR528" s="39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 t="s">
        <v>0</v>
      </c>
      <c r="AB529" s="1" t="s">
        <v>0</v>
      </c>
      <c r="AC529" s="23" t="s">
        <v>0</v>
      </c>
      <c r="AD529" s="1"/>
      <c r="AE529" s="19"/>
      <c r="AF529" s="1"/>
      <c r="AG529" s="1"/>
      <c r="AH529" s="1"/>
      <c r="AI529" s="39"/>
      <c r="AJ529" s="39"/>
      <c r="AK529" s="39"/>
      <c r="AL529" s="39"/>
      <c r="AM529" s="1"/>
      <c r="AN529" s="1"/>
      <c r="AO529" s="39"/>
      <c r="AP529" s="39"/>
      <c r="AQ529" s="1"/>
      <c r="AR529" s="39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 t="s">
        <v>0</v>
      </c>
      <c r="AB530" s="1" t="s">
        <v>0</v>
      </c>
      <c r="AC530" s="23" t="s">
        <v>0</v>
      </c>
      <c r="AD530" s="1"/>
      <c r="AE530" s="19"/>
      <c r="AF530" s="1"/>
      <c r="AG530" s="1"/>
      <c r="AH530" s="1"/>
      <c r="AI530" s="39"/>
      <c r="AJ530" s="39"/>
      <c r="AK530" s="39"/>
      <c r="AL530" s="39"/>
      <c r="AM530" s="1"/>
      <c r="AN530" s="1"/>
      <c r="AO530" s="39"/>
      <c r="AP530" s="39"/>
      <c r="AQ530" s="1"/>
      <c r="AR530" s="39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 t="s">
        <v>0</v>
      </c>
      <c r="AB531" s="1" t="s">
        <v>0</v>
      </c>
      <c r="AC531" s="23" t="s">
        <v>0</v>
      </c>
      <c r="AD531" s="1"/>
      <c r="AE531" s="19"/>
      <c r="AF531" s="1"/>
      <c r="AG531" s="1"/>
      <c r="AH531" s="1"/>
      <c r="AI531" s="39"/>
      <c r="AJ531" s="39"/>
      <c r="AK531" s="39"/>
      <c r="AL531" s="39"/>
      <c r="AM531" s="1"/>
      <c r="AN531" s="1"/>
      <c r="AO531" s="39"/>
      <c r="AP531" s="39"/>
      <c r="AQ531" s="1"/>
      <c r="AR531" s="39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 t="s">
        <v>0</v>
      </c>
      <c r="AB532" s="1" t="s">
        <v>0</v>
      </c>
      <c r="AC532" s="23" t="s">
        <v>0</v>
      </c>
      <c r="AD532" s="1"/>
      <c r="AE532" s="19"/>
      <c r="AF532" s="1"/>
      <c r="AG532" s="1"/>
      <c r="AH532" s="1"/>
      <c r="AI532" s="39"/>
      <c r="AJ532" s="39"/>
      <c r="AK532" s="39"/>
      <c r="AL532" s="39"/>
      <c r="AM532" s="1"/>
      <c r="AN532" s="1"/>
      <c r="AO532" s="39"/>
      <c r="AP532" s="39"/>
      <c r="AQ532" s="1"/>
      <c r="AR532" s="39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 t="s">
        <v>0</v>
      </c>
      <c r="AB533" s="1" t="s">
        <v>0</v>
      </c>
      <c r="AC533" s="23" t="s">
        <v>0</v>
      </c>
      <c r="AD533" s="1"/>
      <c r="AE533" s="19"/>
      <c r="AF533" s="1"/>
      <c r="AG533" s="1"/>
      <c r="AH533" s="1"/>
      <c r="AI533" s="39"/>
      <c r="AJ533" s="39"/>
      <c r="AK533" s="39"/>
      <c r="AL533" s="39"/>
      <c r="AM533" s="1"/>
      <c r="AN533" s="1"/>
      <c r="AO533" s="39"/>
      <c r="AP533" s="39"/>
      <c r="AQ533" s="1"/>
      <c r="AR533" s="39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 t="s">
        <v>0</v>
      </c>
      <c r="AB534" s="1" t="s">
        <v>0</v>
      </c>
      <c r="AC534" s="23" t="s">
        <v>0</v>
      </c>
      <c r="AD534" s="1"/>
      <c r="AE534" s="19"/>
      <c r="AF534" s="1"/>
      <c r="AG534" s="1"/>
      <c r="AH534" s="1"/>
      <c r="AI534" s="39"/>
      <c r="AJ534" s="39"/>
      <c r="AK534" s="39"/>
      <c r="AL534" s="39"/>
      <c r="AM534" s="1"/>
      <c r="AN534" s="1"/>
      <c r="AO534" s="39"/>
      <c r="AP534" s="39"/>
      <c r="AQ534" s="1"/>
      <c r="AR534" s="39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 t="s">
        <v>0</v>
      </c>
      <c r="AB535" s="1" t="s">
        <v>0</v>
      </c>
      <c r="AC535" s="23" t="s">
        <v>0</v>
      </c>
      <c r="AD535" s="1"/>
      <c r="AE535" s="19"/>
      <c r="AF535" s="1"/>
      <c r="AG535" s="1"/>
      <c r="AH535" s="1"/>
      <c r="AI535" s="39"/>
      <c r="AJ535" s="39"/>
      <c r="AK535" s="39"/>
      <c r="AL535" s="39"/>
      <c r="AM535" s="1"/>
      <c r="AN535" s="1"/>
      <c r="AO535" s="39"/>
      <c r="AP535" s="39"/>
      <c r="AQ535" s="1"/>
      <c r="AR535" s="39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 t="s">
        <v>0</v>
      </c>
      <c r="AB536" s="1" t="s">
        <v>0</v>
      </c>
      <c r="AC536" s="23" t="s">
        <v>0</v>
      </c>
      <c r="AD536" s="1"/>
      <c r="AE536" s="19"/>
      <c r="AF536" s="1"/>
      <c r="AG536" s="1"/>
      <c r="AH536" s="1"/>
      <c r="AI536" s="39"/>
      <c r="AJ536" s="39"/>
      <c r="AK536" s="39"/>
      <c r="AL536" s="39"/>
      <c r="AM536" s="1"/>
      <c r="AN536" s="1"/>
      <c r="AO536" s="39"/>
      <c r="AP536" s="39"/>
      <c r="AQ536" s="1"/>
      <c r="AR536" s="39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 t="s">
        <v>0</v>
      </c>
      <c r="AB537" s="1" t="s">
        <v>0</v>
      </c>
      <c r="AC537" s="23" t="s">
        <v>0</v>
      </c>
      <c r="AD537" s="1"/>
      <c r="AE537" s="19"/>
      <c r="AF537" s="1"/>
      <c r="AG537" s="1"/>
      <c r="AH537" s="1"/>
      <c r="AI537" s="39"/>
      <c r="AJ537" s="39"/>
      <c r="AK537" s="39"/>
      <c r="AL537" s="39"/>
      <c r="AM537" s="1"/>
      <c r="AN537" s="1"/>
      <c r="AO537" s="39"/>
      <c r="AP537" s="39"/>
      <c r="AQ537" s="1"/>
      <c r="AR537" s="39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 t="s">
        <v>0</v>
      </c>
      <c r="AB538" s="1" t="s">
        <v>0</v>
      </c>
      <c r="AC538" s="23" t="s">
        <v>0</v>
      </c>
      <c r="AD538" s="1"/>
      <c r="AE538" s="19"/>
      <c r="AF538" s="1"/>
      <c r="AG538" s="1"/>
      <c r="AH538" s="1"/>
      <c r="AI538" s="39"/>
      <c r="AJ538" s="39"/>
      <c r="AK538" s="39"/>
      <c r="AL538" s="39"/>
      <c r="AM538" s="1"/>
      <c r="AN538" s="1"/>
      <c r="AO538" s="39"/>
      <c r="AP538" s="39"/>
      <c r="AQ538" s="1"/>
      <c r="AR538" s="39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 t="s">
        <v>0</v>
      </c>
      <c r="AB539" s="1" t="s">
        <v>0</v>
      </c>
      <c r="AC539" s="23" t="s">
        <v>0</v>
      </c>
      <c r="AD539" s="1"/>
      <c r="AE539" s="19"/>
      <c r="AF539" s="1"/>
      <c r="AG539" s="1"/>
      <c r="AH539" s="1"/>
      <c r="AI539" s="39"/>
      <c r="AJ539" s="39"/>
      <c r="AK539" s="39"/>
      <c r="AL539" s="39"/>
      <c r="AM539" s="1"/>
      <c r="AN539" s="1"/>
      <c r="AO539" s="39"/>
      <c r="AP539" s="39"/>
      <c r="AQ539" s="1"/>
      <c r="AR539" s="39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 t="s">
        <v>0</v>
      </c>
      <c r="AB540" s="1" t="s">
        <v>0</v>
      </c>
      <c r="AC540" s="23" t="s">
        <v>0</v>
      </c>
      <c r="AD540" s="1"/>
      <c r="AE540" s="19"/>
      <c r="AF540" s="1"/>
      <c r="AG540" s="1"/>
      <c r="AH540" s="1"/>
      <c r="AI540" s="39"/>
      <c r="AJ540" s="39"/>
      <c r="AK540" s="39"/>
      <c r="AL540" s="39"/>
      <c r="AM540" s="1"/>
      <c r="AN540" s="1"/>
      <c r="AO540" s="39"/>
      <c r="AP540" s="39"/>
      <c r="AQ540" s="1"/>
      <c r="AR540" s="39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 t="s">
        <v>0</v>
      </c>
      <c r="AB541" s="1" t="s">
        <v>0</v>
      </c>
      <c r="AC541" s="23" t="s">
        <v>0</v>
      </c>
      <c r="AD541" s="1"/>
      <c r="AE541" s="19"/>
      <c r="AF541" s="1"/>
      <c r="AG541" s="1"/>
      <c r="AH541" s="1"/>
      <c r="AI541" s="39"/>
      <c r="AJ541" s="39"/>
      <c r="AK541" s="39"/>
      <c r="AL541" s="39"/>
      <c r="AM541" s="1"/>
      <c r="AN541" s="1"/>
      <c r="AO541" s="39"/>
      <c r="AP541" s="39"/>
      <c r="AQ541" s="1"/>
      <c r="AR541" s="39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 t="s">
        <v>0</v>
      </c>
      <c r="AB542" s="1" t="s">
        <v>0</v>
      </c>
      <c r="AC542" s="23" t="s">
        <v>0</v>
      </c>
      <c r="AD542" s="1"/>
      <c r="AE542" s="19"/>
      <c r="AF542" s="1"/>
      <c r="AG542" s="1"/>
      <c r="AH542" s="1"/>
      <c r="AI542" s="39"/>
      <c r="AJ542" s="39"/>
      <c r="AK542" s="39"/>
      <c r="AL542" s="39"/>
      <c r="AM542" s="1"/>
      <c r="AN542" s="1"/>
      <c r="AO542" s="39"/>
      <c r="AP542" s="39"/>
      <c r="AQ542" s="1"/>
      <c r="AR542" s="39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 t="s">
        <v>0</v>
      </c>
      <c r="AB543" s="1" t="s">
        <v>0</v>
      </c>
      <c r="AC543" s="23" t="s">
        <v>0</v>
      </c>
      <c r="AD543" s="1"/>
      <c r="AE543" s="19"/>
      <c r="AF543" s="1"/>
      <c r="AG543" s="1"/>
      <c r="AH543" s="1"/>
      <c r="AI543" s="39"/>
      <c r="AJ543" s="39"/>
      <c r="AK543" s="39"/>
      <c r="AL543" s="39"/>
      <c r="AM543" s="1"/>
      <c r="AN543" s="1"/>
      <c r="AO543" s="39"/>
      <c r="AP543" s="39"/>
      <c r="AQ543" s="1"/>
      <c r="AR543" s="39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 t="s">
        <v>0</v>
      </c>
      <c r="AB544" s="1" t="s">
        <v>0</v>
      </c>
      <c r="AC544" s="23" t="s">
        <v>0</v>
      </c>
      <c r="AD544" s="1"/>
      <c r="AE544" s="19"/>
      <c r="AF544" s="1"/>
      <c r="AG544" s="1"/>
      <c r="AH544" s="1"/>
      <c r="AI544" s="39"/>
      <c r="AJ544" s="39"/>
      <c r="AK544" s="39"/>
      <c r="AL544" s="39"/>
      <c r="AM544" s="1"/>
      <c r="AN544" s="1"/>
      <c r="AO544" s="39"/>
      <c r="AP544" s="39"/>
      <c r="AQ544" s="1"/>
      <c r="AR544" s="39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 t="s">
        <v>0</v>
      </c>
      <c r="AB545" s="1" t="s">
        <v>0</v>
      </c>
      <c r="AC545" s="23" t="s">
        <v>0</v>
      </c>
      <c r="AD545" s="1"/>
      <c r="AE545" s="19"/>
      <c r="AF545" s="1"/>
      <c r="AG545" s="1"/>
      <c r="AH545" s="1"/>
      <c r="AI545" s="39"/>
      <c r="AJ545" s="39"/>
      <c r="AK545" s="39"/>
      <c r="AL545" s="39"/>
      <c r="AM545" s="1"/>
      <c r="AN545" s="1"/>
      <c r="AO545" s="39"/>
      <c r="AP545" s="39"/>
      <c r="AQ545" s="1"/>
      <c r="AR545" s="39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 t="s">
        <v>0</v>
      </c>
      <c r="AB546" s="1" t="s">
        <v>0</v>
      </c>
      <c r="AC546" s="23" t="s">
        <v>0</v>
      </c>
      <c r="AD546" s="1"/>
      <c r="AE546" s="19"/>
      <c r="AF546" s="1"/>
      <c r="AG546" s="1"/>
      <c r="AH546" s="1"/>
      <c r="AI546" s="39"/>
      <c r="AJ546" s="39"/>
      <c r="AK546" s="39"/>
      <c r="AL546" s="39"/>
      <c r="AM546" s="1"/>
      <c r="AN546" s="1"/>
      <c r="AO546" s="39"/>
      <c r="AP546" s="39"/>
      <c r="AQ546" s="1"/>
      <c r="AR546" s="39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 t="s">
        <v>0</v>
      </c>
      <c r="AB547" s="1" t="s">
        <v>0</v>
      </c>
      <c r="AC547" s="23" t="s">
        <v>0</v>
      </c>
      <c r="AD547" s="1"/>
      <c r="AE547" s="19"/>
      <c r="AF547" s="1"/>
      <c r="AG547" s="1"/>
      <c r="AH547" s="1"/>
      <c r="AI547" s="39"/>
      <c r="AJ547" s="39"/>
      <c r="AK547" s="39"/>
      <c r="AL547" s="39"/>
      <c r="AM547" s="1"/>
      <c r="AN547" s="1"/>
      <c r="AO547" s="39"/>
      <c r="AP547" s="39"/>
      <c r="AQ547" s="1"/>
      <c r="AR547" s="39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 t="s">
        <v>0</v>
      </c>
      <c r="AB548" s="1" t="s">
        <v>0</v>
      </c>
      <c r="AC548" s="23" t="s">
        <v>0</v>
      </c>
      <c r="AD548" s="1"/>
      <c r="AE548" s="19"/>
      <c r="AF548" s="1"/>
      <c r="AG548" s="1"/>
      <c r="AH548" s="1"/>
      <c r="AI548" s="39"/>
      <c r="AJ548" s="39"/>
      <c r="AK548" s="39"/>
      <c r="AL548" s="39"/>
      <c r="AM548" s="1"/>
      <c r="AN548" s="1"/>
      <c r="AO548" s="39"/>
      <c r="AP548" s="39"/>
      <c r="AQ548" s="1"/>
      <c r="AR548" s="39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 t="s">
        <v>0</v>
      </c>
      <c r="AB549" s="1" t="s">
        <v>0</v>
      </c>
      <c r="AC549" s="23" t="s">
        <v>0</v>
      </c>
      <c r="AD549" s="1"/>
      <c r="AE549" s="19"/>
      <c r="AF549" s="1"/>
      <c r="AG549" s="1"/>
      <c r="AH549" s="1"/>
      <c r="AI549" s="39"/>
      <c r="AJ549" s="39"/>
      <c r="AK549" s="39"/>
      <c r="AL549" s="39"/>
      <c r="AM549" s="1"/>
      <c r="AN549" s="1"/>
      <c r="AO549" s="39"/>
      <c r="AP549" s="39"/>
      <c r="AQ549" s="1"/>
      <c r="AR549" s="39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 t="s">
        <v>0</v>
      </c>
      <c r="AB550" s="1" t="s">
        <v>0</v>
      </c>
      <c r="AC550" s="23" t="s">
        <v>0</v>
      </c>
      <c r="AD550" s="1"/>
      <c r="AE550" s="19"/>
      <c r="AF550" s="1"/>
      <c r="AG550" s="1"/>
      <c r="AH550" s="1"/>
      <c r="AI550" s="39"/>
      <c r="AJ550" s="39"/>
      <c r="AK550" s="39"/>
      <c r="AL550" s="39"/>
      <c r="AM550" s="1"/>
      <c r="AN550" s="1"/>
      <c r="AO550" s="39"/>
      <c r="AP550" s="39"/>
      <c r="AQ550" s="1"/>
      <c r="AR550" s="39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 t="s">
        <v>0</v>
      </c>
      <c r="AB551" s="1" t="s">
        <v>0</v>
      </c>
      <c r="AC551" s="23" t="s">
        <v>0</v>
      </c>
      <c r="AD551" s="1"/>
      <c r="AE551" s="19"/>
      <c r="AF551" s="1"/>
      <c r="AG551" s="1"/>
      <c r="AH551" s="1"/>
      <c r="AI551" s="39"/>
      <c r="AJ551" s="39"/>
      <c r="AK551" s="39"/>
      <c r="AL551" s="39"/>
      <c r="AM551" s="1"/>
      <c r="AN551" s="1"/>
      <c r="AO551" s="39"/>
      <c r="AP551" s="39"/>
      <c r="AQ551" s="1"/>
      <c r="AR551" s="39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 t="s">
        <v>0</v>
      </c>
      <c r="AB552" s="1" t="s">
        <v>0</v>
      </c>
      <c r="AC552" s="23" t="s">
        <v>0</v>
      </c>
      <c r="AD552" s="1"/>
      <c r="AE552" s="19"/>
      <c r="AF552" s="1"/>
      <c r="AG552" s="1"/>
      <c r="AH552" s="1"/>
      <c r="AI552" s="39"/>
      <c r="AJ552" s="39"/>
      <c r="AK552" s="39"/>
      <c r="AL552" s="39"/>
      <c r="AM552" s="1"/>
      <c r="AN552" s="1"/>
      <c r="AO552" s="39"/>
      <c r="AP552" s="39"/>
      <c r="AQ552" s="1"/>
      <c r="AR552" s="39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 t="s">
        <v>0</v>
      </c>
      <c r="AB553" s="1" t="s">
        <v>0</v>
      </c>
      <c r="AC553" s="23" t="s">
        <v>0</v>
      </c>
      <c r="AD553" s="1"/>
      <c r="AE553" s="19"/>
      <c r="AF553" s="1"/>
      <c r="AG553" s="1"/>
      <c r="AH553" s="1"/>
      <c r="AI553" s="39"/>
      <c r="AJ553" s="39"/>
      <c r="AK553" s="39"/>
      <c r="AL553" s="39"/>
      <c r="AM553" s="1"/>
      <c r="AN553" s="1"/>
      <c r="AO553" s="39"/>
      <c r="AP553" s="39"/>
      <c r="AQ553" s="1"/>
      <c r="AR553" s="39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 t="s">
        <v>0</v>
      </c>
      <c r="AB554" s="1" t="s">
        <v>0</v>
      </c>
      <c r="AC554" s="23" t="s">
        <v>0</v>
      </c>
      <c r="AD554" s="1"/>
      <c r="AE554" s="19"/>
      <c r="AF554" s="1"/>
      <c r="AG554" s="1"/>
      <c r="AH554" s="1"/>
      <c r="AI554" s="39"/>
      <c r="AJ554" s="39"/>
      <c r="AK554" s="39"/>
      <c r="AL554" s="39"/>
      <c r="AM554" s="1"/>
      <c r="AN554" s="1"/>
      <c r="AO554" s="39"/>
      <c r="AP554" s="39"/>
      <c r="AQ554" s="1"/>
      <c r="AR554" s="39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 t="s">
        <v>0</v>
      </c>
      <c r="AB555" s="1" t="s">
        <v>0</v>
      </c>
      <c r="AC555" s="23" t="s">
        <v>0</v>
      </c>
      <c r="AD555" s="1"/>
      <c r="AE555" s="19"/>
      <c r="AF555" s="1"/>
      <c r="AG555" s="1"/>
      <c r="AH555" s="1"/>
      <c r="AI555" s="39"/>
      <c r="AJ555" s="39"/>
      <c r="AK555" s="39"/>
      <c r="AL555" s="39"/>
      <c r="AM555" s="1"/>
      <c r="AN555" s="1"/>
      <c r="AO555" s="39"/>
      <c r="AP555" s="39"/>
      <c r="AQ555" s="1"/>
      <c r="AR555" s="39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 t="s">
        <v>0</v>
      </c>
      <c r="AB556" s="1" t="s">
        <v>0</v>
      </c>
      <c r="AC556" s="23" t="s">
        <v>0</v>
      </c>
      <c r="AD556" s="1"/>
      <c r="AE556" s="19"/>
      <c r="AF556" s="1"/>
      <c r="AG556" s="1"/>
      <c r="AH556" s="1"/>
      <c r="AI556" s="39"/>
      <c r="AJ556" s="39"/>
      <c r="AK556" s="39"/>
      <c r="AL556" s="39"/>
      <c r="AM556" s="1"/>
      <c r="AN556" s="1"/>
      <c r="AO556" s="39"/>
      <c r="AP556" s="39"/>
      <c r="AQ556" s="1"/>
      <c r="AR556" s="39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 t="s">
        <v>0</v>
      </c>
      <c r="AB557" s="1" t="s">
        <v>0</v>
      </c>
      <c r="AC557" s="23" t="s">
        <v>0</v>
      </c>
      <c r="AD557" s="1"/>
      <c r="AE557" s="19"/>
      <c r="AF557" s="1"/>
      <c r="AG557" s="1"/>
      <c r="AH557" s="1"/>
      <c r="AI557" s="39"/>
      <c r="AJ557" s="39"/>
      <c r="AK557" s="39"/>
      <c r="AL557" s="39"/>
      <c r="AM557" s="1"/>
      <c r="AN557" s="1"/>
      <c r="AO557" s="39"/>
      <c r="AP557" s="39"/>
      <c r="AQ557" s="1"/>
      <c r="AR557" s="39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 t="s">
        <v>0</v>
      </c>
      <c r="AB558" s="1" t="s">
        <v>0</v>
      </c>
      <c r="AC558" s="23" t="s">
        <v>0</v>
      </c>
      <c r="AD558" s="1"/>
      <c r="AE558" s="19"/>
      <c r="AF558" s="1"/>
      <c r="AG558" s="1"/>
      <c r="AH558" s="1"/>
      <c r="AI558" s="39"/>
      <c r="AJ558" s="39"/>
      <c r="AK558" s="39"/>
      <c r="AL558" s="39"/>
      <c r="AM558" s="1"/>
      <c r="AN558" s="1"/>
      <c r="AO558" s="39"/>
      <c r="AP558" s="39"/>
      <c r="AQ558" s="1"/>
      <c r="AR558" s="39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 t="s">
        <v>0</v>
      </c>
      <c r="AB559" s="1" t="s">
        <v>0</v>
      </c>
      <c r="AC559" s="23" t="s">
        <v>0</v>
      </c>
      <c r="AD559" s="1"/>
      <c r="AE559" s="19"/>
      <c r="AF559" s="1"/>
      <c r="AG559" s="1"/>
      <c r="AH559" s="1"/>
      <c r="AI559" s="39"/>
      <c r="AJ559" s="39"/>
      <c r="AK559" s="39"/>
      <c r="AL559" s="39"/>
      <c r="AM559" s="1"/>
      <c r="AN559" s="1"/>
      <c r="AO559" s="39"/>
      <c r="AP559" s="39"/>
      <c r="AQ559" s="1"/>
      <c r="AR559" s="39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 t="s">
        <v>0</v>
      </c>
      <c r="AB560" s="1" t="s">
        <v>0</v>
      </c>
      <c r="AC560" s="23" t="s">
        <v>0</v>
      </c>
      <c r="AD560" s="1"/>
      <c r="AE560" s="19"/>
      <c r="AF560" s="1"/>
      <c r="AG560" s="1"/>
      <c r="AH560" s="1"/>
      <c r="AI560" s="39"/>
      <c r="AJ560" s="39"/>
      <c r="AK560" s="39"/>
      <c r="AL560" s="39"/>
      <c r="AM560" s="1"/>
      <c r="AN560" s="1"/>
      <c r="AO560" s="39"/>
      <c r="AP560" s="39"/>
      <c r="AQ560" s="1"/>
      <c r="AR560" s="39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 t="s">
        <v>0</v>
      </c>
      <c r="AB561" s="1" t="s">
        <v>0</v>
      </c>
      <c r="AC561" s="23" t="s">
        <v>0</v>
      </c>
      <c r="AD561" s="1"/>
      <c r="AE561" s="19"/>
      <c r="AF561" s="1"/>
      <c r="AG561" s="1"/>
      <c r="AH561" s="1"/>
      <c r="AI561" s="39"/>
      <c r="AJ561" s="39"/>
      <c r="AK561" s="39"/>
      <c r="AL561" s="39"/>
      <c r="AM561" s="1"/>
      <c r="AN561" s="1"/>
      <c r="AO561" s="39"/>
      <c r="AP561" s="39"/>
      <c r="AQ561" s="1"/>
      <c r="AR561" s="39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 t="s">
        <v>0</v>
      </c>
      <c r="AB562" s="1" t="s">
        <v>0</v>
      </c>
      <c r="AC562" s="23" t="s">
        <v>0</v>
      </c>
      <c r="AD562" s="1"/>
      <c r="AE562" s="19"/>
      <c r="AF562" s="1"/>
      <c r="AG562" s="1"/>
      <c r="AH562" s="1"/>
      <c r="AI562" s="39"/>
      <c r="AJ562" s="39"/>
      <c r="AK562" s="39"/>
      <c r="AL562" s="39"/>
      <c r="AM562" s="1"/>
      <c r="AN562" s="1"/>
      <c r="AO562" s="39"/>
      <c r="AP562" s="39"/>
      <c r="AQ562" s="1"/>
      <c r="AR562" s="39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 t="s">
        <v>0</v>
      </c>
      <c r="AB563" s="1" t="s">
        <v>0</v>
      </c>
      <c r="AC563" s="23" t="s">
        <v>0</v>
      </c>
      <c r="AD563" s="1"/>
      <c r="AE563" s="19"/>
      <c r="AF563" s="1"/>
      <c r="AG563" s="1"/>
      <c r="AH563" s="1"/>
      <c r="AI563" s="39"/>
      <c r="AJ563" s="39"/>
      <c r="AK563" s="39"/>
      <c r="AL563" s="39"/>
      <c r="AM563" s="1"/>
      <c r="AN563" s="1"/>
      <c r="AO563" s="39"/>
      <c r="AP563" s="39"/>
      <c r="AQ563" s="1"/>
      <c r="AR563" s="39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 t="s">
        <v>0</v>
      </c>
      <c r="AB564" s="1" t="s">
        <v>0</v>
      </c>
      <c r="AC564" s="23" t="s">
        <v>0</v>
      </c>
      <c r="AD564" s="1"/>
      <c r="AE564" s="19"/>
      <c r="AF564" s="1"/>
      <c r="AG564" s="1"/>
      <c r="AH564" s="1"/>
      <c r="AI564" s="39"/>
      <c r="AJ564" s="39"/>
      <c r="AK564" s="39"/>
      <c r="AL564" s="39"/>
      <c r="AM564" s="1"/>
      <c r="AN564" s="1"/>
      <c r="AO564" s="39"/>
      <c r="AP564" s="39"/>
      <c r="AQ564" s="1"/>
      <c r="AR564" s="39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 t="s">
        <v>0</v>
      </c>
      <c r="AB565" s="1" t="s">
        <v>0</v>
      </c>
      <c r="AC565" s="23" t="s">
        <v>0</v>
      </c>
      <c r="AD565" s="1"/>
      <c r="AE565" s="19"/>
      <c r="AF565" s="1"/>
      <c r="AG565" s="1"/>
      <c r="AH565" s="1"/>
      <c r="AI565" s="39"/>
      <c r="AJ565" s="39"/>
      <c r="AK565" s="39"/>
      <c r="AL565" s="39"/>
      <c r="AM565" s="1"/>
      <c r="AN565" s="1"/>
      <c r="AO565" s="39"/>
      <c r="AP565" s="39"/>
      <c r="AQ565" s="1"/>
      <c r="AR565" s="39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 t="s">
        <v>0</v>
      </c>
      <c r="AB566" s="1" t="s">
        <v>0</v>
      </c>
      <c r="AC566" s="23" t="s">
        <v>0</v>
      </c>
      <c r="AD566" s="1"/>
      <c r="AE566" s="19"/>
      <c r="AF566" s="1"/>
      <c r="AG566" s="1"/>
      <c r="AH566" s="1"/>
      <c r="AI566" s="39"/>
      <c r="AJ566" s="39"/>
      <c r="AK566" s="39"/>
      <c r="AL566" s="39"/>
      <c r="AM566" s="1"/>
      <c r="AN566" s="1"/>
      <c r="AO566" s="39"/>
      <c r="AP566" s="39"/>
      <c r="AQ566" s="1"/>
      <c r="AR566" s="39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 t="s">
        <v>0</v>
      </c>
      <c r="AB567" s="1" t="s">
        <v>0</v>
      </c>
      <c r="AC567" s="23" t="s">
        <v>0</v>
      </c>
      <c r="AD567" s="1"/>
      <c r="AE567" s="19"/>
      <c r="AF567" s="1"/>
      <c r="AG567" s="1"/>
      <c r="AH567" s="1"/>
      <c r="AI567" s="39"/>
      <c r="AJ567" s="39"/>
      <c r="AK567" s="39"/>
      <c r="AL567" s="39"/>
      <c r="AM567" s="1"/>
      <c r="AN567" s="1"/>
      <c r="AO567" s="39"/>
      <c r="AP567" s="39"/>
      <c r="AQ567" s="1"/>
      <c r="AR567" s="39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 t="s">
        <v>0</v>
      </c>
      <c r="AB568" s="1" t="s">
        <v>0</v>
      </c>
      <c r="AC568" s="23" t="s">
        <v>0</v>
      </c>
      <c r="AD568" s="1"/>
      <c r="AE568" s="19"/>
      <c r="AF568" s="1"/>
      <c r="AG568" s="1"/>
      <c r="AH568" s="1"/>
      <c r="AI568" s="39"/>
      <c r="AJ568" s="39"/>
      <c r="AK568" s="39"/>
      <c r="AL568" s="39"/>
      <c r="AM568" s="1"/>
      <c r="AN568" s="1"/>
      <c r="AO568" s="39"/>
      <c r="AP568" s="39"/>
      <c r="AQ568" s="1"/>
      <c r="AR568" s="39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 t="s">
        <v>0</v>
      </c>
      <c r="AB569" s="1" t="s">
        <v>0</v>
      </c>
      <c r="AC569" s="23" t="s">
        <v>0</v>
      </c>
      <c r="AD569" s="1"/>
      <c r="AE569" s="19"/>
      <c r="AF569" s="1"/>
      <c r="AG569" s="1"/>
      <c r="AH569" s="1"/>
      <c r="AI569" s="39"/>
      <c r="AJ569" s="39"/>
      <c r="AK569" s="39"/>
      <c r="AL569" s="39"/>
      <c r="AM569" s="1"/>
      <c r="AN569" s="1"/>
      <c r="AO569" s="39"/>
      <c r="AP569" s="39"/>
      <c r="AQ569" s="1"/>
      <c r="AR569" s="39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 t="s">
        <v>0</v>
      </c>
      <c r="AB570" s="1" t="s">
        <v>0</v>
      </c>
      <c r="AC570" s="23" t="s">
        <v>0</v>
      </c>
      <c r="AD570" s="1"/>
      <c r="AE570" s="19"/>
      <c r="AF570" s="1"/>
      <c r="AG570" s="1"/>
      <c r="AH570" s="1"/>
      <c r="AI570" s="39"/>
      <c r="AJ570" s="39"/>
      <c r="AK570" s="39"/>
      <c r="AL570" s="39"/>
      <c r="AM570" s="1"/>
      <c r="AN570" s="1"/>
      <c r="AO570" s="39"/>
      <c r="AP570" s="39"/>
      <c r="AQ570" s="1"/>
      <c r="AR570" s="39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 t="s">
        <v>0</v>
      </c>
      <c r="AB571" s="1" t="s">
        <v>0</v>
      </c>
      <c r="AC571" s="23" t="s">
        <v>0</v>
      </c>
      <c r="AD571" s="1"/>
      <c r="AE571" s="19"/>
      <c r="AF571" s="1"/>
      <c r="AG571" s="1"/>
      <c r="AH571" s="1"/>
      <c r="AI571" s="39"/>
      <c r="AJ571" s="39"/>
      <c r="AK571" s="39"/>
      <c r="AL571" s="39"/>
      <c r="AM571" s="1"/>
      <c r="AN571" s="1"/>
      <c r="AO571" s="39"/>
      <c r="AP571" s="39"/>
      <c r="AQ571" s="1"/>
      <c r="AR571" s="39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 t="s">
        <v>0</v>
      </c>
      <c r="AB572" s="1" t="s">
        <v>0</v>
      </c>
      <c r="AC572" s="23" t="s">
        <v>0</v>
      </c>
      <c r="AD572" s="1"/>
      <c r="AE572" s="19"/>
      <c r="AF572" s="1"/>
      <c r="AG572" s="1"/>
      <c r="AH572" s="1"/>
      <c r="AI572" s="39"/>
      <c r="AJ572" s="39"/>
      <c r="AK572" s="39"/>
      <c r="AL572" s="39"/>
      <c r="AM572" s="1"/>
      <c r="AN572" s="1"/>
      <c r="AO572" s="39"/>
      <c r="AP572" s="39"/>
      <c r="AQ572" s="1"/>
      <c r="AR572" s="39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 t="s">
        <v>0</v>
      </c>
      <c r="AB573" s="1" t="s">
        <v>0</v>
      </c>
      <c r="AC573" s="23" t="s">
        <v>0</v>
      </c>
      <c r="AD573" s="1"/>
      <c r="AE573" s="19"/>
      <c r="AF573" s="1"/>
      <c r="AG573" s="1"/>
      <c r="AH573" s="1"/>
      <c r="AI573" s="39"/>
      <c r="AJ573" s="39"/>
      <c r="AK573" s="39"/>
      <c r="AL573" s="39"/>
      <c r="AM573" s="1"/>
      <c r="AN573" s="1"/>
      <c r="AO573" s="39"/>
      <c r="AP573" s="39"/>
      <c r="AQ573" s="1"/>
      <c r="AR573" s="39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 t="s">
        <v>0</v>
      </c>
      <c r="AB574" s="1" t="s">
        <v>0</v>
      </c>
      <c r="AC574" s="23" t="s">
        <v>0</v>
      </c>
      <c r="AD574" s="1"/>
      <c r="AE574" s="19"/>
      <c r="AF574" s="1"/>
      <c r="AG574" s="1"/>
      <c r="AH574" s="1"/>
      <c r="AI574" s="39"/>
      <c r="AJ574" s="39"/>
      <c r="AK574" s="39"/>
      <c r="AL574" s="39"/>
      <c r="AM574" s="1"/>
      <c r="AN574" s="1"/>
      <c r="AO574" s="39"/>
      <c r="AP574" s="39"/>
      <c r="AQ574" s="1"/>
      <c r="AR574" s="39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 t="s">
        <v>0</v>
      </c>
      <c r="AB575" s="1" t="s">
        <v>0</v>
      </c>
      <c r="AC575" s="23" t="s">
        <v>0</v>
      </c>
      <c r="AD575" s="1"/>
      <c r="AE575" s="19"/>
      <c r="AF575" s="1"/>
      <c r="AG575" s="1"/>
      <c r="AH575" s="1"/>
      <c r="AI575" s="39"/>
      <c r="AJ575" s="39"/>
      <c r="AK575" s="39"/>
      <c r="AL575" s="39"/>
      <c r="AM575" s="1"/>
      <c r="AN575" s="1"/>
      <c r="AO575" s="39"/>
      <c r="AP575" s="39"/>
      <c r="AQ575" s="1"/>
      <c r="AR575" s="39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 t="s">
        <v>0</v>
      </c>
      <c r="AB576" s="1" t="s">
        <v>0</v>
      </c>
      <c r="AC576" s="23" t="s">
        <v>0</v>
      </c>
      <c r="AD576" s="1"/>
      <c r="AE576" s="19"/>
      <c r="AF576" s="1"/>
      <c r="AG576" s="1"/>
      <c r="AH576" s="1"/>
      <c r="AI576" s="39"/>
      <c r="AJ576" s="39"/>
      <c r="AK576" s="39"/>
      <c r="AL576" s="39"/>
      <c r="AM576" s="1"/>
      <c r="AN576" s="1"/>
      <c r="AO576" s="39"/>
      <c r="AP576" s="39"/>
      <c r="AQ576" s="1"/>
      <c r="AR576" s="39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 t="s">
        <v>0</v>
      </c>
      <c r="AB577" s="1" t="s">
        <v>0</v>
      </c>
      <c r="AC577" s="23" t="s">
        <v>0</v>
      </c>
      <c r="AD577" s="1"/>
      <c r="AE577" s="19"/>
      <c r="AF577" s="1"/>
      <c r="AG577" s="1"/>
      <c r="AH577" s="1"/>
      <c r="AI577" s="39"/>
      <c r="AJ577" s="39"/>
      <c r="AK577" s="39"/>
      <c r="AL577" s="39"/>
      <c r="AM577" s="1"/>
      <c r="AN577" s="1"/>
      <c r="AO577" s="39"/>
      <c r="AP577" s="39"/>
      <c r="AQ577" s="1"/>
      <c r="AR577" s="39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 t="s">
        <v>0</v>
      </c>
      <c r="AB578" s="1" t="s">
        <v>0</v>
      </c>
      <c r="AC578" s="23" t="s">
        <v>0</v>
      </c>
      <c r="AD578" s="1"/>
      <c r="AE578" s="19"/>
      <c r="AF578" s="1"/>
      <c r="AG578" s="1"/>
      <c r="AH578" s="1"/>
      <c r="AI578" s="39"/>
      <c r="AJ578" s="39"/>
      <c r="AK578" s="39"/>
      <c r="AL578" s="39"/>
      <c r="AM578" s="1"/>
      <c r="AN578" s="1"/>
      <c r="AO578" s="39"/>
      <c r="AP578" s="39"/>
      <c r="AQ578" s="1"/>
      <c r="AR578" s="39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 t="s">
        <v>0</v>
      </c>
      <c r="AB579" s="1" t="s">
        <v>0</v>
      </c>
      <c r="AC579" s="23" t="s">
        <v>0</v>
      </c>
      <c r="AD579" s="1"/>
      <c r="AE579" s="19"/>
      <c r="AF579" s="1"/>
      <c r="AG579" s="1"/>
      <c r="AH579" s="1"/>
      <c r="AI579" s="39"/>
      <c r="AJ579" s="39"/>
      <c r="AK579" s="39"/>
      <c r="AL579" s="39"/>
      <c r="AM579" s="1"/>
      <c r="AN579" s="1"/>
      <c r="AO579" s="39"/>
      <c r="AP579" s="39"/>
      <c r="AQ579" s="1"/>
      <c r="AR579" s="39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 t="s">
        <v>0</v>
      </c>
      <c r="AB580" s="1" t="s">
        <v>0</v>
      </c>
      <c r="AC580" s="23" t="s">
        <v>0</v>
      </c>
      <c r="AD580" s="1"/>
      <c r="AE580" s="19"/>
      <c r="AF580" s="1"/>
      <c r="AG580" s="1"/>
      <c r="AH580" s="1"/>
      <c r="AI580" s="39"/>
      <c r="AJ580" s="39"/>
      <c r="AK580" s="39"/>
      <c r="AL580" s="39"/>
      <c r="AM580" s="1"/>
      <c r="AN580" s="1"/>
      <c r="AO580" s="39"/>
      <c r="AP580" s="39"/>
      <c r="AQ580" s="1"/>
      <c r="AR580" s="39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 t="s">
        <v>0</v>
      </c>
      <c r="AB581" s="1" t="s">
        <v>0</v>
      </c>
      <c r="AC581" s="23" t="s">
        <v>0</v>
      </c>
      <c r="AD581" s="1"/>
      <c r="AE581" s="19"/>
      <c r="AF581" s="1"/>
      <c r="AG581" s="1"/>
      <c r="AH581" s="1"/>
      <c r="AI581" s="39"/>
      <c r="AJ581" s="39"/>
      <c r="AK581" s="39"/>
      <c r="AL581" s="39"/>
      <c r="AM581" s="1"/>
      <c r="AN581" s="1"/>
      <c r="AO581" s="39"/>
      <c r="AP581" s="39"/>
      <c r="AQ581" s="1"/>
      <c r="AR581" s="39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 t="s">
        <v>0</v>
      </c>
      <c r="AB582" s="1" t="s">
        <v>0</v>
      </c>
      <c r="AC582" s="23" t="s">
        <v>0</v>
      </c>
      <c r="AD582" s="1"/>
      <c r="AE582" s="19"/>
      <c r="AF582" s="1"/>
      <c r="AG582" s="1"/>
      <c r="AH582" s="1"/>
      <c r="AI582" s="39"/>
      <c r="AJ582" s="39"/>
      <c r="AK582" s="39"/>
      <c r="AL582" s="39"/>
      <c r="AM582" s="1"/>
      <c r="AN582" s="1"/>
      <c r="AO582" s="39"/>
      <c r="AP582" s="39"/>
      <c r="AQ582" s="1"/>
      <c r="AR582" s="39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 t="s">
        <v>0</v>
      </c>
      <c r="AB583" s="1" t="s">
        <v>0</v>
      </c>
      <c r="AC583" s="23" t="s">
        <v>0</v>
      </c>
      <c r="AD583" s="1"/>
      <c r="AE583" s="19"/>
      <c r="AF583" s="1"/>
      <c r="AG583" s="1"/>
      <c r="AH583" s="1"/>
      <c r="AI583" s="39"/>
      <c r="AJ583" s="39"/>
      <c r="AK583" s="39"/>
      <c r="AL583" s="39"/>
      <c r="AM583" s="1"/>
      <c r="AN583" s="1"/>
      <c r="AO583" s="39"/>
      <c r="AP583" s="39"/>
      <c r="AQ583" s="1"/>
      <c r="AR583" s="39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 t="s">
        <v>0</v>
      </c>
      <c r="AB584" s="1" t="s">
        <v>0</v>
      </c>
      <c r="AC584" s="23" t="s">
        <v>0</v>
      </c>
      <c r="AD584" s="1"/>
      <c r="AE584" s="19"/>
      <c r="AF584" s="1"/>
      <c r="AG584" s="1"/>
      <c r="AH584" s="1"/>
      <c r="AI584" s="39"/>
      <c r="AJ584" s="39"/>
      <c r="AK584" s="39"/>
      <c r="AL584" s="39"/>
      <c r="AM584" s="1"/>
      <c r="AN584" s="1"/>
      <c r="AO584" s="39"/>
      <c r="AP584" s="39"/>
      <c r="AQ584" s="1"/>
      <c r="AR584" s="39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 t="s">
        <v>0</v>
      </c>
      <c r="AB585" s="1" t="s">
        <v>0</v>
      </c>
      <c r="AC585" s="23" t="s">
        <v>0</v>
      </c>
      <c r="AD585" s="1"/>
      <c r="AE585" s="19"/>
      <c r="AF585" s="1"/>
      <c r="AG585" s="1"/>
      <c r="AH585" s="1"/>
      <c r="AI585" s="39"/>
      <c r="AJ585" s="39"/>
      <c r="AK585" s="39"/>
      <c r="AL585" s="39"/>
      <c r="AM585" s="1"/>
      <c r="AN585" s="1"/>
      <c r="AO585" s="39"/>
      <c r="AP585" s="39"/>
      <c r="AQ585" s="1"/>
      <c r="AR585" s="39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 t="s">
        <v>0</v>
      </c>
      <c r="AB586" s="1" t="s">
        <v>0</v>
      </c>
      <c r="AC586" s="23" t="s">
        <v>0</v>
      </c>
      <c r="AD586" s="1"/>
      <c r="AE586" s="19"/>
      <c r="AF586" s="1"/>
      <c r="AG586" s="1"/>
      <c r="AH586" s="1"/>
      <c r="AI586" s="39"/>
      <c r="AJ586" s="39"/>
      <c r="AK586" s="39"/>
      <c r="AL586" s="39"/>
      <c r="AM586" s="1"/>
      <c r="AN586" s="1"/>
      <c r="AO586" s="39"/>
      <c r="AP586" s="39"/>
      <c r="AQ586" s="1"/>
      <c r="AR586" s="39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 t="s">
        <v>0</v>
      </c>
      <c r="AB587" s="1" t="s">
        <v>0</v>
      </c>
      <c r="AC587" s="23" t="s">
        <v>0</v>
      </c>
      <c r="AD587" s="1"/>
      <c r="AE587" s="19"/>
      <c r="AF587" s="1"/>
      <c r="AG587" s="1"/>
      <c r="AH587" s="1"/>
      <c r="AI587" s="39"/>
      <c r="AJ587" s="39"/>
      <c r="AK587" s="39"/>
      <c r="AL587" s="39"/>
      <c r="AM587" s="1"/>
      <c r="AN587" s="1"/>
      <c r="AO587" s="39"/>
      <c r="AP587" s="39"/>
      <c r="AQ587" s="1"/>
      <c r="AR587" s="39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 t="s">
        <v>0</v>
      </c>
      <c r="AB588" s="1" t="s">
        <v>0</v>
      </c>
      <c r="AC588" s="23" t="s">
        <v>0</v>
      </c>
      <c r="AD588" s="1"/>
      <c r="AE588" s="19"/>
      <c r="AF588" s="1"/>
      <c r="AG588" s="1"/>
      <c r="AH588" s="1"/>
      <c r="AI588" s="39"/>
      <c r="AJ588" s="39"/>
      <c r="AK588" s="39"/>
      <c r="AL588" s="39"/>
      <c r="AM588" s="1"/>
      <c r="AN588" s="1"/>
      <c r="AO588" s="39"/>
      <c r="AP588" s="39"/>
      <c r="AQ588" s="1"/>
      <c r="AR588" s="39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 t="s">
        <v>0</v>
      </c>
      <c r="AB589" s="1" t="s">
        <v>0</v>
      </c>
      <c r="AC589" s="23" t="s">
        <v>0</v>
      </c>
      <c r="AD589" s="1"/>
      <c r="AE589" s="19"/>
      <c r="AF589" s="1"/>
      <c r="AG589" s="1"/>
      <c r="AH589" s="1"/>
      <c r="AI589" s="39"/>
      <c r="AJ589" s="39"/>
      <c r="AK589" s="39"/>
      <c r="AL589" s="39"/>
      <c r="AM589" s="1"/>
      <c r="AN589" s="1"/>
      <c r="AO589" s="39"/>
      <c r="AP589" s="39"/>
      <c r="AQ589" s="1"/>
      <c r="AR589" s="39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 t="s">
        <v>0</v>
      </c>
      <c r="AB590" s="1" t="s">
        <v>0</v>
      </c>
      <c r="AC590" s="23" t="s">
        <v>0</v>
      </c>
      <c r="AD590" s="1"/>
      <c r="AE590" s="19"/>
      <c r="AF590" s="1"/>
      <c r="AG590" s="1"/>
      <c r="AH590" s="1"/>
      <c r="AI590" s="39"/>
      <c r="AJ590" s="39"/>
      <c r="AK590" s="39"/>
      <c r="AL590" s="39"/>
      <c r="AM590" s="1"/>
      <c r="AN590" s="1"/>
      <c r="AO590" s="39"/>
      <c r="AP590" s="39"/>
      <c r="AQ590" s="1"/>
      <c r="AR590" s="39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 t="s">
        <v>0</v>
      </c>
      <c r="AB591" s="1" t="s">
        <v>0</v>
      </c>
      <c r="AC591" s="23" t="s">
        <v>0</v>
      </c>
      <c r="AD591" s="1"/>
      <c r="AE591" s="19"/>
      <c r="AF591" s="1"/>
      <c r="AG591" s="1"/>
      <c r="AH591" s="1"/>
      <c r="AI591" s="39"/>
      <c r="AJ591" s="39"/>
      <c r="AK591" s="39"/>
      <c r="AL591" s="39"/>
      <c r="AM591" s="1"/>
      <c r="AN591" s="1"/>
      <c r="AO591" s="39"/>
      <c r="AP591" s="39"/>
      <c r="AQ591" s="1"/>
      <c r="AR591" s="39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 t="s">
        <v>0</v>
      </c>
      <c r="AB592" s="1" t="s">
        <v>0</v>
      </c>
      <c r="AC592" s="23" t="s">
        <v>0</v>
      </c>
      <c r="AD592" s="1"/>
      <c r="AE592" s="19"/>
      <c r="AF592" s="1"/>
      <c r="AG592" s="1"/>
      <c r="AH592" s="1"/>
      <c r="AI592" s="39"/>
      <c r="AJ592" s="39"/>
      <c r="AK592" s="39"/>
      <c r="AL592" s="39"/>
      <c r="AM592" s="1"/>
      <c r="AN592" s="1"/>
      <c r="AO592" s="39"/>
      <c r="AP592" s="39"/>
      <c r="AQ592" s="1"/>
      <c r="AR592" s="39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 t="s">
        <v>0</v>
      </c>
      <c r="AB593" s="1" t="s">
        <v>0</v>
      </c>
      <c r="AC593" s="23" t="s">
        <v>0</v>
      </c>
      <c r="AD593" s="1"/>
      <c r="AE593" s="19"/>
      <c r="AF593" s="1"/>
      <c r="AG593" s="1"/>
      <c r="AH593" s="1"/>
      <c r="AI593" s="39"/>
      <c r="AJ593" s="39"/>
      <c r="AK593" s="39"/>
      <c r="AL593" s="39"/>
      <c r="AM593" s="1"/>
      <c r="AN593" s="1"/>
      <c r="AO593" s="39"/>
      <c r="AP593" s="39"/>
      <c r="AQ593" s="1"/>
      <c r="AR593" s="39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 t="s">
        <v>0</v>
      </c>
      <c r="AB594" s="1" t="s">
        <v>0</v>
      </c>
      <c r="AC594" s="23" t="s">
        <v>0</v>
      </c>
      <c r="AD594" s="1"/>
      <c r="AE594" s="19"/>
      <c r="AF594" s="1"/>
      <c r="AG594" s="1"/>
      <c r="AH594" s="1"/>
      <c r="AI594" s="39"/>
      <c r="AJ594" s="39"/>
      <c r="AK594" s="39"/>
      <c r="AL594" s="39"/>
      <c r="AM594" s="1"/>
      <c r="AN594" s="1"/>
      <c r="AO594" s="39"/>
      <c r="AP594" s="39"/>
      <c r="AQ594" s="1"/>
      <c r="AR594" s="39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 t="s">
        <v>0</v>
      </c>
      <c r="AB595" s="1" t="s">
        <v>0</v>
      </c>
      <c r="AC595" s="23" t="s">
        <v>0</v>
      </c>
      <c r="AD595" s="1"/>
      <c r="AE595" s="19"/>
      <c r="AF595" s="1"/>
      <c r="AG595" s="1"/>
      <c r="AH595" s="1"/>
      <c r="AI595" s="39"/>
      <c r="AJ595" s="39"/>
      <c r="AK595" s="39"/>
      <c r="AL595" s="39"/>
      <c r="AM595" s="1"/>
      <c r="AN595" s="1"/>
      <c r="AO595" s="39"/>
      <c r="AP595" s="39"/>
      <c r="AQ595" s="1"/>
      <c r="AR595" s="39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 t="s">
        <v>0</v>
      </c>
      <c r="AB596" s="1" t="s">
        <v>0</v>
      </c>
      <c r="AC596" s="23" t="s">
        <v>0</v>
      </c>
      <c r="AD596" s="1"/>
      <c r="AE596" s="19"/>
      <c r="AF596" s="1"/>
      <c r="AG596" s="1"/>
      <c r="AH596" s="1"/>
      <c r="AI596" s="39"/>
      <c r="AJ596" s="39"/>
      <c r="AK596" s="39"/>
      <c r="AL596" s="39"/>
      <c r="AM596" s="1"/>
      <c r="AN596" s="1"/>
      <c r="AO596" s="39"/>
      <c r="AP596" s="39"/>
      <c r="AQ596" s="1"/>
      <c r="AR596" s="39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 t="s">
        <v>0</v>
      </c>
      <c r="AB597" s="1" t="s">
        <v>0</v>
      </c>
      <c r="AC597" s="23" t="s">
        <v>0</v>
      </c>
      <c r="AD597" s="1"/>
      <c r="AE597" s="19"/>
      <c r="AF597" s="1"/>
      <c r="AG597" s="1"/>
      <c r="AH597" s="1"/>
      <c r="AI597" s="39"/>
      <c r="AJ597" s="39"/>
      <c r="AK597" s="39"/>
      <c r="AL597" s="39"/>
      <c r="AM597" s="1"/>
      <c r="AN597" s="1"/>
      <c r="AO597" s="39"/>
      <c r="AP597" s="39"/>
      <c r="AQ597" s="1"/>
      <c r="AR597" s="39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 t="s">
        <v>0</v>
      </c>
      <c r="AB598" s="1" t="s">
        <v>0</v>
      </c>
      <c r="AC598" s="23" t="s">
        <v>0</v>
      </c>
      <c r="AD598" s="1"/>
      <c r="AE598" s="19"/>
      <c r="AF598" s="1"/>
      <c r="AG598" s="1"/>
      <c r="AH598" s="1"/>
      <c r="AI598" s="39"/>
      <c r="AJ598" s="39"/>
      <c r="AK598" s="39"/>
      <c r="AL598" s="39"/>
      <c r="AM598" s="1"/>
      <c r="AN598" s="1"/>
      <c r="AO598" s="39"/>
      <c r="AP598" s="39"/>
      <c r="AQ598" s="1"/>
      <c r="AR598" s="39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 t="s">
        <v>0</v>
      </c>
      <c r="AB599" s="1" t="s">
        <v>0</v>
      </c>
      <c r="AC599" s="23" t="s">
        <v>0</v>
      </c>
      <c r="AD599" s="1"/>
      <c r="AE599" s="19"/>
      <c r="AF599" s="1"/>
      <c r="AG599" s="1"/>
      <c r="AH599" s="1"/>
      <c r="AI599" s="39"/>
      <c r="AJ599" s="39"/>
      <c r="AK599" s="39"/>
      <c r="AL599" s="39"/>
      <c r="AM599" s="1"/>
      <c r="AN599" s="1"/>
      <c r="AO599" s="39"/>
      <c r="AP599" s="39"/>
      <c r="AQ599" s="1"/>
      <c r="AR599" s="39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 t="s">
        <v>0</v>
      </c>
      <c r="AB600" s="1" t="s">
        <v>0</v>
      </c>
      <c r="AC600" s="23" t="s">
        <v>0</v>
      </c>
      <c r="AD600" s="1"/>
      <c r="AE600" s="19"/>
      <c r="AF600" s="1"/>
      <c r="AG600" s="1"/>
      <c r="AH600" s="1"/>
      <c r="AI600" s="39"/>
      <c r="AJ600" s="39"/>
      <c r="AK600" s="39"/>
      <c r="AL600" s="39"/>
      <c r="AM600" s="1"/>
      <c r="AN600" s="1"/>
      <c r="AO600" s="39"/>
      <c r="AP600" s="39"/>
      <c r="AQ600" s="1"/>
      <c r="AR600" s="39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 t="s">
        <v>0</v>
      </c>
      <c r="AB601" s="1" t="s">
        <v>0</v>
      </c>
      <c r="AC601" s="23" t="s">
        <v>0</v>
      </c>
      <c r="AD601" s="1"/>
      <c r="AE601" s="19"/>
      <c r="AF601" s="1"/>
      <c r="AG601" s="1"/>
      <c r="AH601" s="1"/>
      <c r="AI601" s="39"/>
      <c r="AJ601" s="39"/>
      <c r="AK601" s="39"/>
      <c r="AL601" s="39"/>
      <c r="AM601" s="1"/>
      <c r="AN601" s="1"/>
      <c r="AO601" s="39"/>
      <c r="AP601" s="39"/>
      <c r="AQ601" s="1"/>
      <c r="AR601" s="39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 t="s">
        <v>0</v>
      </c>
      <c r="AB602" s="1" t="s">
        <v>0</v>
      </c>
      <c r="AC602" s="23" t="s">
        <v>0</v>
      </c>
      <c r="AD602" s="1"/>
      <c r="AE602" s="19"/>
      <c r="AF602" s="1"/>
      <c r="AG602" s="1"/>
      <c r="AH602" s="1"/>
      <c r="AI602" s="39"/>
      <c r="AJ602" s="39"/>
      <c r="AK602" s="39"/>
      <c r="AL602" s="39"/>
      <c r="AM602" s="1"/>
      <c r="AN602" s="1"/>
      <c r="AO602" s="39"/>
      <c r="AP602" s="39"/>
      <c r="AQ602" s="1"/>
      <c r="AR602" s="39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 t="s">
        <v>0</v>
      </c>
      <c r="AB603" s="1" t="s">
        <v>0</v>
      </c>
      <c r="AC603" s="23" t="s">
        <v>0</v>
      </c>
      <c r="AD603" s="1"/>
      <c r="AE603" s="19"/>
      <c r="AF603" s="1"/>
      <c r="AG603" s="1"/>
      <c r="AH603" s="1"/>
      <c r="AI603" s="39"/>
      <c r="AJ603" s="39"/>
      <c r="AK603" s="39"/>
      <c r="AL603" s="39"/>
      <c r="AM603" s="1"/>
      <c r="AN603" s="1"/>
      <c r="AO603" s="39"/>
      <c r="AP603" s="39"/>
      <c r="AQ603" s="1"/>
      <c r="AR603" s="39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 t="s">
        <v>0</v>
      </c>
      <c r="AB604" s="1" t="s">
        <v>0</v>
      </c>
      <c r="AC604" s="23" t="s">
        <v>0</v>
      </c>
      <c r="AD604" s="1"/>
      <c r="AE604" s="19"/>
      <c r="AF604" s="1"/>
      <c r="AG604" s="1"/>
      <c r="AH604" s="1"/>
      <c r="AI604" s="39"/>
      <c r="AJ604" s="39"/>
      <c r="AK604" s="39"/>
      <c r="AL604" s="39"/>
      <c r="AM604" s="1"/>
      <c r="AN604" s="1"/>
      <c r="AO604" s="39"/>
      <c r="AP604" s="39"/>
      <c r="AQ604" s="1"/>
      <c r="AR604" s="39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 t="s">
        <v>0</v>
      </c>
      <c r="AB605" s="1" t="s">
        <v>0</v>
      </c>
      <c r="AC605" s="23" t="s">
        <v>0</v>
      </c>
      <c r="AD605" s="1"/>
      <c r="AE605" s="19"/>
      <c r="AF605" s="1"/>
      <c r="AG605" s="1"/>
      <c r="AH605" s="1"/>
      <c r="AI605" s="39"/>
      <c r="AJ605" s="39"/>
      <c r="AK605" s="39"/>
      <c r="AL605" s="39"/>
      <c r="AM605" s="1"/>
      <c r="AN605" s="1"/>
      <c r="AO605" s="39"/>
      <c r="AP605" s="39"/>
      <c r="AQ605" s="1"/>
      <c r="AR605" s="39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 t="s">
        <v>0</v>
      </c>
      <c r="AB606" s="1" t="s">
        <v>0</v>
      </c>
      <c r="AC606" s="23" t="s">
        <v>0</v>
      </c>
      <c r="AD606" s="1"/>
      <c r="AE606" s="19"/>
      <c r="AF606" s="1"/>
      <c r="AG606" s="1"/>
      <c r="AH606" s="1"/>
      <c r="AI606" s="39"/>
      <c r="AJ606" s="39"/>
      <c r="AK606" s="39"/>
      <c r="AL606" s="39"/>
      <c r="AM606" s="1"/>
      <c r="AN606" s="1"/>
      <c r="AO606" s="39"/>
      <c r="AP606" s="39"/>
      <c r="AQ606" s="1"/>
      <c r="AR606" s="39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 t="s">
        <v>0</v>
      </c>
      <c r="AB607" s="1" t="s">
        <v>0</v>
      </c>
      <c r="AC607" s="23" t="s">
        <v>0</v>
      </c>
      <c r="AD607" s="1"/>
      <c r="AE607" s="19"/>
      <c r="AF607" s="1"/>
      <c r="AG607" s="1"/>
      <c r="AH607" s="1"/>
      <c r="AI607" s="39"/>
      <c r="AJ607" s="39"/>
      <c r="AK607" s="39"/>
      <c r="AL607" s="39"/>
      <c r="AM607" s="1"/>
      <c r="AN607" s="1"/>
      <c r="AO607" s="39"/>
      <c r="AP607" s="39"/>
      <c r="AQ607" s="1"/>
      <c r="AR607" s="39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 t="s">
        <v>0</v>
      </c>
      <c r="AB608" s="1" t="s">
        <v>0</v>
      </c>
      <c r="AC608" s="23" t="s">
        <v>0</v>
      </c>
      <c r="AD608" s="1"/>
      <c r="AE608" s="19"/>
      <c r="AF608" s="1"/>
      <c r="AG608" s="1"/>
      <c r="AH608" s="1"/>
      <c r="AI608" s="39"/>
      <c r="AJ608" s="39"/>
      <c r="AK608" s="39"/>
      <c r="AL608" s="39"/>
      <c r="AM608" s="1"/>
      <c r="AN608" s="1"/>
      <c r="AO608" s="39"/>
      <c r="AP608" s="39"/>
      <c r="AQ608" s="1"/>
      <c r="AR608" s="39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 t="s">
        <v>0</v>
      </c>
      <c r="AB609" s="1" t="s">
        <v>0</v>
      </c>
      <c r="AC609" s="23" t="s">
        <v>0</v>
      </c>
      <c r="AD609" s="1"/>
      <c r="AE609" s="19"/>
      <c r="AF609" s="1"/>
      <c r="AG609" s="1"/>
      <c r="AH609" s="1"/>
      <c r="AI609" s="39"/>
      <c r="AJ609" s="39"/>
      <c r="AK609" s="39"/>
      <c r="AL609" s="39"/>
      <c r="AM609" s="1"/>
      <c r="AN609" s="1"/>
      <c r="AO609" s="39"/>
      <c r="AP609" s="39"/>
      <c r="AQ609" s="1"/>
      <c r="AR609" s="39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 t="s">
        <v>0</v>
      </c>
      <c r="AB610" s="1" t="s">
        <v>0</v>
      </c>
      <c r="AC610" s="23" t="s">
        <v>0</v>
      </c>
      <c r="AD610" s="1"/>
      <c r="AE610" s="19"/>
      <c r="AF610" s="1"/>
      <c r="AG610" s="1"/>
      <c r="AH610" s="1"/>
      <c r="AI610" s="39"/>
      <c r="AJ610" s="39"/>
      <c r="AK610" s="39"/>
      <c r="AL610" s="39"/>
      <c r="AM610" s="1"/>
      <c r="AN610" s="1"/>
      <c r="AO610" s="39"/>
      <c r="AP610" s="39"/>
      <c r="AQ610" s="1"/>
      <c r="AR610" s="39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 t="s">
        <v>0</v>
      </c>
      <c r="AB611" s="1" t="s">
        <v>0</v>
      </c>
      <c r="AC611" s="23" t="s">
        <v>0</v>
      </c>
      <c r="AD611" s="1"/>
      <c r="AE611" s="19"/>
      <c r="AF611" s="1"/>
      <c r="AG611" s="1"/>
      <c r="AH611" s="1"/>
      <c r="AI611" s="39"/>
      <c r="AJ611" s="39"/>
      <c r="AK611" s="39"/>
      <c r="AL611" s="39"/>
      <c r="AM611" s="1"/>
      <c r="AN611" s="1"/>
      <c r="AO611" s="39"/>
      <c r="AP611" s="39"/>
      <c r="AQ611" s="1"/>
      <c r="AR611" s="39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 t="s">
        <v>0</v>
      </c>
      <c r="AB612" s="1" t="s">
        <v>0</v>
      </c>
      <c r="AC612" s="23" t="s">
        <v>0</v>
      </c>
      <c r="AD612" s="1"/>
      <c r="AE612" s="19"/>
      <c r="AF612" s="1"/>
      <c r="AG612" s="1"/>
      <c r="AH612" s="1"/>
      <c r="AI612" s="39"/>
      <c r="AJ612" s="39"/>
      <c r="AK612" s="39"/>
      <c r="AL612" s="39"/>
      <c r="AM612" s="1"/>
      <c r="AN612" s="1"/>
      <c r="AO612" s="39"/>
      <c r="AP612" s="39"/>
      <c r="AQ612" s="1"/>
      <c r="AR612" s="39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 t="s">
        <v>0</v>
      </c>
      <c r="AB613" s="1" t="s">
        <v>0</v>
      </c>
      <c r="AC613" s="23" t="s">
        <v>0</v>
      </c>
      <c r="AD613" s="1"/>
      <c r="AE613" s="19"/>
      <c r="AF613" s="1"/>
      <c r="AG613" s="1"/>
      <c r="AH613" s="1"/>
      <c r="AI613" s="39"/>
      <c r="AJ613" s="39"/>
      <c r="AK613" s="39"/>
      <c r="AL613" s="39"/>
      <c r="AM613" s="1"/>
      <c r="AN613" s="1"/>
      <c r="AO613" s="39"/>
      <c r="AP613" s="39"/>
      <c r="AQ613" s="1"/>
      <c r="AR613" s="39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 t="s">
        <v>0</v>
      </c>
      <c r="AB614" s="1" t="s">
        <v>0</v>
      </c>
      <c r="AC614" s="23" t="s">
        <v>0</v>
      </c>
      <c r="AD614" s="1"/>
      <c r="AE614" s="19"/>
      <c r="AF614" s="1"/>
      <c r="AG614" s="1"/>
      <c r="AH614" s="1"/>
      <c r="AI614" s="39"/>
      <c r="AJ614" s="39"/>
      <c r="AK614" s="39"/>
      <c r="AL614" s="39"/>
      <c r="AM614" s="1"/>
      <c r="AN614" s="1"/>
      <c r="AO614" s="39"/>
      <c r="AP614" s="39"/>
      <c r="AQ614" s="1"/>
      <c r="AR614" s="39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 t="s">
        <v>0</v>
      </c>
      <c r="AB615" s="1" t="s">
        <v>0</v>
      </c>
      <c r="AC615" s="23" t="s">
        <v>0</v>
      </c>
      <c r="AD615" s="1"/>
      <c r="AE615" s="19"/>
      <c r="AF615" s="1"/>
      <c r="AG615" s="1"/>
      <c r="AH615" s="1"/>
      <c r="AI615" s="39"/>
      <c r="AJ615" s="39"/>
      <c r="AK615" s="39"/>
      <c r="AL615" s="39"/>
      <c r="AM615" s="1"/>
      <c r="AN615" s="1"/>
      <c r="AO615" s="39"/>
      <c r="AP615" s="39"/>
      <c r="AQ615" s="1"/>
      <c r="AR615" s="39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 t="s">
        <v>0</v>
      </c>
      <c r="AB616" s="1" t="s">
        <v>0</v>
      </c>
      <c r="AC616" s="23" t="s">
        <v>0</v>
      </c>
      <c r="AD616" s="1"/>
      <c r="AE616" s="19"/>
      <c r="AF616" s="1"/>
      <c r="AG616" s="1"/>
      <c r="AH616" s="1"/>
      <c r="AI616" s="39"/>
      <c r="AJ616" s="39"/>
      <c r="AK616" s="39"/>
      <c r="AL616" s="39"/>
      <c r="AM616" s="1"/>
      <c r="AN616" s="1"/>
      <c r="AO616" s="39"/>
      <c r="AP616" s="39"/>
      <c r="AQ616" s="1"/>
      <c r="AR616" s="39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 t="s">
        <v>0</v>
      </c>
      <c r="AB617" s="1" t="s">
        <v>0</v>
      </c>
      <c r="AC617" s="23" t="s">
        <v>0</v>
      </c>
      <c r="AD617" s="1"/>
      <c r="AE617" s="19"/>
      <c r="AF617" s="1"/>
      <c r="AG617" s="1"/>
      <c r="AH617" s="1"/>
      <c r="AI617" s="39"/>
      <c r="AJ617" s="39"/>
      <c r="AK617" s="39"/>
      <c r="AL617" s="39"/>
      <c r="AM617" s="1"/>
      <c r="AN617" s="1"/>
      <c r="AO617" s="39"/>
      <c r="AP617" s="39"/>
      <c r="AQ617" s="1"/>
      <c r="AR617" s="39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 t="s">
        <v>0</v>
      </c>
      <c r="AB618" s="1" t="s">
        <v>0</v>
      </c>
      <c r="AC618" s="23" t="s">
        <v>0</v>
      </c>
      <c r="AD618" s="1"/>
      <c r="AE618" s="19"/>
      <c r="AF618" s="1"/>
      <c r="AG618" s="1"/>
      <c r="AH618" s="1"/>
      <c r="AI618" s="39"/>
      <c r="AJ618" s="39"/>
      <c r="AK618" s="39"/>
      <c r="AL618" s="39"/>
      <c r="AM618" s="1"/>
      <c r="AN618" s="1"/>
      <c r="AO618" s="39"/>
      <c r="AP618" s="39"/>
      <c r="AQ618" s="1"/>
      <c r="AR618" s="39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 t="s">
        <v>0</v>
      </c>
      <c r="AB619" s="1" t="s">
        <v>0</v>
      </c>
      <c r="AC619" s="23" t="s">
        <v>0</v>
      </c>
      <c r="AD619" s="1"/>
      <c r="AE619" s="19"/>
      <c r="AF619" s="1"/>
      <c r="AG619" s="1"/>
      <c r="AH619" s="1"/>
      <c r="AI619" s="39"/>
      <c r="AJ619" s="39"/>
      <c r="AK619" s="39"/>
      <c r="AL619" s="39"/>
      <c r="AM619" s="1"/>
      <c r="AN619" s="1"/>
      <c r="AO619" s="39"/>
      <c r="AP619" s="39"/>
      <c r="AQ619" s="1"/>
      <c r="AR619" s="39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 t="s">
        <v>0</v>
      </c>
      <c r="AB620" s="1" t="s">
        <v>0</v>
      </c>
      <c r="AC620" s="23" t="s">
        <v>0</v>
      </c>
      <c r="AD620" s="1"/>
      <c r="AE620" s="19"/>
      <c r="AF620" s="1"/>
      <c r="AG620" s="1"/>
      <c r="AH620" s="1"/>
      <c r="AI620" s="39"/>
      <c r="AJ620" s="39"/>
      <c r="AK620" s="39"/>
      <c r="AL620" s="39"/>
      <c r="AM620" s="1"/>
      <c r="AN620" s="1"/>
      <c r="AO620" s="39"/>
      <c r="AP620" s="39"/>
      <c r="AQ620" s="1"/>
      <c r="AR620" s="39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 t="s">
        <v>0</v>
      </c>
      <c r="AB621" s="1" t="s">
        <v>0</v>
      </c>
      <c r="AC621" s="23" t="s">
        <v>0</v>
      </c>
      <c r="AD621" s="1"/>
      <c r="AE621" s="19"/>
      <c r="AF621" s="1"/>
      <c r="AG621" s="1"/>
      <c r="AH621" s="1"/>
      <c r="AI621" s="39"/>
      <c r="AJ621" s="39"/>
      <c r="AK621" s="39"/>
      <c r="AL621" s="39"/>
      <c r="AM621" s="1"/>
      <c r="AN621" s="1"/>
      <c r="AO621" s="39"/>
      <c r="AP621" s="39"/>
      <c r="AQ621" s="1"/>
      <c r="AR621" s="39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 t="s">
        <v>0</v>
      </c>
      <c r="AB622" s="1" t="s">
        <v>0</v>
      </c>
      <c r="AC622" s="23" t="s">
        <v>0</v>
      </c>
      <c r="AD622" s="1"/>
      <c r="AE622" s="19"/>
      <c r="AF622" s="1"/>
      <c r="AG622" s="1"/>
      <c r="AH622" s="1"/>
      <c r="AI622" s="39"/>
      <c r="AJ622" s="39"/>
      <c r="AK622" s="39"/>
      <c r="AL622" s="39"/>
      <c r="AM622" s="1"/>
      <c r="AN622" s="1"/>
      <c r="AO622" s="39"/>
      <c r="AP622" s="39"/>
      <c r="AQ622" s="1"/>
      <c r="AR622" s="39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 t="s">
        <v>0</v>
      </c>
      <c r="AB623" s="1" t="s">
        <v>0</v>
      </c>
      <c r="AC623" s="23" t="s">
        <v>0</v>
      </c>
      <c r="AD623" s="1"/>
      <c r="AE623" s="19"/>
      <c r="AF623" s="1"/>
      <c r="AG623" s="1"/>
      <c r="AH623" s="1"/>
      <c r="AI623" s="39"/>
      <c r="AJ623" s="39"/>
      <c r="AK623" s="39"/>
      <c r="AL623" s="39"/>
      <c r="AM623" s="1"/>
      <c r="AN623" s="1"/>
      <c r="AO623" s="39"/>
      <c r="AP623" s="39"/>
      <c r="AQ623" s="1"/>
      <c r="AR623" s="39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 t="s">
        <v>0</v>
      </c>
      <c r="AB624" s="1" t="s">
        <v>0</v>
      </c>
      <c r="AC624" s="23" t="s">
        <v>0</v>
      </c>
      <c r="AD624" s="1"/>
      <c r="AE624" s="19"/>
      <c r="AF624" s="1"/>
      <c r="AG624" s="1"/>
      <c r="AH624" s="1"/>
      <c r="AI624" s="39"/>
      <c r="AJ624" s="39"/>
      <c r="AK624" s="39"/>
      <c r="AL624" s="39"/>
      <c r="AM624" s="1"/>
      <c r="AN624" s="1"/>
      <c r="AO624" s="39"/>
      <c r="AP624" s="39"/>
      <c r="AQ624" s="1"/>
      <c r="AR624" s="39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 t="s">
        <v>0</v>
      </c>
      <c r="AB625" s="1" t="s">
        <v>0</v>
      </c>
      <c r="AC625" s="23" t="s">
        <v>0</v>
      </c>
      <c r="AD625" s="1"/>
      <c r="AE625" s="19"/>
      <c r="AF625" s="1"/>
      <c r="AG625" s="1"/>
      <c r="AH625" s="1"/>
      <c r="AI625" s="39"/>
      <c r="AJ625" s="39"/>
      <c r="AK625" s="39"/>
      <c r="AL625" s="39"/>
      <c r="AM625" s="1"/>
      <c r="AN625" s="1"/>
      <c r="AO625" s="39"/>
      <c r="AP625" s="39"/>
      <c r="AQ625" s="1"/>
      <c r="AR625" s="39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 t="s">
        <v>0</v>
      </c>
      <c r="AB626" s="1" t="s">
        <v>0</v>
      </c>
      <c r="AC626" s="23" t="s">
        <v>0</v>
      </c>
      <c r="AD626" s="1"/>
      <c r="AE626" s="19"/>
      <c r="AF626" s="1"/>
      <c r="AG626" s="1"/>
      <c r="AH626" s="1"/>
      <c r="AI626" s="39"/>
      <c r="AJ626" s="39"/>
      <c r="AK626" s="39"/>
      <c r="AL626" s="39"/>
      <c r="AM626" s="1"/>
      <c r="AN626" s="1"/>
      <c r="AO626" s="39"/>
      <c r="AP626" s="39"/>
      <c r="AQ626" s="1"/>
      <c r="AR626" s="39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 t="s">
        <v>0</v>
      </c>
      <c r="AB627" s="1" t="s">
        <v>0</v>
      </c>
      <c r="AC627" s="23" t="s">
        <v>0</v>
      </c>
      <c r="AD627" s="1"/>
      <c r="AE627" s="19"/>
      <c r="AF627" s="1"/>
      <c r="AG627" s="1"/>
      <c r="AH627" s="1"/>
      <c r="AI627" s="39"/>
      <c r="AJ627" s="39"/>
      <c r="AK627" s="39"/>
      <c r="AL627" s="39"/>
      <c r="AM627" s="1"/>
      <c r="AN627" s="1"/>
      <c r="AO627" s="39"/>
      <c r="AP627" s="39"/>
      <c r="AQ627" s="1"/>
      <c r="AR627" s="39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 t="s">
        <v>0</v>
      </c>
      <c r="AB628" s="1" t="s">
        <v>0</v>
      </c>
      <c r="AC628" s="23" t="s">
        <v>0</v>
      </c>
      <c r="AD628" s="1"/>
      <c r="AE628" s="19"/>
      <c r="AF628" s="1"/>
      <c r="AG628" s="1"/>
      <c r="AH628" s="1"/>
      <c r="AI628" s="39"/>
      <c r="AJ628" s="39"/>
      <c r="AK628" s="39"/>
      <c r="AL628" s="39"/>
      <c r="AM628" s="1"/>
      <c r="AN628" s="1"/>
      <c r="AO628" s="39"/>
      <c r="AP628" s="39"/>
      <c r="AQ628" s="1"/>
      <c r="AR628" s="39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 t="s">
        <v>0</v>
      </c>
      <c r="AB629" s="1" t="s">
        <v>0</v>
      </c>
      <c r="AC629" s="23" t="s">
        <v>0</v>
      </c>
      <c r="AD629" s="1"/>
      <c r="AE629" s="19"/>
      <c r="AF629" s="1"/>
      <c r="AG629" s="1"/>
      <c r="AH629" s="1"/>
      <c r="AI629" s="39"/>
      <c r="AJ629" s="39"/>
      <c r="AK629" s="39"/>
      <c r="AL629" s="39"/>
      <c r="AM629" s="1"/>
      <c r="AN629" s="1"/>
      <c r="AO629" s="39"/>
      <c r="AP629" s="39"/>
      <c r="AQ629" s="1"/>
      <c r="AR629" s="39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 t="s">
        <v>0</v>
      </c>
      <c r="AB630" s="1" t="s">
        <v>0</v>
      </c>
      <c r="AC630" s="23" t="s">
        <v>0</v>
      </c>
      <c r="AD630" s="1"/>
      <c r="AE630" s="19"/>
      <c r="AF630" s="1"/>
      <c r="AG630" s="1"/>
      <c r="AH630" s="1"/>
      <c r="AI630" s="39"/>
      <c r="AJ630" s="39"/>
      <c r="AK630" s="39"/>
      <c r="AL630" s="39"/>
      <c r="AM630" s="1"/>
      <c r="AN630" s="1"/>
      <c r="AO630" s="39"/>
      <c r="AP630" s="39"/>
      <c r="AQ630" s="1"/>
      <c r="AR630" s="39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 t="s">
        <v>0</v>
      </c>
      <c r="AB631" s="1" t="s">
        <v>0</v>
      </c>
      <c r="AC631" s="23" t="s">
        <v>0</v>
      </c>
      <c r="AD631" s="1"/>
      <c r="AE631" s="19"/>
      <c r="AF631" s="1"/>
      <c r="AG631" s="1"/>
      <c r="AH631" s="1"/>
      <c r="AI631" s="39"/>
      <c r="AJ631" s="39"/>
      <c r="AK631" s="39"/>
      <c r="AL631" s="39"/>
      <c r="AM631" s="1"/>
      <c r="AN631" s="1"/>
      <c r="AO631" s="39"/>
      <c r="AP631" s="39"/>
      <c r="AQ631" s="1"/>
      <c r="AR631" s="39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 t="s">
        <v>0</v>
      </c>
      <c r="AB632" s="1" t="s">
        <v>0</v>
      </c>
      <c r="AC632" s="23" t="s">
        <v>0</v>
      </c>
      <c r="AD632" s="1"/>
      <c r="AE632" s="19"/>
      <c r="AF632" s="1"/>
      <c r="AG632" s="1"/>
      <c r="AH632" s="1"/>
      <c r="AI632" s="39"/>
      <c r="AJ632" s="39"/>
      <c r="AK632" s="39"/>
      <c r="AL632" s="39"/>
      <c r="AM632" s="1"/>
      <c r="AN632" s="1"/>
      <c r="AO632" s="39"/>
      <c r="AP632" s="39"/>
      <c r="AQ632" s="1"/>
      <c r="AR632" s="39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 t="s">
        <v>0</v>
      </c>
      <c r="AB633" s="1" t="s">
        <v>0</v>
      </c>
      <c r="AC633" s="23" t="s">
        <v>0</v>
      </c>
      <c r="AD633" s="1"/>
      <c r="AE633" s="19"/>
      <c r="AF633" s="1"/>
      <c r="AG633" s="1"/>
      <c r="AH633" s="1"/>
      <c r="AI633" s="39"/>
      <c r="AJ633" s="39"/>
      <c r="AK633" s="39"/>
      <c r="AL633" s="39"/>
      <c r="AM633" s="1"/>
      <c r="AN633" s="1"/>
      <c r="AO633" s="39"/>
      <c r="AP633" s="39"/>
      <c r="AQ633" s="1"/>
      <c r="AR633" s="39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 t="s">
        <v>0</v>
      </c>
      <c r="AB634" s="1" t="s">
        <v>0</v>
      </c>
      <c r="AC634" s="23" t="s">
        <v>0</v>
      </c>
      <c r="AD634" s="1"/>
      <c r="AE634" s="19"/>
      <c r="AF634" s="1"/>
      <c r="AG634" s="1"/>
      <c r="AH634" s="1"/>
      <c r="AI634" s="39"/>
      <c r="AJ634" s="39"/>
      <c r="AK634" s="39"/>
      <c r="AL634" s="39"/>
      <c r="AM634" s="1"/>
      <c r="AN634" s="1"/>
      <c r="AO634" s="39"/>
      <c r="AP634" s="39"/>
      <c r="AQ634" s="1"/>
      <c r="AR634" s="39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 t="s">
        <v>0</v>
      </c>
      <c r="AB635" s="1" t="s">
        <v>0</v>
      </c>
      <c r="AC635" s="23" t="s">
        <v>0</v>
      </c>
      <c r="AD635" s="1"/>
      <c r="AE635" s="19"/>
      <c r="AF635" s="1"/>
      <c r="AG635" s="1"/>
      <c r="AH635" s="1"/>
      <c r="AI635" s="39"/>
      <c r="AJ635" s="39"/>
      <c r="AK635" s="39"/>
      <c r="AL635" s="39"/>
      <c r="AM635" s="1"/>
      <c r="AN635" s="1"/>
      <c r="AO635" s="39"/>
      <c r="AP635" s="39"/>
      <c r="AQ635" s="1"/>
      <c r="AR635" s="39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 t="s">
        <v>0</v>
      </c>
      <c r="AB636" s="1" t="s">
        <v>0</v>
      </c>
      <c r="AC636" s="23" t="s">
        <v>0</v>
      </c>
      <c r="AD636" s="1"/>
      <c r="AE636" s="19"/>
      <c r="AF636" s="1"/>
      <c r="AG636" s="1"/>
      <c r="AH636" s="1"/>
      <c r="AI636" s="39"/>
      <c r="AJ636" s="39"/>
      <c r="AK636" s="39"/>
      <c r="AL636" s="39"/>
      <c r="AM636" s="1"/>
      <c r="AN636" s="1"/>
      <c r="AO636" s="39"/>
      <c r="AP636" s="39"/>
      <c r="AQ636" s="1"/>
      <c r="AR636" s="39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 t="s">
        <v>0</v>
      </c>
      <c r="AB637" s="1" t="s">
        <v>0</v>
      </c>
      <c r="AC637" s="23" t="s">
        <v>0</v>
      </c>
      <c r="AD637" s="1"/>
      <c r="AE637" s="19"/>
      <c r="AF637" s="1"/>
      <c r="AG637" s="1"/>
      <c r="AH637" s="1"/>
      <c r="AI637" s="39"/>
      <c r="AJ637" s="39"/>
      <c r="AK637" s="39"/>
      <c r="AL637" s="39"/>
      <c r="AM637" s="1"/>
      <c r="AN637" s="1"/>
      <c r="AO637" s="39"/>
      <c r="AP637" s="39"/>
      <c r="AQ637" s="1"/>
      <c r="AR637" s="39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 t="s">
        <v>0</v>
      </c>
      <c r="AB638" s="1" t="s">
        <v>0</v>
      </c>
      <c r="AC638" s="23" t="s">
        <v>0</v>
      </c>
      <c r="AD638" s="1"/>
      <c r="AE638" s="19"/>
      <c r="AF638" s="1"/>
      <c r="AG638" s="1"/>
      <c r="AH638" s="1"/>
      <c r="AI638" s="39"/>
      <c r="AJ638" s="39"/>
      <c r="AK638" s="39"/>
      <c r="AL638" s="39"/>
      <c r="AM638" s="1"/>
      <c r="AN638" s="1"/>
      <c r="AO638" s="39"/>
      <c r="AP638" s="39"/>
      <c r="AQ638" s="1"/>
      <c r="AR638" s="39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 t="s">
        <v>0</v>
      </c>
      <c r="AB639" s="1" t="s">
        <v>0</v>
      </c>
      <c r="AC639" s="23" t="s">
        <v>0</v>
      </c>
      <c r="AD639" s="1"/>
      <c r="AE639" s="19"/>
      <c r="AF639" s="1"/>
      <c r="AG639" s="1"/>
      <c r="AH639" s="1"/>
      <c r="AI639" s="39"/>
      <c r="AJ639" s="39"/>
      <c r="AK639" s="39"/>
      <c r="AL639" s="39"/>
      <c r="AM639" s="1"/>
      <c r="AN639" s="1"/>
      <c r="AO639" s="39"/>
      <c r="AP639" s="39"/>
      <c r="AQ639" s="1"/>
      <c r="AR639" s="39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 t="s">
        <v>0</v>
      </c>
      <c r="AB640" s="1" t="s">
        <v>0</v>
      </c>
      <c r="AC640" s="23" t="s">
        <v>0</v>
      </c>
      <c r="AD640" s="1"/>
      <c r="AE640" s="19"/>
      <c r="AF640" s="1"/>
      <c r="AG640" s="1"/>
      <c r="AH640" s="1"/>
      <c r="AI640" s="39"/>
      <c r="AJ640" s="39"/>
      <c r="AK640" s="39"/>
      <c r="AL640" s="39"/>
      <c r="AM640" s="1"/>
      <c r="AN640" s="1"/>
      <c r="AO640" s="39"/>
      <c r="AP640" s="39"/>
      <c r="AQ640" s="1"/>
      <c r="AR640" s="39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 t="s">
        <v>0</v>
      </c>
      <c r="AB641" s="1" t="s">
        <v>0</v>
      </c>
      <c r="AC641" s="23" t="s">
        <v>0</v>
      </c>
      <c r="AD641" s="1"/>
      <c r="AE641" s="19"/>
      <c r="AF641" s="1"/>
      <c r="AG641" s="1"/>
      <c r="AH641" s="1"/>
      <c r="AI641" s="39"/>
      <c r="AJ641" s="39"/>
      <c r="AK641" s="39"/>
      <c r="AL641" s="39"/>
      <c r="AM641" s="1"/>
      <c r="AN641" s="1"/>
      <c r="AO641" s="39"/>
      <c r="AP641" s="39"/>
      <c r="AQ641" s="1"/>
      <c r="AR641" s="39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 t="s">
        <v>0</v>
      </c>
      <c r="AB642" s="1" t="s">
        <v>0</v>
      </c>
      <c r="AC642" s="23" t="s">
        <v>0</v>
      </c>
      <c r="AD642" s="1"/>
      <c r="AE642" s="19"/>
      <c r="AF642" s="1"/>
      <c r="AG642" s="1"/>
      <c r="AH642" s="1"/>
      <c r="AI642" s="39"/>
      <c r="AJ642" s="39"/>
      <c r="AK642" s="39"/>
      <c r="AL642" s="39"/>
      <c r="AM642" s="1"/>
      <c r="AN642" s="1"/>
      <c r="AO642" s="39"/>
      <c r="AP642" s="39"/>
      <c r="AQ642" s="1"/>
      <c r="AR642" s="39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 t="s">
        <v>0</v>
      </c>
      <c r="AB643" s="1" t="s">
        <v>0</v>
      </c>
      <c r="AC643" s="23" t="s">
        <v>0</v>
      </c>
      <c r="AD643" s="1"/>
      <c r="AE643" s="19"/>
      <c r="AF643" s="1"/>
      <c r="AG643" s="1"/>
      <c r="AH643" s="1"/>
      <c r="AI643" s="39"/>
      <c r="AJ643" s="39"/>
      <c r="AK643" s="39"/>
      <c r="AL643" s="39"/>
      <c r="AM643" s="1"/>
      <c r="AN643" s="1"/>
      <c r="AO643" s="39"/>
      <c r="AP643" s="39"/>
      <c r="AQ643" s="1"/>
      <c r="AR643" s="39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 t="s">
        <v>0</v>
      </c>
      <c r="AB644" s="1" t="s">
        <v>0</v>
      </c>
      <c r="AC644" s="23" t="s">
        <v>0</v>
      </c>
      <c r="AD644" s="1"/>
      <c r="AE644" s="19"/>
      <c r="AF644" s="1"/>
      <c r="AG644" s="1"/>
      <c r="AH644" s="1"/>
      <c r="AI644" s="39"/>
      <c r="AJ644" s="39"/>
      <c r="AK644" s="39"/>
      <c r="AL644" s="39"/>
      <c r="AM644" s="1"/>
      <c r="AN644" s="1"/>
      <c r="AO644" s="39"/>
      <c r="AP644" s="39"/>
      <c r="AQ644" s="1"/>
      <c r="AR644" s="39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 t="s">
        <v>0</v>
      </c>
      <c r="AB645" s="1" t="s">
        <v>0</v>
      </c>
      <c r="AC645" s="23" t="s">
        <v>0</v>
      </c>
      <c r="AD645" s="1"/>
      <c r="AE645" s="19"/>
      <c r="AF645" s="1"/>
      <c r="AG645" s="1"/>
      <c r="AH645" s="1"/>
      <c r="AI645" s="39"/>
      <c r="AJ645" s="39"/>
      <c r="AK645" s="39"/>
      <c r="AL645" s="39"/>
      <c r="AM645" s="1"/>
      <c r="AN645" s="1"/>
      <c r="AO645" s="39"/>
      <c r="AP645" s="39"/>
      <c r="AQ645" s="1"/>
      <c r="AR645" s="39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 t="s">
        <v>0</v>
      </c>
      <c r="AB646" s="1" t="s">
        <v>0</v>
      </c>
      <c r="AC646" s="23" t="s">
        <v>0</v>
      </c>
      <c r="AD646" s="1"/>
      <c r="AE646" s="19"/>
      <c r="AF646" s="1"/>
      <c r="AG646" s="1"/>
      <c r="AH646" s="1"/>
      <c r="AI646" s="39"/>
      <c r="AJ646" s="39"/>
      <c r="AK646" s="39"/>
      <c r="AL646" s="39"/>
      <c r="AM646" s="1"/>
      <c r="AN646" s="1"/>
      <c r="AO646" s="39"/>
      <c r="AP646" s="39"/>
      <c r="AQ646" s="1"/>
      <c r="AR646" s="39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 t="s">
        <v>0</v>
      </c>
      <c r="AB647" s="1" t="s">
        <v>0</v>
      </c>
      <c r="AC647" s="23" t="s">
        <v>0</v>
      </c>
      <c r="AD647" s="1"/>
      <c r="AE647" s="19"/>
      <c r="AF647" s="1"/>
      <c r="AG647" s="1"/>
      <c r="AH647" s="1"/>
      <c r="AI647" s="39"/>
      <c r="AJ647" s="39"/>
      <c r="AK647" s="39"/>
      <c r="AL647" s="39"/>
      <c r="AM647" s="1"/>
      <c r="AN647" s="1"/>
      <c r="AO647" s="39"/>
      <c r="AP647" s="39"/>
      <c r="AQ647" s="1"/>
      <c r="AR647" s="39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 t="s">
        <v>0</v>
      </c>
      <c r="AB648" s="1" t="s">
        <v>0</v>
      </c>
      <c r="AC648" s="23" t="s">
        <v>0</v>
      </c>
      <c r="AD648" s="1"/>
      <c r="AE648" s="19"/>
      <c r="AF648" s="1"/>
      <c r="AG648" s="1"/>
      <c r="AH648" s="1"/>
      <c r="AI648" s="39"/>
      <c r="AJ648" s="39"/>
      <c r="AK648" s="39"/>
      <c r="AL648" s="39"/>
      <c r="AM648" s="1"/>
      <c r="AN648" s="1"/>
      <c r="AO648" s="39"/>
      <c r="AP648" s="39"/>
      <c r="AQ648" s="1"/>
      <c r="AR648" s="39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 t="s">
        <v>0</v>
      </c>
      <c r="AB649" s="1" t="s">
        <v>0</v>
      </c>
      <c r="AC649" s="23" t="s">
        <v>0</v>
      </c>
      <c r="AD649" s="1"/>
      <c r="AE649" s="19"/>
      <c r="AF649" s="1"/>
      <c r="AG649" s="1"/>
      <c r="AH649" s="1"/>
      <c r="AI649" s="39"/>
      <c r="AJ649" s="39"/>
      <c r="AK649" s="39"/>
      <c r="AL649" s="39"/>
      <c r="AM649" s="1"/>
      <c r="AN649" s="1"/>
      <c r="AO649" s="39"/>
      <c r="AP649" s="39"/>
      <c r="AQ649" s="1"/>
      <c r="AR649" s="39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 t="s">
        <v>0</v>
      </c>
      <c r="AB650" s="1" t="s">
        <v>0</v>
      </c>
      <c r="AC650" s="23" t="s">
        <v>0</v>
      </c>
      <c r="AD650" s="1"/>
      <c r="AE650" s="19"/>
      <c r="AF650" s="1"/>
      <c r="AG650" s="1"/>
      <c r="AH650" s="1"/>
      <c r="AI650" s="39"/>
      <c r="AJ650" s="39"/>
      <c r="AK650" s="39"/>
      <c r="AL650" s="39"/>
      <c r="AM650" s="1"/>
      <c r="AN650" s="1"/>
      <c r="AO650" s="39"/>
      <c r="AP650" s="39"/>
      <c r="AQ650" s="1"/>
      <c r="AR650" s="39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 t="s">
        <v>0</v>
      </c>
      <c r="AB651" s="1" t="s">
        <v>0</v>
      </c>
      <c r="AC651" s="23" t="s">
        <v>0</v>
      </c>
      <c r="AD651" s="1"/>
      <c r="AE651" s="19"/>
      <c r="AF651" s="1"/>
      <c r="AG651" s="1"/>
      <c r="AH651" s="1"/>
      <c r="AI651" s="39"/>
      <c r="AJ651" s="39"/>
      <c r="AK651" s="39"/>
      <c r="AL651" s="39"/>
      <c r="AM651" s="1"/>
      <c r="AN651" s="1"/>
      <c r="AO651" s="39"/>
      <c r="AP651" s="39"/>
      <c r="AQ651" s="1"/>
      <c r="AR651" s="39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 t="s">
        <v>0</v>
      </c>
      <c r="AB652" s="1" t="s">
        <v>0</v>
      </c>
      <c r="AC652" s="23" t="s">
        <v>0</v>
      </c>
      <c r="AD652" s="1"/>
      <c r="AE652" s="19"/>
      <c r="AF652" s="1"/>
      <c r="AG652" s="1"/>
      <c r="AH652" s="1"/>
      <c r="AI652" s="39"/>
      <c r="AJ652" s="39"/>
      <c r="AK652" s="39"/>
      <c r="AL652" s="39"/>
      <c r="AM652" s="1"/>
      <c r="AN652" s="1"/>
      <c r="AO652" s="39"/>
      <c r="AP652" s="39"/>
      <c r="AQ652" s="1"/>
      <c r="AR652" s="39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 t="s">
        <v>0</v>
      </c>
      <c r="AB653" s="1" t="s">
        <v>0</v>
      </c>
      <c r="AC653" s="23" t="s">
        <v>0</v>
      </c>
      <c r="AD653" s="1"/>
      <c r="AE653" s="19"/>
      <c r="AF653" s="1"/>
      <c r="AG653" s="1"/>
      <c r="AH653" s="1"/>
      <c r="AI653" s="39"/>
      <c r="AJ653" s="39"/>
      <c r="AK653" s="39"/>
      <c r="AL653" s="39"/>
      <c r="AM653" s="1"/>
      <c r="AN653" s="1"/>
      <c r="AO653" s="39"/>
      <c r="AP653" s="39"/>
      <c r="AQ653" s="1"/>
      <c r="AR653" s="39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 t="s">
        <v>0</v>
      </c>
      <c r="AB654" s="1" t="s">
        <v>0</v>
      </c>
      <c r="AC654" s="23" t="s">
        <v>0</v>
      </c>
      <c r="AD654" s="1"/>
      <c r="AE654" s="19"/>
      <c r="AF654" s="1"/>
      <c r="AG654" s="1"/>
      <c r="AH654" s="1"/>
      <c r="AI654" s="39"/>
      <c r="AJ654" s="39"/>
      <c r="AK654" s="39"/>
      <c r="AL654" s="39"/>
      <c r="AM654" s="1"/>
      <c r="AN654" s="1"/>
      <c r="AO654" s="39"/>
      <c r="AP654" s="39"/>
      <c r="AQ654" s="1"/>
      <c r="AR654" s="39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 t="s">
        <v>0</v>
      </c>
      <c r="AB655" s="1" t="s">
        <v>0</v>
      </c>
      <c r="AC655" s="23" t="s">
        <v>0</v>
      </c>
      <c r="AD655" s="1"/>
      <c r="AE655" s="19"/>
      <c r="AF655" s="1"/>
      <c r="AG655" s="1"/>
      <c r="AH655" s="1"/>
      <c r="AI655" s="39"/>
      <c r="AJ655" s="39"/>
      <c r="AK655" s="39"/>
      <c r="AL655" s="39"/>
      <c r="AM655" s="1"/>
      <c r="AN655" s="1"/>
      <c r="AO655" s="39"/>
      <c r="AP655" s="39"/>
      <c r="AQ655" s="1"/>
      <c r="AR655" s="39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 t="s">
        <v>0</v>
      </c>
      <c r="AB656" s="1" t="s">
        <v>0</v>
      </c>
      <c r="AC656" s="23" t="s">
        <v>0</v>
      </c>
      <c r="AD656" s="1"/>
      <c r="AE656" s="19"/>
      <c r="AF656" s="1"/>
      <c r="AG656" s="1"/>
      <c r="AH656" s="1"/>
      <c r="AI656" s="39"/>
      <c r="AJ656" s="39"/>
      <c r="AK656" s="39"/>
      <c r="AL656" s="39"/>
      <c r="AM656" s="1"/>
      <c r="AN656" s="1"/>
      <c r="AO656" s="39"/>
      <c r="AP656" s="39"/>
      <c r="AQ656" s="1"/>
      <c r="AR656" s="39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 t="s">
        <v>0</v>
      </c>
      <c r="AB657" s="1" t="s">
        <v>0</v>
      </c>
      <c r="AC657" s="23" t="s">
        <v>0</v>
      </c>
      <c r="AD657" s="1"/>
      <c r="AE657" s="19"/>
      <c r="AF657" s="1"/>
      <c r="AG657" s="1"/>
      <c r="AH657" s="1"/>
      <c r="AI657" s="39"/>
      <c r="AJ657" s="39"/>
      <c r="AK657" s="39"/>
      <c r="AL657" s="39"/>
      <c r="AM657" s="1"/>
      <c r="AN657" s="1"/>
      <c r="AO657" s="39"/>
      <c r="AP657" s="39"/>
      <c r="AQ657" s="1"/>
      <c r="AR657" s="39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 t="s">
        <v>0</v>
      </c>
      <c r="AB658" s="1" t="s">
        <v>0</v>
      </c>
      <c r="AC658" s="23" t="s">
        <v>0</v>
      </c>
      <c r="AD658" s="1"/>
      <c r="AE658" s="19"/>
      <c r="AF658" s="1"/>
      <c r="AG658" s="1"/>
      <c r="AH658" s="1"/>
      <c r="AI658" s="39"/>
      <c r="AJ658" s="39"/>
      <c r="AK658" s="39"/>
      <c r="AL658" s="39"/>
      <c r="AM658" s="1"/>
      <c r="AN658" s="1"/>
      <c r="AO658" s="39"/>
      <c r="AP658" s="39"/>
      <c r="AQ658" s="1"/>
      <c r="AR658" s="39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 t="s">
        <v>0</v>
      </c>
      <c r="AB659" s="1" t="s">
        <v>0</v>
      </c>
      <c r="AC659" s="23" t="s">
        <v>0</v>
      </c>
      <c r="AD659" s="1"/>
      <c r="AE659" s="19"/>
      <c r="AF659" s="1"/>
      <c r="AG659" s="1"/>
      <c r="AH659" s="1"/>
      <c r="AI659" s="39"/>
      <c r="AJ659" s="39"/>
      <c r="AK659" s="39"/>
      <c r="AL659" s="39"/>
      <c r="AM659" s="1"/>
      <c r="AN659" s="1"/>
      <c r="AO659" s="39"/>
      <c r="AP659" s="39"/>
      <c r="AQ659" s="1"/>
      <c r="AR659" s="39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 t="s">
        <v>0</v>
      </c>
      <c r="AB660" s="1" t="s">
        <v>0</v>
      </c>
      <c r="AC660" s="23" t="s">
        <v>0</v>
      </c>
      <c r="AD660" s="1"/>
      <c r="AE660" s="19"/>
      <c r="AF660" s="1"/>
      <c r="AG660" s="1"/>
      <c r="AH660" s="1"/>
      <c r="AI660" s="39"/>
      <c r="AJ660" s="39"/>
      <c r="AK660" s="39"/>
      <c r="AL660" s="39"/>
      <c r="AM660" s="1"/>
      <c r="AN660" s="1"/>
      <c r="AO660" s="39"/>
      <c r="AP660" s="39"/>
      <c r="AQ660" s="1"/>
      <c r="AR660" s="39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 t="s">
        <v>0</v>
      </c>
      <c r="AB661" s="1" t="s">
        <v>0</v>
      </c>
      <c r="AC661" s="23" t="s">
        <v>0</v>
      </c>
      <c r="AD661" s="1"/>
      <c r="AE661" s="19"/>
      <c r="AF661" s="1"/>
      <c r="AG661" s="1"/>
      <c r="AH661" s="1"/>
      <c r="AI661" s="39"/>
      <c r="AJ661" s="39"/>
      <c r="AK661" s="39"/>
      <c r="AL661" s="39"/>
      <c r="AM661" s="1"/>
      <c r="AN661" s="1"/>
      <c r="AO661" s="39"/>
      <c r="AP661" s="39"/>
      <c r="AQ661" s="1"/>
      <c r="AR661" s="39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 t="s">
        <v>0</v>
      </c>
      <c r="AB662" s="1" t="s">
        <v>0</v>
      </c>
      <c r="AC662" s="23" t="s">
        <v>0</v>
      </c>
      <c r="AD662" s="1"/>
      <c r="AE662" s="19"/>
      <c r="AF662" s="1"/>
      <c r="AG662" s="1"/>
      <c r="AH662" s="1"/>
      <c r="AI662" s="39"/>
      <c r="AJ662" s="39"/>
      <c r="AK662" s="39"/>
      <c r="AL662" s="39"/>
      <c r="AM662" s="1"/>
      <c r="AN662" s="1"/>
      <c r="AO662" s="39"/>
      <c r="AP662" s="39"/>
      <c r="AQ662" s="1"/>
      <c r="AR662" s="39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 t="s">
        <v>0</v>
      </c>
      <c r="AB663" s="1" t="s">
        <v>0</v>
      </c>
      <c r="AC663" s="23" t="s">
        <v>0</v>
      </c>
      <c r="AD663" s="1"/>
      <c r="AE663" s="19"/>
      <c r="AF663" s="1"/>
      <c r="AG663" s="1"/>
      <c r="AH663" s="1"/>
      <c r="AI663" s="39"/>
      <c r="AJ663" s="39"/>
      <c r="AK663" s="39"/>
      <c r="AL663" s="39"/>
      <c r="AM663" s="1"/>
      <c r="AN663" s="1"/>
      <c r="AO663" s="39"/>
      <c r="AP663" s="39"/>
      <c r="AQ663" s="1"/>
      <c r="AR663" s="39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 t="s">
        <v>0</v>
      </c>
      <c r="AB664" s="1" t="s">
        <v>0</v>
      </c>
      <c r="AC664" s="23" t="s">
        <v>0</v>
      </c>
      <c r="AD664" s="1"/>
      <c r="AE664" s="19"/>
      <c r="AF664" s="1"/>
      <c r="AG664" s="1"/>
      <c r="AH664" s="1"/>
      <c r="AI664" s="39"/>
      <c r="AJ664" s="39"/>
      <c r="AK664" s="39"/>
      <c r="AL664" s="39"/>
      <c r="AM664" s="1"/>
      <c r="AN664" s="1"/>
      <c r="AO664" s="39"/>
      <c r="AP664" s="39"/>
      <c r="AQ664" s="1"/>
      <c r="AR664" s="39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 t="s">
        <v>0</v>
      </c>
      <c r="AB665" s="1" t="s">
        <v>0</v>
      </c>
      <c r="AC665" s="23" t="s">
        <v>0</v>
      </c>
      <c r="AD665" s="1"/>
      <c r="AE665" s="19"/>
      <c r="AF665" s="1"/>
      <c r="AG665" s="1"/>
      <c r="AH665" s="1"/>
      <c r="AI665" s="39"/>
      <c r="AJ665" s="39"/>
      <c r="AK665" s="39"/>
      <c r="AL665" s="39"/>
      <c r="AM665" s="1"/>
      <c r="AN665" s="1"/>
      <c r="AO665" s="39"/>
      <c r="AP665" s="39"/>
      <c r="AQ665" s="1"/>
      <c r="AR665" s="39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 t="s">
        <v>0</v>
      </c>
      <c r="AB666" s="1" t="s">
        <v>0</v>
      </c>
      <c r="AC666" s="23" t="s">
        <v>0</v>
      </c>
      <c r="AD666" s="1"/>
      <c r="AE666" s="19"/>
      <c r="AF666" s="1"/>
      <c r="AG666" s="1"/>
      <c r="AH666" s="1"/>
      <c r="AI666" s="39"/>
      <c r="AJ666" s="39"/>
      <c r="AK666" s="39"/>
      <c r="AL666" s="39"/>
      <c r="AM666" s="1"/>
      <c r="AN666" s="1"/>
      <c r="AO666" s="39"/>
      <c r="AP666" s="39"/>
      <c r="AQ666" s="1"/>
      <c r="AR666" s="39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 t="s">
        <v>0</v>
      </c>
      <c r="AB667" s="1" t="s">
        <v>0</v>
      </c>
      <c r="AC667" s="23" t="s">
        <v>0</v>
      </c>
      <c r="AD667" s="1"/>
      <c r="AE667" s="19"/>
      <c r="AF667" s="1"/>
      <c r="AG667" s="1"/>
      <c r="AH667" s="1"/>
      <c r="AI667" s="39"/>
      <c r="AJ667" s="39"/>
      <c r="AK667" s="39"/>
      <c r="AL667" s="39"/>
      <c r="AM667" s="1"/>
      <c r="AN667" s="1"/>
      <c r="AO667" s="39"/>
      <c r="AP667" s="39"/>
      <c r="AQ667" s="1"/>
      <c r="AR667" s="39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 t="s">
        <v>0</v>
      </c>
      <c r="AB668" s="1" t="s">
        <v>0</v>
      </c>
      <c r="AC668" s="23" t="s">
        <v>0</v>
      </c>
      <c r="AD668" s="1"/>
      <c r="AE668" s="19"/>
      <c r="AF668" s="1"/>
      <c r="AG668" s="1"/>
      <c r="AH668" s="1"/>
      <c r="AI668" s="39"/>
      <c r="AJ668" s="39"/>
      <c r="AK668" s="39"/>
      <c r="AL668" s="39"/>
      <c r="AM668" s="1"/>
      <c r="AN668" s="1"/>
      <c r="AO668" s="39"/>
      <c r="AP668" s="39"/>
      <c r="AQ668" s="1"/>
      <c r="AR668" s="39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 t="s">
        <v>0</v>
      </c>
      <c r="AB669" s="1" t="s">
        <v>0</v>
      </c>
      <c r="AC669" s="23" t="s">
        <v>0</v>
      </c>
      <c r="AD669" s="1"/>
      <c r="AE669" s="19"/>
      <c r="AF669" s="1"/>
      <c r="AG669" s="1"/>
      <c r="AH669" s="1"/>
      <c r="AI669" s="39"/>
      <c r="AJ669" s="39"/>
      <c r="AK669" s="39"/>
      <c r="AL669" s="39"/>
      <c r="AM669" s="1"/>
      <c r="AN669" s="1"/>
      <c r="AO669" s="39"/>
      <c r="AP669" s="39"/>
      <c r="AQ669" s="1"/>
      <c r="AR669" s="39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 t="s">
        <v>0</v>
      </c>
      <c r="AB670" s="1" t="s">
        <v>0</v>
      </c>
      <c r="AC670" s="23" t="s">
        <v>0</v>
      </c>
      <c r="AD670" s="1"/>
      <c r="AE670" s="19"/>
      <c r="AF670" s="1"/>
      <c r="AG670" s="1"/>
      <c r="AH670" s="1"/>
      <c r="AI670" s="39"/>
      <c r="AJ670" s="39"/>
      <c r="AK670" s="39"/>
      <c r="AL670" s="39"/>
      <c r="AM670" s="1"/>
      <c r="AN670" s="1"/>
      <c r="AO670" s="39"/>
      <c r="AP670" s="39"/>
      <c r="AQ670" s="1"/>
      <c r="AR670" s="39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 t="s">
        <v>0</v>
      </c>
      <c r="AB671" s="1" t="s">
        <v>0</v>
      </c>
      <c r="AC671" s="23" t="s">
        <v>0</v>
      </c>
      <c r="AD671" s="1"/>
      <c r="AE671" s="19"/>
      <c r="AF671" s="1"/>
      <c r="AG671" s="1"/>
      <c r="AH671" s="1"/>
      <c r="AI671" s="39"/>
      <c r="AJ671" s="39"/>
      <c r="AK671" s="39"/>
      <c r="AL671" s="39"/>
      <c r="AM671" s="1"/>
      <c r="AN671" s="1"/>
      <c r="AO671" s="39"/>
      <c r="AP671" s="39"/>
      <c r="AQ671" s="1"/>
      <c r="AR671" s="39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 t="s">
        <v>0</v>
      </c>
      <c r="AB672" s="1" t="s">
        <v>0</v>
      </c>
      <c r="AC672" s="23" t="s">
        <v>0</v>
      </c>
      <c r="AD672" s="1"/>
      <c r="AE672" s="19"/>
      <c r="AF672" s="1"/>
      <c r="AG672" s="1"/>
      <c r="AH672" s="1"/>
      <c r="AI672" s="39"/>
      <c r="AJ672" s="39"/>
      <c r="AK672" s="39"/>
      <c r="AL672" s="39"/>
      <c r="AM672" s="1"/>
      <c r="AN672" s="1"/>
      <c r="AO672" s="39"/>
      <c r="AP672" s="39"/>
      <c r="AQ672" s="1"/>
      <c r="AR672" s="39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 t="s">
        <v>0</v>
      </c>
      <c r="AB673" s="1" t="s">
        <v>0</v>
      </c>
      <c r="AC673" s="23" t="s">
        <v>0</v>
      </c>
      <c r="AD673" s="1"/>
      <c r="AE673" s="19"/>
      <c r="AF673" s="1"/>
      <c r="AG673" s="1"/>
      <c r="AH673" s="1"/>
      <c r="AI673" s="39"/>
      <c r="AJ673" s="39"/>
      <c r="AK673" s="39"/>
      <c r="AL673" s="39"/>
      <c r="AM673" s="1"/>
      <c r="AN673" s="1"/>
      <c r="AO673" s="39"/>
      <c r="AP673" s="39"/>
      <c r="AQ673" s="1"/>
      <c r="AR673" s="39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 t="s">
        <v>0</v>
      </c>
      <c r="AB674" s="1" t="s">
        <v>0</v>
      </c>
      <c r="AC674" s="23" t="s">
        <v>0</v>
      </c>
      <c r="AD674" s="1"/>
      <c r="AE674" s="19"/>
      <c r="AF674" s="1"/>
      <c r="AG674" s="1"/>
      <c r="AH674" s="1"/>
      <c r="AI674" s="39"/>
      <c r="AJ674" s="39"/>
      <c r="AK674" s="39"/>
      <c r="AL674" s="39"/>
      <c r="AM674" s="1"/>
      <c r="AN674" s="1"/>
      <c r="AO674" s="39"/>
      <c r="AP674" s="39"/>
      <c r="AQ674" s="1"/>
      <c r="AR674" s="39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 t="s">
        <v>0</v>
      </c>
      <c r="AB675" s="1" t="s">
        <v>0</v>
      </c>
      <c r="AC675" s="23" t="s">
        <v>0</v>
      </c>
      <c r="AD675" s="1"/>
      <c r="AE675" s="19"/>
      <c r="AF675" s="1"/>
      <c r="AG675" s="1"/>
      <c r="AH675" s="1"/>
      <c r="AI675" s="39"/>
      <c r="AJ675" s="39"/>
      <c r="AK675" s="39"/>
      <c r="AL675" s="39"/>
      <c r="AM675" s="1"/>
      <c r="AN675" s="1"/>
      <c r="AO675" s="39"/>
      <c r="AP675" s="39"/>
      <c r="AQ675" s="1"/>
      <c r="AR675" s="39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 t="s">
        <v>0</v>
      </c>
      <c r="AB676" s="1" t="s">
        <v>0</v>
      </c>
      <c r="AC676" s="23" t="s">
        <v>0</v>
      </c>
      <c r="AD676" s="1"/>
      <c r="AE676" s="19"/>
      <c r="AF676" s="1"/>
      <c r="AG676" s="1"/>
      <c r="AH676" s="1"/>
      <c r="AI676" s="39"/>
      <c r="AJ676" s="39"/>
      <c r="AK676" s="39"/>
      <c r="AL676" s="39"/>
      <c r="AM676" s="1"/>
      <c r="AN676" s="1"/>
      <c r="AO676" s="39"/>
      <c r="AP676" s="39"/>
      <c r="AQ676" s="1"/>
      <c r="AR676" s="39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 t="s">
        <v>0</v>
      </c>
      <c r="AB677" s="1" t="s">
        <v>0</v>
      </c>
      <c r="AC677" s="23" t="s">
        <v>0</v>
      </c>
      <c r="AD677" s="1"/>
      <c r="AE677" s="19"/>
      <c r="AF677" s="1"/>
      <c r="AG677" s="1"/>
      <c r="AH677" s="1"/>
      <c r="AI677" s="39"/>
      <c r="AJ677" s="39"/>
      <c r="AK677" s="39"/>
      <c r="AL677" s="39"/>
      <c r="AM677" s="1"/>
      <c r="AN677" s="1"/>
      <c r="AO677" s="39"/>
      <c r="AP677" s="39"/>
      <c r="AQ677" s="1"/>
      <c r="AR677" s="39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 t="s">
        <v>0</v>
      </c>
      <c r="AB678" s="1" t="s">
        <v>0</v>
      </c>
      <c r="AC678" s="23" t="s">
        <v>0</v>
      </c>
      <c r="AD678" s="1"/>
      <c r="AE678" s="19"/>
      <c r="AF678" s="1"/>
      <c r="AG678" s="1"/>
      <c r="AH678" s="1"/>
      <c r="AI678" s="39"/>
      <c r="AJ678" s="39"/>
      <c r="AK678" s="39"/>
      <c r="AL678" s="39"/>
      <c r="AM678" s="1"/>
      <c r="AN678" s="1"/>
      <c r="AO678" s="39"/>
      <c r="AP678" s="39"/>
      <c r="AQ678" s="1"/>
      <c r="AR678" s="39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 t="s">
        <v>0</v>
      </c>
      <c r="AB679" s="1" t="s">
        <v>0</v>
      </c>
      <c r="AC679" s="23" t="s">
        <v>0</v>
      </c>
      <c r="AD679" s="1"/>
      <c r="AE679" s="19"/>
      <c r="AF679" s="1"/>
      <c r="AG679" s="1"/>
      <c r="AH679" s="1"/>
      <c r="AI679" s="39"/>
      <c r="AJ679" s="39"/>
      <c r="AK679" s="39"/>
      <c r="AL679" s="39"/>
      <c r="AM679" s="1"/>
      <c r="AN679" s="1"/>
      <c r="AO679" s="39"/>
      <c r="AP679" s="39"/>
      <c r="AQ679" s="1"/>
      <c r="AR679" s="39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 t="s">
        <v>0</v>
      </c>
      <c r="AB680" s="1" t="s">
        <v>0</v>
      </c>
      <c r="AC680" s="23" t="s">
        <v>0</v>
      </c>
      <c r="AD680" s="1"/>
      <c r="AE680" s="19"/>
      <c r="AF680" s="1"/>
      <c r="AG680" s="1"/>
      <c r="AH680" s="1"/>
      <c r="AI680" s="39"/>
      <c r="AJ680" s="39"/>
      <c r="AK680" s="39"/>
      <c r="AL680" s="39"/>
      <c r="AM680" s="1"/>
      <c r="AN680" s="1"/>
      <c r="AO680" s="39"/>
      <c r="AP680" s="39"/>
      <c r="AQ680" s="1"/>
      <c r="AR680" s="39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 t="s">
        <v>0</v>
      </c>
      <c r="AB681" s="1" t="s">
        <v>0</v>
      </c>
      <c r="AC681" s="23" t="s">
        <v>0</v>
      </c>
      <c r="AD681" s="1"/>
      <c r="AE681" s="19"/>
      <c r="AF681" s="1"/>
      <c r="AG681" s="1"/>
      <c r="AH681" s="1"/>
      <c r="AI681" s="39"/>
      <c r="AJ681" s="39"/>
      <c r="AK681" s="39"/>
      <c r="AL681" s="39"/>
      <c r="AM681" s="1"/>
      <c r="AN681" s="1"/>
      <c r="AO681" s="39"/>
      <c r="AP681" s="39"/>
      <c r="AQ681" s="1"/>
      <c r="AR681" s="39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 t="s">
        <v>0</v>
      </c>
      <c r="AB682" s="1" t="s">
        <v>0</v>
      </c>
      <c r="AC682" s="23" t="s">
        <v>0</v>
      </c>
      <c r="AD682" s="1"/>
      <c r="AE682" s="19"/>
      <c r="AF682" s="1"/>
      <c r="AG682" s="1"/>
      <c r="AH682" s="1"/>
      <c r="AI682" s="39"/>
      <c r="AJ682" s="39"/>
      <c r="AK682" s="39"/>
      <c r="AL682" s="39"/>
      <c r="AM682" s="1"/>
      <c r="AN682" s="1"/>
      <c r="AO682" s="39"/>
      <c r="AP682" s="39"/>
      <c r="AQ682" s="1"/>
      <c r="AR682" s="39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 t="s">
        <v>0</v>
      </c>
      <c r="AB683" s="1" t="s">
        <v>0</v>
      </c>
      <c r="AC683" s="23" t="s">
        <v>0</v>
      </c>
      <c r="AD683" s="1"/>
      <c r="AE683" s="19"/>
      <c r="AF683" s="1"/>
      <c r="AG683" s="1"/>
      <c r="AH683" s="1"/>
      <c r="AI683" s="39"/>
      <c r="AJ683" s="39"/>
      <c r="AK683" s="39"/>
      <c r="AL683" s="39"/>
      <c r="AM683" s="1"/>
      <c r="AN683" s="1"/>
      <c r="AO683" s="39"/>
      <c r="AP683" s="39"/>
      <c r="AQ683" s="1"/>
      <c r="AR683" s="39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 t="s">
        <v>0</v>
      </c>
      <c r="AB684" s="1" t="s">
        <v>0</v>
      </c>
      <c r="AC684" s="23" t="s">
        <v>0</v>
      </c>
      <c r="AD684" s="1"/>
      <c r="AE684" s="19"/>
      <c r="AF684" s="1"/>
      <c r="AG684" s="1"/>
      <c r="AH684" s="1"/>
      <c r="AI684" s="39"/>
      <c r="AJ684" s="39"/>
      <c r="AK684" s="39"/>
      <c r="AL684" s="39"/>
      <c r="AM684" s="1"/>
      <c r="AN684" s="1"/>
      <c r="AO684" s="39"/>
      <c r="AP684" s="39"/>
      <c r="AQ684" s="1"/>
      <c r="AR684" s="39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 t="s">
        <v>0</v>
      </c>
      <c r="AB685" s="1" t="s">
        <v>0</v>
      </c>
      <c r="AC685" s="23" t="s">
        <v>0</v>
      </c>
      <c r="AD685" s="1"/>
      <c r="AE685" s="19"/>
      <c r="AF685" s="1"/>
      <c r="AG685" s="1"/>
      <c r="AH685" s="1"/>
      <c r="AI685" s="39"/>
      <c r="AJ685" s="39"/>
      <c r="AK685" s="39"/>
      <c r="AL685" s="39"/>
      <c r="AM685" s="1"/>
      <c r="AN685" s="1"/>
      <c r="AO685" s="39"/>
      <c r="AP685" s="39"/>
      <c r="AQ685" s="1"/>
      <c r="AR685" s="39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 t="s">
        <v>0</v>
      </c>
      <c r="AB686" s="1" t="s">
        <v>0</v>
      </c>
      <c r="AC686" s="23" t="s">
        <v>0</v>
      </c>
      <c r="AD686" s="1"/>
      <c r="AE686" s="19"/>
      <c r="AF686" s="1"/>
      <c r="AG686" s="1"/>
      <c r="AH686" s="1"/>
      <c r="AI686" s="39"/>
      <c r="AJ686" s="39"/>
      <c r="AK686" s="39"/>
      <c r="AL686" s="39"/>
      <c r="AM686" s="1"/>
      <c r="AN686" s="1"/>
      <c r="AO686" s="39"/>
      <c r="AP686" s="39"/>
      <c r="AQ686" s="1"/>
      <c r="AR686" s="39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 t="s">
        <v>0</v>
      </c>
      <c r="AB687" s="1" t="s">
        <v>0</v>
      </c>
      <c r="AC687" s="23" t="s">
        <v>0</v>
      </c>
      <c r="AD687" s="1"/>
      <c r="AE687" s="19"/>
      <c r="AF687" s="1"/>
      <c r="AG687" s="1"/>
      <c r="AH687" s="1"/>
      <c r="AI687" s="39"/>
      <c r="AJ687" s="39"/>
      <c r="AK687" s="39"/>
      <c r="AL687" s="39"/>
      <c r="AM687" s="1"/>
      <c r="AN687" s="1"/>
      <c r="AO687" s="39"/>
      <c r="AP687" s="39"/>
      <c r="AQ687" s="1"/>
      <c r="AR687" s="39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 t="s">
        <v>0</v>
      </c>
      <c r="AB688" s="1" t="s">
        <v>0</v>
      </c>
      <c r="AC688" s="23" t="s">
        <v>0</v>
      </c>
      <c r="AD688" s="1"/>
      <c r="AE688" s="19"/>
      <c r="AF688" s="1"/>
      <c r="AG688" s="1"/>
      <c r="AH688" s="1"/>
      <c r="AI688" s="39"/>
      <c r="AJ688" s="39"/>
      <c r="AK688" s="39"/>
      <c r="AL688" s="39"/>
      <c r="AM688" s="1"/>
      <c r="AN688" s="1"/>
      <c r="AO688" s="39"/>
      <c r="AP688" s="39"/>
      <c r="AQ688" s="1"/>
      <c r="AR688" s="39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 t="s">
        <v>0</v>
      </c>
      <c r="AB689" s="1" t="s">
        <v>0</v>
      </c>
      <c r="AC689" s="23" t="s">
        <v>0</v>
      </c>
      <c r="AD689" s="1"/>
      <c r="AE689" s="19"/>
      <c r="AF689" s="1"/>
      <c r="AG689" s="1"/>
      <c r="AH689" s="1"/>
      <c r="AI689" s="39"/>
      <c r="AJ689" s="39"/>
      <c r="AK689" s="39"/>
      <c r="AL689" s="39"/>
      <c r="AM689" s="1"/>
      <c r="AN689" s="1"/>
      <c r="AO689" s="39"/>
      <c r="AP689" s="39"/>
      <c r="AQ689" s="1"/>
      <c r="AR689" s="39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 t="s">
        <v>0</v>
      </c>
      <c r="AB690" s="1" t="s">
        <v>0</v>
      </c>
      <c r="AC690" s="23" t="s">
        <v>0</v>
      </c>
      <c r="AD690" s="1"/>
      <c r="AE690" s="19"/>
      <c r="AF690" s="1"/>
      <c r="AG690" s="1"/>
      <c r="AH690" s="1"/>
      <c r="AI690" s="39"/>
      <c r="AJ690" s="39"/>
      <c r="AK690" s="39"/>
      <c r="AL690" s="39"/>
      <c r="AM690" s="1"/>
      <c r="AN690" s="1"/>
      <c r="AO690" s="39"/>
      <c r="AP690" s="39"/>
      <c r="AQ690" s="1"/>
      <c r="AR690" s="39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 t="s">
        <v>0</v>
      </c>
      <c r="AB691" s="1" t="s">
        <v>0</v>
      </c>
      <c r="AC691" s="23" t="s">
        <v>0</v>
      </c>
      <c r="AD691" s="1"/>
      <c r="AE691" s="19"/>
      <c r="AF691" s="1"/>
      <c r="AG691" s="1"/>
      <c r="AH691" s="1"/>
      <c r="AI691" s="39"/>
      <c r="AJ691" s="39"/>
      <c r="AK691" s="39"/>
      <c r="AL691" s="39"/>
      <c r="AM691" s="1"/>
      <c r="AN691" s="1"/>
      <c r="AO691" s="39"/>
      <c r="AP691" s="39"/>
      <c r="AQ691" s="1"/>
      <c r="AR691" s="39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 t="s">
        <v>0</v>
      </c>
      <c r="AB692" s="1" t="s">
        <v>0</v>
      </c>
      <c r="AC692" s="23" t="s">
        <v>0</v>
      </c>
      <c r="AD692" s="1"/>
      <c r="AE692" s="19"/>
      <c r="AF692" s="1"/>
      <c r="AG692" s="1"/>
      <c r="AH692" s="1"/>
      <c r="AI692" s="39"/>
      <c r="AJ692" s="39"/>
      <c r="AK692" s="39"/>
      <c r="AL692" s="39"/>
      <c r="AM692" s="1"/>
      <c r="AN692" s="1"/>
      <c r="AO692" s="39"/>
      <c r="AP692" s="39"/>
      <c r="AQ692" s="1"/>
      <c r="AR692" s="39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 t="s">
        <v>0</v>
      </c>
      <c r="AB693" s="1" t="s">
        <v>0</v>
      </c>
      <c r="AC693" s="23" t="s">
        <v>0</v>
      </c>
      <c r="AD693" s="1"/>
      <c r="AE693" s="19"/>
      <c r="AF693" s="1"/>
      <c r="AG693" s="1"/>
      <c r="AH693" s="1"/>
      <c r="AI693" s="39"/>
      <c r="AJ693" s="39"/>
      <c r="AK693" s="39"/>
      <c r="AL693" s="39"/>
      <c r="AM693" s="1"/>
      <c r="AN693" s="1"/>
      <c r="AO693" s="39"/>
      <c r="AP693" s="39"/>
      <c r="AQ693" s="1"/>
      <c r="AR693" s="39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 t="s">
        <v>0</v>
      </c>
      <c r="AB694" s="1" t="s">
        <v>0</v>
      </c>
      <c r="AC694" s="23" t="s">
        <v>0</v>
      </c>
      <c r="AD694" s="1"/>
      <c r="AE694" s="19"/>
      <c r="AF694" s="1"/>
      <c r="AG694" s="1"/>
      <c r="AH694" s="1"/>
      <c r="AI694" s="39"/>
      <c r="AJ694" s="39"/>
      <c r="AK694" s="39"/>
      <c r="AL694" s="39"/>
      <c r="AM694" s="1"/>
      <c r="AN694" s="1"/>
      <c r="AO694" s="39"/>
      <c r="AP694" s="39"/>
      <c r="AQ694" s="1"/>
      <c r="AR694" s="39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 t="s">
        <v>0</v>
      </c>
      <c r="AB695" s="1" t="s">
        <v>0</v>
      </c>
      <c r="AC695" s="23" t="s">
        <v>0</v>
      </c>
      <c r="AD695" s="1"/>
      <c r="AE695" s="19"/>
      <c r="AF695" s="1"/>
      <c r="AG695" s="1"/>
      <c r="AH695" s="1"/>
      <c r="AI695" s="39"/>
      <c r="AJ695" s="39"/>
      <c r="AK695" s="39"/>
      <c r="AL695" s="39"/>
      <c r="AM695" s="1"/>
      <c r="AN695" s="1"/>
      <c r="AO695" s="39"/>
      <c r="AP695" s="39"/>
      <c r="AQ695" s="1"/>
      <c r="AR695" s="39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 t="s">
        <v>0</v>
      </c>
      <c r="AB696" s="1" t="s">
        <v>0</v>
      </c>
      <c r="AC696" s="23" t="s">
        <v>0</v>
      </c>
      <c r="AD696" s="1"/>
      <c r="AE696" s="19"/>
      <c r="AF696" s="1"/>
      <c r="AG696" s="1"/>
      <c r="AH696" s="1"/>
      <c r="AI696" s="39"/>
      <c r="AJ696" s="39"/>
      <c r="AK696" s="39"/>
      <c r="AL696" s="39"/>
      <c r="AM696" s="1"/>
      <c r="AN696" s="1"/>
      <c r="AO696" s="39"/>
      <c r="AP696" s="39"/>
      <c r="AQ696" s="1"/>
      <c r="AR696" s="39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 t="s">
        <v>0</v>
      </c>
      <c r="AB697" s="1" t="s">
        <v>0</v>
      </c>
      <c r="AC697" s="23" t="s">
        <v>0</v>
      </c>
      <c r="AD697" s="1"/>
      <c r="AE697" s="19"/>
      <c r="AF697" s="1"/>
      <c r="AG697" s="1"/>
      <c r="AH697" s="1"/>
      <c r="AI697" s="39"/>
      <c r="AJ697" s="39"/>
      <c r="AK697" s="39"/>
      <c r="AL697" s="39"/>
      <c r="AM697" s="1"/>
      <c r="AN697" s="1"/>
      <c r="AO697" s="39"/>
      <c r="AP697" s="39"/>
      <c r="AQ697" s="1"/>
      <c r="AR697" s="39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 t="s">
        <v>0</v>
      </c>
      <c r="AB698" s="1" t="s">
        <v>0</v>
      </c>
      <c r="AC698" s="23" t="s">
        <v>0</v>
      </c>
      <c r="AD698" s="1"/>
      <c r="AE698" s="19"/>
      <c r="AF698" s="1"/>
      <c r="AG698" s="1"/>
      <c r="AH698" s="1"/>
      <c r="AI698" s="39"/>
      <c r="AJ698" s="39"/>
      <c r="AK698" s="39"/>
      <c r="AL698" s="39"/>
      <c r="AM698" s="1"/>
      <c r="AN698" s="1"/>
      <c r="AO698" s="39"/>
      <c r="AP698" s="39"/>
      <c r="AQ698" s="1"/>
      <c r="AR698" s="39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 t="s">
        <v>0</v>
      </c>
      <c r="AB699" s="1" t="s">
        <v>0</v>
      </c>
      <c r="AC699" s="23" t="s">
        <v>0</v>
      </c>
      <c r="AD699" s="1"/>
      <c r="AE699" s="19"/>
      <c r="AF699" s="1"/>
      <c r="AG699" s="1"/>
      <c r="AH699" s="1"/>
      <c r="AI699" s="39"/>
      <c r="AJ699" s="39"/>
      <c r="AK699" s="39"/>
      <c r="AL699" s="39"/>
      <c r="AM699" s="1"/>
      <c r="AN699" s="1"/>
      <c r="AO699" s="39"/>
      <c r="AP699" s="39"/>
      <c r="AQ699" s="1"/>
      <c r="AR699" s="39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 t="s">
        <v>0</v>
      </c>
      <c r="AB700" s="1" t="s">
        <v>0</v>
      </c>
      <c r="AC700" s="23" t="s">
        <v>0</v>
      </c>
      <c r="AD700" s="1"/>
      <c r="AE700" s="19"/>
      <c r="AF700" s="1"/>
      <c r="AG700" s="1"/>
      <c r="AH700" s="1"/>
      <c r="AI700" s="39"/>
      <c r="AJ700" s="39"/>
      <c r="AK700" s="39"/>
      <c r="AL700" s="39"/>
      <c r="AM700" s="1"/>
      <c r="AN700" s="1"/>
      <c r="AO700" s="39"/>
      <c r="AP700" s="39"/>
      <c r="AQ700" s="1"/>
      <c r="AR700" s="39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 t="s">
        <v>0</v>
      </c>
      <c r="AB701" s="1" t="s">
        <v>0</v>
      </c>
      <c r="AC701" s="23" t="s">
        <v>0</v>
      </c>
      <c r="AD701" s="1"/>
      <c r="AE701" s="19"/>
      <c r="AF701" s="1"/>
      <c r="AG701" s="1"/>
      <c r="AH701" s="1"/>
      <c r="AI701" s="39"/>
      <c r="AJ701" s="39"/>
      <c r="AK701" s="39"/>
      <c r="AL701" s="39"/>
      <c r="AM701" s="1"/>
      <c r="AN701" s="1"/>
      <c r="AO701" s="39"/>
      <c r="AP701" s="39"/>
      <c r="AQ701" s="1"/>
      <c r="AR701" s="39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 t="s">
        <v>0</v>
      </c>
      <c r="AB702" s="1" t="s">
        <v>0</v>
      </c>
      <c r="AC702" s="23" t="s">
        <v>0</v>
      </c>
      <c r="AD702" s="1"/>
      <c r="AE702" s="19"/>
      <c r="AF702" s="1"/>
      <c r="AG702" s="1"/>
      <c r="AH702" s="1"/>
      <c r="AI702" s="39"/>
      <c r="AJ702" s="39"/>
      <c r="AK702" s="39"/>
      <c r="AL702" s="39"/>
      <c r="AM702" s="1"/>
      <c r="AN702" s="1"/>
      <c r="AO702" s="39"/>
      <c r="AP702" s="39"/>
      <c r="AQ702" s="1"/>
      <c r="AR702" s="39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 t="s">
        <v>0</v>
      </c>
      <c r="AB703" s="1" t="s">
        <v>0</v>
      </c>
      <c r="AC703" s="23" t="s">
        <v>0</v>
      </c>
      <c r="AD703" s="1"/>
      <c r="AE703" s="19"/>
      <c r="AF703" s="1"/>
      <c r="AG703" s="1"/>
      <c r="AH703" s="1"/>
      <c r="AI703" s="39"/>
      <c r="AJ703" s="39"/>
      <c r="AK703" s="39"/>
      <c r="AL703" s="39"/>
      <c r="AM703" s="1"/>
      <c r="AN703" s="1"/>
      <c r="AO703" s="39"/>
      <c r="AP703" s="39"/>
      <c r="AQ703" s="1"/>
      <c r="AR703" s="39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 t="s">
        <v>0</v>
      </c>
      <c r="AB704" s="1" t="s">
        <v>0</v>
      </c>
      <c r="AC704" s="23" t="s">
        <v>0</v>
      </c>
      <c r="AD704" s="1"/>
      <c r="AE704" s="19"/>
      <c r="AF704" s="1"/>
      <c r="AG704" s="1"/>
      <c r="AH704" s="1"/>
      <c r="AI704" s="39"/>
      <c r="AJ704" s="39"/>
      <c r="AK704" s="39"/>
      <c r="AL704" s="39"/>
      <c r="AM704" s="1"/>
      <c r="AN704" s="1"/>
      <c r="AO704" s="39"/>
      <c r="AP704" s="39"/>
      <c r="AQ704" s="1"/>
      <c r="AR704" s="39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 t="s">
        <v>0</v>
      </c>
      <c r="AB705" s="1" t="s">
        <v>0</v>
      </c>
      <c r="AC705" s="23" t="s">
        <v>0</v>
      </c>
      <c r="AD705" s="1"/>
      <c r="AE705" s="19"/>
      <c r="AF705" s="1"/>
      <c r="AG705" s="1"/>
      <c r="AH705" s="1"/>
      <c r="AI705" s="39"/>
      <c r="AJ705" s="39"/>
      <c r="AK705" s="39"/>
      <c r="AL705" s="39"/>
      <c r="AM705" s="1"/>
      <c r="AN705" s="1"/>
      <c r="AO705" s="39"/>
      <c r="AP705" s="39"/>
      <c r="AQ705" s="1"/>
      <c r="AR705" s="39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 t="s">
        <v>0</v>
      </c>
      <c r="AB706" s="1" t="s">
        <v>0</v>
      </c>
      <c r="AC706" s="23" t="s">
        <v>0</v>
      </c>
      <c r="AD706" s="1"/>
      <c r="AE706" s="19"/>
      <c r="AF706" s="1"/>
      <c r="AG706" s="1"/>
      <c r="AH706" s="1"/>
      <c r="AI706" s="39"/>
      <c r="AJ706" s="39"/>
      <c r="AK706" s="39"/>
      <c r="AL706" s="39"/>
      <c r="AM706" s="1"/>
      <c r="AN706" s="1"/>
      <c r="AO706" s="39"/>
      <c r="AP706" s="39"/>
      <c r="AQ706" s="1"/>
      <c r="AR706" s="39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 t="s">
        <v>0</v>
      </c>
      <c r="AB707" s="1" t="s">
        <v>0</v>
      </c>
      <c r="AC707" s="23" t="s">
        <v>0</v>
      </c>
      <c r="AD707" s="1"/>
      <c r="AE707" s="19"/>
      <c r="AF707" s="1"/>
      <c r="AG707" s="1"/>
      <c r="AH707" s="1"/>
      <c r="AI707" s="39"/>
      <c r="AJ707" s="39"/>
      <c r="AK707" s="39"/>
      <c r="AL707" s="39"/>
      <c r="AM707" s="1"/>
      <c r="AN707" s="1"/>
      <c r="AO707" s="39"/>
      <c r="AP707" s="39"/>
      <c r="AQ707" s="1"/>
      <c r="AR707" s="39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 t="s">
        <v>0</v>
      </c>
      <c r="AB708" s="1" t="s">
        <v>0</v>
      </c>
      <c r="AC708" s="23" t="s">
        <v>0</v>
      </c>
      <c r="AD708" s="1"/>
      <c r="AE708" s="19"/>
      <c r="AF708" s="1"/>
      <c r="AG708" s="1"/>
      <c r="AH708" s="1"/>
      <c r="AI708" s="39"/>
      <c r="AJ708" s="39"/>
      <c r="AK708" s="39"/>
      <c r="AL708" s="39"/>
      <c r="AM708" s="1"/>
      <c r="AN708" s="1"/>
      <c r="AO708" s="39"/>
      <c r="AP708" s="39"/>
      <c r="AQ708" s="1"/>
      <c r="AR708" s="39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 t="s">
        <v>0</v>
      </c>
      <c r="AB709" s="1" t="s">
        <v>0</v>
      </c>
      <c r="AC709" s="23" t="s">
        <v>0</v>
      </c>
      <c r="AD709" s="1"/>
      <c r="AE709" s="19"/>
      <c r="AF709" s="1"/>
      <c r="AG709" s="1"/>
      <c r="AH709" s="1"/>
      <c r="AI709" s="39"/>
      <c r="AJ709" s="39"/>
      <c r="AK709" s="39"/>
      <c r="AL709" s="39"/>
      <c r="AM709" s="1"/>
      <c r="AN709" s="1"/>
      <c r="AO709" s="39"/>
      <c r="AP709" s="39"/>
      <c r="AQ709" s="1"/>
      <c r="AR709" s="39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 t="s">
        <v>0</v>
      </c>
      <c r="AB710" s="1" t="s">
        <v>0</v>
      </c>
      <c r="AC710" s="23" t="s">
        <v>0</v>
      </c>
      <c r="AD710" s="1"/>
      <c r="AE710" s="19"/>
      <c r="AF710" s="1"/>
      <c r="AG710" s="1"/>
      <c r="AH710" s="1"/>
      <c r="AI710" s="39"/>
      <c r="AJ710" s="39"/>
      <c r="AK710" s="39"/>
      <c r="AL710" s="39"/>
      <c r="AM710" s="1"/>
      <c r="AN710" s="1"/>
      <c r="AO710" s="39"/>
      <c r="AP710" s="39"/>
      <c r="AQ710" s="1"/>
      <c r="AR710" s="39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 t="s">
        <v>0</v>
      </c>
      <c r="AB711" s="1" t="s">
        <v>0</v>
      </c>
      <c r="AC711" s="23" t="s">
        <v>0</v>
      </c>
      <c r="AD711" s="1"/>
      <c r="AE711" s="19"/>
      <c r="AF711" s="1"/>
      <c r="AG711" s="1"/>
      <c r="AH711" s="1"/>
      <c r="AI711" s="39"/>
      <c r="AJ711" s="39"/>
      <c r="AK711" s="39"/>
      <c r="AL711" s="39"/>
      <c r="AM711" s="1"/>
      <c r="AN711" s="1"/>
      <c r="AO711" s="39"/>
      <c r="AP711" s="39"/>
      <c r="AQ711" s="1"/>
      <c r="AR711" s="39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 t="s">
        <v>0</v>
      </c>
      <c r="AB712" s="1" t="s">
        <v>0</v>
      </c>
      <c r="AC712" s="23" t="s">
        <v>0</v>
      </c>
      <c r="AD712" s="1"/>
      <c r="AE712" s="19"/>
      <c r="AF712" s="1"/>
      <c r="AG712" s="1"/>
      <c r="AH712" s="1"/>
      <c r="AI712" s="39"/>
      <c r="AJ712" s="39"/>
      <c r="AK712" s="39"/>
      <c r="AL712" s="39"/>
      <c r="AM712" s="1"/>
      <c r="AN712" s="1"/>
      <c r="AO712" s="39"/>
      <c r="AP712" s="39"/>
      <c r="AQ712" s="1"/>
      <c r="AR712" s="39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 t="s">
        <v>0</v>
      </c>
      <c r="AB713" s="1" t="s">
        <v>0</v>
      </c>
      <c r="AC713" s="23" t="s">
        <v>0</v>
      </c>
      <c r="AD713" s="1"/>
      <c r="AE713" s="19"/>
      <c r="AF713" s="1"/>
      <c r="AG713" s="1"/>
      <c r="AH713" s="1"/>
      <c r="AI713" s="39"/>
      <c r="AJ713" s="39"/>
      <c r="AK713" s="39"/>
      <c r="AL713" s="39"/>
      <c r="AM713" s="1"/>
      <c r="AN713" s="1"/>
      <c r="AO713" s="39"/>
      <c r="AP713" s="39"/>
      <c r="AQ713" s="1"/>
      <c r="AR713" s="39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 t="s">
        <v>0</v>
      </c>
      <c r="AB714" s="1" t="s">
        <v>0</v>
      </c>
      <c r="AC714" s="23" t="s">
        <v>0</v>
      </c>
      <c r="AD714" s="1"/>
      <c r="AE714" s="19"/>
      <c r="AF714" s="1"/>
      <c r="AG714" s="1"/>
      <c r="AH714" s="1"/>
      <c r="AI714" s="39"/>
      <c r="AJ714" s="39"/>
      <c r="AK714" s="39"/>
      <c r="AL714" s="39"/>
      <c r="AM714" s="1"/>
      <c r="AN714" s="1"/>
      <c r="AO714" s="39"/>
      <c r="AP714" s="39"/>
      <c r="AQ714" s="1"/>
      <c r="AR714" s="39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 t="s">
        <v>0</v>
      </c>
      <c r="AB715" s="1" t="s">
        <v>0</v>
      </c>
      <c r="AC715" s="23" t="s">
        <v>0</v>
      </c>
      <c r="AD715" s="1"/>
      <c r="AE715" s="19"/>
      <c r="AF715" s="1"/>
      <c r="AG715" s="1"/>
      <c r="AH715" s="1"/>
      <c r="AI715" s="39"/>
      <c r="AJ715" s="39"/>
      <c r="AK715" s="39"/>
      <c r="AL715" s="39"/>
      <c r="AM715" s="1"/>
      <c r="AN715" s="1"/>
      <c r="AO715" s="39"/>
      <c r="AP715" s="39"/>
      <c r="AQ715" s="1"/>
      <c r="AR715" s="39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 t="s">
        <v>0</v>
      </c>
      <c r="AB716" s="1" t="s">
        <v>0</v>
      </c>
      <c r="AC716" s="23" t="s">
        <v>0</v>
      </c>
      <c r="AD716" s="1"/>
      <c r="AE716" s="19"/>
      <c r="AF716" s="1"/>
      <c r="AG716" s="1"/>
      <c r="AH716" s="1"/>
      <c r="AI716" s="39"/>
      <c r="AJ716" s="39"/>
      <c r="AK716" s="39"/>
      <c r="AL716" s="39"/>
      <c r="AM716" s="1"/>
      <c r="AN716" s="1"/>
      <c r="AO716" s="39"/>
      <c r="AP716" s="39"/>
      <c r="AQ716" s="1"/>
      <c r="AR716" s="39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 t="s">
        <v>0</v>
      </c>
      <c r="AB717" s="1" t="s">
        <v>0</v>
      </c>
      <c r="AC717" s="23" t="s">
        <v>0</v>
      </c>
      <c r="AD717" s="1"/>
      <c r="AE717" s="19"/>
      <c r="AF717" s="1"/>
      <c r="AG717" s="1"/>
      <c r="AH717" s="1"/>
      <c r="AI717" s="39"/>
      <c r="AJ717" s="39"/>
      <c r="AK717" s="39"/>
      <c r="AL717" s="39"/>
      <c r="AM717" s="1"/>
      <c r="AN717" s="1"/>
      <c r="AO717" s="39"/>
      <c r="AP717" s="39"/>
      <c r="AQ717" s="1"/>
      <c r="AR717" s="39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 t="s">
        <v>0</v>
      </c>
      <c r="AB718" s="1" t="s">
        <v>0</v>
      </c>
      <c r="AC718" s="23" t="s">
        <v>0</v>
      </c>
      <c r="AD718" s="1"/>
      <c r="AE718" s="19"/>
      <c r="AF718" s="1"/>
      <c r="AG718" s="1"/>
      <c r="AH718" s="1"/>
      <c r="AI718" s="39"/>
      <c r="AJ718" s="39"/>
      <c r="AK718" s="39"/>
      <c r="AL718" s="39"/>
      <c r="AM718" s="1"/>
      <c r="AN718" s="1"/>
      <c r="AO718" s="39"/>
      <c r="AP718" s="39"/>
      <c r="AQ718" s="1"/>
      <c r="AR718" s="39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 t="s">
        <v>0</v>
      </c>
      <c r="AB719" s="1" t="s">
        <v>0</v>
      </c>
      <c r="AC719" s="23" t="s">
        <v>0</v>
      </c>
      <c r="AD719" s="1"/>
      <c r="AE719" s="19"/>
      <c r="AF719" s="1"/>
      <c r="AG719" s="1"/>
      <c r="AH719" s="1"/>
      <c r="AI719" s="39"/>
      <c r="AJ719" s="39"/>
      <c r="AK719" s="39"/>
      <c r="AL719" s="39"/>
      <c r="AM719" s="1"/>
      <c r="AN719" s="1"/>
      <c r="AO719" s="39"/>
      <c r="AP719" s="39"/>
      <c r="AQ719" s="1"/>
      <c r="AR719" s="39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 t="s">
        <v>0</v>
      </c>
      <c r="AB720" s="1" t="s">
        <v>0</v>
      </c>
      <c r="AC720" s="23" t="s">
        <v>0</v>
      </c>
      <c r="AD720" s="1"/>
      <c r="AE720" s="19"/>
      <c r="AF720" s="1"/>
      <c r="AG720" s="1"/>
      <c r="AH720" s="1"/>
      <c r="AI720" s="39"/>
      <c r="AJ720" s="39"/>
      <c r="AK720" s="39"/>
      <c r="AL720" s="39"/>
      <c r="AM720" s="1"/>
      <c r="AN720" s="1"/>
      <c r="AO720" s="39"/>
      <c r="AP720" s="39"/>
      <c r="AQ720" s="1"/>
      <c r="AR720" s="39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 t="s">
        <v>0</v>
      </c>
      <c r="AB721" s="1" t="s">
        <v>0</v>
      </c>
      <c r="AC721" s="23" t="s">
        <v>0</v>
      </c>
      <c r="AD721" s="1"/>
      <c r="AE721" s="19"/>
      <c r="AF721" s="1"/>
      <c r="AG721" s="1"/>
      <c r="AH721" s="1"/>
      <c r="AI721" s="39"/>
      <c r="AJ721" s="39"/>
      <c r="AK721" s="39"/>
      <c r="AL721" s="39"/>
      <c r="AM721" s="1"/>
      <c r="AN721" s="1"/>
      <c r="AO721" s="39"/>
      <c r="AP721" s="39"/>
      <c r="AQ721" s="1"/>
      <c r="AR721" s="39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 t="s">
        <v>0</v>
      </c>
      <c r="AB722" s="1" t="s">
        <v>0</v>
      </c>
      <c r="AC722" s="23" t="s">
        <v>0</v>
      </c>
      <c r="AD722" s="1"/>
      <c r="AE722" s="19"/>
      <c r="AF722" s="1"/>
      <c r="AG722" s="1"/>
      <c r="AH722" s="1"/>
      <c r="AI722" s="39"/>
      <c r="AJ722" s="39"/>
      <c r="AK722" s="39"/>
      <c r="AL722" s="39"/>
      <c r="AM722" s="1"/>
      <c r="AN722" s="1"/>
      <c r="AO722" s="39"/>
      <c r="AP722" s="39"/>
      <c r="AQ722" s="1"/>
      <c r="AR722" s="39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 t="s">
        <v>0</v>
      </c>
      <c r="AB723" s="1" t="s">
        <v>0</v>
      </c>
      <c r="AC723" s="23" t="s">
        <v>0</v>
      </c>
      <c r="AD723" s="1"/>
      <c r="AE723" s="19"/>
      <c r="AF723" s="1"/>
      <c r="AG723" s="1"/>
      <c r="AH723" s="1"/>
      <c r="AI723" s="39"/>
      <c r="AJ723" s="39"/>
      <c r="AK723" s="39"/>
      <c r="AL723" s="39"/>
      <c r="AM723" s="1"/>
      <c r="AN723" s="1"/>
      <c r="AO723" s="39"/>
      <c r="AP723" s="39"/>
      <c r="AQ723" s="1"/>
      <c r="AR723" s="39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 t="s">
        <v>0</v>
      </c>
      <c r="AB724" s="1" t="s">
        <v>0</v>
      </c>
      <c r="AC724" s="23" t="s">
        <v>0</v>
      </c>
      <c r="AD724" s="1"/>
      <c r="AE724" s="19"/>
      <c r="AF724" s="1"/>
      <c r="AG724" s="1"/>
      <c r="AH724" s="1"/>
      <c r="AI724" s="39"/>
      <c r="AJ724" s="39"/>
      <c r="AK724" s="39"/>
      <c r="AL724" s="39"/>
      <c r="AM724" s="1"/>
      <c r="AN724" s="1"/>
      <c r="AO724" s="39"/>
      <c r="AP724" s="39"/>
      <c r="AQ724" s="1"/>
      <c r="AR724" s="39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 t="s">
        <v>0</v>
      </c>
      <c r="AB725" s="1" t="s">
        <v>0</v>
      </c>
      <c r="AC725" s="23" t="s">
        <v>0</v>
      </c>
      <c r="AD725" s="1"/>
      <c r="AE725" s="19"/>
      <c r="AF725" s="1"/>
      <c r="AG725" s="1"/>
      <c r="AH725" s="1"/>
      <c r="AI725" s="39"/>
      <c r="AJ725" s="39"/>
      <c r="AK725" s="39"/>
      <c r="AL725" s="39"/>
      <c r="AM725" s="1"/>
      <c r="AN725" s="1"/>
      <c r="AO725" s="39"/>
      <c r="AP725" s="39"/>
      <c r="AQ725" s="1"/>
      <c r="AR725" s="39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 t="s">
        <v>0</v>
      </c>
      <c r="AB726" s="1" t="s">
        <v>0</v>
      </c>
      <c r="AC726" s="23" t="s">
        <v>0</v>
      </c>
      <c r="AD726" s="1"/>
      <c r="AE726" s="19"/>
      <c r="AF726" s="1"/>
      <c r="AG726" s="1"/>
      <c r="AH726" s="1"/>
      <c r="AI726" s="39"/>
      <c r="AJ726" s="39"/>
      <c r="AK726" s="39"/>
      <c r="AL726" s="39"/>
      <c r="AM726" s="1"/>
      <c r="AN726" s="1"/>
      <c r="AO726" s="39"/>
      <c r="AP726" s="39"/>
      <c r="AQ726" s="1"/>
      <c r="AR726" s="39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 t="s">
        <v>0</v>
      </c>
      <c r="AB727" s="1" t="s">
        <v>0</v>
      </c>
      <c r="AC727" s="23" t="s">
        <v>0</v>
      </c>
      <c r="AD727" s="1"/>
      <c r="AE727" s="19"/>
      <c r="AF727" s="1"/>
      <c r="AG727" s="1"/>
      <c r="AH727" s="1"/>
      <c r="AI727" s="39"/>
      <c r="AJ727" s="39"/>
      <c r="AK727" s="39"/>
      <c r="AL727" s="39"/>
      <c r="AM727" s="1"/>
      <c r="AN727" s="1"/>
      <c r="AO727" s="39"/>
      <c r="AP727" s="39"/>
      <c r="AQ727" s="1"/>
      <c r="AR727" s="39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 t="s">
        <v>0</v>
      </c>
      <c r="AB728" s="1" t="s">
        <v>0</v>
      </c>
      <c r="AC728" s="23" t="s">
        <v>0</v>
      </c>
      <c r="AD728" s="1"/>
      <c r="AE728" s="19"/>
      <c r="AF728" s="1"/>
      <c r="AG728" s="1"/>
      <c r="AH728" s="1"/>
      <c r="AI728" s="39"/>
      <c r="AJ728" s="39"/>
      <c r="AK728" s="39"/>
      <c r="AL728" s="39"/>
      <c r="AM728" s="1"/>
      <c r="AN728" s="1"/>
      <c r="AO728" s="39"/>
      <c r="AP728" s="39"/>
      <c r="AQ728" s="1"/>
      <c r="AR728" s="39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 t="s">
        <v>0</v>
      </c>
      <c r="AB729" s="1" t="s">
        <v>0</v>
      </c>
      <c r="AC729" s="23" t="s">
        <v>0</v>
      </c>
      <c r="AD729" s="1"/>
      <c r="AE729" s="19"/>
      <c r="AF729" s="1"/>
      <c r="AG729" s="1"/>
      <c r="AH729" s="1"/>
      <c r="AI729" s="39"/>
      <c r="AJ729" s="39"/>
      <c r="AK729" s="39"/>
      <c r="AL729" s="39"/>
      <c r="AM729" s="1"/>
      <c r="AN729" s="1"/>
      <c r="AO729" s="39"/>
      <c r="AP729" s="39"/>
      <c r="AQ729" s="1"/>
      <c r="AR729" s="39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 t="s">
        <v>0</v>
      </c>
      <c r="AB730" s="1" t="s">
        <v>0</v>
      </c>
      <c r="AC730" s="23" t="s">
        <v>0</v>
      </c>
      <c r="AD730" s="1"/>
      <c r="AE730" s="19"/>
      <c r="AF730" s="1"/>
      <c r="AG730" s="1"/>
      <c r="AH730" s="1"/>
      <c r="AI730" s="39"/>
      <c r="AJ730" s="39"/>
      <c r="AK730" s="39"/>
      <c r="AL730" s="39"/>
      <c r="AM730" s="1"/>
      <c r="AN730" s="1"/>
      <c r="AO730" s="39"/>
      <c r="AP730" s="39"/>
      <c r="AQ730" s="1"/>
      <c r="AR730" s="39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 t="s">
        <v>0</v>
      </c>
      <c r="AB731" s="1" t="s">
        <v>0</v>
      </c>
      <c r="AC731" s="23" t="s">
        <v>0</v>
      </c>
      <c r="AD731" s="1"/>
      <c r="AE731" s="19"/>
      <c r="AF731" s="1"/>
      <c r="AG731" s="1"/>
      <c r="AH731" s="1"/>
      <c r="AI731" s="39"/>
      <c r="AJ731" s="39"/>
      <c r="AK731" s="39"/>
      <c r="AL731" s="39"/>
      <c r="AM731" s="1"/>
      <c r="AN731" s="1"/>
      <c r="AO731" s="39"/>
      <c r="AP731" s="39"/>
      <c r="AQ731" s="1"/>
      <c r="AR731" s="39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 t="s">
        <v>0</v>
      </c>
      <c r="AB732" s="1" t="s">
        <v>0</v>
      </c>
      <c r="AC732" s="23" t="s">
        <v>0</v>
      </c>
      <c r="AD732" s="1"/>
      <c r="AE732" s="19"/>
      <c r="AF732" s="1"/>
      <c r="AG732" s="1"/>
      <c r="AH732" s="1"/>
      <c r="AI732" s="39"/>
      <c r="AJ732" s="39"/>
      <c r="AK732" s="39"/>
      <c r="AL732" s="39"/>
      <c r="AM732" s="1"/>
      <c r="AN732" s="1"/>
      <c r="AO732" s="39"/>
      <c r="AP732" s="39"/>
      <c r="AQ732" s="1"/>
      <c r="AR732" s="39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 t="s">
        <v>0</v>
      </c>
      <c r="AB733" s="1" t="s">
        <v>0</v>
      </c>
      <c r="AC733" s="23" t="s">
        <v>0</v>
      </c>
      <c r="AD733" s="1"/>
      <c r="AE733" s="19"/>
      <c r="AF733" s="1"/>
      <c r="AG733" s="1"/>
      <c r="AH733" s="1"/>
      <c r="AI733" s="39"/>
      <c r="AJ733" s="39"/>
      <c r="AK733" s="39"/>
      <c r="AL733" s="39"/>
      <c r="AM733" s="1"/>
      <c r="AN733" s="1"/>
      <c r="AO733" s="39"/>
      <c r="AP733" s="39"/>
      <c r="AQ733" s="1"/>
      <c r="AR733" s="39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 t="s">
        <v>0</v>
      </c>
      <c r="AB734" s="1" t="s">
        <v>0</v>
      </c>
      <c r="AC734" s="23" t="s">
        <v>0</v>
      </c>
      <c r="AD734" s="1"/>
      <c r="AE734" s="19"/>
      <c r="AF734" s="1"/>
      <c r="AG734" s="1"/>
      <c r="AH734" s="1"/>
      <c r="AI734" s="39"/>
      <c r="AJ734" s="39"/>
      <c r="AK734" s="39"/>
      <c r="AL734" s="39"/>
      <c r="AM734" s="1"/>
      <c r="AN734" s="1"/>
      <c r="AO734" s="39"/>
      <c r="AP734" s="39"/>
      <c r="AQ734" s="1"/>
      <c r="AR734" s="39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 t="s">
        <v>0</v>
      </c>
      <c r="AB735" s="1" t="s">
        <v>0</v>
      </c>
      <c r="AC735" s="23" t="s">
        <v>0</v>
      </c>
      <c r="AD735" s="1"/>
      <c r="AE735" s="19"/>
      <c r="AF735" s="1"/>
      <c r="AG735" s="1"/>
      <c r="AH735" s="1"/>
      <c r="AI735" s="39"/>
      <c r="AJ735" s="39"/>
      <c r="AK735" s="39"/>
      <c r="AL735" s="39"/>
      <c r="AM735" s="1"/>
      <c r="AN735" s="1"/>
      <c r="AO735" s="39"/>
      <c r="AP735" s="39"/>
      <c r="AQ735" s="1"/>
      <c r="AR735" s="39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 t="s">
        <v>0</v>
      </c>
      <c r="AB736" s="1" t="s">
        <v>0</v>
      </c>
      <c r="AC736" s="23" t="s">
        <v>0</v>
      </c>
      <c r="AD736" s="1"/>
      <c r="AE736" s="19"/>
      <c r="AF736" s="1"/>
      <c r="AG736" s="1"/>
      <c r="AH736" s="1"/>
      <c r="AI736" s="39"/>
      <c r="AJ736" s="39"/>
      <c r="AK736" s="39"/>
      <c r="AL736" s="39"/>
      <c r="AM736" s="1"/>
      <c r="AN736" s="1"/>
      <c r="AO736" s="39"/>
      <c r="AP736" s="39"/>
      <c r="AQ736" s="1"/>
      <c r="AR736" s="39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 t="s">
        <v>0</v>
      </c>
      <c r="AB737" s="1" t="s">
        <v>0</v>
      </c>
      <c r="AC737" s="23" t="s">
        <v>0</v>
      </c>
      <c r="AD737" s="1"/>
      <c r="AE737" s="19"/>
      <c r="AF737" s="1"/>
      <c r="AG737" s="1"/>
      <c r="AH737" s="1"/>
      <c r="AI737" s="39"/>
      <c r="AJ737" s="39"/>
      <c r="AK737" s="39"/>
      <c r="AL737" s="39"/>
      <c r="AM737" s="1"/>
      <c r="AN737" s="1"/>
      <c r="AO737" s="39"/>
      <c r="AP737" s="39"/>
      <c r="AQ737" s="1"/>
      <c r="AR737" s="39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 t="s">
        <v>0</v>
      </c>
      <c r="AB738" s="1" t="s">
        <v>0</v>
      </c>
      <c r="AC738" s="23" t="s">
        <v>0</v>
      </c>
      <c r="AD738" s="1"/>
      <c r="AE738" s="19"/>
      <c r="AF738" s="1"/>
      <c r="AG738" s="1"/>
      <c r="AH738" s="1"/>
      <c r="AI738" s="39"/>
      <c r="AJ738" s="39"/>
      <c r="AK738" s="39"/>
      <c r="AL738" s="39"/>
      <c r="AM738" s="1"/>
      <c r="AN738" s="1"/>
      <c r="AO738" s="39"/>
      <c r="AP738" s="39"/>
      <c r="AQ738" s="1"/>
      <c r="AR738" s="39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 t="s">
        <v>0</v>
      </c>
      <c r="AB739" s="1" t="s">
        <v>0</v>
      </c>
      <c r="AC739" s="23" t="s">
        <v>0</v>
      </c>
      <c r="AD739" s="1"/>
      <c r="AE739" s="19"/>
      <c r="AF739" s="1"/>
      <c r="AG739" s="1"/>
      <c r="AH739" s="1"/>
      <c r="AI739" s="39"/>
      <c r="AJ739" s="39"/>
      <c r="AK739" s="39"/>
      <c r="AL739" s="39"/>
      <c r="AM739" s="1"/>
      <c r="AN739" s="1"/>
      <c r="AO739" s="39"/>
      <c r="AP739" s="39"/>
      <c r="AQ739" s="1"/>
      <c r="AR739" s="39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 t="s">
        <v>0</v>
      </c>
      <c r="AB740" s="1" t="s">
        <v>0</v>
      </c>
      <c r="AC740" s="23" t="s">
        <v>0</v>
      </c>
      <c r="AD740" s="1"/>
      <c r="AE740" s="19"/>
      <c r="AF740" s="1"/>
      <c r="AG740" s="1"/>
      <c r="AH740" s="1"/>
      <c r="AI740" s="39"/>
      <c r="AJ740" s="39"/>
      <c r="AK740" s="39"/>
      <c r="AL740" s="39"/>
      <c r="AM740" s="1"/>
      <c r="AN740" s="1"/>
      <c r="AO740" s="39"/>
      <c r="AP740" s="39"/>
      <c r="AQ740" s="1"/>
      <c r="AR740" s="39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 t="s">
        <v>0</v>
      </c>
      <c r="AB741" s="1" t="s">
        <v>0</v>
      </c>
      <c r="AC741" s="23" t="s">
        <v>0</v>
      </c>
      <c r="AD741" s="1"/>
      <c r="AE741" s="19"/>
      <c r="AF741" s="1"/>
      <c r="AG741" s="1"/>
      <c r="AH741" s="1"/>
      <c r="AI741" s="39"/>
      <c r="AJ741" s="39"/>
      <c r="AK741" s="39"/>
      <c r="AL741" s="39"/>
      <c r="AM741" s="1"/>
      <c r="AN741" s="1"/>
      <c r="AO741" s="39"/>
      <c r="AP741" s="39"/>
      <c r="AQ741" s="1"/>
      <c r="AR741" s="39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 t="s">
        <v>0</v>
      </c>
      <c r="AB742" s="1" t="s">
        <v>0</v>
      </c>
      <c r="AC742" s="23" t="s">
        <v>0</v>
      </c>
      <c r="AD742" s="1"/>
      <c r="AE742" s="19"/>
      <c r="AF742" s="1"/>
      <c r="AG742" s="1"/>
      <c r="AH742" s="1"/>
      <c r="AI742" s="39"/>
      <c r="AJ742" s="39"/>
      <c r="AK742" s="39"/>
      <c r="AL742" s="39"/>
      <c r="AM742" s="1"/>
      <c r="AN742" s="1"/>
      <c r="AO742" s="39"/>
      <c r="AP742" s="39"/>
      <c r="AQ742" s="1"/>
      <c r="AR742" s="39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 t="s">
        <v>0</v>
      </c>
      <c r="AB743" s="1" t="s">
        <v>0</v>
      </c>
      <c r="AC743" s="23" t="s">
        <v>0</v>
      </c>
      <c r="AD743" s="1"/>
      <c r="AE743" s="19"/>
      <c r="AF743" s="1"/>
      <c r="AG743" s="1"/>
      <c r="AH743" s="1"/>
      <c r="AI743" s="39"/>
      <c r="AJ743" s="39"/>
      <c r="AK743" s="39"/>
      <c r="AL743" s="39"/>
      <c r="AM743" s="1"/>
      <c r="AN743" s="1"/>
      <c r="AO743" s="39"/>
      <c r="AP743" s="39"/>
      <c r="AQ743" s="1"/>
      <c r="AR743" s="39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 t="s">
        <v>0</v>
      </c>
      <c r="AB744" s="1" t="s">
        <v>0</v>
      </c>
      <c r="AC744" s="23" t="s">
        <v>0</v>
      </c>
      <c r="AD744" s="1"/>
      <c r="AE744" s="19"/>
      <c r="AF744" s="1"/>
      <c r="AG744" s="1"/>
      <c r="AH744" s="1"/>
      <c r="AI744" s="39"/>
      <c r="AJ744" s="39"/>
      <c r="AK744" s="39"/>
      <c r="AL744" s="39"/>
      <c r="AM744" s="1"/>
      <c r="AN744" s="1"/>
      <c r="AO744" s="39"/>
      <c r="AP744" s="39"/>
      <c r="AQ744" s="1"/>
      <c r="AR744" s="39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 t="s">
        <v>0</v>
      </c>
      <c r="AB745" s="1" t="s">
        <v>0</v>
      </c>
      <c r="AC745" s="23" t="s">
        <v>0</v>
      </c>
      <c r="AD745" s="1"/>
      <c r="AE745" s="19"/>
      <c r="AF745" s="1"/>
      <c r="AG745" s="1"/>
      <c r="AH745" s="1"/>
      <c r="AI745" s="39"/>
      <c r="AJ745" s="39"/>
      <c r="AK745" s="39"/>
      <c r="AL745" s="39"/>
      <c r="AM745" s="1"/>
      <c r="AN745" s="1"/>
      <c r="AO745" s="39"/>
      <c r="AP745" s="39"/>
      <c r="AQ745" s="1"/>
      <c r="AR745" s="39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 t="s">
        <v>0</v>
      </c>
      <c r="AB746" s="1" t="s">
        <v>0</v>
      </c>
      <c r="AC746" s="23" t="s">
        <v>0</v>
      </c>
      <c r="AD746" s="1"/>
      <c r="AE746" s="19"/>
      <c r="AF746" s="1"/>
      <c r="AG746" s="1"/>
      <c r="AH746" s="1"/>
      <c r="AI746" s="39"/>
      <c r="AJ746" s="39"/>
      <c r="AK746" s="39"/>
      <c r="AL746" s="39"/>
      <c r="AM746" s="1"/>
      <c r="AN746" s="1"/>
      <c r="AO746" s="39"/>
      <c r="AP746" s="39"/>
      <c r="AQ746" s="1"/>
      <c r="AR746" s="39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 t="s">
        <v>0</v>
      </c>
      <c r="AB747" s="1" t="s">
        <v>0</v>
      </c>
      <c r="AC747" s="23" t="s">
        <v>0</v>
      </c>
      <c r="AD747" s="1"/>
      <c r="AE747" s="19"/>
      <c r="AF747" s="1"/>
      <c r="AG747" s="1"/>
      <c r="AH747" s="1"/>
      <c r="AI747" s="39"/>
      <c r="AJ747" s="39"/>
      <c r="AK747" s="39"/>
      <c r="AL747" s="39"/>
      <c r="AM747" s="1"/>
      <c r="AN747" s="1"/>
      <c r="AO747" s="39"/>
      <c r="AP747" s="39"/>
      <c r="AQ747" s="1"/>
      <c r="AR747" s="39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 t="s">
        <v>0</v>
      </c>
      <c r="AB748" s="1" t="s">
        <v>0</v>
      </c>
      <c r="AC748" s="23" t="s">
        <v>0</v>
      </c>
      <c r="AD748" s="1"/>
      <c r="AE748" s="19"/>
      <c r="AF748" s="1"/>
      <c r="AG748" s="1"/>
      <c r="AH748" s="1"/>
      <c r="AI748" s="39"/>
      <c r="AJ748" s="39"/>
      <c r="AK748" s="39"/>
      <c r="AL748" s="39"/>
      <c r="AM748" s="1"/>
      <c r="AN748" s="1"/>
      <c r="AO748" s="39"/>
      <c r="AP748" s="39"/>
      <c r="AQ748" s="1"/>
      <c r="AR748" s="39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 t="s">
        <v>0</v>
      </c>
      <c r="AB749" s="1" t="s">
        <v>0</v>
      </c>
      <c r="AC749" s="23" t="s">
        <v>0</v>
      </c>
      <c r="AD749" s="1"/>
      <c r="AE749" s="19"/>
      <c r="AF749" s="1"/>
      <c r="AG749" s="1"/>
      <c r="AH749" s="1"/>
      <c r="AI749" s="39"/>
      <c r="AJ749" s="39"/>
      <c r="AK749" s="39"/>
      <c r="AL749" s="39"/>
      <c r="AM749" s="1"/>
      <c r="AN749" s="1"/>
      <c r="AO749" s="39"/>
      <c r="AP749" s="39"/>
      <c r="AQ749" s="1"/>
      <c r="AR749" s="39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 t="s">
        <v>0</v>
      </c>
      <c r="AB750" s="1" t="s">
        <v>0</v>
      </c>
      <c r="AC750" s="23" t="s">
        <v>0</v>
      </c>
      <c r="AD750" s="1"/>
      <c r="AE750" s="19"/>
      <c r="AF750" s="1"/>
      <c r="AG750" s="1"/>
      <c r="AH750" s="1"/>
      <c r="AI750" s="39"/>
      <c r="AJ750" s="39"/>
      <c r="AK750" s="39"/>
      <c r="AL750" s="39"/>
      <c r="AM750" s="1"/>
      <c r="AN750" s="1"/>
      <c r="AO750" s="39"/>
      <c r="AP750" s="39"/>
      <c r="AQ750" s="1"/>
      <c r="AR750" s="39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 t="s">
        <v>0</v>
      </c>
      <c r="AB751" s="1" t="s">
        <v>0</v>
      </c>
      <c r="AC751" s="23" t="s">
        <v>0</v>
      </c>
      <c r="AD751" s="1"/>
      <c r="AE751" s="19"/>
      <c r="AF751" s="1"/>
      <c r="AG751" s="1"/>
      <c r="AH751" s="1"/>
      <c r="AI751" s="39"/>
      <c r="AJ751" s="39"/>
      <c r="AK751" s="39"/>
      <c r="AL751" s="39"/>
      <c r="AM751" s="1"/>
      <c r="AN751" s="1"/>
      <c r="AO751" s="39"/>
      <c r="AP751" s="39"/>
      <c r="AQ751" s="1"/>
      <c r="AR751" s="39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 t="s">
        <v>0</v>
      </c>
      <c r="AB752" s="1" t="s">
        <v>0</v>
      </c>
      <c r="AC752" s="23" t="s">
        <v>0</v>
      </c>
      <c r="AD752" s="1"/>
      <c r="AE752" s="19"/>
      <c r="AF752" s="1"/>
      <c r="AG752" s="1"/>
      <c r="AH752" s="1"/>
      <c r="AI752" s="39"/>
      <c r="AJ752" s="39"/>
      <c r="AK752" s="39"/>
      <c r="AL752" s="39"/>
      <c r="AM752" s="1"/>
      <c r="AN752" s="1"/>
      <c r="AO752" s="39"/>
      <c r="AP752" s="39"/>
      <c r="AQ752" s="1"/>
      <c r="AR752" s="39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 t="s">
        <v>0</v>
      </c>
      <c r="AB753" s="1" t="s">
        <v>0</v>
      </c>
      <c r="AC753" s="23" t="s">
        <v>0</v>
      </c>
      <c r="AD753" s="1"/>
      <c r="AE753" s="19"/>
      <c r="AF753" s="1"/>
      <c r="AG753" s="1"/>
      <c r="AH753" s="1"/>
      <c r="AI753" s="39"/>
      <c r="AJ753" s="39"/>
      <c r="AK753" s="39"/>
      <c r="AL753" s="39"/>
      <c r="AM753" s="1"/>
      <c r="AN753" s="1"/>
      <c r="AO753" s="39"/>
      <c r="AP753" s="39"/>
      <c r="AQ753" s="1"/>
      <c r="AR753" s="39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 t="s">
        <v>0</v>
      </c>
      <c r="AB754" s="1" t="s">
        <v>0</v>
      </c>
      <c r="AC754" s="23" t="s">
        <v>0</v>
      </c>
      <c r="AD754" s="1"/>
      <c r="AE754" s="19"/>
      <c r="AF754" s="1"/>
      <c r="AG754" s="1"/>
      <c r="AH754" s="1"/>
      <c r="AI754" s="39"/>
      <c r="AJ754" s="39"/>
      <c r="AK754" s="39"/>
      <c r="AL754" s="39"/>
      <c r="AM754" s="1"/>
      <c r="AN754" s="1"/>
      <c r="AO754" s="39"/>
      <c r="AP754" s="39"/>
      <c r="AQ754" s="1"/>
      <c r="AR754" s="39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 t="s">
        <v>0</v>
      </c>
      <c r="AB755" s="1" t="s">
        <v>0</v>
      </c>
      <c r="AC755" s="23" t="s">
        <v>0</v>
      </c>
      <c r="AD755" s="1"/>
      <c r="AE755" s="19"/>
      <c r="AF755" s="1"/>
      <c r="AG755" s="1"/>
      <c r="AH755" s="1"/>
      <c r="AI755" s="39"/>
      <c r="AJ755" s="39"/>
      <c r="AK755" s="39"/>
      <c r="AL755" s="39"/>
      <c r="AM755" s="1"/>
      <c r="AN755" s="1"/>
      <c r="AO755" s="39"/>
      <c r="AP755" s="39"/>
      <c r="AQ755" s="1"/>
      <c r="AR755" s="39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 t="s">
        <v>0</v>
      </c>
      <c r="AB756" s="1" t="s">
        <v>0</v>
      </c>
      <c r="AC756" s="23" t="s">
        <v>0</v>
      </c>
      <c r="AD756" s="1"/>
      <c r="AE756" s="19"/>
      <c r="AF756" s="1"/>
      <c r="AG756" s="1"/>
      <c r="AH756" s="1"/>
      <c r="AI756" s="39"/>
      <c r="AJ756" s="39"/>
      <c r="AK756" s="39"/>
      <c r="AL756" s="39"/>
      <c r="AM756" s="1"/>
      <c r="AN756" s="1"/>
      <c r="AO756" s="39"/>
      <c r="AP756" s="39"/>
      <c r="AQ756" s="1"/>
      <c r="AR756" s="39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 t="s">
        <v>0</v>
      </c>
      <c r="AB757" s="1" t="s">
        <v>0</v>
      </c>
      <c r="AC757" s="23" t="s">
        <v>0</v>
      </c>
      <c r="AD757" s="1"/>
      <c r="AE757" s="19"/>
      <c r="AF757" s="1"/>
      <c r="AG757" s="1"/>
      <c r="AH757" s="1"/>
      <c r="AI757" s="39"/>
      <c r="AJ757" s="39"/>
      <c r="AK757" s="39"/>
      <c r="AL757" s="39"/>
      <c r="AM757" s="1"/>
      <c r="AN757" s="1"/>
      <c r="AO757" s="39"/>
      <c r="AP757" s="39"/>
      <c r="AQ757" s="1"/>
      <c r="AR757" s="39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 t="s">
        <v>0</v>
      </c>
      <c r="AB758" s="1" t="s">
        <v>0</v>
      </c>
      <c r="AC758" s="23" t="s">
        <v>0</v>
      </c>
      <c r="AD758" s="1"/>
      <c r="AE758" s="19"/>
      <c r="AF758" s="1"/>
      <c r="AG758" s="1"/>
      <c r="AH758" s="1"/>
      <c r="AI758" s="39"/>
      <c r="AJ758" s="39"/>
      <c r="AK758" s="39"/>
      <c r="AL758" s="39"/>
      <c r="AM758" s="1"/>
      <c r="AN758" s="1"/>
      <c r="AO758" s="39"/>
      <c r="AP758" s="39"/>
      <c r="AQ758" s="1"/>
      <c r="AR758" s="39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 t="s">
        <v>0</v>
      </c>
      <c r="AB759" s="1" t="s">
        <v>0</v>
      </c>
      <c r="AC759" s="23" t="s">
        <v>0</v>
      </c>
      <c r="AD759" s="1"/>
      <c r="AE759" s="19"/>
      <c r="AF759" s="1"/>
      <c r="AG759" s="1"/>
      <c r="AH759" s="1"/>
      <c r="AI759" s="39"/>
      <c r="AJ759" s="39"/>
      <c r="AK759" s="39"/>
      <c r="AL759" s="39"/>
      <c r="AM759" s="1"/>
      <c r="AN759" s="1"/>
      <c r="AO759" s="39"/>
      <c r="AP759" s="39"/>
      <c r="AQ759" s="1"/>
      <c r="AR759" s="39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 t="s">
        <v>0</v>
      </c>
      <c r="AB760" s="1" t="s">
        <v>0</v>
      </c>
      <c r="AC760" s="23" t="s">
        <v>0</v>
      </c>
      <c r="AD760" s="1"/>
      <c r="AE760" s="19"/>
      <c r="AF760" s="1"/>
      <c r="AG760" s="1"/>
      <c r="AH760" s="1"/>
      <c r="AI760" s="39"/>
      <c r="AJ760" s="39"/>
      <c r="AK760" s="39"/>
      <c r="AL760" s="39"/>
      <c r="AM760" s="1"/>
      <c r="AN760" s="1"/>
      <c r="AO760" s="39"/>
      <c r="AP760" s="39"/>
      <c r="AQ760" s="1"/>
      <c r="AR760" s="39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 t="s">
        <v>0</v>
      </c>
      <c r="AB761" s="1" t="s">
        <v>0</v>
      </c>
      <c r="AC761" s="23" t="s">
        <v>0</v>
      </c>
      <c r="AD761" s="1"/>
      <c r="AE761" s="19"/>
      <c r="AF761" s="1"/>
      <c r="AG761" s="1"/>
      <c r="AH761" s="1"/>
      <c r="AI761" s="39"/>
      <c r="AJ761" s="39"/>
      <c r="AK761" s="39"/>
      <c r="AL761" s="39"/>
      <c r="AM761" s="1"/>
      <c r="AN761" s="1"/>
      <c r="AO761" s="39"/>
      <c r="AP761" s="39"/>
      <c r="AQ761" s="1"/>
      <c r="AR761" s="39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 t="s">
        <v>0</v>
      </c>
      <c r="AB762" s="1" t="s">
        <v>0</v>
      </c>
      <c r="AC762" s="23" t="s">
        <v>0</v>
      </c>
      <c r="AD762" s="1"/>
      <c r="AE762" s="19"/>
      <c r="AF762" s="1"/>
      <c r="AG762" s="1"/>
      <c r="AH762" s="1"/>
      <c r="AI762" s="39"/>
      <c r="AJ762" s="39"/>
      <c r="AK762" s="39"/>
      <c r="AL762" s="39"/>
      <c r="AM762" s="1"/>
      <c r="AN762" s="1"/>
      <c r="AO762" s="39"/>
      <c r="AP762" s="39"/>
      <c r="AQ762" s="1"/>
      <c r="AR762" s="39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 t="s">
        <v>0</v>
      </c>
      <c r="AB763" s="1" t="s">
        <v>0</v>
      </c>
      <c r="AC763" s="23" t="s">
        <v>0</v>
      </c>
      <c r="AD763" s="1"/>
      <c r="AE763" s="19"/>
      <c r="AF763" s="1"/>
      <c r="AG763" s="1"/>
      <c r="AH763" s="1"/>
      <c r="AI763" s="39"/>
      <c r="AJ763" s="39"/>
      <c r="AK763" s="39"/>
      <c r="AL763" s="39"/>
      <c r="AM763" s="1"/>
      <c r="AN763" s="1"/>
      <c r="AO763" s="39"/>
      <c r="AP763" s="39"/>
      <c r="AQ763" s="1"/>
      <c r="AR763" s="39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 t="s">
        <v>0</v>
      </c>
      <c r="AB764" s="1" t="s">
        <v>0</v>
      </c>
      <c r="AC764" s="23" t="s">
        <v>0</v>
      </c>
      <c r="AD764" s="1"/>
      <c r="AE764" s="19"/>
      <c r="AF764" s="1"/>
      <c r="AG764" s="1"/>
      <c r="AH764" s="1"/>
      <c r="AI764" s="39"/>
      <c r="AJ764" s="39"/>
      <c r="AK764" s="39"/>
      <c r="AL764" s="39"/>
      <c r="AM764" s="1"/>
      <c r="AN764" s="1"/>
      <c r="AO764" s="39"/>
      <c r="AP764" s="39"/>
      <c r="AQ764" s="1"/>
      <c r="AR764" s="39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 t="s">
        <v>0</v>
      </c>
      <c r="AB765" s="1" t="s">
        <v>0</v>
      </c>
      <c r="AC765" s="23" t="s">
        <v>0</v>
      </c>
      <c r="AD765" s="1"/>
      <c r="AE765" s="19"/>
      <c r="AF765" s="1"/>
      <c r="AG765" s="1"/>
      <c r="AH765" s="1"/>
      <c r="AI765" s="39"/>
      <c r="AJ765" s="39"/>
      <c r="AK765" s="39"/>
      <c r="AL765" s="39"/>
      <c r="AM765" s="1"/>
      <c r="AN765" s="1"/>
      <c r="AO765" s="39"/>
      <c r="AP765" s="39"/>
      <c r="AQ765" s="1"/>
      <c r="AR765" s="39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 t="s">
        <v>0</v>
      </c>
      <c r="AB766" s="1" t="s">
        <v>0</v>
      </c>
      <c r="AC766" s="23" t="s">
        <v>0</v>
      </c>
      <c r="AD766" s="1"/>
      <c r="AE766" s="19"/>
      <c r="AF766" s="1"/>
      <c r="AG766" s="1"/>
      <c r="AH766" s="1"/>
      <c r="AI766" s="39"/>
      <c r="AJ766" s="39"/>
      <c r="AK766" s="39"/>
      <c r="AL766" s="39"/>
      <c r="AM766" s="1"/>
      <c r="AN766" s="1"/>
      <c r="AO766" s="39"/>
      <c r="AP766" s="39"/>
      <c r="AQ766" s="1"/>
      <c r="AR766" s="39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 t="s">
        <v>0</v>
      </c>
      <c r="AB767" s="1" t="s">
        <v>0</v>
      </c>
      <c r="AC767" s="23" t="s">
        <v>0</v>
      </c>
      <c r="AD767" s="1"/>
      <c r="AE767" s="19"/>
      <c r="AF767" s="1"/>
      <c r="AG767" s="1"/>
      <c r="AH767" s="1"/>
      <c r="AI767" s="39"/>
      <c r="AJ767" s="39"/>
      <c r="AK767" s="39"/>
      <c r="AL767" s="39"/>
      <c r="AM767" s="1"/>
      <c r="AN767" s="1"/>
      <c r="AO767" s="39"/>
      <c r="AP767" s="39"/>
      <c r="AQ767" s="1"/>
      <c r="AR767" s="39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 t="s">
        <v>0</v>
      </c>
      <c r="AB768" s="1" t="s">
        <v>0</v>
      </c>
      <c r="AC768" s="23" t="s">
        <v>0</v>
      </c>
      <c r="AD768" s="1"/>
      <c r="AE768" s="19"/>
      <c r="AF768" s="1"/>
      <c r="AG768" s="1"/>
      <c r="AH768" s="1"/>
      <c r="AI768" s="39"/>
      <c r="AJ768" s="39"/>
      <c r="AK768" s="39"/>
      <c r="AL768" s="39"/>
      <c r="AM768" s="1"/>
      <c r="AN768" s="1"/>
      <c r="AO768" s="39"/>
      <c r="AP768" s="39"/>
      <c r="AQ768" s="1"/>
      <c r="AR768" s="39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 t="s">
        <v>0</v>
      </c>
      <c r="AB769" s="1" t="s">
        <v>0</v>
      </c>
      <c r="AC769" s="23" t="s">
        <v>0</v>
      </c>
      <c r="AD769" s="1"/>
      <c r="AE769" s="19"/>
      <c r="AF769" s="1"/>
      <c r="AG769" s="1"/>
      <c r="AH769" s="1"/>
      <c r="AI769" s="39"/>
      <c r="AJ769" s="39"/>
      <c r="AK769" s="39"/>
      <c r="AL769" s="39"/>
      <c r="AM769" s="1"/>
      <c r="AN769" s="1"/>
      <c r="AO769" s="39"/>
      <c r="AP769" s="39"/>
      <c r="AQ769" s="1"/>
      <c r="AR769" s="39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 t="s">
        <v>0</v>
      </c>
      <c r="AB770" s="1" t="s">
        <v>0</v>
      </c>
      <c r="AC770" s="23" t="s">
        <v>0</v>
      </c>
      <c r="AD770" s="1"/>
      <c r="AE770" s="19"/>
      <c r="AF770" s="1"/>
      <c r="AG770" s="1"/>
      <c r="AH770" s="1"/>
      <c r="AI770" s="39"/>
      <c r="AJ770" s="39"/>
      <c r="AK770" s="39"/>
      <c r="AL770" s="39"/>
      <c r="AM770" s="1"/>
      <c r="AN770" s="1"/>
      <c r="AO770" s="39"/>
      <c r="AP770" s="39"/>
      <c r="AQ770" s="1"/>
      <c r="AR770" s="39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 t="s">
        <v>0</v>
      </c>
      <c r="AB771" s="1" t="s">
        <v>0</v>
      </c>
      <c r="AC771" s="23" t="s">
        <v>0</v>
      </c>
      <c r="AD771" s="1"/>
      <c r="AE771" s="19"/>
      <c r="AF771" s="1"/>
      <c r="AG771" s="1"/>
      <c r="AH771" s="1"/>
      <c r="AI771" s="39"/>
      <c r="AJ771" s="39"/>
      <c r="AK771" s="39"/>
      <c r="AL771" s="39"/>
      <c r="AM771" s="1"/>
      <c r="AN771" s="1"/>
      <c r="AO771" s="39"/>
      <c r="AP771" s="39"/>
      <c r="AQ771" s="1"/>
      <c r="AR771" s="39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 t="s">
        <v>0</v>
      </c>
      <c r="AB772" s="1" t="s">
        <v>0</v>
      </c>
      <c r="AC772" s="23" t="s">
        <v>0</v>
      </c>
      <c r="AD772" s="1"/>
      <c r="AE772" s="19"/>
      <c r="AF772" s="1"/>
      <c r="AG772" s="1"/>
      <c r="AH772" s="1"/>
      <c r="AI772" s="39"/>
      <c r="AJ772" s="39"/>
      <c r="AK772" s="39"/>
      <c r="AL772" s="39"/>
      <c r="AM772" s="1"/>
      <c r="AN772" s="1"/>
      <c r="AO772" s="39"/>
      <c r="AP772" s="39"/>
      <c r="AQ772" s="1"/>
      <c r="AR772" s="39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 t="s">
        <v>0</v>
      </c>
      <c r="AB773" s="1" t="s">
        <v>0</v>
      </c>
      <c r="AC773" s="23" t="s">
        <v>0</v>
      </c>
      <c r="AD773" s="1"/>
      <c r="AE773" s="19"/>
      <c r="AF773" s="1"/>
      <c r="AG773" s="1"/>
      <c r="AH773" s="1"/>
      <c r="AI773" s="39"/>
      <c r="AJ773" s="39"/>
      <c r="AK773" s="39"/>
      <c r="AL773" s="39"/>
      <c r="AM773" s="1"/>
      <c r="AN773" s="1"/>
      <c r="AO773" s="39"/>
      <c r="AP773" s="39"/>
      <c r="AQ773" s="1"/>
      <c r="AR773" s="39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 t="s">
        <v>0</v>
      </c>
      <c r="AB774" s="1" t="s">
        <v>0</v>
      </c>
      <c r="AC774" s="23" t="s">
        <v>0</v>
      </c>
      <c r="AD774" s="1"/>
      <c r="AE774" s="19"/>
      <c r="AF774" s="1"/>
      <c r="AG774" s="1"/>
      <c r="AH774" s="1"/>
      <c r="AI774" s="39"/>
      <c r="AJ774" s="39"/>
      <c r="AK774" s="39"/>
      <c r="AL774" s="39"/>
      <c r="AM774" s="1"/>
      <c r="AN774" s="1"/>
      <c r="AO774" s="39"/>
      <c r="AP774" s="39"/>
      <c r="AQ774" s="1"/>
      <c r="AR774" s="39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 t="s">
        <v>0</v>
      </c>
      <c r="AB775" s="1" t="s">
        <v>0</v>
      </c>
      <c r="AC775" s="23" t="s">
        <v>0</v>
      </c>
      <c r="AD775" s="1"/>
      <c r="AE775" s="19"/>
      <c r="AF775" s="1"/>
      <c r="AG775" s="1"/>
      <c r="AH775" s="1"/>
      <c r="AI775" s="39"/>
      <c r="AJ775" s="39"/>
      <c r="AK775" s="39"/>
      <c r="AL775" s="39"/>
      <c r="AM775" s="1"/>
      <c r="AN775" s="1"/>
      <c r="AO775" s="39"/>
      <c r="AP775" s="39"/>
      <c r="AQ775" s="1"/>
      <c r="AR775" s="39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 t="s">
        <v>0</v>
      </c>
      <c r="AB776" s="1" t="s">
        <v>0</v>
      </c>
      <c r="AC776" s="23" t="s">
        <v>0</v>
      </c>
      <c r="AD776" s="1"/>
      <c r="AE776" s="19"/>
      <c r="AF776" s="1"/>
      <c r="AG776" s="1"/>
      <c r="AH776" s="1"/>
      <c r="AI776" s="39"/>
      <c r="AJ776" s="39"/>
      <c r="AK776" s="39"/>
      <c r="AL776" s="39"/>
      <c r="AM776" s="1"/>
      <c r="AN776" s="1"/>
      <c r="AO776" s="39"/>
      <c r="AP776" s="39"/>
      <c r="AQ776" s="1"/>
      <c r="AR776" s="39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 t="s">
        <v>0</v>
      </c>
      <c r="AB777" s="1" t="s">
        <v>0</v>
      </c>
      <c r="AC777" s="23" t="s">
        <v>0</v>
      </c>
      <c r="AD777" s="1"/>
      <c r="AE777" s="19"/>
      <c r="AF777" s="1"/>
      <c r="AG777" s="1"/>
      <c r="AH777" s="1"/>
      <c r="AI777" s="39"/>
      <c r="AJ777" s="39"/>
      <c r="AK777" s="39"/>
      <c r="AL777" s="39"/>
      <c r="AM777" s="1"/>
      <c r="AN777" s="1"/>
      <c r="AO777" s="39"/>
      <c r="AP777" s="39"/>
      <c r="AQ777" s="1"/>
      <c r="AR777" s="39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 t="s">
        <v>0</v>
      </c>
      <c r="AB778" s="1" t="s">
        <v>0</v>
      </c>
      <c r="AC778" s="23" t="s">
        <v>0</v>
      </c>
      <c r="AD778" s="1"/>
      <c r="AE778" s="19"/>
      <c r="AF778" s="1"/>
      <c r="AG778" s="1"/>
      <c r="AH778" s="1"/>
      <c r="AI778" s="39"/>
      <c r="AJ778" s="39"/>
      <c r="AK778" s="39"/>
      <c r="AL778" s="39"/>
      <c r="AM778" s="1"/>
      <c r="AN778" s="1"/>
      <c r="AO778" s="39"/>
      <c r="AP778" s="39"/>
      <c r="AQ778" s="1"/>
      <c r="AR778" s="39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 t="s">
        <v>0</v>
      </c>
      <c r="AB779" s="1" t="s">
        <v>0</v>
      </c>
      <c r="AC779" s="23" t="s">
        <v>0</v>
      </c>
      <c r="AD779" s="1"/>
      <c r="AE779" s="19"/>
      <c r="AF779" s="1"/>
      <c r="AG779" s="1"/>
      <c r="AH779" s="1"/>
      <c r="AI779" s="39"/>
      <c r="AJ779" s="39"/>
      <c r="AK779" s="39"/>
      <c r="AL779" s="39"/>
      <c r="AM779" s="1"/>
      <c r="AN779" s="1"/>
      <c r="AO779" s="39"/>
      <c r="AP779" s="39"/>
      <c r="AQ779" s="1"/>
      <c r="AR779" s="39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 t="s">
        <v>0</v>
      </c>
      <c r="AB780" s="1" t="s">
        <v>0</v>
      </c>
      <c r="AC780" s="23" t="s">
        <v>0</v>
      </c>
      <c r="AD780" s="1"/>
      <c r="AE780" s="19"/>
      <c r="AF780" s="1"/>
      <c r="AG780" s="1"/>
      <c r="AH780" s="1"/>
      <c r="AI780" s="39"/>
      <c r="AJ780" s="39"/>
      <c r="AK780" s="39"/>
      <c r="AL780" s="39"/>
      <c r="AM780" s="1"/>
      <c r="AN780" s="1"/>
      <c r="AO780" s="39"/>
      <c r="AP780" s="39"/>
      <c r="AQ780" s="1"/>
      <c r="AR780" s="39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 t="s">
        <v>0</v>
      </c>
      <c r="AB781" s="1" t="s">
        <v>0</v>
      </c>
      <c r="AC781" s="23" t="s">
        <v>0</v>
      </c>
      <c r="AD781" s="1"/>
      <c r="AE781" s="19"/>
      <c r="AF781" s="1"/>
      <c r="AG781" s="1"/>
      <c r="AH781" s="1"/>
      <c r="AI781" s="39"/>
      <c r="AJ781" s="39"/>
      <c r="AK781" s="39"/>
      <c r="AL781" s="39"/>
      <c r="AM781" s="1"/>
      <c r="AN781" s="1"/>
      <c r="AO781" s="39"/>
      <c r="AP781" s="39"/>
      <c r="AQ781" s="1"/>
      <c r="AR781" s="39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 t="s">
        <v>0</v>
      </c>
      <c r="AB782" s="1" t="s">
        <v>0</v>
      </c>
      <c r="AC782" s="23" t="s">
        <v>0</v>
      </c>
      <c r="AD782" s="1"/>
      <c r="AE782" s="19"/>
      <c r="AF782" s="1"/>
      <c r="AG782" s="1"/>
      <c r="AH782" s="1"/>
      <c r="AI782" s="39"/>
      <c r="AJ782" s="39"/>
      <c r="AK782" s="39"/>
      <c r="AL782" s="39"/>
      <c r="AM782" s="1"/>
      <c r="AN782" s="1"/>
      <c r="AO782" s="39"/>
      <c r="AP782" s="39"/>
      <c r="AQ782" s="1"/>
      <c r="AR782" s="39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 t="s">
        <v>0</v>
      </c>
      <c r="AB783" s="1" t="s">
        <v>0</v>
      </c>
      <c r="AC783" s="23" t="s">
        <v>0</v>
      </c>
      <c r="AD783" s="1"/>
      <c r="AE783" s="19"/>
      <c r="AF783" s="1"/>
      <c r="AG783" s="1"/>
      <c r="AH783" s="1"/>
      <c r="AI783" s="39"/>
      <c r="AJ783" s="39"/>
      <c r="AK783" s="39"/>
      <c r="AL783" s="39"/>
      <c r="AM783" s="1"/>
      <c r="AN783" s="1"/>
      <c r="AO783" s="39"/>
      <c r="AP783" s="39"/>
      <c r="AQ783" s="1"/>
      <c r="AR783" s="39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 t="s">
        <v>0</v>
      </c>
      <c r="AB784" s="1" t="s">
        <v>0</v>
      </c>
      <c r="AC784" s="23" t="s">
        <v>0</v>
      </c>
      <c r="AD784" s="1"/>
      <c r="AE784" s="19"/>
      <c r="AF784" s="1"/>
      <c r="AG784" s="1"/>
      <c r="AH784" s="1"/>
      <c r="AI784" s="39"/>
      <c r="AJ784" s="39"/>
      <c r="AK784" s="39"/>
      <c r="AL784" s="39"/>
      <c r="AM784" s="1"/>
      <c r="AN784" s="1"/>
      <c r="AO784" s="39"/>
      <c r="AP784" s="39"/>
      <c r="AQ784" s="1"/>
      <c r="AR784" s="39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 t="s">
        <v>0</v>
      </c>
      <c r="AB785" s="1" t="s">
        <v>0</v>
      </c>
      <c r="AC785" s="23" t="s">
        <v>0</v>
      </c>
      <c r="AD785" s="1"/>
      <c r="AE785" s="19"/>
      <c r="AF785" s="1"/>
      <c r="AG785" s="1"/>
      <c r="AH785" s="1"/>
      <c r="AI785" s="39"/>
      <c r="AJ785" s="39"/>
      <c r="AK785" s="39"/>
      <c r="AL785" s="39"/>
      <c r="AM785" s="1"/>
      <c r="AN785" s="1"/>
      <c r="AO785" s="39"/>
      <c r="AP785" s="39"/>
      <c r="AQ785" s="1"/>
      <c r="AR785" s="39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 t="s">
        <v>0</v>
      </c>
      <c r="AB786" s="1" t="s">
        <v>0</v>
      </c>
      <c r="AC786" s="23" t="s">
        <v>0</v>
      </c>
      <c r="AD786" s="1"/>
      <c r="AE786" s="19"/>
      <c r="AF786" s="1"/>
      <c r="AG786" s="1"/>
      <c r="AH786" s="1"/>
      <c r="AI786" s="39"/>
      <c r="AJ786" s="39"/>
      <c r="AK786" s="39"/>
      <c r="AL786" s="39"/>
      <c r="AM786" s="1"/>
      <c r="AN786" s="1"/>
      <c r="AO786" s="39"/>
      <c r="AP786" s="39"/>
      <c r="AQ786" s="1"/>
      <c r="AR786" s="39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 t="s">
        <v>0</v>
      </c>
      <c r="AB787" s="1" t="s">
        <v>0</v>
      </c>
      <c r="AC787" s="23" t="s">
        <v>0</v>
      </c>
      <c r="AD787" s="1"/>
      <c r="AE787" s="19"/>
      <c r="AF787" s="1"/>
      <c r="AG787" s="1"/>
      <c r="AH787" s="1"/>
      <c r="AI787" s="39"/>
      <c r="AJ787" s="39"/>
      <c r="AK787" s="39"/>
      <c r="AL787" s="39"/>
      <c r="AM787" s="1"/>
      <c r="AN787" s="1"/>
      <c r="AO787" s="39"/>
      <c r="AP787" s="39"/>
      <c r="AQ787" s="1"/>
      <c r="AR787" s="39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 t="s">
        <v>0</v>
      </c>
      <c r="AB788" s="1" t="s">
        <v>0</v>
      </c>
      <c r="AC788" s="23" t="s">
        <v>0</v>
      </c>
      <c r="AD788" s="1"/>
      <c r="AE788" s="19"/>
      <c r="AF788" s="1"/>
      <c r="AG788" s="1"/>
      <c r="AH788" s="1"/>
      <c r="AI788" s="39"/>
      <c r="AJ788" s="39"/>
      <c r="AK788" s="39"/>
      <c r="AL788" s="39"/>
      <c r="AM788" s="1"/>
      <c r="AN788" s="1"/>
      <c r="AO788" s="39"/>
      <c r="AP788" s="39"/>
      <c r="AQ788" s="1"/>
      <c r="AR788" s="39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 t="s">
        <v>0</v>
      </c>
      <c r="AB789" s="1" t="s">
        <v>0</v>
      </c>
      <c r="AC789" s="23" t="s">
        <v>0</v>
      </c>
      <c r="AD789" s="1"/>
      <c r="AE789" s="19"/>
      <c r="AF789" s="1"/>
      <c r="AG789" s="1"/>
      <c r="AH789" s="1"/>
      <c r="AI789" s="39"/>
      <c r="AJ789" s="39"/>
      <c r="AK789" s="39"/>
      <c r="AL789" s="39"/>
      <c r="AM789" s="1"/>
      <c r="AN789" s="1"/>
      <c r="AO789" s="39"/>
      <c r="AP789" s="39"/>
      <c r="AQ789" s="1"/>
      <c r="AR789" s="39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 t="s">
        <v>0</v>
      </c>
      <c r="AB790" s="1" t="s">
        <v>0</v>
      </c>
      <c r="AC790" s="23" t="s">
        <v>0</v>
      </c>
      <c r="AD790" s="1"/>
      <c r="AE790" s="19"/>
      <c r="AF790" s="1"/>
      <c r="AG790" s="1"/>
      <c r="AH790" s="1"/>
      <c r="AI790" s="39"/>
      <c r="AJ790" s="39"/>
      <c r="AK790" s="39"/>
      <c r="AL790" s="39"/>
      <c r="AM790" s="1"/>
      <c r="AN790" s="1"/>
      <c r="AO790" s="39"/>
      <c r="AP790" s="39"/>
      <c r="AQ790" s="1"/>
      <c r="AR790" s="39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 t="s">
        <v>0</v>
      </c>
      <c r="AB791" s="1" t="s">
        <v>0</v>
      </c>
      <c r="AC791" s="23" t="s">
        <v>0</v>
      </c>
      <c r="AD791" s="1"/>
      <c r="AE791" s="19"/>
      <c r="AF791" s="1"/>
      <c r="AG791" s="1"/>
      <c r="AH791" s="1"/>
      <c r="AI791" s="39"/>
      <c r="AJ791" s="39"/>
      <c r="AK791" s="39"/>
      <c r="AL791" s="39"/>
      <c r="AM791" s="1"/>
      <c r="AN791" s="1"/>
      <c r="AO791" s="39"/>
      <c r="AP791" s="39"/>
      <c r="AQ791" s="1"/>
      <c r="AR791" s="39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 t="s">
        <v>0</v>
      </c>
      <c r="AB792" s="1" t="s">
        <v>0</v>
      </c>
      <c r="AC792" s="23" t="s">
        <v>0</v>
      </c>
      <c r="AD792" s="1"/>
      <c r="AE792" s="19"/>
      <c r="AF792" s="1"/>
      <c r="AG792" s="1"/>
      <c r="AH792" s="1"/>
      <c r="AI792" s="39"/>
      <c r="AJ792" s="39"/>
      <c r="AK792" s="39"/>
      <c r="AL792" s="39"/>
      <c r="AM792" s="1"/>
      <c r="AN792" s="1"/>
      <c r="AO792" s="39"/>
      <c r="AP792" s="39"/>
      <c r="AQ792" s="1"/>
      <c r="AR792" s="39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 t="s">
        <v>0</v>
      </c>
      <c r="AB793" s="1" t="s">
        <v>0</v>
      </c>
      <c r="AC793" s="23" t="s">
        <v>0</v>
      </c>
      <c r="AD793" s="1"/>
      <c r="AE793" s="19"/>
      <c r="AF793" s="1"/>
      <c r="AG793" s="1"/>
      <c r="AH793" s="1"/>
      <c r="AI793" s="39"/>
      <c r="AJ793" s="39"/>
      <c r="AK793" s="39"/>
      <c r="AL793" s="39"/>
      <c r="AM793" s="1"/>
      <c r="AN793" s="1"/>
      <c r="AO793" s="39"/>
      <c r="AP793" s="39"/>
      <c r="AQ793" s="1"/>
      <c r="AR793" s="39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 t="s">
        <v>0</v>
      </c>
      <c r="AB794" s="1" t="s">
        <v>0</v>
      </c>
      <c r="AC794" s="23" t="s">
        <v>0</v>
      </c>
      <c r="AD794" s="1"/>
      <c r="AE794" s="19"/>
      <c r="AF794" s="1"/>
      <c r="AG794" s="1"/>
      <c r="AH794" s="1"/>
      <c r="AI794" s="39"/>
      <c r="AJ794" s="39"/>
      <c r="AK794" s="39"/>
      <c r="AL794" s="39"/>
      <c r="AM794" s="1"/>
      <c r="AN794" s="1"/>
      <c r="AO794" s="39"/>
      <c r="AP794" s="39"/>
      <c r="AQ794" s="1"/>
      <c r="AR794" s="39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 t="s">
        <v>0</v>
      </c>
      <c r="AB795" s="1" t="s">
        <v>0</v>
      </c>
      <c r="AC795" s="23" t="s">
        <v>0</v>
      </c>
      <c r="AD795" s="1"/>
      <c r="AE795" s="19"/>
      <c r="AF795" s="1"/>
      <c r="AG795" s="1"/>
      <c r="AH795" s="1"/>
      <c r="AI795" s="39"/>
      <c r="AJ795" s="39"/>
      <c r="AK795" s="39"/>
      <c r="AL795" s="39"/>
      <c r="AM795" s="1"/>
      <c r="AN795" s="1"/>
      <c r="AO795" s="39"/>
      <c r="AP795" s="39"/>
      <c r="AQ795" s="1"/>
      <c r="AR795" s="39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 t="s">
        <v>0</v>
      </c>
      <c r="AB796" s="1" t="s">
        <v>0</v>
      </c>
      <c r="AC796" s="23" t="s">
        <v>0</v>
      </c>
      <c r="AD796" s="1"/>
      <c r="AE796" s="19"/>
      <c r="AF796" s="1"/>
      <c r="AG796" s="1"/>
      <c r="AH796" s="1"/>
      <c r="AI796" s="39"/>
      <c r="AJ796" s="39"/>
      <c r="AK796" s="39"/>
      <c r="AL796" s="39"/>
      <c r="AM796" s="1"/>
      <c r="AN796" s="1"/>
      <c r="AO796" s="39"/>
      <c r="AP796" s="39"/>
      <c r="AQ796" s="1"/>
      <c r="AR796" s="39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 t="s">
        <v>0</v>
      </c>
      <c r="AB797" s="1" t="s">
        <v>0</v>
      </c>
      <c r="AC797" s="23" t="s">
        <v>0</v>
      </c>
      <c r="AD797" s="1"/>
      <c r="AE797" s="19"/>
      <c r="AF797" s="1"/>
      <c r="AG797" s="1"/>
      <c r="AH797" s="1"/>
      <c r="AI797" s="39"/>
      <c r="AJ797" s="39"/>
      <c r="AK797" s="39"/>
      <c r="AL797" s="39"/>
      <c r="AM797" s="1"/>
      <c r="AN797" s="1"/>
      <c r="AO797" s="39"/>
      <c r="AP797" s="39"/>
      <c r="AQ797" s="1"/>
      <c r="AR797" s="39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 t="s">
        <v>0</v>
      </c>
      <c r="AB798" s="1" t="s">
        <v>0</v>
      </c>
      <c r="AC798" s="23" t="s">
        <v>0</v>
      </c>
      <c r="AD798" s="1"/>
      <c r="AE798" s="19"/>
      <c r="AF798" s="1"/>
      <c r="AG798" s="1"/>
      <c r="AH798" s="1"/>
      <c r="AI798" s="39"/>
      <c r="AJ798" s="39"/>
      <c r="AK798" s="39"/>
      <c r="AL798" s="39"/>
      <c r="AM798" s="1"/>
      <c r="AN798" s="1"/>
      <c r="AO798" s="39"/>
      <c r="AP798" s="39"/>
      <c r="AQ798" s="1"/>
      <c r="AR798" s="39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 t="s">
        <v>0</v>
      </c>
      <c r="AB799" s="1" t="s">
        <v>0</v>
      </c>
      <c r="AC799" s="23" t="s">
        <v>0</v>
      </c>
      <c r="AD799" s="1"/>
      <c r="AE799" s="19"/>
      <c r="AF799" s="1"/>
      <c r="AG799" s="1"/>
      <c r="AH799" s="1"/>
      <c r="AI799" s="39"/>
      <c r="AJ799" s="39"/>
      <c r="AK799" s="39"/>
      <c r="AL799" s="39"/>
      <c r="AM799" s="1"/>
      <c r="AN799" s="1"/>
      <c r="AO799" s="39"/>
      <c r="AP799" s="39"/>
      <c r="AQ799" s="1"/>
      <c r="AR799" s="39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 t="s">
        <v>0</v>
      </c>
      <c r="AB800" s="1" t="s">
        <v>0</v>
      </c>
      <c r="AC800" s="23" t="s">
        <v>0</v>
      </c>
      <c r="AD800" s="1"/>
      <c r="AE800" s="19"/>
      <c r="AF800" s="1"/>
      <c r="AG800" s="1"/>
      <c r="AH800" s="1"/>
      <c r="AI800" s="39"/>
      <c r="AJ800" s="39"/>
      <c r="AK800" s="39"/>
      <c r="AL800" s="39"/>
      <c r="AM800" s="1"/>
      <c r="AN800" s="1"/>
      <c r="AO800" s="39"/>
      <c r="AP800" s="39"/>
      <c r="AQ800" s="1"/>
      <c r="AR800" s="39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 t="s">
        <v>0</v>
      </c>
      <c r="AB801" s="1" t="s">
        <v>0</v>
      </c>
      <c r="AC801" s="23" t="s">
        <v>0</v>
      </c>
      <c r="AD801" s="1"/>
      <c r="AE801" s="19"/>
      <c r="AF801" s="1"/>
      <c r="AG801" s="1"/>
      <c r="AH801" s="1"/>
      <c r="AI801" s="39"/>
      <c r="AJ801" s="39"/>
      <c r="AK801" s="39"/>
      <c r="AL801" s="39"/>
      <c r="AM801" s="1"/>
      <c r="AN801" s="1"/>
      <c r="AO801" s="39"/>
      <c r="AP801" s="39"/>
      <c r="AQ801" s="1"/>
      <c r="AR801" s="39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 t="s">
        <v>0</v>
      </c>
      <c r="AB802" s="1" t="s">
        <v>0</v>
      </c>
      <c r="AC802" s="23" t="s">
        <v>0</v>
      </c>
      <c r="AD802" s="1"/>
      <c r="AE802" s="19"/>
      <c r="AF802" s="1"/>
      <c r="AG802" s="1"/>
      <c r="AH802" s="1"/>
      <c r="AI802" s="39"/>
      <c r="AJ802" s="39"/>
      <c r="AK802" s="39"/>
      <c r="AL802" s="39"/>
      <c r="AM802" s="1"/>
      <c r="AN802" s="1"/>
      <c r="AO802" s="39"/>
      <c r="AP802" s="39"/>
      <c r="AQ802" s="1"/>
      <c r="AR802" s="39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 t="s">
        <v>0</v>
      </c>
      <c r="AB803" s="1" t="s">
        <v>0</v>
      </c>
      <c r="AC803" s="23" t="s">
        <v>0</v>
      </c>
      <c r="AD803" s="1"/>
      <c r="AE803" s="19"/>
      <c r="AF803" s="1"/>
      <c r="AG803" s="1"/>
      <c r="AH803" s="1"/>
      <c r="AI803" s="39"/>
      <c r="AJ803" s="39"/>
      <c r="AK803" s="39"/>
      <c r="AL803" s="39"/>
      <c r="AM803" s="1"/>
      <c r="AN803" s="1"/>
      <c r="AO803" s="39"/>
      <c r="AP803" s="39"/>
      <c r="AQ803" s="1"/>
      <c r="AR803" s="39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 t="s">
        <v>0</v>
      </c>
      <c r="AB804" s="1" t="s">
        <v>0</v>
      </c>
      <c r="AC804" s="23" t="s">
        <v>0</v>
      </c>
      <c r="AD804" s="1"/>
      <c r="AE804" s="19"/>
      <c r="AF804" s="1"/>
      <c r="AG804" s="1"/>
      <c r="AH804" s="1"/>
      <c r="AI804" s="39"/>
      <c r="AJ804" s="39"/>
      <c r="AK804" s="39"/>
      <c r="AL804" s="39"/>
      <c r="AM804" s="1"/>
      <c r="AN804" s="1"/>
      <c r="AO804" s="39"/>
      <c r="AP804" s="39"/>
      <c r="AQ804" s="1"/>
      <c r="AR804" s="39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 t="s">
        <v>0</v>
      </c>
      <c r="AB805" s="1" t="s">
        <v>0</v>
      </c>
      <c r="AC805" s="23" t="s">
        <v>0</v>
      </c>
      <c r="AD805" s="1"/>
      <c r="AE805" s="19"/>
      <c r="AF805" s="1"/>
      <c r="AG805" s="1"/>
      <c r="AH805" s="1"/>
      <c r="AI805" s="39"/>
      <c r="AJ805" s="39"/>
      <c r="AK805" s="39"/>
      <c r="AL805" s="39"/>
      <c r="AM805" s="1"/>
      <c r="AN805" s="1"/>
      <c r="AO805" s="39"/>
      <c r="AP805" s="39"/>
      <c r="AQ805" s="1"/>
      <c r="AR805" s="39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 t="s">
        <v>0</v>
      </c>
      <c r="AB806" s="1" t="s">
        <v>0</v>
      </c>
      <c r="AC806" s="23" t="s">
        <v>0</v>
      </c>
      <c r="AD806" s="1"/>
      <c r="AE806" s="19"/>
      <c r="AF806" s="1"/>
      <c r="AG806" s="1"/>
      <c r="AH806" s="1"/>
      <c r="AI806" s="39"/>
      <c r="AJ806" s="39"/>
      <c r="AK806" s="39"/>
      <c r="AL806" s="39"/>
      <c r="AM806" s="1"/>
      <c r="AN806" s="1"/>
      <c r="AO806" s="39"/>
      <c r="AP806" s="39"/>
      <c r="AQ806" s="1"/>
      <c r="AR806" s="39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 t="s">
        <v>0</v>
      </c>
      <c r="AB807" s="1" t="s">
        <v>0</v>
      </c>
      <c r="AC807" s="23" t="s">
        <v>0</v>
      </c>
      <c r="AD807" s="1"/>
      <c r="AE807" s="19"/>
      <c r="AF807" s="1"/>
      <c r="AG807" s="1"/>
      <c r="AH807" s="1"/>
      <c r="AI807" s="39"/>
      <c r="AJ807" s="39"/>
      <c r="AK807" s="39"/>
      <c r="AL807" s="39"/>
      <c r="AM807" s="1"/>
      <c r="AN807" s="1"/>
      <c r="AO807" s="39"/>
      <c r="AP807" s="39"/>
      <c r="AQ807" s="1"/>
      <c r="AR807" s="39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 t="s">
        <v>0</v>
      </c>
      <c r="AB808" s="1" t="s">
        <v>0</v>
      </c>
      <c r="AC808" s="23" t="s">
        <v>0</v>
      </c>
      <c r="AD808" s="1"/>
      <c r="AE808" s="19"/>
      <c r="AF808" s="1"/>
      <c r="AG808" s="1"/>
      <c r="AH808" s="1"/>
      <c r="AI808" s="39"/>
      <c r="AJ808" s="39"/>
      <c r="AK808" s="39"/>
      <c r="AL808" s="39"/>
      <c r="AM808" s="1"/>
      <c r="AN808" s="1"/>
      <c r="AO808" s="39"/>
      <c r="AP808" s="39"/>
      <c r="AQ808" s="1"/>
      <c r="AR808" s="39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 t="s">
        <v>0</v>
      </c>
      <c r="AB809" s="1" t="s">
        <v>0</v>
      </c>
      <c r="AC809" s="23" t="s">
        <v>0</v>
      </c>
      <c r="AD809" s="1"/>
      <c r="AE809" s="19"/>
      <c r="AF809" s="1"/>
      <c r="AG809" s="1"/>
      <c r="AH809" s="1"/>
      <c r="AI809" s="39"/>
      <c r="AJ809" s="39"/>
      <c r="AK809" s="39"/>
      <c r="AL809" s="39"/>
      <c r="AM809" s="1"/>
      <c r="AN809" s="1"/>
      <c r="AO809" s="39"/>
      <c r="AP809" s="39"/>
      <c r="AQ809" s="1"/>
      <c r="AR809" s="39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 t="s">
        <v>0</v>
      </c>
      <c r="AB810" s="1" t="s">
        <v>0</v>
      </c>
      <c r="AC810" s="23" t="s">
        <v>0</v>
      </c>
      <c r="AD810" s="1"/>
      <c r="AE810" s="19"/>
      <c r="AF810" s="1"/>
      <c r="AG810" s="1"/>
      <c r="AH810" s="1"/>
      <c r="AI810" s="39"/>
      <c r="AJ810" s="39"/>
      <c r="AK810" s="39"/>
      <c r="AL810" s="39"/>
      <c r="AM810" s="1"/>
      <c r="AN810" s="1"/>
      <c r="AO810" s="39"/>
      <c r="AP810" s="39"/>
      <c r="AQ810" s="1"/>
      <c r="AR810" s="39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 t="s">
        <v>0</v>
      </c>
      <c r="AB811" s="1" t="s">
        <v>0</v>
      </c>
      <c r="AC811" s="23" t="s">
        <v>0</v>
      </c>
      <c r="AD811" s="1"/>
      <c r="AE811" s="19"/>
      <c r="AF811" s="1"/>
      <c r="AG811" s="1"/>
      <c r="AH811" s="1"/>
      <c r="AI811" s="39"/>
      <c r="AJ811" s="39"/>
      <c r="AK811" s="39"/>
      <c r="AL811" s="39"/>
      <c r="AM811" s="1"/>
      <c r="AN811" s="1"/>
      <c r="AO811" s="39"/>
      <c r="AP811" s="39"/>
      <c r="AQ811" s="1"/>
      <c r="AR811" s="39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 t="s">
        <v>0</v>
      </c>
      <c r="AB812" s="1" t="s">
        <v>0</v>
      </c>
      <c r="AC812" s="23" t="s">
        <v>0</v>
      </c>
      <c r="AD812" s="1"/>
      <c r="AE812" s="19"/>
      <c r="AF812" s="1"/>
      <c r="AG812" s="1"/>
      <c r="AH812" s="1"/>
      <c r="AI812" s="39"/>
      <c r="AJ812" s="39"/>
      <c r="AK812" s="39"/>
      <c r="AL812" s="39"/>
      <c r="AM812" s="1"/>
      <c r="AN812" s="1"/>
      <c r="AO812" s="39"/>
      <c r="AP812" s="39"/>
      <c r="AQ812" s="1"/>
      <c r="AR812" s="39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 t="s">
        <v>0</v>
      </c>
      <c r="AB813" s="1" t="s">
        <v>0</v>
      </c>
      <c r="AC813" s="23" t="s">
        <v>0</v>
      </c>
      <c r="AD813" s="1"/>
      <c r="AE813" s="19"/>
      <c r="AF813" s="1"/>
      <c r="AG813" s="1"/>
      <c r="AH813" s="1"/>
      <c r="AI813" s="39"/>
      <c r="AJ813" s="39"/>
      <c r="AK813" s="39"/>
      <c r="AL813" s="39"/>
      <c r="AM813" s="1"/>
      <c r="AN813" s="1"/>
      <c r="AO813" s="39"/>
      <c r="AP813" s="39"/>
      <c r="AQ813" s="1"/>
      <c r="AR813" s="39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 t="s">
        <v>0</v>
      </c>
      <c r="AB814" s="1" t="s">
        <v>0</v>
      </c>
      <c r="AC814" s="23" t="s">
        <v>0</v>
      </c>
      <c r="AD814" s="1"/>
      <c r="AE814" s="19"/>
      <c r="AF814" s="1"/>
      <c r="AG814" s="1"/>
      <c r="AH814" s="1"/>
      <c r="AI814" s="39"/>
      <c r="AJ814" s="39"/>
      <c r="AK814" s="39"/>
      <c r="AL814" s="39"/>
      <c r="AM814" s="1"/>
      <c r="AN814" s="1"/>
      <c r="AO814" s="39"/>
      <c r="AP814" s="39"/>
      <c r="AQ814" s="1"/>
      <c r="AR814" s="39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 t="s">
        <v>0</v>
      </c>
      <c r="AB815" s="1" t="s">
        <v>0</v>
      </c>
      <c r="AC815" s="23" t="s">
        <v>0</v>
      </c>
      <c r="AD815" s="1"/>
      <c r="AE815" s="19"/>
      <c r="AF815" s="1"/>
      <c r="AG815" s="1"/>
      <c r="AH815" s="1"/>
      <c r="AI815" s="39"/>
      <c r="AJ815" s="39"/>
      <c r="AK815" s="39"/>
      <c r="AL815" s="39"/>
      <c r="AM815" s="1"/>
      <c r="AN815" s="1"/>
      <c r="AO815" s="39"/>
      <c r="AP815" s="39"/>
      <c r="AQ815" s="1"/>
      <c r="AR815" s="39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 t="s">
        <v>0</v>
      </c>
      <c r="AB816" s="1" t="s">
        <v>0</v>
      </c>
      <c r="AC816" s="23" t="s">
        <v>0</v>
      </c>
      <c r="AD816" s="1"/>
      <c r="AE816" s="19"/>
      <c r="AF816" s="1"/>
      <c r="AG816" s="1"/>
      <c r="AH816" s="1"/>
      <c r="AI816" s="39"/>
      <c r="AJ816" s="39"/>
      <c r="AK816" s="39"/>
      <c r="AL816" s="39"/>
      <c r="AM816" s="1"/>
      <c r="AN816" s="1"/>
      <c r="AO816" s="39"/>
      <c r="AP816" s="39"/>
      <c r="AQ816" s="1"/>
      <c r="AR816" s="39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 t="s">
        <v>0</v>
      </c>
      <c r="AB817" s="1" t="s">
        <v>0</v>
      </c>
      <c r="AC817" s="23" t="s">
        <v>0</v>
      </c>
      <c r="AD817" s="1"/>
      <c r="AE817" s="19"/>
      <c r="AF817" s="1"/>
      <c r="AG817" s="1"/>
      <c r="AH817" s="1"/>
      <c r="AI817" s="39"/>
      <c r="AJ817" s="39"/>
      <c r="AK817" s="39"/>
      <c r="AL817" s="39"/>
      <c r="AM817" s="1"/>
      <c r="AN817" s="1"/>
      <c r="AO817" s="39"/>
      <c r="AP817" s="39"/>
      <c r="AQ817" s="1"/>
      <c r="AR817" s="39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 t="s">
        <v>0</v>
      </c>
      <c r="AB818" s="1" t="s">
        <v>0</v>
      </c>
      <c r="AC818" s="23" t="s">
        <v>0</v>
      </c>
      <c r="AD818" s="1"/>
      <c r="AE818" s="19"/>
      <c r="AF818" s="1"/>
      <c r="AG818" s="1"/>
      <c r="AH818" s="1"/>
      <c r="AI818" s="39"/>
      <c r="AJ818" s="39"/>
      <c r="AK818" s="39"/>
      <c r="AL818" s="39"/>
      <c r="AM818" s="1"/>
      <c r="AN818" s="1"/>
      <c r="AO818" s="39"/>
      <c r="AP818" s="39"/>
      <c r="AQ818" s="1"/>
      <c r="AR818" s="39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 t="s">
        <v>0</v>
      </c>
      <c r="AB819" s="1" t="s">
        <v>0</v>
      </c>
      <c r="AC819" s="23" t="s">
        <v>0</v>
      </c>
      <c r="AD819" s="1"/>
      <c r="AE819" s="19"/>
      <c r="AF819" s="1"/>
      <c r="AG819" s="1"/>
      <c r="AH819" s="1"/>
      <c r="AI819" s="39"/>
      <c r="AJ819" s="39"/>
      <c r="AK819" s="39"/>
      <c r="AL819" s="39"/>
      <c r="AM819" s="1"/>
      <c r="AN819" s="1"/>
      <c r="AO819" s="39"/>
      <c r="AP819" s="39"/>
      <c r="AQ819" s="1"/>
      <c r="AR819" s="39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 t="s">
        <v>0</v>
      </c>
      <c r="AB820" s="1" t="s">
        <v>0</v>
      </c>
      <c r="AC820" s="23" t="s">
        <v>0</v>
      </c>
      <c r="AD820" s="1"/>
      <c r="AE820" s="19"/>
      <c r="AF820" s="1"/>
      <c r="AG820" s="1"/>
      <c r="AH820" s="1"/>
      <c r="AI820" s="39"/>
      <c r="AJ820" s="39"/>
      <c r="AK820" s="39"/>
      <c r="AL820" s="39"/>
      <c r="AM820" s="1"/>
      <c r="AN820" s="1"/>
      <c r="AO820" s="39"/>
      <c r="AP820" s="39"/>
      <c r="AQ820" s="1"/>
      <c r="AR820" s="39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 t="s">
        <v>0</v>
      </c>
      <c r="AB821" s="1" t="s">
        <v>0</v>
      </c>
      <c r="AC821" s="23" t="s">
        <v>0</v>
      </c>
      <c r="AD821" s="1"/>
      <c r="AE821" s="19"/>
      <c r="AF821" s="1"/>
      <c r="AG821" s="1"/>
      <c r="AH821" s="1"/>
      <c r="AI821" s="39"/>
      <c r="AJ821" s="39"/>
      <c r="AK821" s="39"/>
      <c r="AL821" s="39"/>
      <c r="AM821" s="1"/>
      <c r="AN821" s="1"/>
      <c r="AO821" s="39"/>
      <c r="AP821" s="39"/>
      <c r="AQ821" s="1"/>
      <c r="AR821" s="39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 t="s">
        <v>0</v>
      </c>
      <c r="AB822" s="1" t="s">
        <v>0</v>
      </c>
      <c r="AC822" s="23" t="s">
        <v>0</v>
      </c>
      <c r="AD822" s="1"/>
      <c r="AE822" s="19"/>
      <c r="AF822" s="1"/>
      <c r="AG822" s="1"/>
      <c r="AH822" s="1"/>
      <c r="AI822" s="39"/>
      <c r="AJ822" s="39"/>
      <c r="AK822" s="39"/>
      <c r="AL822" s="39"/>
      <c r="AM822" s="1"/>
      <c r="AN822" s="1"/>
      <c r="AO822" s="39"/>
      <c r="AP822" s="39"/>
      <c r="AQ822" s="1"/>
      <c r="AR822" s="39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 t="s">
        <v>0</v>
      </c>
      <c r="AB823" s="1" t="s">
        <v>0</v>
      </c>
      <c r="AC823" s="23" t="s">
        <v>0</v>
      </c>
      <c r="AD823" s="1"/>
      <c r="AE823" s="19"/>
      <c r="AF823" s="1"/>
      <c r="AG823" s="1"/>
      <c r="AH823" s="1"/>
      <c r="AI823" s="39"/>
      <c r="AJ823" s="39"/>
      <c r="AK823" s="39"/>
      <c r="AL823" s="39"/>
      <c r="AM823" s="1"/>
      <c r="AN823" s="1"/>
      <c r="AO823" s="39"/>
      <c r="AP823" s="39"/>
      <c r="AQ823" s="1"/>
      <c r="AR823" s="39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 t="s">
        <v>0</v>
      </c>
      <c r="AB824" s="1" t="s">
        <v>0</v>
      </c>
      <c r="AC824" s="23" t="s">
        <v>0</v>
      </c>
      <c r="AD824" s="1"/>
      <c r="AE824" s="19"/>
      <c r="AF824" s="1"/>
      <c r="AG824" s="1"/>
      <c r="AH824" s="1"/>
      <c r="AI824" s="39"/>
      <c r="AJ824" s="39"/>
      <c r="AK824" s="39"/>
      <c r="AL824" s="39"/>
      <c r="AM824" s="1"/>
      <c r="AN824" s="1"/>
      <c r="AO824" s="39"/>
      <c r="AP824" s="39"/>
      <c r="AQ824" s="1"/>
      <c r="AR824" s="39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 t="s">
        <v>0</v>
      </c>
      <c r="AB825" s="1" t="s">
        <v>0</v>
      </c>
      <c r="AC825" s="23" t="s">
        <v>0</v>
      </c>
      <c r="AD825" s="1"/>
      <c r="AE825" s="19"/>
      <c r="AF825" s="1"/>
      <c r="AG825" s="1"/>
      <c r="AH825" s="1"/>
      <c r="AI825" s="39"/>
      <c r="AJ825" s="39"/>
      <c r="AK825" s="39"/>
      <c r="AL825" s="39"/>
      <c r="AM825" s="1"/>
      <c r="AN825" s="1"/>
      <c r="AO825" s="39"/>
      <c r="AP825" s="39"/>
      <c r="AQ825" s="1"/>
      <c r="AR825" s="39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 t="s">
        <v>0</v>
      </c>
      <c r="AB826" s="1" t="s">
        <v>0</v>
      </c>
      <c r="AC826" s="23" t="s">
        <v>0</v>
      </c>
      <c r="AD826" s="1"/>
      <c r="AE826" s="19"/>
      <c r="AF826" s="1"/>
      <c r="AG826" s="1"/>
      <c r="AH826" s="1"/>
      <c r="AI826" s="39"/>
      <c r="AJ826" s="39"/>
      <c r="AK826" s="39"/>
      <c r="AL826" s="39"/>
      <c r="AM826" s="1"/>
      <c r="AN826" s="1"/>
      <c r="AO826" s="39"/>
      <c r="AP826" s="39"/>
      <c r="AQ826" s="1"/>
      <c r="AR826" s="39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 t="s">
        <v>0</v>
      </c>
      <c r="AB827" s="1" t="s">
        <v>0</v>
      </c>
      <c r="AC827" s="23" t="s">
        <v>0</v>
      </c>
      <c r="AD827" s="1"/>
      <c r="AE827" s="19"/>
      <c r="AF827" s="1"/>
      <c r="AG827" s="1"/>
      <c r="AH827" s="1"/>
      <c r="AI827" s="39"/>
      <c r="AJ827" s="39"/>
      <c r="AK827" s="39"/>
      <c r="AL827" s="39"/>
      <c r="AM827" s="1"/>
      <c r="AN827" s="1"/>
      <c r="AO827" s="39"/>
      <c r="AP827" s="39"/>
      <c r="AQ827" s="1"/>
      <c r="AR827" s="39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 t="s">
        <v>0</v>
      </c>
      <c r="AB828" s="1" t="s">
        <v>0</v>
      </c>
      <c r="AC828" s="23" t="s">
        <v>0</v>
      </c>
      <c r="AD828" s="1"/>
      <c r="AE828" s="19"/>
      <c r="AF828" s="1"/>
      <c r="AG828" s="1"/>
      <c r="AH828" s="1"/>
      <c r="AI828" s="39"/>
      <c r="AJ828" s="39"/>
      <c r="AK828" s="39"/>
      <c r="AL828" s="39"/>
      <c r="AM828" s="1"/>
      <c r="AN828" s="1"/>
      <c r="AO828" s="39"/>
      <c r="AP828" s="39"/>
      <c r="AQ828" s="1"/>
      <c r="AR828" s="39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 t="s">
        <v>0</v>
      </c>
      <c r="AB829" s="1" t="s">
        <v>0</v>
      </c>
      <c r="AC829" s="23" t="s">
        <v>0</v>
      </c>
      <c r="AD829" s="1"/>
      <c r="AE829" s="19"/>
      <c r="AF829" s="1"/>
      <c r="AG829" s="1"/>
      <c r="AH829" s="1"/>
      <c r="AI829" s="39"/>
      <c r="AJ829" s="39"/>
      <c r="AK829" s="39"/>
      <c r="AL829" s="39"/>
      <c r="AM829" s="1"/>
      <c r="AN829" s="1"/>
      <c r="AO829" s="39"/>
      <c r="AP829" s="39"/>
      <c r="AQ829" s="1"/>
      <c r="AR829" s="39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 t="s">
        <v>0</v>
      </c>
      <c r="AB830" s="1" t="s">
        <v>0</v>
      </c>
      <c r="AC830" s="23" t="s">
        <v>0</v>
      </c>
      <c r="AD830" s="1"/>
      <c r="AE830" s="19"/>
      <c r="AF830" s="1"/>
      <c r="AG830" s="1"/>
      <c r="AH830" s="1"/>
      <c r="AI830" s="39"/>
      <c r="AJ830" s="39"/>
      <c r="AK830" s="39"/>
      <c r="AL830" s="39"/>
      <c r="AM830" s="1"/>
      <c r="AN830" s="1"/>
      <c r="AO830" s="39"/>
      <c r="AP830" s="39"/>
      <c r="AQ830" s="1"/>
      <c r="AR830" s="39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 t="s">
        <v>0</v>
      </c>
      <c r="AB831" s="1" t="s">
        <v>0</v>
      </c>
      <c r="AC831" s="23" t="s">
        <v>0</v>
      </c>
      <c r="AD831" s="1"/>
      <c r="AE831" s="19"/>
      <c r="AF831" s="1"/>
      <c r="AG831" s="1"/>
      <c r="AH831" s="1"/>
      <c r="AI831" s="39"/>
      <c r="AJ831" s="39"/>
      <c r="AK831" s="39"/>
      <c r="AL831" s="39"/>
      <c r="AM831" s="1"/>
      <c r="AN831" s="1"/>
      <c r="AO831" s="39"/>
      <c r="AP831" s="39"/>
      <c r="AQ831" s="1"/>
      <c r="AR831" s="39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 t="s">
        <v>0</v>
      </c>
      <c r="AB832" s="1" t="s">
        <v>0</v>
      </c>
      <c r="AC832" s="23" t="s">
        <v>0</v>
      </c>
      <c r="AD832" s="1"/>
      <c r="AE832" s="19"/>
      <c r="AF832" s="1"/>
      <c r="AG832" s="1"/>
      <c r="AH832" s="1"/>
      <c r="AI832" s="39"/>
      <c r="AJ832" s="39"/>
      <c r="AK832" s="39"/>
      <c r="AL832" s="39"/>
      <c r="AM832" s="1"/>
      <c r="AN832" s="1"/>
      <c r="AO832" s="39"/>
      <c r="AP832" s="39"/>
      <c r="AQ832" s="1"/>
      <c r="AR832" s="39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 t="s">
        <v>0</v>
      </c>
      <c r="AB833" s="1" t="s">
        <v>0</v>
      </c>
      <c r="AC833" s="23" t="s">
        <v>0</v>
      </c>
      <c r="AD833" s="1"/>
      <c r="AE833" s="19"/>
      <c r="AF833" s="1"/>
      <c r="AG833" s="1"/>
      <c r="AH833" s="1"/>
      <c r="AI833" s="39"/>
      <c r="AJ833" s="39"/>
      <c r="AK833" s="39"/>
      <c r="AL833" s="39"/>
      <c r="AM833" s="1"/>
      <c r="AN833" s="1"/>
      <c r="AO833" s="39"/>
      <c r="AP833" s="39"/>
      <c r="AQ833" s="1"/>
      <c r="AR833" s="39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 t="s">
        <v>0</v>
      </c>
      <c r="AB834" s="1" t="s">
        <v>0</v>
      </c>
      <c r="AC834" s="23" t="s">
        <v>0</v>
      </c>
      <c r="AD834" s="1"/>
      <c r="AE834" s="19"/>
      <c r="AF834" s="1"/>
      <c r="AG834" s="1"/>
      <c r="AH834" s="1"/>
      <c r="AI834" s="39"/>
      <c r="AJ834" s="39"/>
      <c r="AK834" s="39"/>
      <c r="AL834" s="39"/>
      <c r="AM834" s="1"/>
      <c r="AN834" s="1"/>
      <c r="AO834" s="39"/>
      <c r="AP834" s="39"/>
      <c r="AQ834" s="1"/>
      <c r="AR834" s="39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 t="s">
        <v>0</v>
      </c>
      <c r="AB835" s="1" t="s">
        <v>0</v>
      </c>
      <c r="AC835" s="23" t="s">
        <v>0</v>
      </c>
      <c r="AD835" s="1"/>
      <c r="AE835" s="19"/>
      <c r="AF835" s="1"/>
      <c r="AG835" s="1"/>
      <c r="AH835" s="1"/>
      <c r="AI835" s="39"/>
      <c r="AJ835" s="39"/>
      <c r="AK835" s="39"/>
      <c r="AL835" s="39"/>
      <c r="AM835" s="1"/>
      <c r="AN835" s="1"/>
      <c r="AO835" s="39"/>
      <c r="AP835" s="39"/>
      <c r="AQ835" s="1"/>
      <c r="AR835" s="39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 t="s">
        <v>0</v>
      </c>
      <c r="AB836" s="1" t="s">
        <v>0</v>
      </c>
      <c r="AC836" s="23" t="s">
        <v>0</v>
      </c>
      <c r="AD836" s="1"/>
      <c r="AE836" s="19"/>
      <c r="AF836" s="1"/>
      <c r="AG836" s="1"/>
      <c r="AH836" s="1"/>
      <c r="AI836" s="39"/>
      <c r="AJ836" s="39"/>
      <c r="AK836" s="39"/>
      <c r="AL836" s="39"/>
      <c r="AM836" s="1"/>
      <c r="AN836" s="1"/>
      <c r="AO836" s="39"/>
      <c r="AP836" s="39"/>
      <c r="AQ836" s="1"/>
      <c r="AR836" s="39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 t="s">
        <v>0</v>
      </c>
      <c r="AB837" s="1" t="s">
        <v>0</v>
      </c>
      <c r="AC837" s="23" t="s">
        <v>0</v>
      </c>
      <c r="AD837" s="1"/>
      <c r="AE837" s="19"/>
      <c r="AF837" s="1"/>
      <c r="AG837" s="1"/>
      <c r="AH837" s="1"/>
      <c r="AI837" s="39"/>
      <c r="AJ837" s="39"/>
      <c r="AK837" s="39"/>
      <c r="AL837" s="39"/>
      <c r="AM837" s="1"/>
      <c r="AN837" s="1"/>
      <c r="AO837" s="39"/>
      <c r="AP837" s="39"/>
      <c r="AQ837" s="1"/>
      <c r="AR837" s="39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 t="s">
        <v>0</v>
      </c>
      <c r="AB838" s="1" t="s">
        <v>0</v>
      </c>
      <c r="AC838" s="23" t="s">
        <v>0</v>
      </c>
      <c r="AD838" s="1"/>
      <c r="AE838" s="19"/>
      <c r="AF838" s="1"/>
      <c r="AG838" s="1"/>
      <c r="AH838" s="1"/>
      <c r="AI838" s="39"/>
      <c r="AJ838" s="39"/>
      <c r="AK838" s="39"/>
      <c r="AL838" s="39"/>
      <c r="AM838" s="1"/>
      <c r="AN838" s="1"/>
      <c r="AO838" s="39"/>
      <c r="AP838" s="39"/>
      <c r="AQ838" s="1"/>
      <c r="AR838" s="39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 t="s">
        <v>0</v>
      </c>
      <c r="AB839" s="1" t="s">
        <v>0</v>
      </c>
      <c r="AC839" s="23" t="s">
        <v>0</v>
      </c>
      <c r="AD839" s="1"/>
      <c r="AE839" s="19"/>
      <c r="AF839" s="1"/>
      <c r="AG839" s="1"/>
      <c r="AH839" s="1"/>
      <c r="AI839" s="39"/>
      <c r="AJ839" s="39"/>
      <c r="AK839" s="39"/>
      <c r="AL839" s="39"/>
      <c r="AM839" s="1"/>
      <c r="AN839" s="1"/>
      <c r="AO839" s="39"/>
      <c r="AP839" s="39"/>
      <c r="AQ839" s="1"/>
      <c r="AR839" s="39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 t="s">
        <v>0</v>
      </c>
      <c r="AB840" s="1" t="s">
        <v>0</v>
      </c>
      <c r="AC840" s="23" t="s">
        <v>0</v>
      </c>
      <c r="AD840" s="1"/>
      <c r="AE840" s="19"/>
      <c r="AF840" s="1"/>
      <c r="AG840" s="1"/>
      <c r="AH840" s="1"/>
      <c r="AI840" s="39"/>
      <c r="AJ840" s="39"/>
      <c r="AK840" s="39"/>
      <c r="AL840" s="39"/>
      <c r="AM840" s="1"/>
      <c r="AN840" s="1"/>
      <c r="AO840" s="39"/>
      <c r="AP840" s="39"/>
      <c r="AQ840" s="1"/>
      <c r="AR840" s="39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 t="s">
        <v>0</v>
      </c>
      <c r="AB841" s="1" t="s">
        <v>0</v>
      </c>
      <c r="AC841" s="23" t="s">
        <v>0</v>
      </c>
      <c r="AD841" s="1"/>
      <c r="AE841" s="19"/>
      <c r="AF841" s="1"/>
      <c r="AG841" s="1"/>
      <c r="AH841" s="1"/>
      <c r="AI841" s="39"/>
      <c r="AJ841" s="39"/>
      <c r="AK841" s="39"/>
      <c r="AL841" s="39"/>
      <c r="AM841" s="1"/>
      <c r="AN841" s="1"/>
      <c r="AO841" s="39"/>
      <c r="AP841" s="39"/>
      <c r="AQ841" s="1"/>
      <c r="AR841" s="39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 t="s">
        <v>0</v>
      </c>
      <c r="AB842" s="1" t="s">
        <v>0</v>
      </c>
      <c r="AC842" s="23" t="s">
        <v>0</v>
      </c>
      <c r="AD842" s="1"/>
      <c r="AE842" s="19"/>
      <c r="AF842" s="1"/>
      <c r="AG842" s="1"/>
      <c r="AH842" s="1"/>
      <c r="AI842" s="39"/>
      <c r="AJ842" s="39"/>
      <c r="AK842" s="39"/>
      <c r="AL842" s="39"/>
      <c r="AM842" s="1"/>
      <c r="AN842" s="1"/>
      <c r="AO842" s="39"/>
      <c r="AP842" s="39"/>
      <c r="AQ842" s="1"/>
      <c r="AR842" s="39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 t="s">
        <v>0</v>
      </c>
      <c r="AB843" s="1" t="s">
        <v>0</v>
      </c>
      <c r="AC843" s="23" t="s">
        <v>0</v>
      </c>
      <c r="AD843" s="1"/>
      <c r="AE843" s="19"/>
      <c r="AF843" s="1"/>
      <c r="AG843" s="1"/>
      <c r="AH843" s="1"/>
      <c r="AI843" s="39"/>
      <c r="AJ843" s="39"/>
      <c r="AK843" s="39"/>
      <c r="AL843" s="39"/>
      <c r="AM843" s="1"/>
      <c r="AN843" s="1"/>
      <c r="AO843" s="39"/>
      <c r="AP843" s="39"/>
      <c r="AQ843" s="1"/>
      <c r="AR843" s="39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 t="s">
        <v>0</v>
      </c>
      <c r="AB844" s="1" t="s">
        <v>0</v>
      </c>
      <c r="AC844" s="23" t="s">
        <v>0</v>
      </c>
      <c r="AD844" s="1"/>
      <c r="AE844" s="19"/>
      <c r="AF844" s="1"/>
      <c r="AG844" s="1"/>
      <c r="AH844" s="1"/>
      <c r="AI844" s="39"/>
      <c r="AJ844" s="39"/>
      <c r="AK844" s="39"/>
      <c r="AL844" s="39"/>
      <c r="AM844" s="1"/>
      <c r="AN844" s="1"/>
      <c r="AO844" s="39"/>
      <c r="AP844" s="39"/>
      <c r="AQ844" s="1"/>
      <c r="AR844" s="39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 t="s">
        <v>0</v>
      </c>
      <c r="AB845" s="1" t="s">
        <v>0</v>
      </c>
      <c r="AC845" s="23" t="s">
        <v>0</v>
      </c>
      <c r="AD845" s="1"/>
      <c r="AE845" s="19"/>
      <c r="AF845" s="1"/>
      <c r="AG845" s="1"/>
      <c r="AH845" s="1"/>
      <c r="AI845" s="39"/>
      <c r="AJ845" s="39"/>
      <c r="AK845" s="39"/>
      <c r="AL845" s="39"/>
      <c r="AM845" s="1"/>
      <c r="AN845" s="1"/>
      <c r="AO845" s="39"/>
      <c r="AP845" s="39"/>
      <c r="AQ845" s="1"/>
      <c r="AR845" s="39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 t="s">
        <v>0</v>
      </c>
      <c r="AB846" s="1" t="s">
        <v>0</v>
      </c>
      <c r="AC846" s="23" t="s">
        <v>0</v>
      </c>
      <c r="AD846" s="1"/>
      <c r="AE846" s="19"/>
      <c r="AF846" s="1"/>
      <c r="AG846" s="1"/>
      <c r="AH846" s="1"/>
      <c r="AI846" s="39"/>
      <c r="AJ846" s="39"/>
      <c r="AK846" s="39"/>
      <c r="AL846" s="39"/>
      <c r="AM846" s="1"/>
      <c r="AN846" s="1"/>
      <c r="AO846" s="39"/>
      <c r="AP846" s="39"/>
      <c r="AQ846" s="1"/>
      <c r="AR846" s="39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 t="s">
        <v>0</v>
      </c>
      <c r="AB847" s="1" t="s">
        <v>0</v>
      </c>
      <c r="AC847" s="23" t="s">
        <v>0</v>
      </c>
      <c r="AD847" s="1"/>
      <c r="AE847" s="19"/>
      <c r="AF847" s="1"/>
      <c r="AG847" s="1"/>
      <c r="AH847" s="1"/>
      <c r="AI847" s="39"/>
      <c r="AJ847" s="39"/>
      <c r="AK847" s="39"/>
      <c r="AL847" s="39"/>
      <c r="AM847" s="1"/>
      <c r="AN847" s="1"/>
      <c r="AO847" s="39"/>
      <c r="AP847" s="39"/>
      <c r="AQ847" s="1"/>
      <c r="AR847" s="39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 t="s">
        <v>0</v>
      </c>
      <c r="AB848" s="1" t="s">
        <v>0</v>
      </c>
      <c r="AC848" s="23" t="s">
        <v>0</v>
      </c>
      <c r="AD848" s="1"/>
      <c r="AE848" s="19"/>
      <c r="AF848" s="1"/>
      <c r="AG848" s="1"/>
      <c r="AH848" s="1"/>
      <c r="AI848" s="39"/>
      <c r="AJ848" s="39"/>
      <c r="AK848" s="39"/>
      <c r="AL848" s="39"/>
      <c r="AM848" s="1"/>
      <c r="AN848" s="1"/>
      <c r="AO848" s="39"/>
      <c r="AP848" s="39"/>
      <c r="AQ848" s="1"/>
      <c r="AR848" s="39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 t="s">
        <v>0</v>
      </c>
      <c r="AB849" s="1" t="s">
        <v>0</v>
      </c>
      <c r="AC849" s="23" t="s">
        <v>0</v>
      </c>
      <c r="AD849" s="1"/>
      <c r="AE849" s="19"/>
      <c r="AF849" s="1"/>
      <c r="AG849" s="1"/>
      <c r="AH849" s="1"/>
      <c r="AI849" s="39"/>
      <c r="AJ849" s="39"/>
      <c r="AK849" s="39"/>
      <c r="AL849" s="39"/>
      <c r="AM849" s="1"/>
      <c r="AN849" s="1"/>
      <c r="AO849" s="39"/>
      <c r="AP849" s="39"/>
      <c r="AQ849" s="1"/>
      <c r="AR849" s="39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 t="s">
        <v>0</v>
      </c>
      <c r="AB850" s="1" t="s">
        <v>0</v>
      </c>
      <c r="AC850" s="23" t="s">
        <v>0</v>
      </c>
      <c r="AD850" s="1"/>
      <c r="AE850" s="19"/>
      <c r="AF850" s="1"/>
      <c r="AG850" s="1"/>
      <c r="AH850" s="1"/>
      <c r="AI850" s="39"/>
      <c r="AJ850" s="39"/>
      <c r="AK850" s="39"/>
      <c r="AL850" s="39"/>
      <c r="AM850" s="1"/>
      <c r="AN850" s="1"/>
      <c r="AO850" s="39"/>
      <c r="AP850" s="39"/>
      <c r="AQ850" s="1"/>
      <c r="AR850" s="39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 t="s">
        <v>0</v>
      </c>
      <c r="AB851" s="1" t="s">
        <v>0</v>
      </c>
      <c r="AC851" s="23" t="s">
        <v>0</v>
      </c>
      <c r="AD851" s="1"/>
      <c r="AE851" s="19"/>
      <c r="AF851" s="1"/>
      <c r="AG851" s="1"/>
      <c r="AH851" s="1"/>
      <c r="AI851" s="39"/>
      <c r="AJ851" s="39"/>
      <c r="AK851" s="39"/>
      <c r="AL851" s="39"/>
      <c r="AM851" s="1"/>
      <c r="AN851" s="1"/>
      <c r="AO851" s="39"/>
      <c r="AP851" s="39"/>
      <c r="AQ851" s="1"/>
      <c r="AR851" s="39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 t="s">
        <v>0</v>
      </c>
      <c r="AB852" s="1" t="s">
        <v>0</v>
      </c>
      <c r="AC852" s="23" t="s">
        <v>0</v>
      </c>
      <c r="AD852" s="1"/>
      <c r="AE852" s="19"/>
      <c r="AF852" s="1"/>
      <c r="AG852" s="1"/>
      <c r="AH852" s="1"/>
      <c r="AI852" s="39"/>
      <c r="AJ852" s="39"/>
      <c r="AK852" s="39"/>
      <c r="AL852" s="39"/>
      <c r="AM852" s="1"/>
      <c r="AN852" s="1"/>
      <c r="AO852" s="39"/>
      <c r="AP852" s="39"/>
      <c r="AQ852" s="1"/>
      <c r="AR852" s="39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 t="s">
        <v>0</v>
      </c>
      <c r="AB853" s="1" t="s">
        <v>0</v>
      </c>
      <c r="AC853" s="23" t="s">
        <v>0</v>
      </c>
      <c r="AD853" s="1"/>
      <c r="AE853" s="19"/>
      <c r="AF853" s="1"/>
      <c r="AG853" s="1"/>
      <c r="AH853" s="1"/>
      <c r="AI853" s="39"/>
      <c r="AJ853" s="39"/>
      <c r="AK853" s="39"/>
      <c r="AL853" s="39"/>
      <c r="AM853" s="1"/>
      <c r="AN853" s="1"/>
      <c r="AO853" s="39"/>
      <c r="AP853" s="39"/>
      <c r="AQ853" s="1"/>
      <c r="AR853" s="39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 t="s">
        <v>0</v>
      </c>
      <c r="AB854" s="1" t="s">
        <v>0</v>
      </c>
      <c r="AC854" s="23" t="s">
        <v>0</v>
      </c>
      <c r="AD854" s="1"/>
      <c r="AE854" s="19"/>
      <c r="AF854" s="1"/>
      <c r="AG854" s="1"/>
      <c r="AH854" s="1"/>
      <c r="AI854" s="39"/>
      <c r="AJ854" s="39"/>
      <c r="AK854" s="39"/>
      <c r="AL854" s="39"/>
      <c r="AM854" s="1"/>
      <c r="AN854" s="1"/>
      <c r="AO854" s="39"/>
      <c r="AP854" s="39"/>
      <c r="AQ854" s="1"/>
      <c r="AR854" s="39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 t="s">
        <v>0</v>
      </c>
      <c r="AB855" s="1" t="s">
        <v>0</v>
      </c>
      <c r="AC855" s="23" t="s">
        <v>0</v>
      </c>
      <c r="AD855" s="1"/>
      <c r="AE855" s="19"/>
      <c r="AF855" s="1"/>
      <c r="AG855" s="1"/>
      <c r="AH855" s="1"/>
      <c r="AI855" s="39"/>
      <c r="AJ855" s="39"/>
      <c r="AK855" s="39"/>
      <c r="AL855" s="39"/>
      <c r="AM855" s="1"/>
      <c r="AN855" s="1"/>
      <c r="AO855" s="39"/>
      <c r="AP855" s="39"/>
      <c r="AQ855" s="1"/>
      <c r="AR855" s="39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 t="s">
        <v>0</v>
      </c>
      <c r="AB856" s="1" t="s">
        <v>0</v>
      </c>
      <c r="AC856" s="23" t="s">
        <v>0</v>
      </c>
      <c r="AD856" s="1"/>
      <c r="AE856" s="19"/>
      <c r="AF856" s="1"/>
      <c r="AG856" s="1"/>
      <c r="AH856" s="1"/>
      <c r="AI856" s="39"/>
      <c r="AJ856" s="39"/>
      <c r="AK856" s="39"/>
      <c r="AL856" s="39"/>
      <c r="AM856" s="1"/>
      <c r="AN856" s="1"/>
      <c r="AO856" s="39"/>
      <c r="AP856" s="39"/>
      <c r="AQ856" s="1"/>
      <c r="AR856" s="39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 t="s">
        <v>0</v>
      </c>
      <c r="AB857" s="1" t="s">
        <v>0</v>
      </c>
      <c r="AC857" s="23" t="s">
        <v>0</v>
      </c>
      <c r="AD857" s="1"/>
      <c r="AE857" s="19"/>
      <c r="AF857" s="1"/>
      <c r="AG857" s="1"/>
      <c r="AH857" s="1"/>
      <c r="AI857" s="39"/>
      <c r="AJ857" s="39"/>
      <c r="AK857" s="39"/>
      <c r="AL857" s="39"/>
      <c r="AM857" s="1"/>
      <c r="AN857" s="1"/>
      <c r="AO857" s="39"/>
      <c r="AP857" s="39"/>
      <c r="AQ857" s="1"/>
      <c r="AR857" s="39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 t="s">
        <v>0</v>
      </c>
      <c r="AB858" s="1" t="s">
        <v>0</v>
      </c>
      <c r="AC858" s="23" t="s">
        <v>0</v>
      </c>
      <c r="AD858" s="1"/>
      <c r="AE858" s="19"/>
      <c r="AF858" s="1"/>
      <c r="AG858" s="1"/>
      <c r="AH858" s="1"/>
      <c r="AI858" s="39"/>
      <c r="AJ858" s="39"/>
      <c r="AK858" s="39"/>
      <c r="AL858" s="39"/>
      <c r="AM858" s="1"/>
      <c r="AN858" s="1"/>
      <c r="AO858" s="39"/>
      <c r="AP858" s="39"/>
      <c r="AQ858" s="1"/>
      <c r="AR858" s="39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 t="s">
        <v>0</v>
      </c>
      <c r="AB859" s="1" t="s">
        <v>0</v>
      </c>
      <c r="AC859" s="23" t="s">
        <v>0</v>
      </c>
      <c r="AD859" s="1"/>
      <c r="AE859" s="19"/>
      <c r="AF859" s="1"/>
      <c r="AG859" s="1"/>
      <c r="AH859" s="1"/>
      <c r="AI859" s="39"/>
      <c r="AJ859" s="39"/>
      <c r="AK859" s="39"/>
      <c r="AL859" s="39"/>
      <c r="AM859" s="1"/>
      <c r="AN859" s="1"/>
      <c r="AO859" s="39"/>
      <c r="AP859" s="39"/>
      <c r="AQ859" s="1"/>
      <c r="AR859" s="39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 t="s">
        <v>0</v>
      </c>
      <c r="AB860" s="1" t="s">
        <v>0</v>
      </c>
      <c r="AC860" s="23" t="s">
        <v>0</v>
      </c>
      <c r="AD860" s="1"/>
      <c r="AE860" s="19"/>
      <c r="AF860" s="1"/>
      <c r="AG860" s="1"/>
      <c r="AH860" s="1"/>
      <c r="AI860" s="39"/>
      <c r="AJ860" s="39"/>
      <c r="AK860" s="39"/>
      <c r="AL860" s="39"/>
      <c r="AM860" s="1"/>
      <c r="AN860" s="1"/>
      <c r="AO860" s="39"/>
      <c r="AP860" s="39"/>
      <c r="AQ860" s="1"/>
      <c r="AR860" s="39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 t="s">
        <v>0</v>
      </c>
      <c r="AB861" s="1" t="s">
        <v>0</v>
      </c>
      <c r="AC861" s="23" t="s">
        <v>0</v>
      </c>
      <c r="AD861" s="1"/>
      <c r="AE861" s="19"/>
      <c r="AF861" s="1"/>
      <c r="AG861" s="1"/>
      <c r="AH861" s="1"/>
      <c r="AI861" s="39"/>
      <c r="AJ861" s="39"/>
      <c r="AK861" s="39"/>
      <c r="AL861" s="39"/>
      <c r="AM861" s="1"/>
      <c r="AN861" s="1"/>
      <c r="AO861" s="39"/>
      <c r="AP861" s="39"/>
      <c r="AQ861" s="1"/>
      <c r="AR861" s="39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 t="s">
        <v>0</v>
      </c>
      <c r="AB862" s="1" t="s">
        <v>0</v>
      </c>
      <c r="AC862" s="23" t="s">
        <v>0</v>
      </c>
      <c r="AD862" s="1"/>
      <c r="AE862" s="19"/>
      <c r="AF862" s="1"/>
      <c r="AG862" s="1"/>
      <c r="AH862" s="1"/>
      <c r="AI862" s="39"/>
      <c r="AJ862" s="39"/>
      <c r="AK862" s="39"/>
      <c r="AL862" s="39"/>
      <c r="AM862" s="1"/>
      <c r="AN862" s="1"/>
      <c r="AO862" s="39"/>
      <c r="AP862" s="39"/>
      <c r="AQ862" s="1"/>
      <c r="AR862" s="39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 t="s">
        <v>0</v>
      </c>
      <c r="AB863" s="1" t="s">
        <v>0</v>
      </c>
      <c r="AC863" s="23" t="s">
        <v>0</v>
      </c>
      <c r="AD863" s="1"/>
      <c r="AE863" s="19"/>
      <c r="AF863" s="1"/>
      <c r="AG863" s="1"/>
      <c r="AH863" s="1"/>
      <c r="AI863" s="39"/>
      <c r="AJ863" s="39"/>
      <c r="AK863" s="39"/>
      <c r="AL863" s="39"/>
      <c r="AM863" s="1"/>
      <c r="AN863" s="1"/>
      <c r="AO863" s="39"/>
      <c r="AP863" s="39"/>
      <c r="AQ863" s="1"/>
      <c r="AR863" s="39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 t="s">
        <v>0</v>
      </c>
      <c r="AB864" s="1" t="s">
        <v>0</v>
      </c>
      <c r="AC864" s="23" t="s">
        <v>0</v>
      </c>
      <c r="AD864" s="1"/>
      <c r="AE864" s="19"/>
      <c r="AF864" s="1"/>
      <c r="AG864" s="1"/>
      <c r="AH864" s="1"/>
      <c r="AI864" s="39"/>
      <c r="AJ864" s="39"/>
      <c r="AK864" s="39"/>
      <c r="AL864" s="39"/>
      <c r="AM864" s="1"/>
      <c r="AN864" s="1"/>
      <c r="AO864" s="39"/>
      <c r="AP864" s="39"/>
      <c r="AQ864" s="1"/>
      <c r="AR864" s="39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 t="s">
        <v>0</v>
      </c>
      <c r="AB865" s="1" t="s">
        <v>0</v>
      </c>
      <c r="AC865" s="23" t="s">
        <v>0</v>
      </c>
      <c r="AD865" s="1"/>
      <c r="AE865" s="19"/>
      <c r="AF865" s="1"/>
      <c r="AG865" s="1"/>
      <c r="AH865" s="1"/>
      <c r="AI865" s="39"/>
      <c r="AJ865" s="39"/>
      <c r="AK865" s="39"/>
      <c r="AL865" s="39"/>
      <c r="AM865" s="1"/>
      <c r="AN865" s="1"/>
      <c r="AO865" s="39"/>
      <c r="AP865" s="39"/>
      <c r="AQ865" s="1"/>
      <c r="AR865" s="39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 t="s">
        <v>0</v>
      </c>
      <c r="AB866" s="1" t="s">
        <v>0</v>
      </c>
      <c r="AC866" s="23" t="s">
        <v>0</v>
      </c>
      <c r="AD866" s="1"/>
      <c r="AE866" s="19"/>
      <c r="AF866" s="1"/>
      <c r="AG866" s="1"/>
      <c r="AH866" s="1"/>
      <c r="AI866" s="39"/>
      <c r="AJ866" s="39"/>
      <c r="AK866" s="39"/>
      <c r="AL866" s="39"/>
      <c r="AM866" s="1"/>
      <c r="AN866" s="1"/>
      <c r="AO866" s="39"/>
      <c r="AP866" s="39"/>
      <c r="AQ866" s="1"/>
      <c r="AR866" s="39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 t="s">
        <v>0</v>
      </c>
      <c r="AB867" s="1" t="s">
        <v>0</v>
      </c>
      <c r="AC867" s="23" t="s">
        <v>0</v>
      </c>
      <c r="AD867" s="1"/>
      <c r="AE867" s="19"/>
      <c r="AF867" s="1"/>
      <c r="AG867" s="1"/>
      <c r="AH867" s="1"/>
      <c r="AI867" s="39"/>
      <c r="AJ867" s="39"/>
      <c r="AK867" s="39"/>
      <c r="AL867" s="39"/>
      <c r="AM867" s="1"/>
      <c r="AN867" s="1"/>
      <c r="AO867" s="39"/>
      <c r="AP867" s="39"/>
      <c r="AQ867" s="1"/>
      <c r="AR867" s="39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 t="s">
        <v>0</v>
      </c>
      <c r="AB868" s="1" t="s">
        <v>0</v>
      </c>
      <c r="AC868" s="23" t="s">
        <v>0</v>
      </c>
      <c r="AD868" s="1"/>
      <c r="AE868" s="19"/>
      <c r="AF868" s="1"/>
      <c r="AG868" s="1"/>
      <c r="AH868" s="1"/>
      <c r="AI868" s="39"/>
      <c r="AJ868" s="39"/>
      <c r="AK868" s="39"/>
      <c r="AL868" s="39"/>
      <c r="AM868" s="1"/>
      <c r="AN868" s="1"/>
      <c r="AO868" s="39"/>
      <c r="AP868" s="39"/>
      <c r="AQ868" s="1"/>
      <c r="AR868" s="39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 t="s">
        <v>0</v>
      </c>
      <c r="AB869" s="1" t="s">
        <v>0</v>
      </c>
      <c r="AC869" s="23" t="s">
        <v>0</v>
      </c>
      <c r="AD869" s="1"/>
      <c r="AE869" s="19"/>
      <c r="AF869" s="1"/>
      <c r="AG869" s="1"/>
      <c r="AH869" s="1"/>
      <c r="AI869" s="39"/>
      <c r="AJ869" s="39"/>
      <c r="AK869" s="39"/>
      <c r="AL869" s="39"/>
      <c r="AM869" s="1"/>
      <c r="AN869" s="1"/>
      <c r="AO869" s="39"/>
      <c r="AP869" s="39"/>
      <c r="AQ869" s="1"/>
      <c r="AR869" s="39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 t="s">
        <v>0</v>
      </c>
      <c r="AB870" s="1" t="s">
        <v>0</v>
      </c>
      <c r="AC870" s="23" t="s">
        <v>0</v>
      </c>
      <c r="AD870" s="1"/>
      <c r="AE870" s="19"/>
      <c r="AF870" s="1"/>
      <c r="AG870" s="1"/>
      <c r="AH870" s="1"/>
      <c r="AI870" s="39"/>
      <c r="AJ870" s="39"/>
      <c r="AK870" s="39"/>
      <c r="AL870" s="39"/>
      <c r="AM870" s="1"/>
      <c r="AN870" s="1"/>
      <c r="AO870" s="39"/>
      <c r="AP870" s="39"/>
      <c r="AQ870" s="1"/>
      <c r="AR870" s="39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 t="s">
        <v>0</v>
      </c>
      <c r="AB871" s="1" t="s">
        <v>0</v>
      </c>
      <c r="AC871" s="23" t="s">
        <v>0</v>
      </c>
      <c r="AD871" s="1"/>
      <c r="AE871" s="19"/>
      <c r="AF871" s="1"/>
      <c r="AG871" s="1"/>
      <c r="AH871" s="1"/>
      <c r="AI871" s="39"/>
      <c r="AJ871" s="39"/>
      <c r="AK871" s="39"/>
      <c r="AL871" s="39"/>
      <c r="AM871" s="1"/>
      <c r="AN871" s="1"/>
      <c r="AO871" s="39"/>
      <c r="AP871" s="39"/>
      <c r="AQ871" s="1"/>
      <c r="AR871" s="39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 t="s">
        <v>0</v>
      </c>
      <c r="AB872" s="1" t="s">
        <v>0</v>
      </c>
      <c r="AC872" s="23" t="s">
        <v>0</v>
      </c>
      <c r="AD872" s="1"/>
      <c r="AE872" s="19"/>
      <c r="AF872" s="1"/>
      <c r="AG872" s="1"/>
      <c r="AH872" s="1"/>
      <c r="AI872" s="39"/>
      <c r="AJ872" s="39"/>
      <c r="AK872" s="39"/>
      <c r="AL872" s="39"/>
      <c r="AM872" s="1"/>
      <c r="AN872" s="1"/>
      <c r="AO872" s="39"/>
      <c r="AP872" s="39"/>
      <c r="AQ872" s="1"/>
      <c r="AR872" s="39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 t="s">
        <v>0</v>
      </c>
      <c r="AB873" s="1" t="s">
        <v>0</v>
      </c>
      <c r="AC873" s="23" t="s">
        <v>0</v>
      </c>
      <c r="AD873" s="1"/>
      <c r="AE873" s="19"/>
      <c r="AF873" s="1"/>
      <c r="AG873" s="1"/>
      <c r="AH873" s="1"/>
      <c r="AI873" s="39"/>
      <c r="AJ873" s="39"/>
      <c r="AK873" s="39"/>
      <c r="AL873" s="39"/>
      <c r="AM873" s="1"/>
      <c r="AN873" s="1"/>
      <c r="AO873" s="39"/>
      <c r="AP873" s="39"/>
      <c r="AQ873" s="1"/>
      <c r="AR873" s="39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 t="s">
        <v>0</v>
      </c>
      <c r="AB874" s="1" t="s">
        <v>0</v>
      </c>
      <c r="AC874" s="23" t="s">
        <v>0</v>
      </c>
      <c r="AD874" s="1"/>
      <c r="AE874" s="19"/>
      <c r="AF874" s="1"/>
      <c r="AG874" s="1"/>
      <c r="AH874" s="1"/>
      <c r="AI874" s="39"/>
      <c r="AJ874" s="39"/>
      <c r="AK874" s="39"/>
      <c r="AL874" s="39"/>
      <c r="AM874" s="1"/>
      <c r="AN874" s="1"/>
      <c r="AO874" s="39"/>
      <c r="AP874" s="39"/>
      <c r="AQ874" s="1"/>
      <c r="AR874" s="39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 t="s">
        <v>0</v>
      </c>
      <c r="AB875" s="1" t="s">
        <v>0</v>
      </c>
      <c r="AC875" s="23" t="s">
        <v>0</v>
      </c>
      <c r="AD875" s="1"/>
      <c r="AE875" s="19"/>
      <c r="AF875" s="1"/>
      <c r="AG875" s="1"/>
      <c r="AH875" s="1"/>
      <c r="AI875" s="39"/>
      <c r="AJ875" s="39"/>
      <c r="AK875" s="39"/>
      <c r="AL875" s="39"/>
      <c r="AM875" s="1"/>
      <c r="AN875" s="1"/>
      <c r="AO875" s="39"/>
      <c r="AP875" s="39"/>
      <c r="AQ875" s="1"/>
      <c r="AR875" s="39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 t="s">
        <v>0</v>
      </c>
      <c r="AB876" s="1" t="s">
        <v>0</v>
      </c>
      <c r="AC876" s="23" t="s">
        <v>0</v>
      </c>
      <c r="AD876" s="1"/>
      <c r="AE876" s="19"/>
      <c r="AF876" s="1"/>
      <c r="AG876" s="1"/>
      <c r="AH876" s="1"/>
      <c r="AI876" s="39"/>
      <c r="AJ876" s="39"/>
      <c r="AK876" s="39"/>
      <c r="AL876" s="39"/>
      <c r="AM876" s="1"/>
      <c r="AN876" s="1"/>
      <c r="AO876" s="39"/>
      <c r="AP876" s="39"/>
      <c r="AQ876" s="1"/>
      <c r="AR876" s="39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 t="s">
        <v>0</v>
      </c>
      <c r="AB877" s="1" t="s">
        <v>0</v>
      </c>
      <c r="AC877" s="23" t="s">
        <v>0</v>
      </c>
      <c r="AD877" s="1"/>
      <c r="AE877" s="19"/>
      <c r="AF877" s="1"/>
      <c r="AG877" s="1"/>
      <c r="AH877" s="1"/>
      <c r="AI877" s="39"/>
      <c r="AJ877" s="39"/>
      <c r="AK877" s="39"/>
      <c r="AL877" s="39"/>
      <c r="AM877" s="1"/>
      <c r="AN877" s="1"/>
      <c r="AO877" s="39"/>
      <c r="AP877" s="39"/>
      <c r="AQ877" s="1"/>
      <c r="AR877" s="39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 t="s">
        <v>0</v>
      </c>
      <c r="AB878" s="1" t="s">
        <v>0</v>
      </c>
      <c r="AC878" s="23" t="s">
        <v>0</v>
      </c>
      <c r="AD878" s="1"/>
      <c r="AE878" s="19"/>
      <c r="AF878" s="1"/>
      <c r="AG878" s="1"/>
      <c r="AH878" s="1"/>
      <c r="AI878" s="39"/>
      <c r="AJ878" s="39"/>
      <c r="AK878" s="39"/>
      <c r="AL878" s="39"/>
      <c r="AM878" s="1"/>
      <c r="AN878" s="1"/>
      <c r="AO878" s="39"/>
      <c r="AP878" s="39"/>
      <c r="AQ878" s="1"/>
      <c r="AR878" s="39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 t="s">
        <v>0</v>
      </c>
      <c r="AB879" s="1" t="s">
        <v>0</v>
      </c>
      <c r="AC879" s="23" t="s">
        <v>0</v>
      </c>
      <c r="AD879" s="1"/>
      <c r="AE879" s="19"/>
      <c r="AF879" s="1"/>
      <c r="AG879" s="1"/>
      <c r="AH879" s="1"/>
      <c r="AI879" s="39"/>
      <c r="AJ879" s="39"/>
      <c r="AK879" s="39"/>
      <c r="AL879" s="39"/>
      <c r="AM879" s="1"/>
      <c r="AN879" s="1"/>
      <c r="AO879" s="39"/>
      <c r="AP879" s="39"/>
      <c r="AQ879" s="1"/>
      <c r="AR879" s="39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 t="s">
        <v>0</v>
      </c>
      <c r="AB880" s="1" t="s">
        <v>0</v>
      </c>
      <c r="AC880" s="23" t="s">
        <v>0</v>
      </c>
      <c r="AD880" s="1"/>
      <c r="AE880" s="19"/>
      <c r="AF880" s="1"/>
      <c r="AG880" s="1"/>
      <c r="AH880" s="1"/>
      <c r="AI880" s="39"/>
      <c r="AJ880" s="39"/>
      <c r="AK880" s="39"/>
      <c r="AL880" s="39"/>
      <c r="AM880" s="1"/>
      <c r="AN880" s="1"/>
      <c r="AO880" s="39"/>
      <c r="AP880" s="39"/>
      <c r="AQ880" s="1"/>
      <c r="AR880" s="39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 t="s">
        <v>0</v>
      </c>
      <c r="AB881" s="1" t="s">
        <v>0</v>
      </c>
      <c r="AC881" s="23" t="s">
        <v>0</v>
      </c>
      <c r="AD881" s="1"/>
      <c r="AE881" s="19"/>
      <c r="AF881" s="1"/>
      <c r="AG881" s="1"/>
      <c r="AH881" s="1"/>
      <c r="AI881" s="39"/>
      <c r="AJ881" s="39"/>
      <c r="AK881" s="39"/>
      <c r="AL881" s="39"/>
      <c r="AM881" s="1"/>
      <c r="AN881" s="1"/>
      <c r="AO881" s="39"/>
      <c r="AP881" s="39"/>
      <c r="AQ881" s="1"/>
      <c r="AR881" s="39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 t="s">
        <v>0</v>
      </c>
      <c r="AB882" s="1" t="s">
        <v>0</v>
      </c>
      <c r="AC882" s="23" t="s">
        <v>0</v>
      </c>
      <c r="AD882" s="1"/>
      <c r="AE882" s="19"/>
      <c r="AF882" s="1"/>
      <c r="AG882" s="1"/>
      <c r="AH882" s="1"/>
      <c r="AI882" s="39"/>
      <c r="AJ882" s="39"/>
      <c r="AK882" s="39"/>
      <c r="AL882" s="39"/>
      <c r="AM882" s="1"/>
      <c r="AN882" s="1"/>
      <c r="AO882" s="39"/>
      <c r="AP882" s="39"/>
      <c r="AQ882" s="1"/>
      <c r="AR882" s="39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 t="s">
        <v>0</v>
      </c>
      <c r="AB883" s="1" t="s">
        <v>0</v>
      </c>
      <c r="AC883" s="23" t="s">
        <v>0</v>
      </c>
      <c r="AD883" s="1"/>
      <c r="AE883" s="19"/>
      <c r="AF883" s="1"/>
      <c r="AG883" s="1"/>
      <c r="AH883" s="1"/>
      <c r="AI883" s="39"/>
      <c r="AJ883" s="39"/>
      <c r="AK883" s="39"/>
      <c r="AL883" s="39"/>
      <c r="AM883" s="1"/>
      <c r="AN883" s="1"/>
      <c r="AO883" s="39"/>
      <c r="AP883" s="39"/>
      <c r="AQ883" s="1"/>
      <c r="AR883" s="39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 t="s">
        <v>0</v>
      </c>
      <c r="AB884" s="1" t="s">
        <v>0</v>
      </c>
      <c r="AC884" s="23" t="s">
        <v>0</v>
      </c>
      <c r="AD884" s="1"/>
      <c r="AE884" s="19"/>
      <c r="AF884" s="1"/>
      <c r="AG884" s="1"/>
      <c r="AH884" s="1"/>
      <c r="AI884" s="39"/>
      <c r="AJ884" s="39"/>
      <c r="AK884" s="39"/>
      <c r="AL884" s="39"/>
      <c r="AM884" s="1"/>
      <c r="AN884" s="1"/>
      <c r="AO884" s="39"/>
      <c r="AP884" s="39"/>
      <c r="AQ884" s="1"/>
      <c r="AR884" s="39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 t="s">
        <v>0</v>
      </c>
      <c r="AB885" s="1" t="s">
        <v>0</v>
      </c>
      <c r="AC885" s="23" t="s">
        <v>0</v>
      </c>
      <c r="AD885" s="1"/>
      <c r="AE885" s="19"/>
      <c r="AF885" s="1"/>
      <c r="AG885" s="1"/>
      <c r="AH885" s="1"/>
      <c r="AI885" s="39"/>
      <c r="AJ885" s="39"/>
      <c r="AK885" s="39"/>
      <c r="AL885" s="39"/>
      <c r="AM885" s="1"/>
      <c r="AN885" s="1"/>
      <c r="AO885" s="39"/>
      <c r="AP885" s="39"/>
      <c r="AQ885" s="1"/>
      <c r="AR885" s="39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 t="s">
        <v>0</v>
      </c>
      <c r="AB886" s="1" t="s">
        <v>0</v>
      </c>
      <c r="AC886" s="23" t="s">
        <v>0</v>
      </c>
      <c r="AD886" s="1"/>
      <c r="AE886" s="19"/>
      <c r="AF886" s="1"/>
      <c r="AG886" s="1"/>
      <c r="AH886" s="1"/>
      <c r="AI886" s="39"/>
      <c r="AJ886" s="39"/>
      <c r="AK886" s="39"/>
      <c r="AL886" s="39"/>
      <c r="AM886" s="1"/>
      <c r="AN886" s="1"/>
      <c r="AO886" s="39"/>
      <c r="AP886" s="39"/>
      <c r="AQ886" s="1"/>
      <c r="AR886" s="39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 t="s">
        <v>0</v>
      </c>
      <c r="AB887" s="1" t="s">
        <v>0</v>
      </c>
      <c r="AC887" s="23" t="s">
        <v>0</v>
      </c>
      <c r="AD887" s="1"/>
      <c r="AE887" s="19"/>
      <c r="AF887" s="1"/>
      <c r="AG887" s="1"/>
      <c r="AH887" s="1"/>
      <c r="AI887" s="39"/>
      <c r="AJ887" s="39"/>
      <c r="AK887" s="39"/>
      <c r="AL887" s="39"/>
      <c r="AM887" s="1"/>
      <c r="AN887" s="1"/>
      <c r="AO887" s="39"/>
      <c r="AP887" s="39"/>
      <c r="AQ887" s="1"/>
      <c r="AR887" s="39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 t="s">
        <v>0</v>
      </c>
      <c r="AB888" s="1" t="s">
        <v>0</v>
      </c>
      <c r="AC888" s="23" t="s">
        <v>0</v>
      </c>
      <c r="AD888" s="1"/>
      <c r="AE888" s="19"/>
      <c r="AF888" s="1"/>
      <c r="AG888" s="1"/>
      <c r="AH888" s="1"/>
      <c r="AI888" s="39"/>
      <c r="AJ888" s="39"/>
      <c r="AK888" s="39"/>
      <c r="AL888" s="39"/>
      <c r="AM888" s="1"/>
      <c r="AN888" s="1"/>
      <c r="AO888" s="39"/>
      <c r="AP888" s="39"/>
      <c r="AQ888" s="1"/>
      <c r="AR888" s="39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 t="s">
        <v>0</v>
      </c>
      <c r="AB889" s="1" t="s">
        <v>0</v>
      </c>
      <c r="AC889" s="23" t="s">
        <v>0</v>
      </c>
      <c r="AD889" s="1"/>
      <c r="AE889" s="19"/>
      <c r="AF889" s="1"/>
      <c r="AG889" s="1"/>
      <c r="AH889" s="1"/>
      <c r="AI889" s="39"/>
      <c r="AJ889" s="39"/>
      <c r="AK889" s="39"/>
      <c r="AL889" s="39"/>
      <c r="AM889" s="1"/>
      <c r="AN889" s="1"/>
      <c r="AO889" s="39"/>
      <c r="AP889" s="39"/>
      <c r="AQ889" s="1"/>
      <c r="AR889" s="39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 t="s">
        <v>0</v>
      </c>
      <c r="AB890" s="1" t="s">
        <v>0</v>
      </c>
      <c r="AC890" s="23" t="s">
        <v>0</v>
      </c>
      <c r="AD890" s="1"/>
      <c r="AE890" s="19"/>
      <c r="AF890" s="1"/>
      <c r="AG890" s="1"/>
      <c r="AH890" s="1"/>
      <c r="AI890" s="39"/>
      <c r="AJ890" s="39"/>
      <c r="AK890" s="39"/>
      <c r="AL890" s="39"/>
      <c r="AM890" s="1"/>
      <c r="AN890" s="1"/>
      <c r="AO890" s="39"/>
      <c r="AP890" s="39"/>
      <c r="AQ890" s="1"/>
      <c r="AR890" s="39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 t="s">
        <v>0</v>
      </c>
      <c r="AB891" s="1" t="s">
        <v>0</v>
      </c>
      <c r="AC891" s="23" t="s">
        <v>0</v>
      </c>
      <c r="AD891" s="1"/>
      <c r="AE891" s="19"/>
      <c r="AF891" s="1"/>
      <c r="AG891" s="1"/>
      <c r="AH891" s="1"/>
      <c r="AI891" s="39"/>
      <c r="AJ891" s="39"/>
      <c r="AK891" s="39"/>
      <c r="AL891" s="39"/>
      <c r="AM891" s="1"/>
      <c r="AN891" s="1"/>
      <c r="AO891" s="39"/>
      <c r="AP891" s="39"/>
      <c r="AQ891" s="1"/>
      <c r="AR891" s="39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 t="s">
        <v>0</v>
      </c>
      <c r="AB892" s="1" t="s">
        <v>0</v>
      </c>
      <c r="AC892" s="23" t="s">
        <v>0</v>
      </c>
      <c r="AD892" s="1"/>
      <c r="AE892" s="19"/>
      <c r="AF892" s="1"/>
      <c r="AG892" s="1"/>
      <c r="AH892" s="1"/>
      <c r="AI892" s="39"/>
      <c r="AJ892" s="39"/>
      <c r="AK892" s="39"/>
      <c r="AL892" s="39"/>
      <c r="AM892" s="1"/>
      <c r="AN892" s="1"/>
      <c r="AO892" s="39"/>
      <c r="AP892" s="39"/>
      <c r="AQ892" s="1"/>
      <c r="AR892" s="39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 t="s">
        <v>0</v>
      </c>
      <c r="AB893" s="1" t="s">
        <v>0</v>
      </c>
      <c r="AC893" s="23" t="s">
        <v>0</v>
      </c>
      <c r="AD893" s="1"/>
      <c r="AE893" s="19"/>
      <c r="AF893" s="1"/>
      <c r="AG893" s="1"/>
      <c r="AH893" s="1"/>
      <c r="AI893" s="39"/>
      <c r="AJ893" s="39"/>
      <c r="AK893" s="39"/>
      <c r="AL893" s="39"/>
      <c r="AM893" s="1"/>
      <c r="AN893" s="1"/>
      <c r="AO893" s="39"/>
      <c r="AP893" s="39"/>
      <c r="AQ893" s="1"/>
      <c r="AR893" s="39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 t="s">
        <v>0</v>
      </c>
      <c r="AB894" s="1" t="s">
        <v>0</v>
      </c>
      <c r="AC894" s="23" t="s">
        <v>0</v>
      </c>
      <c r="AD894" s="1"/>
      <c r="AE894" s="19"/>
      <c r="AF894" s="1"/>
      <c r="AG894" s="1"/>
      <c r="AH894" s="1"/>
      <c r="AI894" s="39"/>
      <c r="AJ894" s="39"/>
      <c r="AK894" s="39"/>
      <c r="AL894" s="39"/>
      <c r="AM894" s="1"/>
      <c r="AN894" s="1"/>
      <c r="AO894" s="39"/>
      <c r="AP894" s="39"/>
      <c r="AQ894" s="1"/>
      <c r="AR894" s="39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 t="s">
        <v>0</v>
      </c>
      <c r="AB895" s="1" t="s">
        <v>0</v>
      </c>
      <c r="AC895" s="23" t="s">
        <v>0</v>
      </c>
      <c r="AD895" s="1"/>
      <c r="AE895" s="19"/>
      <c r="AF895" s="1"/>
      <c r="AG895" s="1"/>
      <c r="AH895" s="1"/>
      <c r="AI895" s="39"/>
      <c r="AJ895" s="39"/>
      <c r="AK895" s="39"/>
      <c r="AL895" s="39"/>
      <c r="AM895" s="1"/>
      <c r="AN895" s="1"/>
      <c r="AO895" s="39"/>
      <c r="AP895" s="39"/>
      <c r="AQ895" s="1"/>
      <c r="AR895" s="39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 t="s">
        <v>0</v>
      </c>
      <c r="AB896" s="1" t="s">
        <v>0</v>
      </c>
      <c r="AC896" s="23" t="s">
        <v>0</v>
      </c>
      <c r="AD896" s="1"/>
      <c r="AE896" s="19"/>
      <c r="AF896" s="1"/>
      <c r="AG896" s="1"/>
      <c r="AH896" s="1"/>
      <c r="AI896" s="39"/>
      <c r="AJ896" s="39"/>
      <c r="AK896" s="39"/>
      <c r="AL896" s="39"/>
      <c r="AM896" s="1"/>
      <c r="AN896" s="1"/>
      <c r="AO896" s="39"/>
      <c r="AP896" s="39"/>
      <c r="AQ896" s="1"/>
      <c r="AR896" s="39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 t="s">
        <v>0</v>
      </c>
      <c r="AB897" s="1" t="s">
        <v>0</v>
      </c>
      <c r="AC897" s="23" t="s">
        <v>0</v>
      </c>
      <c r="AD897" s="1"/>
      <c r="AE897" s="19"/>
      <c r="AF897" s="1"/>
      <c r="AG897" s="1"/>
      <c r="AH897" s="1"/>
      <c r="AI897" s="39"/>
      <c r="AJ897" s="39"/>
      <c r="AK897" s="39"/>
      <c r="AL897" s="39"/>
      <c r="AM897" s="1"/>
      <c r="AN897" s="1"/>
      <c r="AO897" s="39"/>
      <c r="AP897" s="39"/>
      <c r="AQ897" s="1"/>
      <c r="AR897" s="39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 t="s">
        <v>0</v>
      </c>
      <c r="AB898" s="1" t="s">
        <v>0</v>
      </c>
      <c r="AC898" s="23" t="s">
        <v>0</v>
      </c>
      <c r="AD898" s="1"/>
      <c r="AE898" s="19"/>
      <c r="AF898" s="1"/>
      <c r="AG898" s="1"/>
      <c r="AH898" s="1"/>
      <c r="AI898" s="39"/>
      <c r="AJ898" s="39"/>
      <c r="AK898" s="39"/>
      <c r="AL898" s="39"/>
      <c r="AM898" s="1"/>
      <c r="AN898" s="1"/>
      <c r="AO898" s="39"/>
      <c r="AP898" s="39"/>
      <c r="AQ898" s="1"/>
      <c r="AR898" s="39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 t="s">
        <v>0</v>
      </c>
      <c r="AB899" s="1" t="s">
        <v>0</v>
      </c>
      <c r="AC899" s="23" t="s">
        <v>0</v>
      </c>
      <c r="AD899" s="1"/>
      <c r="AE899" s="19"/>
      <c r="AF899" s="1"/>
      <c r="AG899" s="1"/>
      <c r="AH899" s="1"/>
      <c r="AI899" s="39"/>
      <c r="AJ899" s="39"/>
      <c r="AK899" s="39"/>
      <c r="AL899" s="39"/>
      <c r="AM899" s="1"/>
      <c r="AN899" s="1"/>
      <c r="AO899" s="39"/>
      <c r="AP899" s="39"/>
      <c r="AQ899" s="1"/>
      <c r="AR899" s="39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 t="s">
        <v>0</v>
      </c>
      <c r="AB900" s="1" t="s">
        <v>0</v>
      </c>
      <c r="AC900" s="23" t="s">
        <v>0</v>
      </c>
      <c r="AD900" s="1"/>
      <c r="AE900" s="19"/>
      <c r="AF900" s="1"/>
      <c r="AG900" s="1"/>
      <c r="AH900" s="1"/>
      <c r="AI900" s="39"/>
      <c r="AJ900" s="39"/>
      <c r="AK900" s="39"/>
      <c r="AL900" s="39"/>
      <c r="AM900" s="1"/>
      <c r="AN900" s="1"/>
      <c r="AO900" s="39"/>
      <c r="AP900" s="39"/>
      <c r="AQ900" s="1"/>
      <c r="AR900" s="39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 t="s">
        <v>0</v>
      </c>
      <c r="AB901" s="1" t="s">
        <v>0</v>
      </c>
      <c r="AC901" s="23" t="s">
        <v>0</v>
      </c>
      <c r="AD901" s="1"/>
      <c r="AE901" s="19"/>
      <c r="AF901" s="1"/>
      <c r="AG901" s="1"/>
      <c r="AH901" s="1"/>
      <c r="AI901" s="39"/>
      <c r="AJ901" s="39"/>
      <c r="AK901" s="39"/>
      <c r="AL901" s="39"/>
      <c r="AM901" s="1"/>
      <c r="AN901" s="1"/>
      <c r="AO901" s="39"/>
      <c r="AP901" s="39"/>
      <c r="AQ901" s="1"/>
      <c r="AR901" s="39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 t="s">
        <v>0</v>
      </c>
      <c r="AB902" s="1" t="s">
        <v>0</v>
      </c>
      <c r="AC902" s="23" t="s">
        <v>0</v>
      </c>
      <c r="AD902" s="1"/>
      <c r="AE902" s="19"/>
      <c r="AF902" s="1"/>
      <c r="AG902" s="1"/>
      <c r="AH902" s="1"/>
      <c r="AI902" s="39"/>
      <c r="AJ902" s="39"/>
      <c r="AK902" s="39"/>
      <c r="AL902" s="39"/>
      <c r="AM902" s="1"/>
      <c r="AN902" s="1"/>
      <c r="AO902" s="39"/>
      <c r="AP902" s="39"/>
      <c r="AQ902" s="1"/>
      <c r="AR902" s="39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 t="s">
        <v>0</v>
      </c>
      <c r="AB903" s="1" t="s">
        <v>0</v>
      </c>
      <c r="AC903" s="23" t="s">
        <v>0</v>
      </c>
      <c r="AD903" s="1"/>
      <c r="AE903" s="19"/>
      <c r="AF903" s="1"/>
      <c r="AG903" s="1"/>
      <c r="AH903" s="1"/>
      <c r="AI903" s="39"/>
      <c r="AJ903" s="39"/>
      <c r="AK903" s="39"/>
      <c r="AL903" s="39"/>
      <c r="AM903" s="1"/>
      <c r="AN903" s="1"/>
      <c r="AO903" s="39"/>
      <c r="AP903" s="39"/>
      <c r="AQ903" s="1"/>
      <c r="AR903" s="39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 t="s">
        <v>0</v>
      </c>
      <c r="AB904" s="1" t="s">
        <v>0</v>
      </c>
      <c r="AC904" s="23" t="s">
        <v>0</v>
      </c>
      <c r="AD904" s="1"/>
      <c r="AE904" s="19"/>
      <c r="AF904" s="1"/>
      <c r="AG904" s="1"/>
      <c r="AH904" s="1"/>
      <c r="AI904" s="39"/>
      <c r="AJ904" s="39"/>
      <c r="AK904" s="39"/>
      <c r="AL904" s="39"/>
      <c r="AM904" s="1"/>
      <c r="AN904" s="1"/>
      <c r="AO904" s="39"/>
      <c r="AP904" s="39"/>
      <c r="AQ904" s="1"/>
      <c r="AR904" s="39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 t="s">
        <v>0</v>
      </c>
      <c r="AB905" s="1" t="s">
        <v>0</v>
      </c>
      <c r="AC905" s="23" t="s">
        <v>0</v>
      </c>
      <c r="AD905" s="1"/>
      <c r="AE905" s="19"/>
      <c r="AF905" s="1"/>
      <c r="AG905" s="1"/>
      <c r="AH905" s="1"/>
      <c r="AI905" s="39"/>
      <c r="AJ905" s="39"/>
      <c r="AK905" s="39"/>
      <c r="AL905" s="39"/>
      <c r="AM905" s="1"/>
      <c r="AN905" s="1"/>
      <c r="AO905" s="39"/>
      <c r="AP905" s="39"/>
      <c r="AQ905" s="1"/>
      <c r="AR905" s="39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 t="s">
        <v>0</v>
      </c>
      <c r="AB906" s="1" t="s">
        <v>0</v>
      </c>
      <c r="AC906" s="23" t="s">
        <v>0</v>
      </c>
      <c r="AD906" s="1"/>
      <c r="AE906" s="19"/>
      <c r="AF906" s="1"/>
      <c r="AG906" s="1"/>
      <c r="AH906" s="1"/>
      <c r="AI906" s="39"/>
      <c r="AJ906" s="39"/>
      <c r="AK906" s="39"/>
      <c r="AL906" s="39"/>
      <c r="AM906" s="1"/>
      <c r="AN906" s="1"/>
      <c r="AO906" s="39"/>
      <c r="AP906" s="39"/>
      <c r="AQ906" s="1"/>
      <c r="AR906" s="39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 t="s">
        <v>0</v>
      </c>
      <c r="AB907" s="1" t="s">
        <v>0</v>
      </c>
      <c r="AC907" s="23" t="s">
        <v>0</v>
      </c>
      <c r="AD907" s="1"/>
      <c r="AE907" s="19"/>
      <c r="AF907" s="1"/>
      <c r="AG907" s="1"/>
      <c r="AH907" s="1"/>
      <c r="AI907" s="39"/>
      <c r="AJ907" s="39"/>
      <c r="AK907" s="39"/>
      <c r="AL907" s="39"/>
      <c r="AM907" s="1"/>
      <c r="AN907" s="1"/>
      <c r="AO907" s="39"/>
      <c r="AP907" s="39"/>
      <c r="AQ907" s="1"/>
      <c r="AR907" s="39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 t="s">
        <v>0</v>
      </c>
      <c r="AB908" s="1" t="s">
        <v>0</v>
      </c>
      <c r="AC908" s="23" t="s">
        <v>0</v>
      </c>
      <c r="AD908" s="1"/>
      <c r="AE908" s="19"/>
      <c r="AF908" s="1"/>
      <c r="AG908" s="1"/>
      <c r="AH908" s="1"/>
      <c r="AI908" s="39"/>
      <c r="AJ908" s="39"/>
      <c r="AK908" s="39"/>
      <c r="AL908" s="39"/>
      <c r="AM908" s="1"/>
      <c r="AN908" s="1"/>
      <c r="AO908" s="39"/>
      <c r="AP908" s="39"/>
      <c r="AQ908" s="1"/>
      <c r="AR908" s="39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 t="s">
        <v>0</v>
      </c>
      <c r="AB909" s="1" t="s">
        <v>0</v>
      </c>
      <c r="AC909" s="23" t="s">
        <v>0</v>
      </c>
      <c r="AD909" s="1"/>
      <c r="AE909" s="19"/>
      <c r="AF909" s="1"/>
      <c r="AG909" s="1"/>
      <c r="AH909" s="1"/>
      <c r="AI909" s="39"/>
      <c r="AJ909" s="39"/>
      <c r="AK909" s="39"/>
      <c r="AL909" s="39"/>
      <c r="AM909" s="1"/>
      <c r="AN909" s="1"/>
      <c r="AO909" s="39"/>
      <c r="AP909" s="39"/>
      <c r="AQ909" s="1"/>
      <c r="AR909" s="39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 t="s">
        <v>0</v>
      </c>
      <c r="AB910" s="1" t="s">
        <v>0</v>
      </c>
      <c r="AC910" s="23" t="s">
        <v>0</v>
      </c>
      <c r="AD910" s="1"/>
      <c r="AE910" s="19"/>
      <c r="AF910" s="1"/>
      <c r="AG910" s="1"/>
      <c r="AH910" s="1"/>
      <c r="AI910" s="39"/>
      <c r="AJ910" s="39"/>
      <c r="AK910" s="39"/>
      <c r="AL910" s="39"/>
      <c r="AM910" s="1"/>
      <c r="AN910" s="1"/>
      <c r="AO910" s="39"/>
      <c r="AP910" s="39"/>
      <c r="AQ910" s="1"/>
      <c r="AR910" s="39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 t="s">
        <v>0</v>
      </c>
      <c r="AB911" s="1" t="s">
        <v>0</v>
      </c>
      <c r="AC911" s="23" t="s">
        <v>0</v>
      </c>
      <c r="AD911" s="1"/>
      <c r="AE911" s="19"/>
      <c r="AF911" s="1"/>
      <c r="AG911" s="1"/>
      <c r="AH911" s="1"/>
      <c r="AI911" s="39"/>
      <c r="AJ911" s="39"/>
      <c r="AK911" s="39"/>
      <c r="AL911" s="39"/>
      <c r="AM911" s="1"/>
      <c r="AN911" s="1"/>
      <c r="AO911" s="39"/>
      <c r="AP911" s="39"/>
      <c r="AQ911" s="1"/>
      <c r="AR911" s="39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 t="s">
        <v>0</v>
      </c>
      <c r="AB912" s="1" t="s">
        <v>0</v>
      </c>
      <c r="AC912" s="23" t="s">
        <v>0</v>
      </c>
      <c r="AD912" s="1"/>
      <c r="AE912" s="19"/>
      <c r="AF912" s="1"/>
      <c r="AG912" s="1"/>
      <c r="AH912" s="1"/>
      <c r="AI912" s="39"/>
      <c r="AJ912" s="39"/>
      <c r="AK912" s="39"/>
      <c r="AL912" s="39"/>
      <c r="AM912" s="1"/>
      <c r="AN912" s="1"/>
      <c r="AO912" s="39"/>
      <c r="AP912" s="39"/>
      <c r="AQ912" s="1"/>
      <c r="AR912" s="39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 t="s">
        <v>0</v>
      </c>
      <c r="AB913" s="1" t="s">
        <v>0</v>
      </c>
      <c r="AC913" s="23" t="s">
        <v>0</v>
      </c>
      <c r="AD913" s="1"/>
      <c r="AE913" s="19"/>
      <c r="AF913" s="1"/>
      <c r="AG913" s="1"/>
      <c r="AH913" s="1"/>
      <c r="AI913" s="39"/>
      <c r="AJ913" s="39"/>
      <c r="AK913" s="39"/>
      <c r="AL913" s="39"/>
      <c r="AM913" s="1"/>
      <c r="AN913" s="1"/>
      <c r="AO913" s="39"/>
      <c r="AP913" s="39"/>
      <c r="AQ913" s="1"/>
      <c r="AR913" s="39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 t="s">
        <v>0</v>
      </c>
      <c r="AB914" s="1" t="s">
        <v>0</v>
      </c>
      <c r="AC914" s="23" t="s">
        <v>0</v>
      </c>
      <c r="AD914" s="1"/>
      <c r="AE914" s="19"/>
      <c r="AF914" s="1"/>
      <c r="AG914" s="1"/>
      <c r="AH914" s="1"/>
      <c r="AI914" s="39"/>
      <c r="AJ914" s="39"/>
      <c r="AK914" s="39"/>
      <c r="AL914" s="39"/>
      <c r="AM914" s="1"/>
      <c r="AN914" s="1"/>
      <c r="AO914" s="39"/>
      <c r="AP914" s="39"/>
      <c r="AQ914" s="1"/>
      <c r="AR914" s="39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 t="s">
        <v>0</v>
      </c>
      <c r="AB915" s="1" t="s">
        <v>0</v>
      </c>
      <c r="AC915" s="23" t="s">
        <v>0</v>
      </c>
      <c r="AD915" s="1"/>
      <c r="AE915" s="19"/>
      <c r="AF915" s="1"/>
      <c r="AG915" s="1"/>
      <c r="AH915" s="1"/>
      <c r="AI915" s="39"/>
      <c r="AJ915" s="39"/>
      <c r="AK915" s="39"/>
      <c r="AL915" s="39"/>
      <c r="AM915" s="1"/>
      <c r="AN915" s="1"/>
      <c r="AO915" s="39"/>
      <c r="AP915" s="39"/>
      <c r="AQ915" s="1"/>
      <c r="AR915" s="39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 t="s">
        <v>0</v>
      </c>
      <c r="AB916" s="1" t="s">
        <v>0</v>
      </c>
      <c r="AC916" s="23" t="s">
        <v>0</v>
      </c>
      <c r="AD916" s="1"/>
      <c r="AE916" s="19"/>
      <c r="AF916" s="1"/>
      <c r="AG916" s="1"/>
      <c r="AH916" s="1"/>
      <c r="AI916" s="39"/>
      <c r="AJ916" s="39"/>
      <c r="AK916" s="39"/>
      <c r="AL916" s="39"/>
      <c r="AM916" s="1"/>
      <c r="AN916" s="1"/>
      <c r="AO916" s="39"/>
      <c r="AP916" s="39"/>
      <c r="AQ916" s="1"/>
      <c r="AR916" s="39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 t="s">
        <v>0</v>
      </c>
      <c r="AB917" s="1" t="s">
        <v>0</v>
      </c>
      <c r="AC917" s="23" t="s">
        <v>0</v>
      </c>
      <c r="AD917" s="1"/>
      <c r="AE917" s="19"/>
      <c r="AF917" s="1"/>
      <c r="AG917" s="1"/>
      <c r="AH917" s="1"/>
      <c r="AI917" s="39"/>
      <c r="AJ917" s="39"/>
      <c r="AK917" s="39"/>
      <c r="AL917" s="39"/>
      <c r="AM917" s="1"/>
      <c r="AN917" s="1"/>
      <c r="AO917" s="39"/>
      <c r="AP917" s="39"/>
      <c r="AQ917" s="1"/>
      <c r="AR917" s="39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 t="s">
        <v>0</v>
      </c>
      <c r="AB918" s="1" t="s">
        <v>0</v>
      </c>
      <c r="AC918" s="23" t="s">
        <v>0</v>
      </c>
      <c r="AD918" s="1"/>
      <c r="AE918" s="19"/>
      <c r="AF918" s="1"/>
      <c r="AG918" s="1"/>
      <c r="AH918" s="1"/>
      <c r="AI918" s="39"/>
      <c r="AJ918" s="39"/>
      <c r="AK918" s="39"/>
      <c r="AL918" s="39"/>
      <c r="AM918" s="1"/>
      <c r="AN918" s="1"/>
      <c r="AO918" s="39"/>
      <c r="AP918" s="39"/>
      <c r="AQ918" s="1"/>
      <c r="AR918" s="39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 t="s">
        <v>0</v>
      </c>
      <c r="AB919" s="1" t="s">
        <v>0</v>
      </c>
      <c r="AC919" s="23" t="s">
        <v>0</v>
      </c>
      <c r="AD919" s="1"/>
      <c r="AE919" s="19"/>
      <c r="AF919" s="1"/>
      <c r="AG919" s="1"/>
      <c r="AH919" s="1"/>
      <c r="AI919" s="39"/>
      <c r="AJ919" s="39"/>
      <c r="AK919" s="39"/>
      <c r="AL919" s="39"/>
      <c r="AM919" s="1"/>
      <c r="AN919" s="1"/>
      <c r="AO919" s="39"/>
      <c r="AP919" s="39"/>
      <c r="AQ919" s="1"/>
      <c r="AR919" s="39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 t="s">
        <v>0</v>
      </c>
      <c r="AB920" s="1" t="s">
        <v>0</v>
      </c>
      <c r="AC920" s="23" t="s">
        <v>0</v>
      </c>
      <c r="AD920" s="1"/>
      <c r="AE920" s="19"/>
      <c r="AF920" s="1"/>
      <c r="AG920" s="1"/>
      <c r="AH920" s="1"/>
      <c r="AI920" s="39"/>
      <c r="AJ920" s="39"/>
      <c r="AK920" s="39"/>
      <c r="AL920" s="39"/>
      <c r="AM920" s="1"/>
      <c r="AN920" s="1"/>
      <c r="AO920" s="39"/>
      <c r="AP920" s="39"/>
      <c r="AQ920" s="1"/>
      <c r="AR920" s="39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 t="s">
        <v>0</v>
      </c>
      <c r="AB921" s="1" t="s">
        <v>0</v>
      </c>
      <c r="AC921" s="23" t="s">
        <v>0</v>
      </c>
      <c r="AD921" s="1"/>
      <c r="AE921" s="19"/>
      <c r="AF921" s="1"/>
      <c r="AG921" s="1"/>
      <c r="AH921" s="1"/>
      <c r="AI921" s="39"/>
      <c r="AJ921" s="39"/>
      <c r="AK921" s="39"/>
      <c r="AL921" s="39"/>
      <c r="AM921" s="1"/>
      <c r="AN921" s="1"/>
      <c r="AO921" s="39"/>
      <c r="AP921" s="39"/>
      <c r="AQ921" s="1"/>
      <c r="AR921" s="39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 t="s">
        <v>0</v>
      </c>
      <c r="AB922" s="1" t="s">
        <v>0</v>
      </c>
      <c r="AC922" s="23" t="s">
        <v>0</v>
      </c>
      <c r="AD922" s="1"/>
      <c r="AE922" s="19"/>
      <c r="AF922" s="1"/>
      <c r="AG922" s="1"/>
      <c r="AH922" s="1"/>
      <c r="AI922" s="39"/>
      <c r="AJ922" s="39"/>
      <c r="AK922" s="39"/>
      <c r="AL922" s="39"/>
      <c r="AM922" s="1"/>
      <c r="AN922" s="1"/>
      <c r="AO922" s="39"/>
      <c r="AP922" s="39"/>
      <c r="AQ922" s="1"/>
      <c r="AR922" s="39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 t="s">
        <v>0</v>
      </c>
      <c r="AB923" s="1" t="s">
        <v>0</v>
      </c>
      <c r="AC923" s="23" t="s">
        <v>0</v>
      </c>
      <c r="AD923" s="1"/>
      <c r="AE923" s="19"/>
      <c r="AF923" s="1"/>
      <c r="AG923" s="1"/>
      <c r="AH923" s="1"/>
      <c r="AI923" s="39"/>
      <c r="AJ923" s="39"/>
      <c r="AK923" s="39"/>
      <c r="AL923" s="39"/>
      <c r="AM923" s="1"/>
      <c r="AN923" s="1"/>
      <c r="AO923" s="39"/>
      <c r="AP923" s="39"/>
      <c r="AQ923" s="1"/>
      <c r="AR923" s="39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 t="s">
        <v>0</v>
      </c>
      <c r="AB924" s="1" t="s">
        <v>0</v>
      </c>
      <c r="AC924" s="23" t="s">
        <v>0</v>
      </c>
      <c r="AD924" s="1"/>
      <c r="AE924" s="19"/>
      <c r="AF924" s="1"/>
      <c r="AG924" s="1"/>
      <c r="AH924" s="1"/>
      <c r="AI924" s="39"/>
      <c r="AJ924" s="39"/>
      <c r="AK924" s="39"/>
      <c r="AL924" s="39"/>
      <c r="AM924" s="1"/>
      <c r="AN924" s="1"/>
      <c r="AO924" s="39"/>
      <c r="AP924" s="39"/>
      <c r="AQ924" s="1"/>
      <c r="AR924" s="39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 t="s">
        <v>0</v>
      </c>
      <c r="AB925" s="1" t="s">
        <v>0</v>
      </c>
      <c r="AC925" s="23" t="s">
        <v>0</v>
      </c>
      <c r="AD925" s="1"/>
      <c r="AE925" s="19"/>
      <c r="AF925" s="1"/>
      <c r="AG925" s="1"/>
      <c r="AH925" s="1"/>
      <c r="AI925" s="39"/>
      <c r="AJ925" s="39"/>
      <c r="AK925" s="39"/>
      <c r="AL925" s="39"/>
      <c r="AM925" s="1"/>
      <c r="AN925" s="1"/>
      <c r="AO925" s="39"/>
      <c r="AP925" s="39"/>
      <c r="AQ925" s="1"/>
      <c r="AR925" s="39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 t="s">
        <v>0</v>
      </c>
      <c r="AB926" s="1" t="s">
        <v>0</v>
      </c>
      <c r="AC926" s="23" t="s">
        <v>0</v>
      </c>
      <c r="AD926" s="1"/>
      <c r="AE926" s="19"/>
      <c r="AF926" s="1"/>
      <c r="AG926" s="1"/>
      <c r="AH926" s="1"/>
      <c r="AI926" s="39"/>
      <c r="AJ926" s="39"/>
      <c r="AK926" s="39"/>
      <c r="AL926" s="39"/>
      <c r="AM926" s="1"/>
      <c r="AN926" s="1"/>
      <c r="AO926" s="39"/>
      <c r="AP926" s="39"/>
      <c r="AQ926" s="1"/>
      <c r="AR926" s="39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 t="s">
        <v>0</v>
      </c>
      <c r="AB927" s="1" t="s">
        <v>0</v>
      </c>
      <c r="AC927" s="23" t="s">
        <v>0</v>
      </c>
      <c r="AD927" s="1"/>
      <c r="AE927" s="19"/>
      <c r="AF927" s="1"/>
      <c r="AG927" s="1"/>
      <c r="AH927" s="1"/>
      <c r="AI927" s="39"/>
      <c r="AJ927" s="39"/>
      <c r="AK927" s="39"/>
      <c r="AL927" s="39"/>
      <c r="AM927" s="1"/>
      <c r="AN927" s="1"/>
      <c r="AO927" s="39"/>
      <c r="AP927" s="39"/>
      <c r="AQ927" s="1"/>
      <c r="AR927" s="39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 t="s">
        <v>0</v>
      </c>
      <c r="AB928" s="1" t="s">
        <v>0</v>
      </c>
      <c r="AC928" s="23" t="s">
        <v>0</v>
      </c>
      <c r="AD928" s="1"/>
      <c r="AE928" s="19"/>
      <c r="AF928" s="1"/>
      <c r="AG928" s="1"/>
      <c r="AH928" s="1"/>
      <c r="AI928" s="39"/>
      <c r="AJ928" s="39"/>
      <c r="AK928" s="39"/>
      <c r="AL928" s="39"/>
      <c r="AM928" s="1"/>
      <c r="AN928" s="1"/>
      <c r="AO928" s="39"/>
      <c r="AP928" s="39"/>
      <c r="AQ928" s="1"/>
      <c r="AR928" s="39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 t="s">
        <v>0</v>
      </c>
      <c r="AB929" s="1" t="s">
        <v>0</v>
      </c>
      <c r="AC929" s="23" t="s">
        <v>0</v>
      </c>
      <c r="AD929" s="1"/>
      <c r="AE929" s="19"/>
      <c r="AF929" s="1"/>
      <c r="AG929" s="1"/>
      <c r="AH929" s="1"/>
      <c r="AI929" s="39"/>
      <c r="AJ929" s="39"/>
      <c r="AK929" s="39"/>
      <c r="AL929" s="39"/>
      <c r="AM929" s="1"/>
      <c r="AN929" s="1"/>
      <c r="AO929" s="39"/>
      <c r="AP929" s="39"/>
      <c r="AQ929" s="1"/>
      <c r="AR929" s="39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 t="s">
        <v>0</v>
      </c>
      <c r="AB930" s="1" t="s">
        <v>0</v>
      </c>
      <c r="AC930" s="23" t="s">
        <v>0</v>
      </c>
      <c r="AD930" s="1"/>
      <c r="AE930" s="19"/>
      <c r="AF930" s="1"/>
      <c r="AG930" s="1"/>
      <c r="AH930" s="1"/>
      <c r="AI930" s="39"/>
      <c r="AJ930" s="39"/>
      <c r="AK930" s="39"/>
      <c r="AL930" s="39"/>
      <c r="AM930" s="1"/>
      <c r="AN930" s="1"/>
      <c r="AO930" s="39"/>
      <c r="AP930" s="39"/>
      <c r="AQ930" s="1"/>
      <c r="AR930" s="39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 t="s">
        <v>0</v>
      </c>
      <c r="AB931" s="1" t="s">
        <v>0</v>
      </c>
      <c r="AC931" s="23" t="s">
        <v>0</v>
      </c>
      <c r="AD931" s="1"/>
      <c r="AE931" s="19"/>
      <c r="AF931" s="1"/>
      <c r="AG931" s="1"/>
      <c r="AH931" s="1"/>
      <c r="AI931" s="39"/>
      <c r="AJ931" s="39"/>
      <c r="AK931" s="39"/>
      <c r="AL931" s="39"/>
      <c r="AM931" s="1"/>
      <c r="AN931" s="1"/>
      <c r="AO931" s="39"/>
      <c r="AP931" s="39"/>
      <c r="AQ931" s="1"/>
      <c r="AR931" s="39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 t="s">
        <v>0</v>
      </c>
      <c r="AB932" s="1" t="s">
        <v>0</v>
      </c>
      <c r="AC932" s="23" t="s">
        <v>0</v>
      </c>
      <c r="AD932" s="1"/>
      <c r="AE932" s="19"/>
      <c r="AF932" s="1"/>
      <c r="AG932" s="1"/>
      <c r="AH932" s="1"/>
      <c r="AI932" s="39"/>
      <c r="AJ932" s="39"/>
      <c r="AK932" s="39"/>
      <c r="AL932" s="39"/>
      <c r="AM932" s="1"/>
      <c r="AN932" s="1"/>
      <c r="AO932" s="39"/>
      <c r="AP932" s="39"/>
      <c r="AQ932" s="1"/>
      <c r="AR932" s="39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 t="s">
        <v>0</v>
      </c>
      <c r="AB933" s="1" t="s">
        <v>0</v>
      </c>
      <c r="AC933" s="23" t="s">
        <v>0</v>
      </c>
      <c r="AD933" s="1"/>
      <c r="AE933" s="19"/>
      <c r="AF933" s="1"/>
      <c r="AG933" s="1"/>
      <c r="AH933" s="1"/>
      <c r="AI933" s="39"/>
      <c r="AJ933" s="39"/>
      <c r="AK933" s="39"/>
      <c r="AL933" s="39"/>
      <c r="AM933" s="1"/>
      <c r="AN933" s="1"/>
      <c r="AO933" s="39"/>
      <c r="AP933" s="39"/>
      <c r="AQ933" s="1"/>
      <c r="AR933" s="39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 t="s">
        <v>0</v>
      </c>
      <c r="AB934" s="1" t="s">
        <v>0</v>
      </c>
      <c r="AC934" s="23" t="s">
        <v>0</v>
      </c>
      <c r="AD934" s="1"/>
      <c r="AE934" s="19"/>
      <c r="AF934" s="1"/>
      <c r="AG934" s="1"/>
      <c r="AH934" s="1"/>
      <c r="AI934" s="39"/>
      <c r="AJ934" s="39"/>
      <c r="AK934" s="39"/>
      <c r="AL934" s="39"/>
      <c r="AM934" s="1"/>
      <c r="AN934" s="1"/>
      <c r="AO934" s="39"/>
      <c r="AP934" s="39"/>
      <c r="AQ934" s="1"/>
      <c r="AR934" s="39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 t="s">
        <v>0</v>
      </c>
      <c r="AB935" s="1" t="s">
        <v>0</v>
      </c>
      <c r="AC935" s="23" t="s">
        <v>0</v>
      </c>
      <c r="AD935" s="1"/>
      <c r="AE935" s="19"/>
      <c r="AF935" s="1"/>
      <c r="AG935" s="1"/>
      <c r="AH935" s="1"/>
      <c r="AI935" s="39"/>
      <c r="AJ935" s="39"/>
      <c r="AK935" s="39"/>
      <c r="AL935" s="39"/>
      <c r="AM935" s="1"/>
      <c r="AN935" s="1"/>
      <c r="AO935" s="39"/>
      <c r="AP935" s="39"/>
      <c r="AQ935" s="1"/>
      <c r="AR935" s="39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 t="s">
        <v>0</v>
      </c>
      <c r="AB936" s="1" t="s">
        <v>0</v>
      </c>
      <c r="AC936" s="23" t="s">
        <v>0</v>
      </c>
      <c r="AD936" s="1"/>
      <c r="AE936" s="19"/>
      <c r="AF936" s="1"/>
      <c r="AG936" s="1"/>
      <c r="AH936" s="1"/>
      <c r="AI936" s="39"/>
      <c r="AJ936" s="39"/>
      <c r="AK936" s="39"/>
      <c r="AL936" s="39"/>
      <c r="AM936" s="1"/>
      <c r="AN936" s="1"/>
      <c r="AO936" s="39"/>
      <c r="AP936" s="39"/>
      <c r="AQ936" s="1"/>
      <c r="AR936" s="39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 t="s">
        <v>0</v>
      </c>
      <c r="AB937" s="1" t="s">
        <v>0</v>
      </c>
      <c r="AC937" s="23" t="s">
        <v>0</v>
      </c>
      <c r="AD937" s="1"/>
      <c r="AE937" s="19"/>
      <c r="AF937" s="1"/>
      <c r="AG937" s="1"/>
      <c r="AH937" s="1"/>
      <c r="AI937" s="39"/>
      <c r="AJ937" s="39"/>
      <c r="AK937" s="39"/>
      <c r="AL937" s="39"/>
      <c r="AM937" s="1"/>
      <c r="AN937" s="1"/>
      <c r="AO937" s="39"/>
      <c r="AP937" s="39"/>
      <c r="AQ937" s="1"/>
      <c r="AR937" s="39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 t="s">
        <v>0</v>
      </c>
      <c r="AB938" s="1" t="s">
        <v>0</v>
      </c>
      <c r="AC938" s="23" t="s">
        <v>0</v>
      </c>
      <c r="AD938" s="1"/>
      <c r="AE938" s="19"/>
      <c r="AF938" s="1"/>
      <c r="AG938" s="1"/>
      <c r="AH938" s="1"/>
      <c r="AI938" s="39"/>
      <c r="AJ938" s="39"/>
      <c r="AK938" s="39"/>
      <c r="AL938" s="39"/>
      <c r="AM938" s="1"/>
      <c r="AN938" s="1"/>
      <c r="AO938" s="39"/>
      <c r="AP938" s="39"/>
      <c r="AQ938" s="1"/>
      <c r="AR938" s="39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 t="s">
        <v>0</v>
      </c>
      <c r="AB939" s="1" t="s">
        <v>0</v>
      </c>
      <c r="AC939" s="23" t="s">
        <v>0</v>
      </c>
      <c r="AD939" s="1"/>
      <c r="AE939" s="19"/>
      <c r="AF939" s="1"/>
      <c r="AG939" s="1"/>
      <c r="AH939" s="1"/>
      <c r="AI939" s="39"/>
      <c r="AJ939" s="39"/>
      <c r="AK939" s="39"/>
      <c r="AL939" s="39"/>
      <c r="AM939" s="1"/>
      <c r="AN939" s="1"/>
      <c r="AO939" s="39"/>
      <c r="AP939" s="39"/>
      <c r="AQ939" s="1"/>
      <c r="AR939" s="39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 t="s">
        <v>0</v>
      </c>
      <c r="AB940" s="1" t="s">
        <v>0</v>
      </c>
      <c r="AC940" s="23" t="s">
        <v>0</v>
      </c>
      <c r="AD940" s="1"/>
      <c r="AE940" s="19"/>
      <c r="AF940" s="1"/>
      <c r="AG940" s="1"/>
      <c r="AH940" s="1"/>
      <c r="AI940" s="39"/>
      <c r="AJ940" s="39"/>
      <c r="AK940" s="39"/>
      <c r="AL940" s="39"/>
      <c r="AM940" s="1"/>
      <c r="AN940" s="1"/>
      <c r="AO940" s="39"/>
      <c r="AP940" s="39"/>
      <c r="AQ940" s="1"/>
      <c r="AR940" s="39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 t="s">
        <v>0</v>
      </c>
      <c r="AB941" s="1" t="s">
        <v>0</v>
      </c>
      <c r="AC941" s="23" t="s">
        <v>0</v>
      </c>
      <c r="AD941" s="1"/>
      <c r="AE941" s="19"/>
      <c r="AF941" s="1"/>
      <c r="AG941" s="1"/>
      <c r="AH941" s="1"/>
      <c r="AI941" s="39"/>
      <c r="AJ941" s="39"/>
      <c r="AK941" s="39"/>
      <c r="AL941" s="39"/>
      <c r="AM941" s="1"/>
      <c r="AN941" s="1"/>
      <c r="AO941" s="39"/>
      <c r="AP941" s="39"/>
      <c r="AQ941" s="1"/>
      <c r="AR941" s="39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 t="s">
        <v>0</v>
      </c>
      <c r="AB942" s="1" t="s">
        <v>0</v>
      </c>
      <c r="AC942" s="23" t="s">
        <v>0</v>
      </c>
      <c r="AD942" s="1"/>
      <c r="AE942" s="19"/>
      <c r="AF942" s="1"/>
      <c r="AG942" s="1"/>
      <c r="AH942" s="1"/>
      <c r="AI942" s="39"/>
      <c r="AJ942" s="39"/>
      <c r="AK942" s="39"/>
      <c r="AL942" s="39"/>
      <c r="AM942" s="1"/>
      <c r="AN942" s="1"/>
      <c r="AO942" s="39"/>
      <c r="AP942" s="39"/>
      <c r="AQ942" s="1"/>
      <c r="AR942" s="39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 t="s">
        <v>0</v>
      </c>
      <c r="AB943" s="1" t="s">
        <v>0</v>
      </c>
      <c r="AC943" s="23" t="s">
        <v>0</v>
      </c>
      <c r="AD943" s="1"/>
      <c r="AE943" s="19"/>
      <c r="AF943" s="1"/>
      <c r="AG943" s="1"/>
      <c r="AH943" s="1"/>
      <c r="AI943" s="39"/>
      <c r="AJ943" s="39"/>
      <c r="AK943" s="39"/>
      <c r="AL943" s="39"/>
      <c r="AM943" s="1"/>
      <c r="AN943" s="1"/>
      <c r="AO943" s="39"/>
      <c r="AP943" s="39"/>
      <c r="AQ943" s="1"/>
      <c r="AR943" s="39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 t="s">
        <v>0</v>
      </c>
      <c r="AB944" s="1" t="s">
        <v>0</v>
      </c>
      <c r="AC944" s="23" t="s">
        <v>0</v>
      </c>
      <c r="AD944" s="1"/>
      <c r="AE944" s="19"/>
      <c r="AF944" s="1"/>
      <c r="AG944" s="1"/>
      <c r="AH944" s="1"/>
      <c r="AI944" s="39"/>
      <c r="AJ944" s="39"/>
      <c r="AK944" s="39"/>
      <c r="AL944" s="39"/>
      <c r="AM944" s="1"/>
      <c r="AN944" s="1"/>
      <c r="AO944" s="39"/>
      <c r="AP944" s="39"/>
      <c r="AQ944" s="1"/>
      <c r="AR944" s="39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 t="s">
        <v>0</v>
      </c>
      <c r="AB945" s="1" t="s">
        <v>0</v>
      </c>
      <c r="AC945" s="23" t="s">
        <v>0</v>
      </c>
      <c r="AD945" s="1"/>
      <c r="AE945" s="19"/>
      <c r="AF945" s="1"/>
      <c r="AG945" s="1"/>
      <c r="AH945" s="1"/>
      <c r="AI945" s="39"/>
      <c r="AJ945" s="39"/>
      <c r="AK945" s="39"/>
      <c r="AL945" s="39"/>
      <c r="AM945" s="1"/>
      <c r="AN945" s="1"/>
      <c r="AO945" s="39"/>
      <c r="AP945" s="39"/>
      <c r="AQ945" s="1"/>
      <c r="AR945" s="39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 t="s">
        <v>0</v>
      </c>
      <c r="AB946" s="1" t="s">
        <v>0</v>
      </c>
      <c r="AC946" s="23" t="s">
        <v>0</v>
      </c>
      <c r="AD946" s="1"/>
      <c r="AE946" s="19"/>
      <c r="AF946" s="1"/>
      <c r="AG946" s="1"/>
      <c r="AH946" s="1"/>
      <c r="AI946" s="39"/>
      <c r="AJ946" s="39"/>
      <c r="AK946" s="39"/>
      <c r="AL946" s="39"/>
      <c r="AM946" s="1"/>
      <c r="AN946" s="1"/>
      <c r="AO946" s="39"/>
      <c r="AP946" s="39"/>
      <c r="AQ946" s="1"/>
      <c r="AR946" s="39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 t="s">
        <v>0</v>
      </c>
      <c r="AB947" s="1" t="s">
        <v>0</v>
      </c>
      <c r="AC947" s="23" t="s">
        <v>0</v>
      </c>
      <c r="AD947" s="1"/>
      <c r="AE947" s="19"/>
      <c r="AF947" s="1"/>
      <c r="AG947" s="1"/>
      <c r="AH947" s="1"/>
      <c r="AI947" s="39"/>
      <c r="AJ947" s="39"/>
      <c r="AK947" s="39"/>
      <c r="AL947" s="39"/>
      <c r="AM947" s="1"/>
      <c r="AN947" s="1"/>
      <c r="AO947" s="39"/>
      <c r="AP947" s="39"/>
      <c r="AQ947" s="1"/>
      <c r="AR947" s="39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 t="s">
        <v>0</v>
      </c>
      <c r="AB948" s="1" t="s">
        <v>0</v>
      </c>
      <c r="AC948" s="23" t="s">
        <v>0</v>
      </c>
      <c r="AD948" s="1"/>
      <c r="AE948" s="19"/>
      <c r="AF948" s="1"/>
      <c r="AG948" s="1"/>
      <c r="AH948" s="1"/>
      <c r="AI948" s="39"/>
      <c r="AJ948" s="39"/>
      <c r="AK948" s="39"/>
      <c r="AL948" s="39"/>
      <c r="AM948" s="1"/>
      <c r="AN948" s="1"/>
      <c r="AO948" s="39"/>
      <c r="AP948" s="39"/>
      <c r="AQ948" s="1"/>
      <c r="AR948" s="39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 t="s">
        <v>0</v>
      </c>
      <c r="AB949" s="1" t="s">
        <v>0</v>
      </c>
      <c r="AC949" s="23" t="s">
        <v>0</v>
      </c>
      <c r="AD949" s="1"/>
      <c r="AE949" s="19"/>
      <c r="AF949" s="1"/>
      <c r="AG949" s="1"/>
      <c r="AH949" s="1"/>
      <c r="AI949" s="39"/>
      <c r="AJ949" s="39"/>
      <c r="AK949" s="39"/>
      <c r="AL949" s="39"/>
      <c r="AM949" s="1"/>
      <c r="AN949" s="1"/>
      <c r="AO949" s="39"/>
      <c r="AP949" s="39"/>
      <c r="AQ949" s="1"/>
      <c r="AR949" s="39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 t="s">
        <v>0</v>
      </c>
      <c r="AB950" s="1" t="s">
        <v>0</v>
      </c>
      <c r="AC950" s="23" t="s">
        <v>0</v>
      </c>
      <c r="AD950" s="1"/>
      <c r="AE950" s="19"/>
      <c r="AF950" s="1"/>
      <c r="AG950" s="1"/>
      <c r="AH950" s="1"/>
      <c r="AI950" s="39"/>
      <c r="AJ950" s="39"/>
      <c r="AK950" s="39"/>
      <c r="AL950" s="39"/>
      <c r="AM950" s="1"/>
      <c r="AN950" s="1"/>
      <c r="AO950" s="39"/>
      <c r="AP950" s="39"/>
      <c r="AQ950" s="1"/>
      <c r="AR950" s="39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 t="s">
        <v>0</v>
      </c>
      <c r="AB951" s="1" t="s">
        <v>0</v>
      </c>
      <c r="AC951" s="23" t="s">
        <v>0</v>
      </c>
      <c r="AD951" s="1"/>
      <c r="AE951" s="19"/>
      <c r="AF951" s="1"/>
      <c r="AG951" s="1"/>
      <c r="AH951" s="1"/>
      <c r="AI951" s="39"/>
      <c r="AJ951" s="39"/>
      <c r="AK951" s="39"/>
      <c r="AL951" s="39"/>
      <c r="AM951" s="1"/>
      <c r="AN951" s="1"/>
      <c r="AO951" s="39"/>
      <c r="AP951" s="39"/>
      <c r="AQ951" s="1"/>
      <c r="AR951" s="39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 t="s">
        <v>0</v>
      </c>
      <c r="AB952" s="1" t="s">
        <v>0</v>
      </c>
      <c r="AC952" s="23" t="s">
        <v>0</v>
      </c>
      <c r="AD952" s="1"/>
      <c r="AE952" s="19"/>
      <c r="AF952" s="1"/>
      <c r="AG952" s="1"/>
      <c r="AH952" s="1"/>
      <c r="AI952" s="39"/>
      <c r="AJ952" s="39"/>
      <c r="AK952" s="39"/>
      <c r="AL952" s="39"/>
      <c r="AM952" s="1"/>
      <c r="AN952" s="1"/>
      <c r="AO952" s="39"/>
      <c r="AP952" s="39"/>
      <c r="AQ952" s="1"/>
      <c r="AR952" s="39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 t="s">
        <v>0</v>
      </c>
      <c r="AB953" s="1" t="s">
        <v>0</v>
      </c>
      <c r="AC953" s="23" t="s">
        <v>0</v>
      </c>
      <c r="AD953" s="1"/>
      <c r="AE953" s="19"/>
      <c r="AF953" s="1"/>
      <c r="AG953" s="1"/>
      <c r="AH953" s="1"/>
      <c r="AI953" s="39"/>
      <c r="AJ953" s="39"/>
      <c r="AK953" s="39"/>
      <c r="AL953" s="39"/>
      <c r="AM953" s="1"/>
      <c r="AN953" s="1"/>
      <c r="AO953" s="39"/>
      <c r="AP953" s="39"/>
      <c r="AQ953" s="1"/>
      <c r="AR953" s="39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 t="s">
        <v>0</v>
      </c>
      <c r="AB954" s="1" t="s">
        <v>0</v>
      </c>
      <c r="AC954" s="23" t="s">
        <v>0</v>
      </c>
      <c r="AD954" s="1"/>
      <c r="AE954" s="19"/>
      <c r="AF954" s="1"/>
      <c r="AG954" s="1"/>
      <c r="AH954" s="1"/>
      <c r="AI954" s="39"/>
      <c r="AJ954" s="39"/>
      <c r="AK954" s="39"/>
      <c r="AL954" s="39"/>
      <c r="AM954" s="1"/>
      <c r="AN954" s="1"/>
      <c r="AO954" s="39"/>
      <c r="AP954" s="39"/>
      <c r="AQ954" s="1"/>
      <c r="AR954" s="39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 t="s">
        <v>0</v>
      </c>
      <c r="AB955" s="1" t="s">
        <v>0</v>
      </c>
      <c r="AC955" s="23" t="s">
        <v>0</v>
      </c>
      <c r="AD955" s="1"/>
      <c r="AE955" s="19"/>
      <c r="AF955" s="1"/>
      <c r="AG955" s="1"/>
      <c r="AH955" s="1"/>
      <c r="AI955" s="39"/>
      <c r="AJ955" s="39"/>
      <c r="AK955" s="39"/>
      <c r="AL955" s="39"/>
      <c r="AM955" s="1"/>
      <c r="AN955" s="1"/>
      <c r="AO955" s="39"/>
      <c r="AP955" s="39"/>
      <c r="AQ955" s="1"/>
      <c r="AR955" s="39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 t="s">
        <v>0</v>
      </c>
      <c r="AB956" s="1" t="s">
        <v>0</v>
      </c>
      <c r="AC956" s="23" t="s">
        <v>0</v>
      </c>
      <c r="AD956" s="1"/>
      <c r="AE956" s="19"/>
      <c r="AF956" s="1"/>
      <c r="AG956" s="1"/>
      <c r="AH956" s="1"/>
      <c r="AI956" s="39"/>
      <c r="AJ956" s="39"/>
      <c r="AK956" s="39"/>
      <c r="AL956" s="39"/>
      <c r="AM956" s="1"/>
      <c r="AN956" s="1"/>
      <c r="AO956" s="39"/>
      <c r="AP956" s="39"/>
      <c r="AQ956" s="1"/>
      <c r="AR956" s="39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 t="s">
        <v>0</v>
      </c>
      <c r="AB957" s="1" t="s">
        <v>0</v>
      </c>
      <c r="AC957" s="23" t="s">
        <v>0</v>
      </c>
      <c r="AD957" s="1"/>
      <c r="AE957" s="19"/>
      <c r="AF957" s="1"/>
      <c r="AG957" s="1"/>
      <c r="AH957" s="1"/>
      <c r="AI957" s="39"/>
      <c r="AJ957" s="39"/>
      <c r="AK957" s="39"/>
      <c r="AL957" s="39"/>
      <c r="AM957" s="1"/>
      <c r="AN957" s="1"/>
      <c r="AO957" s="39"/>
      <c r="AP957" s="39"/>
      <c r="AQ957" s="1"/>
      <c r="AR957" s="39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 t="s">
        <v>0</v>
      </c>
      <c r="AB958" s="1" t="s">
        <v>0</v>
      </c>
      <c r="AC958" s="23" t="s">
        <v>0</v>
      </c>
      <c r="AD958" s="1"/>
      <c r="AE958" s="19"/>
      <c r="AF958" s="1"/>
      <c r="AG958" s="1"/>
      <c r="AH958" s="1"/>
      <c r="AI958" s="39"/>
      <c r="AJ958" s="39"/>
      <c r="AK958" s="39"/>
      <c r="AL958" s="39"/>
      <c r="AM958" s="1"/>
      <c r="AN958" s="1"/>
      <c r="AO958" s="39"/>
      <c r="AP958" s="39"/>
      <c r="AQ958" s="1"/>
      <c r="AR958" s="39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 t="s">
        <v>0</v>
      </c>
      <c r="AB959" s="1" t="s">
        <v>0</v>
      </c>
      <c r="AC959" s="23" t="s">
        <v>0</v>
      </c>
      <c r="AD959" s="1"/>
      <c r="AE959" s="19"/>
      <c r="AF959" s="1"/>
      <c r="AG959" s="1"/>
      <c r="AH959" s="1"/>
      <c r="AI959" s="39"/>
      <c r="AJ959" s="39"/>
      <c r="AK959" s="39"/>
      <c r="AL959" s="39"/>
      <c r="AM959" s="1"/>
      <c r="AN959" s="1"/>
      <c r="AO959" s="39"/>
      <c r="AP959" s="39"/>
      <c r="AQ959" s="1"/>
      <c r="AR959" s="39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 t="s">
        <v>0</v>
      </c>
      <c r="AB960" s="1" t="s">
        <v>0</v>
      </c>
      <c r="AC960" s="23" t="s">
        <v>0</v>
      </c>
      <c r="AD960" s="1"/>
      <c r="AE960" s="19"/>
      <c r="AF960" s="1"/>
      <c r="AG960" s="1"/>
      <c r="AH960" s="1"/>
      <c r="AI960" s="39"/>
      <c r="AJ960" s="39"/>
      <c r="AK960" s="39"/>
      <c r="AL960" s="39"/>
      <c r="AM960" s="1"/>
      <c r="AN960" s="1"/>
      <c r="AO960" s="39"/>
      <c r="AP960" s="39"/>
      <c r="AQ960" s="1"/>
      <c r="AR960" s="39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 t="s">
        <v>0</v>
      </c>
      <c r="AB961" s="1" t="s">
        <v>0</v>
      </c>
      <c r="AC961" s="23" t="s">
        <v>0</v>
      </c>
      <c r="AD961" s="1"/>
      <c r="AE961" s="19"/>
      <c r="AF961" s="1"/>
      <c r="AG961" s="1"/>
      <c r="AH961" s="1"/>
      <c r="AI961" s="39"/>
      <c r="AJ961" s="39"/>
      <c r="AK961" s="39"/>
      <c r="AL961" s="39"/>
      <c r="AM961" s="1"/>
      <c r="AN961" s="1"/>
      <c r="AO961" s="39"/>
      <c r="AP961" s="39"/>
      <c r="AQ961" s="1"/>
      <c r="AR961" s="39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 t="s">
        <v>0</v>
      </c>
      <c r="AB962" s="1" t="s">
        <v>0</v>
      </c>
      <c r="AC962" s="23" t="s">
        <v>0</v>
      </c>
      <c r="AD962" s="1"/>
      <c r="AE962" s="19"/>
      <c r="AF962" s="1"/>
      <c r="AG962" s="1"/>
      <c r="AH962" s="1"/>
      <c r="AI962" s="39"/>
      <c r="AJ962" s="39"/>
      <c r="AK962" s="39"/>
      <c r="AL962" s="39"/>
      <c r="AM962" s="1"/>
      <c r="AN962" s="1"/>
      <c r="AO962" s="39"/>
      <c r="AP962" s="39"/>
      <c r="AQ962" s="1"/>
      <c r="AR962" s="39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 t="s">
        <v>0</v>
      </c>
      <c r="AB963" s="1" t="s">
        <v>0</v>
      </c>
      <c r="AC963" s="23" t="s">
        <v>0</v>
      </c>
      <c r="AD963" s="1"/>
      <c r="AE963" s="19"/>
      <c r="AF963" s="1"/>
      <c r="AG963" s="1"/>
      <c r="AH963" s="1"/>
      <c r="AI963" s="39"/>
      <c r="AJ963" s="39"/>
      <c r="AK963" s="39"/>
      <c r="AL963" s="39"/>
      <c r="AM963" s="1"/>
      <c r="AN963" s="1"/>
      <c r="AO963" s="39"/>
      <c r="AP963" s="39"/>
      <c r="AQ963" s="1"/>
      <c r="AR963" s="39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 t="s">
        <v>0</v>
      </c>
      <c r="AB964" s="1" t="s">
        <v>0</v>
      </c>
      <c r="AC964" s="23" t="s">
        <v>0</v>
      </c>
      <c r="AD964" s="1"/>
      <c r="AE964" s="19"/>
      <c r="AF964" s="1"/>
      <c r="AG964" s="1"/>
      <c r="AH964" s="1"/>
      <c r="AI964" s="39"/>
      <c r="AJ964" s="39"/>
      <c r="AK964" s="39"/>
      <c r="AL964" s="39"/>
      <c r="AM964" s="1"/>
      <c r="AN964" s="1"/>
      <c r="AO964" s="39"/>
      <c r="AP964" s="39"/>
      <c r="AQ964" s="1"/>
      <c r="AR964" s="39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 t="s">
        <v>0</v>
      </c>
      <c r="AB965" s="1" t="s">
        <v>0</v>
      </c>
      <c r="AC965" s="23" t="s">
        <v>0</v>
      </c>
      <c r="AD965" s="1"/>
      <c r="AE965" s="19"/>
      <c r="AF965" s="1"/>
      <c r="AG965" s="1"/>
      <c r="AH965" s="1"/>
      <c r="AI965" s="39"/>
      <c r="AJ965" s="39"/>
      <c r="AK965" s="39"/>
      <c r="AL965" s="39"/>
      <c r="AM965" s="1"/>
      <c r="AN965" s="1"/>
      <c r="AO965" s="39"/>
      <c r="AP965" s="39"/>
      <c r="AQ965" s="1"/>
      <c r="AR965" s="39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 t="s">
        <v>0</v>
      </c>
      <c r="AB966" s="1" t="s">
        <v>0</v>
      </c>
      <c r="AC966" s="23" t="s">
        <v>0</v>
      </c>
      <c r="AD966" s="1"/>
      <c r="AE966" s="19"/>
      <c r="AF966" s="1"/>
      <c r="AG966" s="1"/>
      <c r="AH966" s="1"/>
      <c r="AI966" s="39"/>
      <c r="AJ966" s="39"/>
      <c r="AK966" s="39"/>
      <c r="AL966" s="39"/>
      <c r="AM966" s="1"/>
      <c r="AN966" s="1"/>
      <c r="AO966" s="39"/>
      <c r="AP966" s="39"/>
      <c r="AQ966" s="1"/>
      <c r="AR966" s="39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 t="s">
        <v>0</v>
      </c>
      <c r="AB967" s="1" t="s">
        <v>0</v>
      </c>
      <c r="AC967" s="23" t="s">
        <v>0</v>
      </c>
      <c r="AD967" s="1"/>
      <c r="AE967" s="19"/>
      <c r="AF967" s="1"/>
      <c r="AG967" s="1"/>
      <c r="AH967" s="1"/>
      <c r="AI967" s="39"/>
      <c r="AJ967" s="39"/>
      <c r="AK967" s="39"/>
      <c r="AL967" s="39"/>
      <c r="AM967" s="1"/>
      <c r="AN967" s="1"/>
      <c r="AO967" s="39"/>
      <c r="AP967" s="39"/>
      <c r="AQ967" s="1"/>
      <c r="AR967" s="39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 t="s">
        <v>0</v>
      </c>
      <c r="AB968" s="1" t="s">
        <v>0</v>
      </c>
      <c r="AC968" s="23" t="s">
        <v>0</v>
      </c>
      <c r="AD968" s="1"/>
      <c r="AE968" s="19"/>
      <c r="AF968" s="1"/>
      <c r="AG968" s="1"/>
      <c r="AH968" s="1"/>
      <c r="AI968" s="39"/>
      <c r="AJ968" s="39"/>
      <c r="AK968" s="39"/>
      <c r="AL968" s="39"/>
      <c r="AM968" s="1"/>
      <c r="AN968" s="1"/>
      <c r="AO968" s="39"/>
      <c r="AP968" s="39"/>
      <c r="AQ968" s="1"/>
      <c r="AR968" s="39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 t="s">
        <v>0</v>
      </c>
      <c r="AB969" s="1" t="s">
        <v>0</v>
      </c>
      <c r="AC969" s="23" t="s">
        <v>0</v>
      </c>
      <c r="AD969" s="1"/>
      <c r="AE969" s="19"/>
      <c r="AF969" s="1"/>
      <c r="AG969" s="1"/>
      <c r="AH969" s="1"/>
      <c r="AI969" s="39"/>
      <c r="AJ969" s="39"/>
      <c r="AK969" s="39"/>
      <c r="AL969" s="39"/>
      <c r="AM969" s="1"/>
      <c r="AN969" s="1"/>
      <c r="AO969" s="39"/>
      <c r="AP969" s="39"/>
      <c r="AQ969" s="1"/>
      <c r="AR969" s="39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 t="s">
        <v>0</v>
      </c>
      <c r="AB970" s="1" t="s">
        <v>0</v>
      </c>
      <c r="AC970" s="23" t="s">
        <v>0</v>
      </c>
      <c r="AD970" s="1"/>
      <c r="AE970" s="19"/>
      <c r="AF970" s="1"/>
      <c r="AG970" s="1"/>
      <c r="AH970" s="1"/>
      <c r="AI970" s="39"/>
      <c r="AJ970" s="39"/>
      <c r="AK970" s="39"/>
      <c r="AL970" s="39"/>
      <c r="AM970" s="1"/>
      <c r="AN970" s="1"/>
      <c r="AO970" s="39"/>
      <c r="AP970" s="39"/>
      <c r="AQ970" s="1"/>
      <c r="AR970" s="39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 t="s">
        <v>0</v>
      </c>
      <c r="AB971" s="1" t="s">
        <v>0</v>
      </c>
      <c r="AC971" s="23" t="s">
        <v>0</v>
      </c>
      <c r="AD971" s="1"/>
      <c r="AE971" s="19"/>
      <c r="AF971" s="1"/>
      <c r="AG971" s="1"/>
      <c r="AH971" s="1"/>
      <c r="AI971" s="39"/>
      <c r="AJ971" s="39"/>
      <c r="AK971" s="39"/>
      <c r="AL971" s="39"/>
      <c r="AM971" s="1"/>
      <c r="AN971" s="1"/>
      <c r="AO971" s="39"/>
      <c r="AP971" s="39"/>
      <c r="AQ971" s="1"/>
      <c r="AR971" s="39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 t="s">
        <v>0</v>
      </c>
      <c r="AB972" s="1" t="s">
        <v>0</v>
      </c>
      <c r="AC972" s="23" t="s">
        <v>0</v>
      </c>
      <c r="AD972" s="1"/>
      <c r="AE972" s="19"/>
      <c r="AF972" s="1"/>
      <c r="AG972" s="1"/>
      <c r="AH972" s="1"/>
      <c r="AI972" s="39"/>
      <c r="AJ972" s="39"/>
      <c r="AK972" s="39"/>
      <c r="AL972" s="39"/>
      <c r="AM972" s="1"/>
      <c r="AN972" s="1"/>
      <c r="AO972" s="39"/>
      <c r="AP972" s="39"/>
      <c r="AQ972" s="1"/>
      <c r="AR972" s="39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 t="s">
        <v>0</v>
      </c>
      <c r="AB973" s="1" t="s">
        <v>0</v>
      </c>
      <c r="AC973" s="23" t="s">
        <v>0</v>
      </c>
      <c r="AD973" s="1"/>
      <c r="AE973" s="19"/>
      <c r="AF973" s="1"/>
      <c r="AG973" s="1"/>
      <c r="AH973" s="1"/>
      <c r="AI973" s="39"/>
      <c r="AJ973" s="39"/>
      <c r="AK973" s="39"/>
      <c r="AL973" s="39"/>
      <c r="AM973" s="1"/>
      <c r="AN973" s="1"/>
      <c r="AO973" s="39"/>
      <c r="AP973" s="39"/>
      <c r="AQ973" s="1"/>
      <c r="AR973" s="39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 t="s">
        <v>0</v>
      </c>
      <c r="AB974" s="1" t="s">
        <v>0</v>
      </c>
      <c r="AC974" s="23" t="s">
        <v>0</v>
      </c>
      <c r="AD974" s="1"/>
      <c r="AE974" s="19"/>
      <c r="AF974" s="1"/>
      <c r="AG974" s="1"/>
      <c r="AH974" s="1"/>
      <c r="AI974" s="39"/>
      <c r="AJ974" s="39"/>
      <c r="AK974" s="39"/>
      <c r="AL974" s="39"/>
      <c r="AM974" s="1"/>
      <c r="AN974" s="1"/>
      <c r="AO974" s="39"/>
      <c r="AP974" s="39"/>
      <c r="AQ974" s="1"/>
      <c r="AR974" s="39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 t="s">
        <v>0</v>
      </c>
      <c r="AB975" s="1" t="s">
        <v>0</v>
      </c>
      <c r="AC975" s="23" t="s">
        <v>0</v>
      </c>
      <c r="AD975" s="1"/>
      <c r="AE975" s="19"/>
      <c r="AF975" s="1"/>
      <c r="AG975" s="1"/>
      <c r="AH975" s="1"/>
      <c r="AI975" s="39"/>
      <c r="AJ975" s="39"/>
      <c r="AK975" s="39"/>
      <c r="AL975" s="39"/>
      <c r="AM975" s="1"/>
      <c r="AN975" s="1"/>
      <c r="AO975" s="39"/>
      <c r="AP975" s="39"/>
      <c r="AQ975" s="1"/>
      <c r="AR975" s="39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 t="s">
        <v>0</v>
      </c>
      <c r="AB976" s="1" t="s">
        <v>0</v>
      </c>
      <c r="AC976" s="23" t="s">
        <v>0</v>
      </c>
      <c r="AD976" s="1"/>
      <c r="AE976" s="19"/>
      <c r="AF976" s="1"/>
      <c r="AG976" s="1"/>
      <c r="AH976" s="1"/>
      <c r="AI976" s="39"/>
      <c r="AJ976" s="39"/>
      <c r="AK976" s="39"/>
      <c r="AL976" s="39"/>
      <c r="AM976" s="1"/>
      <c r="AN976" s="1"/>
      <c r="AO976" s="39"/>
      <c r="AP976" s="39"/>
      <c r="AQ976" s="1"/>
      <c r="AR976" s="39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 t="s">
        <v>0</v>
      </c>
      <c r="AB977" s="1" t="s">
        <v>0</v>
      </c>
      <c r="AC977" s="23" t="s">
        <v>0</v>
      </c>
      <c r="AD977" s="1"/>
      <c r="AE977" s="19"/>
      <c r="AF977" s="1"/>
      <c r="AG977" s="1"/>
      <c r="AH977" s="1"/>
      <c r="AI977" s="39"/>
      <c r="AJ977" s="39"/>
      <c r="AK977" s="39"/>
      <c r="AL977" s="39"/>
      <c r="AM977" s="1"/>
      <c r="AN977" s="1"/>
      <c r="AO977" s="39"/>
      <c r="AP977" s="39"/>
      <c r="AQ977" s="1"/>
      <c r="AR977" s="39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 t="s">
        <v>0</v>
      </c>
      <c r="AB978" s="1" t="s">
        <v>0</v>
      </c>
      <c r="AC978" s="23" t="s">
        <v>0</v>
      </c>
      <c r="AD978" s="1"/>
      <c r="AE978" s="19"/>
      <c r="AF978" s="1"/>
      <c r="AG978" s="1"/>
      <c r="AH978" s="1"/>
      <c r="AI978" s="39"/>
      <c r="AJ978" s="39"/>
      <c r="AK978" s="39"/>
      <c r="AL978" s="39"/>
      <c r="AM978" s="1"/>
      <c r="AN978" s="1"/>
      <c r="AO978" s="39"/>
      <c r="AP978" s="39"/>
      <c r="AQ978" s="1"/>
      <c r="AR978" s="39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 t="s">
        <v>0</v>
      </c>
      <c r="AB979" s="1" t="s">
        <v>0</v>
      </c>
      <c r="AC979" s="23" t="s">
        <v>0</v>
      </c>
      <c r="AD979" s="1"/>
      <c r="AE979" s="19"/>
      <c r="AF979" s="1"/>
      <c r="AG979" s="1"/>
      <c r="AH979" s="1"/>
      <c r="AI979" s="39"/>
      <c r="AJ979" s="39"/>
      <c r="AK979" s="39"/>
      <c r="AL979" s="39"/>
      <c r="AM979" s="1"/>
      <c r="AN979" s="1"/>
      <c r="AO979" s="39"/>
      <c r="AP979" s="39"/>
      <c r="AQ979" s="1"/>
      <c r="AR979" s="39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 t="s">
        <v>0</v>
      </c>
      <c r="AB980" s="1" t="s">
        <v>0</v>
      </c>
      <c r="AC980" s="23" t="s">
        <v>0</v>
      </c>
      <c r="AD980" s="1"/>
      <c r="AE980" s="19"/>
      <c r="AF980" s="1"/>
      <c r="AG980" s="1"/>
      <c r="AH980" s="1"/>
      <c r="AI980" s="39"/>
      <c r="AJ980" s="39"/>
      <c r="AK980" s="39"/>
      <c r="AL980" s="39"/>
      <c r="AM980" s="1"/>
      <c r="AN980" s="1"/>
      <c r="AO980" s="39"/>
      <c r="AP980" s="39"/>
      <c r="AQ980" s="1"/>
      <c r="AR980" s="39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 t="s">
        <v>0</v>
      </c>
      <c r="AB981" s="1" t="s">
        <v>0</v>
      </c>
      <c r="AC981" s="23" t="s">
        <v>0</v>
      </c>
      <c r="AD981" s="1"/>
      <c r="AE981" s="19"/>
      <c r="AF981" s="1"/>
      <c r="AG981" s="1"/>
      <c r="AH981" s="1"/>
      <c r="AI981" s="39"/>
      <c r="AJ981" s="39"/>
      <c r="AK981" s="39"/>
      <c r="AL981" s="39"/>
      <c r="AM981" s="1"/>
      <c r="AN981" s="1"/>
      <c r="AO981" s="39"/>
      <c r="AP981" s="39"/>
      <c r="AQ981" s="1"/>
      <c r="AR981" s="39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 t="s">
        <v>0</v>
      </c>
      <c r="AB982" s="1" t="s">
        <v>0</v>
      </c>
      <c r="AC982" s="23" t="s">
        <v>0</v>
      </c>
      <c r="AD982" s="1"/>
      <c r="AE982" s="19"/>
      <c r="AF982" s="1"/>
      <c r="AG982" s="1"/>
      <c r="AH982" s="1"/>
      <c r="AI982" s="39"/>
      <c r="AJ982" s="39"/>
      <c r="AK982" s="39"/>
      <c r="AL982" s="39"/>
      <c r="AM982" s="1"/>
      <c r="AN982" s="1"/>
      <c r="AO982" s="39"/>
      <c r="AP982" s="39"/>
      <c r="AQ982" s="1"/>
      <c r="AR982" s="39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 t="s">
        <v>0</v>
      </c>
      <c r="AB983" s="1" t="s">
        <v>0</v>
      </c>
      <c r="AC983" s="23" t="s">
        <v>0</v>
      </c>
      <c r="AD983" s="1"/>
      <c r="AE983" s="19"/>
      <c r="AF983" s="1"/>
      <c r="AG983" s="1"/>
      <c r="AH983" s="1"/>
      <c r="AI983" s="39"/>
      <c r="AJ983" s="39"/>
      <c r="AK983" s="39"/>
      <c r="AL983" s="39"/>
      <c r="AM983" s="1"/>
      <c r="AN983" s="1"/>
      <c r="AO983" s="39"/>
      <c r="AP983" s="39"/>
      <c r="AQ983" s="1"/>
      <c r="AR983" s="39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 t="s">
        <v>0</v>
      </c>
      <c r="AB984" s="1" t="s">
        <v>0</v>
      </c>
      <c r="AC984" s="23" t="s">
        <v>0</v>
      </c>
      <c r="AD984" s="1"/>
      <c r="AE984" s="19"/>
      <c r="AF984" s="1"/>
      <c r="AG984" s="1"/>
      <c r="AH984" s="1"/>
      <c r="AI984" s="39"/>
      <c r="AJ984" s="39"/>
      <c r="AK984" s="39"/>
      <c r="AL984" s="39"/>
      <c r="AM984" s="1"/>
      <c r="AN984" s="1"/>
      <c r="AO984" s="39"/>
      <c r="AP984" s="39"/>
      <c r="AQ984" s="1"/>
      <c r="AR984" s="39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 t="s">
        <v>0</v>
      </c>
      <c r="AB985" s="1" t="s">
        <v>0</v>
      </c>
      <c r="AC985" s="23" t="s">
        <v>0</v>
      </c>
      <c r="AD985" s="1"/>
      <c r="AE985" s="19"/>
      <c r="AF985" s="1"/>
      <c r="AG985" s="1"/>
      <c r="AH985" s="1"/>
      <c r="AI985" s="39"/>
      <c r="AJ985" s="39"/>
      <c r="AK985" s="39"/>
      <c r="AL985" s="39"/>
      <c r="AM985" s="1"/>
      <c r="AN985" s="1"/>
      <c r="AO985" s="39"/>
      <c r="AP985" s="39"/>
      <c r="AQ985" s="1"/>
      <c r="AR985" s="39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 t="s">
        <v>0</v>
      </c>
      <c r="AB986" s="1" t="s">
        <v>0</v>
      </c>
      <c r="AC986" s="23" t="s">
        <v>0</v>
      </c>
      <c r="AD986" s="1"/>
      <c r="AE986" s="19"/>
      <c r="AF986" s="1"/>
      <c r="AG986" s="1"/>
      <c r="AH986" s="1"/>
      <c r="AI986" s="39"/>
      <c r="AJ986" s="39"/>
      <c r="AK986" s="39"/>
      <c r="AL986" s="39"/>
      <c r="AM986" s="1"/>
      <c r="AN986" s="1"/>
      <c r="AO986" s="39"/>
      <c r="AP986" s="39"/>
      <c r="AQ986" s="1"/>
      <c r="AR986" s="39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 t="s">
        <v>0</v>
      </c>
      <c r="AB987" s="1" t="s">
        <v>0</v>
      </c>
      <c r="AC987" s="23" t="s">
        <v>0</v>
      </c>
      <c r="AD987" s="1"/>
      <c r="AE987" s="19"/>
      <c r="AF987" s="1"/>
      <c r="AG987" s="1"/>
      <c r="AH987" s="1"/>
      <c r="AI987" s="39"/>
      <c r="AJ987" s="39"/>
      <c r="AK987" s="39"/>
      <c r="AL987" s="39"/>
      <c r="AM987" s="1"/>
      <c r="AN987" s="1"/>
      <c r="AO987" s="39"/>
      <c r="AP987" s="39"/>
      <c r="AQ987" s="1"/>
      <c r="AR987" s="39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 t="s">
        <v>0</v>
      </c>
      <c r="AB988" s="1" t="s">
        <v>0</v>
      </c>
      <c r="AC988" s="23" t="s">
        <v>0</v>
      </c>
      <c r="AD988" s="1"/>
      <c r="AE988" s="19"/>
      <c r="AF988" s="1"/>
      <c r="AG988" s="1"/>
      <c r="AH988" s="1"/>
      <c r="AI988" s="39"/>
      <c r="AJ988" s="39"/>
      <c r="AK988" s="39"/>
      <c r="AL988" s="39"/>
      <c r="AM988" s="1"/>
      <c r="AN988" s="1"/>
      <c r="AO988" s="39"/>
      <c r="AP988" s="39"/>
      <c r="AQ988" s="1"/>
      <c r="AR988" s="39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 t="s">
        <v>0</v>
      </c>
      <c r="AB989" s="1" t="s">
        <v>0</v>
      </c>
      <c r="AC989" s="23" t="s">
        <v>0</v>
      </c>
      <c r="AD989" s="1"/>
      <c r="AE989" s="19"/>
      <c r="AF989" s="1"/>
      <c r="AG989" s="1"/>
      <c r="AH989" s="1"/>
      <c r="AI989" s="39"/>
      <c r="AJ989" s="39"/>
      <c r="AK989" s="39"/>
      <c r="AL989" s="39"/>
      <c r="AM989" s="1"/>
      <c r="AN989" s="1"/>
      <c r="AO989" s="39"/>
      <c r="AP989" s="39"/>
      <c r="AQ989" s="1"/>
      <c r="AR989" s="39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 t="s">
        <v>0</v>
      </c>
      <c r="AB990" s="1" t="s">
        <v>0</v>
      </c>
      <c r="AC990" s="23" t="s">
        <v>0</v>
      </c>
      <c r="AD990" s="1"/>
      <c r="AE990" s="19"/>
      <c r="AF990" s="1"/>
      <c r="AG990" s="1"/>
      <c r="AH990" s="1"/>
      <c r="AI990" s="39"/>
      <c r="AJ990" s="39"/>
      <c r="AK990" s="39"/>
      <c r="AL990" s="39"/>
      <c r="AM990" s="1"/>
      <c r="AN990" s="1"/>
      <c r="AO990" s="39"/>
      <c r="AP990" s="39"/>
      <c r="AQ990" s="1"/>
      <c r="AR990" s="39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 t="s">
        <v>0</v>
      </c>
      <c r="AB991" s="1" t="s">
        <v>0</v>
      </c>
      <c r="AC991" s="23" t="s">
        <v>0</v>
      </c>
      <c r="AD991" s="1"/>
      <c r="AE991" s="19"/>
      <c r="AF991" s="1"/>
      <c r="AG991" s="1"/>
      <c r="AH991" s="1"/>
      <c r="AI991" s="39"/>
      <c r="AJ991" s="39"/>
      <c r="AK991" s="39"/>
      <c r="AL991" s="39"/>
      <c r="AM991" s="1"/>
      <c r="AN991" s="1"/>
      <c r="AO991" s="39"/>
      <c r="AP991" s="39"/>
      <c r="AQ991" s="1"/>
      <c r="AR991" s="39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 t="s">
        <v>0</v>
      </c>
      <c r="AB992" s="1" t="s">
        <v>0</v>
      </c>
      <c r="AC992" s="23" t="s">
        <v>0</v>
      </c>
      <c r="AD992" s="1"/>
      <c r="AE992" s="19"/>
      <c r="AF992" s="1"/>
      <c r="AG992" s="1"/>
      <c r="AH992" s="1"/>
      <c r="AI992" s="39"/>
      <c r="AJ992" s="39"/>
      <c r="AK992" s="39"/>
      <c r="AL992" s="39"/>
      <c r="AM992" s="1"/>
      <c r="AN992" s="1"/>
      <c r="AO992" s="39"/>
      <c r="AP992" s="39"/>
      <c r="AQ992" s="1"/>
      <c r="AR992" s="39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 t="s">
        <v>0</v>
      </c>
      <c r="AB993" s="1" t="s">
        <v>0</v>
      </c>
      <c r="AC993" s="23" t="s">
        <v>0</v>
      </c>
      <c r="AD993" s="1"/>
      <c r="AE993" s="19"/>
      <c r="AF993" s="1"/>
      <c r="AG993" s="1"/>
      <c r="AH993" s="1"/>
      <c r="AI993" s="39"/>
      <c r="AJ993" s="39"/>
      <c r="AK993" s="39"/>
      <c r="AL993" s="39"/>
      <c r="AM993" s="1"/>
      <c r="AN993" s="1"/>
      <c r="AO993" s="39"/>
      <c r="AP993" s="39"/>
      <c r="AQ993" s="1"/>
      <c r="AR993" s="39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 t="s">
        <v>0</v>
      </c>
      <c r="AB994" s="1" t="s">
        <v>0</v>
      </c>
      <c r="AC994" s="23" t="s">
        <v>0</v>
      </c>
      <c r="AD994" s="1"/>
      <c r="AE994" s="19"/>
      <c r="AF994" s="1"/>
      <c r="AG994" s="1"/>
      <c r="AH994" s="1"/>
      <c r="AI994" s="39"/>
      <c r="AJ994" s="39"/>
      <c r="AK994" s="39"/>
      <c r="AL994" s="39"/>
      <c r="AM994" s="1"/>
      <c r="AN994" s="1"/>
      <c r="AO994" s="39"/>
      <c r="AP994" s="39"/>
      <c r="AQ994" s="1"/>
      <c r="AR994" s="39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 t="s">
        <v>0</v>
      </c>
      <c r="AB995" s="1" t="s">
        <v>0</v>
      </c>
      <c r="AC995" s="23" t="s">
        <v>0</v>
      </c>
      <c r="AD995" s="1"/>
      <c r="AE995" s="19"/>
      <c r="AF995" s="1"/>
      <c r="AG995" s="1"/>
      <c r="AH995" s="1"/>
      <c r="AI995" s="39"/>
      <c r="AJ995" s="39"/>
      <c r="AK995" s="39"/>
      <c r="AL995" s="39"/>
      <c r="AM995" s="1"/>
      <c r="AN995" s="1"/>
      <c r="AO995" s="39"/>
      <c r="AP995" s="39"/>
      <c r="AQ995" s="1"/>
      <c r="AR995" s="39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 t="s">
        <v>0</v>
      </c>
      <c r="AB996" s="1" t="s">
        <v>0</v>
      </c>
      <c r="AC996" s="23" t="s">
        <v>0</v>
      </c>
      <c r="AD996" s="1"/>
      <c r="AE996" s="19"/>
      <c r="AF996" s="1"/>
      <c r="AG996" s="1"/>
      <c r="AH996" s="1"/>
      <c r="AI996" s="39"/>
      <c r="AJ996" s="39"/>
      <c r="AK996" s="39"/>
      <c r="AL996" s="39"/>
      <c r="AM996" s="1"/>
      <c r="AN996" s="1"/>
      <c r="AO996" s="39"/>
      <c r="AP996" s="39"/>
      <c r="AQ996" s="1"/>
      <c r="AR996" s="39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 t="s">
        <v>0</v>
      </c>
      <c r="AB997" s="1" t="s">
        <v>0</v>
      </c>
      <c r="AC997" s="23" t="s">
        <v>0</v>
      </c>
      <c r="AD997" s="1"/>
      <c r="AE997" s="19"/>
      <c r="AF997" s="1"/>
      <c r="AG997" s="1"/>
      <c r="AH997" s="1"/>
      <c r="AI997" s="39"/>
      <c r="AJ997" s="39"/>
      <c r="AK997" s="39"/>
      <c r="AL997" s="39"/>
      <c r="AM997" s="1"/>
      <c r="AN997" s="1"/>
      <c r="AO997" s="39"/>
      <c r="AP997" s="39"/>
      <c r="AQ997" s="1"/>
      <c r="AR997" s="39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 t="s">
        <v>0</v>
      </c>
      <c r="AB998" s="1" t="s">
        <v>0</v>
      </c>
      <c r="AC998" s="23" t="s">
        <v>0</v>
      </c>
      <c r="AD998" s="1"/>
      <c r="AE998" s="19"/>
      <c r="AF998" s="1"/>
      <c r="AG998" s="1"/>
      <c r="AH998" s="1"/>
      <c r="AI998" s="39"/>
      <c r="AJ998" s="39"/>
      <c r="AK998" s="39"/>
      <c r="AL998" s="39"/>
      <c r="AM998" s="1"/>
      <c r="AN998" s="1"/>
      <c r="AO998" s="39"/>
      <c r="AP998" s="39"/>
      <c r="AQ998" s="1"/>
      <c r="AR998" s="39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 t="s">
        <v>0</v>
      </c>
      <c r="AB999" s="1" t="s">
        <v>0</v>
      </c>
      <c r="AC999" s="23" t="s">
        <v>0</v>
      </c>
      <c r="AD999" s="1"/>
      <c r="AE999" s="19"/>
      <c r="AF999" s="1"/>
      <c r="AG999" s="1"/>
      <c r="AH999" s="1"/>
      <c r="AI999" s="39"/>
      <c r="AJ999" s="39"/>
      <c r="AK999" s="39"/>
      <c r="AL999" s="39"/>
      <c r="AM999" s="1"/>
      <c r="AN999" s="1"/>
      <c r="AO999" s="39"/>
      <c r="AP999" s="39"/>
      <c r="AQ999" s="1"/>
      <c r="AR999" s="39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 t="s">
        <v>0</v>
      </c>
      <c r="AB1000" s="1" t="s">
        <v>0</v>
      </c>
      <c r="AC1000" s="23" t="s">
        <v>0</v>
      </c>
      <c r="AD1000" s="1"/>
      <c r="AE1000" s="19"/>
      <c r="AF1000" s="1"/>
      <c r="AG1000" s="1"/>
      <c r="AH1000" s="1"/>
      <c r="AI1000" s="39"/>
      <c r="AJ1000" s="39"/>
      <c r="AK1000" s="39"/>
      <c r="AL1000" s="39"/>
      <c r="AM1000" s="1"/>
      <c r="AN1000" s="1"/>
      <c r="AO1000" s="39"/>
      <c r="AP1000" s="39"/>
      <c r="AQ1000" s="1"/>
      <c r="AR1000" s="39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 ht="11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 t="s">
        <v>0</v>
      </c>
      <c r="AB1001" s="1" t="s">
        <v>0</v>
      </c>
      <c r="AC1001" s="23" t="s">
        <v>0</v>
      </c>
      <c r="AD1001" s="1"/>
      <c r="AE1001" s="19"/>
      <c r="AF1001" s="1"/>
      <c r="AG1001" s="1"/>
      <c r="AH1001" s="1"/>
      <c r="AI1001" s="39"/>
      <c r="AJ1001" s="39"/>
      <c r="AK1001" s="39"/>
      <c r="AL1001" s="39"/>
      <c r="AM1001" s="1"/>
      <c r="AN1001" s="1"/>
      <c r="AO1001" s="39"/>
      <c r="AP1001" s="39"/>
      <c r="AQ1001" s="1"/>
      <c r="AR1001" s="39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 ht="11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 t="s">
        <v>0</v>
      </c>
      <c r="AB1002" s="1" t="s">
        <v>0</v>
      </c>
      <c r="AC1002" s="23" t="s">
        <v>0</v>
      </c>
      <c r="AD1002" s="1"/>
      <c r="AE1002" s="19"/>
      <c r="AF1002" s="1"/>
      <c r="AG1002" s="1"/>
      <c r="AH1002" s="1"/>
      <c r="AI1002" s="39"/>
      <c r="AJ1002" s="39"/>
      <c r="AK1002" s="39"/>
      <c r="AL1002" s="39"/>
      <c r="AM1002" s="1"/>
      <c r="AN1002" s="1"/>
      <c r="AO1002" s="39"/>
      <c r="AP1002" s="39"/>
      <c r="AQ1002" s="1"/>
      <c r="AR1002" s="39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 ht="11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 t="s">
        <v>0</v>
      </c>
      <c r="AB1003" s="1" t="s">
        <v>0</v>
      </c>
      <c r="AC1003" s="23" t="s">
        <v>0</v>
      </c>
      <c r="AD1003" s="1"/>
      <c r="AE1003" s="19"/>
      <c r="AF1003" s="1"/>
      <c r="AG1003" s="1"/>
      <c r="AH1003" s="1"/>
      <c r="AI1003" s="39"/>
      <c r="AJ1003" s="39"/>
      <c r="AK1003" s="39"/>
      <c r="AL1003" s="39"/>
      <c r="AM1003" s="1"/>
      <c r="AN1003" s="1"/>
      <c r="AO1003" s="39"/>
      <c r="AP1003" s="39"/>
      <c r="AQ1003" s="1"/>
      <c r="AR1003" s="39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</row>
    <row r="1004" ht="11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 t="s">
        <v>0</v>
      </c>
      <c r="AB1004" s="1" t="s">
        <v>0</v>
      </c>
      <c r="AC1004" s="23" t="s">
        <v>0</v>
      </c>
      <c r="AD1004" s="1"/>
      <c r="AE1004" s="19"/>
      <c r="AF1004" s="1"/>
      <c r="AG1004" s="1"/>
      <c r="AH1004" s="1"/>
      <c r="AI1004" s="39"/>
      <c r="AJ1004" s="39"/>
      <c r="AK1004" s="39"/>
      <c r="AL1004" s="39"/>
      <c r="AM1004" s="1"/>
      <c r="AN1004" s="1"/>
      <c r="AO1004" s="39"/>
      <c r="AP1004" s="39"/>
      <c r="AQ1004" s="1"/>
      <c r="AR1004" s="39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</row>
    <row r="1005" ht="11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 t="s">
        <v>0</v>
      </c>
      <c r="AB1005" s="1" t="s">
        <v>0</v>
      </c>
      <c r="AC1005" s="23" t="s">
        <v>0</v>
      </c>
      <c r="AD1005" s="1"/>
      <c r="AE1005" s="19"/>
      <c r="AF1005" s="1"/>
      <c r="AG1005" s="1"/>
      <c r="AH1005" s="1"/>
      <c r="AI1005" s="39"/>
      <c r="AJ1005" s="39"/>
      <c r="AK1005" s="39"/>
      <c r="AL1005" s="39"/>
      <c r="AM1005" s="1"/>
      <c r="AN1005" s="1"/>
      <c r="AO1005" s="39"/>
      <c r="AP1005" s="39"/>
      <c r="AQ1005" s="1"/>
      <c r="AR1005" s="39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</row>
    <row r="1006" ht="11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 t="s">
        <v>0</v>
      </c>
      <c r="AB1006" s="1" t="s">
        <v>0</v>
      </c>
      <c r="AC1006" s="23" t="s">
        <v>0</v>
      </c>
      <c r="AD1006" s="1"/>
      <c r="AE1006" s="19"/>
      <c r="AF1006" s="1"/>
      <c r="AG1006" s="1"/>
      <c r="AH1006" s="1"/>
      <c r="AI1006" s="39"/>
      <c r="AJ1006" s="39"/>
      <c r="AK1006" s="39"/>
      <c r="AL1006" s="39"/>
      <c r="AM1006" s="1"/>
      <c r="AN1006" s="1"/>
      <c r="AO1006" s="39"/>
      <c r="AP1006" s="39"/>
      <c r="AQ1006" s="1"/>
      <c r="AR1006" s="39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</row>
    <row r="1007" ht="11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 t="s">
        <v>0</v>
      </c>
      <c r="AB1007" s="1" t="s">
        <v>0</v>
      </c>
      <c r="AC1007" s="23" t="s">
        <v>0</v>
      </c>
      <c r="AD1007" s="1"/>
      <c r="AE1007" s="19"/>
      <c r="AF1007" s="1"/>
      <c r="AG1007" s="1"/>
      <c r="AH1007" s="1"/>
      <c r="AI1007" s="39"/>
      <c r="AJ1007" s="39"/>
      <c r="AK1007" s="39"/>
      <c r="AL1007" s="39"/>
      <c r="AM1007" s="1"/>
      <c r="AN1007" s="1"/>
      <c r="AO1007" s="39"/>
      <c r="AP1007" s="39"/>
      <c r="AQ1007" s="1"/>
      <c r="AR1007" s="39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</row>
    <row r="1008" ht="11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 t="s">
        <v>0</v>
      </c>
      <c r="AB1008" s="1" t="s">
        <v>0</v>
      </c>
      <c r="AC1008" s="23" t="s">
        <v>0</v>
      </c>
      <c r="AD1008" s="1"/>
      <c r="AE1008" s="19"/>
      <c r="AF1008" s="1"/>
      <c r="AG1008" s="1"/>
      <c r="AH1008" s="1"/>
      <c r="AI1008" s="39"/>
      <c r="AJ1008" s="39"/>
      <c r="AK1008" s="39"/>
      <c r="AL1008" s="39"/>
      <c r="AM1008" s="1"/>
      <c r="AN1008" s="1"/>
      <c r="AO1008" s="39"/>
      <c r="AP1008" s="39"/>
      <c r="AQ1008" s="1"/>
      <c r="AR1008" s="39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</row>
    <row r="1009" ht="11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 t="s">
        <v>0</v>
      </c>
      <c r="AB1009" s="1" t="s">
        <v>0</v>
      </c>
      <c r="AC1009" s="23" t="s">
        <v>0</v>
      </c>
      <c r="AD1009" s="1"/>
      <c r="AE1009" s="19"/>
      <c r="AF1009" s="1"/>
      <c r="AG1009" s="1"/>
      <c r="AH1009" s="1"/>
      <c r="AI1009" s="39"/>
      <c r="AJ1009" s="39"/>
      <c r="AK1009" s="39"/>
      <c r="AL1009" s="39"/>
      <c r="AM1009" s="1"/>
      <c r="AN1009" s="1"/>
      <c r="AO1009" s="39"/>
      <c r="AP1009" s="39"/>
      <c r="AQ1009" s="1"/>
      <c r="AR1009" s="39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</row>
    <row r="1010" ht="11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 t="s">
        <v>0</v>
      </c>
      <c r="AB1010" s="1" t="s">
        <v>0</v>
      </c>
      <c r="AC1010" s="23" t="s">
        <v>0</v>
      </c>
      <c r="AD1010" s="1"/>
      <c r="AE1010" s="19"/>
      <c r="AF1010" s="1"/>
      <c r="AG1010" s="1"/>
      <c r="AH1010" s="1"/>
      <c r="AI1010" s="39"/>
      <c r="AJ1010" s="39"/>
      <c r="AK1010" s="39"/>
      <c r="AL1010" s="39"/>
      <c r="AM1010" s="1"/>
      <c r="AN1010" s="1"/>
      <c r="AO1010" s="39"/>
      <c r="AP1010" s="39"/>
      <c r="AQ1010" s="1"/>
      <c r="AR1010" s="39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</row>
    <row r="1011" ht="11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 t="s">
        <v>0</v>
      </c>
      <c r="AB1011" s="1" t="s">
        <v>0</v>
      </c>
      <c r="AC1011" s="23" t="s">
        <v>0</v>
      </c>
      <c r="AD1011" s="1"/>
      <c r="AE1011" s="19"/>
      <c r="AF1011" s="1"/>
      <c r="AG1011" s="1"/>
      <c r="AH1011" s="1"/>
      <c r="AI1011" s="39"/>
      <c r="AJ1011" s="39"/>
      <c r="AK1011" s="39"/>
      <c r="AL1011" s="39"/>
      <c r="AM1011" s="1"/>
      <c r="AN1011" s="1"/>
      <c r="AO1011" s="39"/>
      <c r="AP1011" s="39"/>
      <c r="AQ1011" s="1"/>
      <c r="AR1011" s="39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</row>
    <row r="1012" ht="11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 t="s">
        <v>0</v>
      </c>
      <c r="AB1012" s="1" t="s">
        <v>0</v>
      </c>
      <c r="AC1012" s="23" t="s">
        <v>0</v>
      </c>
      <c r="AD1012" s="1"/>
      <c r="AE1012" s="19"/>
      <c r="AF1012" s="1"/>
      <c r="AG1012" s="1"/>
      <c r="AH1012" s="1"/>
      <c r="AI1012" s="39"/>
      <c r="AJ1012" s="39"/>
      <c r="AK1012" s="39"/>
      <c r="AL1012" s="39"/>
      <c r="AM1012" s="1"/>
      <c r="AN1012" s="1"/>
      <c r="AO1012" s="39"/>
      <c r="AP1012" s="39"/>
      <c r="AQ1012" s="1"/>
      <c r="AR1012" s="39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</row>
    <row r="1013" ht="11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 t="s">
        <v>0</v>
      </c>
      <c r="AB1013" s="1" t="s">
        <v>0</v>
      </c>
      <c r="AC1013" s="23" t="s">
        <v>0</v>
      </c>
      <c r="AD1013" s="1"/>
      <c r="AE1013" s="19"/>
      <c r="AF1013" s="1"/>
      <c r="AG1013" s="1"/>
      <c r="AH1013" s="1"/>
      <c r="AI1013" s="39"/>
      <c r="AJ1013" s="39"/>
      <c r="AK1013" s="39"/>
      <c r="AL1013" s="39"/>
      <c r="AM1013" s="1"/>
      <c r="AN1013" s="1"/>
      <c r="AO1013" s="39"/>
      <c r="AP1013" s="39"/>
      <c r="AQ1013" s="1"/>
      <c r="AR1013" s="39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ht="11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 t="s">
        <v>0</v>
      </c>
      <c r="AB1014" s="1" t="s">
        <v>0</v>
      </c>
      <c r="AC1014" s="23" t="s">
        <v>0</v>
      </c>
      <c r="AD1014" s="1"/>
      <c r="AE1014" s="19"/>
      <c r="AF1014" s="1"/>
      <c r="AG1014" s="1"/>
      <c r="AH1014" s="1"/>
      <c r="AI1014" s="39"/>
      <c r="AJ1014" s="39"/>
      <c r="AK1014" s="39"/>
      <c r="AL1014" s="39"/>
      <c r="AM1014" s="1"/>
      <c r="AN1014" s="1"/>
      <c r="AO1014" s="39"/>
      <c r="AP1014" s="39"/>
      <c r="AQ1014" s="1"/>
      <c r="AR1014" s="39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ht="11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 t="s">
        <v>0</v>
      </c>
      <c r="AB1015" s="1" t="s">
        <v>0</v>
      </c>
      <c r="AC1015" s="23" t="s">
        <v>0</v>
      </c>
      <c r="AD1015" s="1"/>
      <c r="AE1015" s="19"/>
      <c r="AF1015" s="1"/>
      <c r="AG1015" s="1"/>
      <c r="AH1015" s="1"/>
      <c r="AI1015" s="39"/>
      <c r="AJ1015" s="39"/>
      <c r="AK1015" s="39"/>
      <c r="AL1015" s="39"/>
      <c r="AM1015" s="1"/>
      <c r="AN1015" s="1"/>
      <c r="AO1015" s="39"/>
      <c r="AP1015" s="39"/>
      <c r="AQ1015" s="1"/>
      <c r="AR1015" s="39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</row>
    <row r="1016" ht="11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 t="s">
        <v>0</v>
      </c>
      <c r="AB1016" s="1" t="s">
        <v>0</v>
      </c>
      <c r="AC1016" s="23" t="s">
        <v>0</v>
      </c>
      <c r="AD1016" s="1"/>
      <c r="AE1016" s="19"/>
      <c r="AF1016" s="1"/>
      <c r="AG1016" s="1"/>
      <c r="AH1016" s="1"/>
      <c r="AI1016" s="39"/>
      <c r="AJ1016" s="39"/>
      <c r="AK1016" s="39"/>
      <c r="AL1016" s="39"/>
      <c r="AM1016" s="1"/>
      <c r="AN1016" s="1"/>
      <c r="AO1016" s="39"/>
      <c r="AP1016" s="39"/>
      <c r="AQ1016" s="1"/>
      <c r="AR1016" s="39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</row>
    <row r="1017" ht="11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 t="s">
        <v>0</v>
      </c>
      <c r="AB1017" s="1" t="s">
        <v>0</v>
      </c>
      <c r="AC1017" s="23" t="s">
        <v>0</v>
      </c>
      <c r="AD1017" s="1"/>
      <c r="AE1017" s="19"/>
      <c r="AF1017" s="1"/>
      <c r="AG1017" s="1"/>
      <c r="AH1017" s="1"/>
      <c r="AI1017" s="39"/>
      <c r="AJ1017" s="39"/>
      <c r="AK1017" s="39"/>
      <c r="AL1017" s="39"/>
      <c r="AM1017" s="1"/>
      <c r="AN1017" s="1"/>
      <c r="AO1017" s="39"/>
      <c r="AP1017" s="39"/>
      <c r="AQ1017" s="1"/>
      <c r="AR1017" s="39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</row>
    <row r="1018" ht="11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 t="s">
        <v>0</v>
      </c>
      <c r="AB1018" s="1" t="s">
        <v>0</v>
      </c>
      <c r="AC1018" s="23" t="s">
        <v>0</v>
      </c>
      <c r="AD1018" s="1"/>
      <c r="AE1018" s="19"/>
      <c r="AF1018" s="1"/>
      <c r="AG1018" s="1"/>
      <c r="AH1018" s="1"/>
      <c r="AI1018" s="39"/>
      <c r="AJ1018" s="39"/>
      <c r="AK1018" s="39"/>
      <c r="AL1018" s="39"/>
      <c r="AM1018" s="1"/>
      <c r="AN1018" s="1"/>
      <c r="AO1018" s="39"/>
      <c r="AP1018" s="39"/>
      <c r="AQ1018" s="1"/>
      <c r="AR1018" s="39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</row>
    <row r="1019" ht="11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 t="s">
        <v>0</v>
      </c>
      <c r="AB1019" s="1" t="s">
        <v>0</v>
      </c>
      <c r="AC1019" s="23" t="s">
        <v>0</v>
      </c>
      <c r="AD1019" s="1"/>
      <c r="AE1019" s="19"/>
      <c r="AF1019" s="1"/>
      <c r="AG1019" s="1"/>
      <c r="AH1019" s="1"/>
      <c r="AI1019" s="39"/>
      <c r="AJ1019" s="39"/>
      <c r="AK1019" s="39"/>
      <c r="AL1019" s="39"/>
      <c r="AM1019" s="1"/>
      <c r="AN1019" s="1"/>
      <c r="AO1019" s="39"/>
      <c r="AP1019" s="39"/>
      <c r="AQ1019" s="1"/>
      <c r="AR1019" s="39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</row>
    <row r="1020" ht="11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 t="s">
        <v>0</v>
      </c>
      <c r="AB1020" s="1" t="s">
        <v>0</v>
      </c>
      <c r="AC1020" s="23" t="s">
        <v>0</v>
      </c>
      <c r="AD1020" s="1"/>
      <c r="AE1020" s="19"/>
      <c r="AF1020" s="1"/>
      <c r="AG1020" s="1"/>
      <c r="AH1020" s="1"/>
      <c r="AI1020" s="39"/>
      <c r="AJ1020" s="39"/>
      <c r="AK1020" s="39"/>
      <c r="AL1020" s="39"/>
      <c r="AM1020" s="1"/>
      <c r="AN1020" s="1"/>
      <c r="AO1020" s="39"/>
      <c r="AP1020" s="39"/>
      <c r="AQ1020" s="1"/>
      <c r="AR1020" s="39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</row>
    <row r="1021" ht="11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 t="s">
        <v>0</v>
      </c>
      <c r="AB1021" s="1" t="s">
        <v>0</v>
      </c>
      <c r="AC1021" s="23" t="s">
        <v>0</v>
      </c>
      <c r="AD1021" s="1"/>
      <c r="AE1021" s="19"/>
      <c r="AF1021" s="1"/>
      <c r="AG1021" s="1"/>
      <c r="AH1021" s="1"/>
      <c r="AI1021" s="39"/>
      <c r="AJ1021" s="39"/>
      <c r="AK1021" s="39"/>
      <c r="AL1021" s="39"/>
      <c r="AM1021" s="1"/>
      <c r="AN1021" s="1"/>
      <c r="AO1021" s="39"/>
      <c r="AP1021" s="39"/>
      <c r="AQ1021" s="1"/>
      <c r="AR1021" s="39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</row>
    <row r="1022" ht="11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 t="s">
        <v>0</v>
      </c>
      <c r="AB1022" s="1" t="s">
        <v>0</v>
      </c>
      <c r="AC1022" s="23" t="s">
        <v>0</v>
      </c>
      <c r="AD1022" s="1"/>
      <c r="AE1022" s="19"/>
      <c r="AF1022" s="1"/>
      <c r="AG1022" s="1"/>
      <c r="AH1022" s="1"/>
      <c r="AI1022" s="39"/>
      <c r="AJ1022" s="39"/>
      <c r="AK1022" s="39"/>
      <c r="AL1022" s="39"/>
      <c r="AM1022" s="1"/>
      <c r="AN1022" s="1"/>
      <c r="AO1022" s="39"/>
      <c r="AP1022" s="39"/>
      <c r="AQ1022" s="1"/>
      <c r="AR1022" s="39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 ht="11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 t="s">
        <v>0</v>
      </c>
      <c r="AB1023" s="1" t="s">
        <v>0</v>
      </c>
      <c r="AC1023" s="23" t="s">
        <v>0</v>
      </c>
      <c r="AD1023" s="1"/>
      <c r="AE1023" s="19"/>
      <c r="AF1023" s="1"/>
      <c r="AG1023" s="1"/>
      <c r="AH1023" s="1"/>
      <c r="AI1023" s="39"/>
      <c r="AJ1023" s="39"/>
      <c r="AK1023" s="39"/>
      <c r="AL1023" s="39"/>
      <c r="AM1023" s="1"/>
      <c r="AN1023" s="1"/>
      <c r="AO1023" s="39"/>
      <c r="AP1023" s="39"/>
      <c r="AQ1023" s="1"/>
      <c r="AR1023" s="39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</row>
    <row r="1024" ht="11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 t="s">
        <v>0</v>
      </c>
      <c r="AB1024" s="1" t="s">
        <v>0</v>
      </c>
      <c r="AC1024" s="23" t="s">
        <v>0</v>
      </c>
      <c r="AD1024" s="1"/>
      <c r="AE1024" s="19"/>
      <c r="AF1024" s="1"/>
      <c r="AG1024" s="1"/>
      <c r="AH1024" s="1"/>
      <c r="AI1024" s="39"/>
      <c r="AJ1024" s="39"/>
      <c r="AK1024" s="39"/>
      <c r="AL1024" s="39"/>
      <c r="AM1024" s="1"/>
      <c r="AN1024" s="1"/>
      <c r="AO1024" s="39"/>
      <c r="AP1024" s="39"/>
      <c r="AQ1024" s="1"/>
      <c r="AR1024" s="39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</row>
    <row r="1025" ht="11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 t="s">
        <v>0</v>
      </c>
      <c r="AB1025" s="1" t="s">
        <v>0</v>
      </c>
      <c r="AC1025" s="23" t="s">
        <v>0</v>
      </c>
      <c r="AD1025" s="1"/>
      <c r="AE1025" s="19"/>
      <c r="AF1025" s="1"/>
      <c r="AG1025" s="1"/>
      <c r="AH1025" s="1"/>
      <c r="AI1025" s="39"/>
      <c r="AJ1025" s="39"/>
      <c r="AK1025" s="39"/>
      <c r="AL1025" s="39"/>
      <c r="AM1025" s="1"/>
      <c r="AN1025" s="1"/>
      <c r="AO1025" s="39"/>
      <c r="AP1025" s="39"/>
      <c r="AQ1025" s="1"/>
      <c r="AR1025" s="39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 ht="11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 t="s">
        <v>0</v>
      </c>
      <c r="AB1026" s="1" t="s">
        <v>0</v>
      </c>
      <c r="AC1026" s="23" t="s">
        <v>0</v>
      </c>
      <c r="AD1026" s="1"/>
      <c r="AE1026" s="19"/>
      <c r="AF1026" s="1"/>
      <c r="AG1026" s="1"/>
      <c r="AH1026" s="1"/>
      <c r="AI1026" s="39"/>
      <c r="AJ1026" s="39"/>
      <c r="AK1026" s="39"/>
      <c r="AL1026" s="39"/>
      <c r="AM1026" s="1"/>
      <c r="AN1026" s="1"/>
      <c r="AO1026" s="39"/>
      <c r="AP1026" s="39"/>
      <c r="AQ1026" s="1"/>
      <c r="AR1026" s="39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 ht="11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 t="s">
        <v>0</v>
      </c>
      <c r="AB1027" s="1" t="s">
        <v>0</v>
      </c>
      <c r="AC1027" s="23" t="s">
        <v>0</v>
      </c>
      <c r="AD1027" s="1"/>
      <c r="AE1027" s="19"/>
      <c r="AF1027" s="1"/>
      <c r="AG1027" s="1"/>
      <c r="AH1027" s="1"/>
      <c r="AI1027" s="39"/>
      <c r="AJ1027" s="39"/>
      <c r="AK1027" s="39"/>
      <c r="AL1027" s="39"/>
      <c r="AM1027" s="1"/>
      <c r="AN1027" s="1"/>
      <c r="AO1027" s="39"/>
      <c r="AP1027" s="39"/>
      <c r="AQ1027" s="1"/>
      <c r="AR1027" s="39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</row>
    <row r="1028" ht="11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 t="s">
        <v>0</v>
      </c>
      <c r="AB1028" s="1" t="s">
        <v>0</v>
      </c>
      <c r="AC1028" s="23" t="s">
        <v>0</v>
      </c>
      <c r="AD1028" s="1"/>
      <c r="AE1028" s="19"/>
      <c r="AF1028" s="1"/>
      <c r="AG1028" s="1"/>
      <c r="AH1028" s="1"/>
      <c r="AI1028" s="39"/>
      <c r="AJ1028" s="39"/>
      <c r="AK1028" s="39"/>
      <c r="AL1028" s="39"/>
      <c r="AM1028" s="1"/>
      <c r="AN1028" s="1"/>
      <c r="AO1028" s="39"/>
      <c r="AP1028" s="39"/>
      <c r="AQ1028" s="1"/>
      <c r="AR1028" s="39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</row>
    <row r="1029" ht="11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 t="s">
        <v>0</v>
      </c>
      <c r="AB1029" s="1" t="s">
        <v>0</v>
      </c>
      <c r="AC1029" s="23" t="s">
        <v>0</v>
      </c>
      <c r="AD1029" s="1"/>
      <c r="AE1029" s="19"/>
      <c r="AF1029" s="1"/>
      <c r="AG1029" s="1"/>
      <c r="AH1029" s="1"/>
      <c r="AI1029" s="39"/>
      <c r="AJ1029" s="39"/>
      <c r="AK1029" s="39"/>
      <c r="AL1029" s="39"/>
      <c r="AM1029" s="1"/>
      <c r="AN1029" s="1"/>
      <c r="AO1029" s="39"/>
      <c r="AP1029" s="39"/>
      <c r="AQ1029" s="1"/>
      <c r="AR1029" s="39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</row>
    <row r="1030" ht="11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 t="s">
        <v>0</v>
      </c>
      <c r="AB1030" s="1" t="s">
        <v>0</v>
      </c>
      <c r="AC1030" s="23" t="s">
        <v>0</v>
      </c>
      <c r="AD1030" s="1"/>
      <c r="AE1030" s="19"/>
      <c r="AF1030" s="1"/>
      <c r="AG1030" s="1"/>
      <c r="AH1030" s="1"/>
      <c r="AI1030" s="39"/>
      <c r="AJ1030" s="39"/>
      <c r="AK1030" s="39"/>
      <c r="AL1030" s="39"/>
      <c r="AM1030" s="1"/>
      <c r="AN1030" s="1"/>
      <c r="AO1030" s="39"/>
      <c r="AP1030" s="39"/>
      <c r="AQ1030" s="1"/>
      <c r="AR1030" s="39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</row>
    <row r="1031" ht="11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 t="s">
        <v>0</v>
      </c>
      <c r="AB1031" s="1" t="s">
        <v>0</v>
      </c>
      <c r="AC1031" s="23" t="s">
        <v>0</v>
      </c>
      <c r="AD1031" s="1"/>
      <c r="AE1031" s="19"/>
      <c r="AF1031" s="1"/>
      <c r="AG1031" s="1"/>
      <c r="AH1031" s="1"/>
      <c r="AI1031" s="39"/>
      <c r="AJ1031" s="39"/>
      <c r="AK1031" s="39"/>
      <c r="AL1031" s="39"/>
      <c r="AM1031" s="1"/>
      <c r="AN1031" s="1"/>
      <c r="AO1031" s="39"/>
      <c r="AP1031" s="39"/>
      <c r="AQ1031" s="1"/>
      <c r="AR1031" s="39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</row>
    <row r="1032" ht="11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 t="s">
        <v>0</v>
      </c>
      <c r="AB1032" s="1" t="s">
        <v>0</v>
      </c>
      <c r="AC1032" s="23" t="s">
        <v>0</v>
      </c>
      <c r="AD1032" s="1"/>
      <c r="AE1032" s="19"/>
      <c r="AF1032" s="1"/>
      <c r="AG1032" s="1"/>
      <c r="AH1032" s="1"/>
      <c r="AI1032" s="39"/>
      <c r="AJ1032" s="39"/>
      <c r="AK1032" s="39"/>
      <c r="AL1032" s="39"/>
      <c r="AM1032" s="1"/>
      <c r="AN1032" s="1"/>
      <c r="AO1032" s="39"/>
      <c r="AP1032" s="39"/>
      <c r="AQ1032" s="1"/>
      <c r="AR1032" s="39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</row>
    <row r="1033" ht="11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 t="s">
        <v>0</v>
      </c>
      <c r="AB1033" s="1" t="s">
        <v>0</v>
      </c>
      <c r="AC1033" s="23" t="s">
        <v>0</v>
      </c>
      <c r="AD1033" s="1"/>
      <c r="AE1033" s="19"/>
      <c r="AF1033" s="1"/>
      <c r="AG1033" s="1"/>
      <c r="AH1033" s="1"/>
      <c r="AI1033" s="39"/>
      <c r="AJ1033" s="39"/>
      <c r="AK1033" s="39"/>
      <c r="AL1033" s="39"/>
      <c r="AM1033" s="1"/>
      <c r="AN1033" s="1"/>
      <c r="AO1033" s="39"/>
      <c r="AP1033" s="39"/>
      <c r="AQ1033" s="1"/>
      <c r="AR1033" s="39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</row>
    <row r="1034" ht="11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 t="s">
        <v>0</v>
      </c>
      <c r="AB1034" s="1" t="s">
        <v>0</v>
      </c>
      <c r="AC1034" s="23" t="s">
        <v>0</v>
      </c>
      <c r="AD1034" s="1"/>
      <c r="AE1034" s="19"/>
      <c r="AF1034" s="1"/>
      <c r="AG1034" s="1"/>
      <c r="AH1034" s="1"/>
      <c r="AI1034" s="39"/>
      <c r="AJ1034" s="39"/>
      <c r="AK1034" s="39"/>
      <c r="AL1034" s="39"/>
      <c r="AM1034" s="1"/>
      <c r="AN1034" s="1"/>
      <c r="AO1034" s="39"/>
      <c r="AP1034" s="39"/>
      <c r="AQ1034" s="1"/>
      <c r="AR1034" s="39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</row>
    <row r="1035" ht="11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 t="s">
        <v>0</v>
      </c>
      <c r="AB1035" s="1" t="s">
        <v>0</v>
      </c>
      <c r="AC1035" s="23" t="s">
        <v>0</v>
      </c>
      <c r="AD1035" s="1"/>
      <c r="AE1035" s="19"/>
      <c r="AF1035" s="1"/>
      <c r="AG1035" s="1"/>
      <c r="AH1035" s="1"/>
      <c r="AI1035" s="39"/>
      <c r="AJ1035" s="39"/>
      <c r="AK1035" s="39"/>
      <c r="AL1035" s="39"/>
      <c r="AM1035" s="1"/>
      <c r="AN1035" s="1"/>
      <c r="AO1035" s="39"/>
      <c r="AP1035" s="39"/>
      <c r="AQ1035" s="1"/>
      <c r="AR1035" s="39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</row>
    <row r="1036" ht="11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 t="s">
        <v>0</v>
      </c>
      <c r="AB1036" s="1" t="s">
        <v>0</v>
      </c>
      <c r="AC1036" s="23" t="s">
        <v>0</v>
      </c>
      <c r="AD1036" s="1"/>
      <c r="AE1036" s="19"/>
      <c r="AF1036" s="1"/>
      <c r="AG1036" s="1"/>
      <c r="AH1036" s="1"/>
      <c r="AI1036" s="39"/>
      <c r="AJ1036" s="39"/>
      <c r="AK1036" s="39"/>
      <c r="AL1036" s="39"/>
      <c r="AM1036" s="1"/>
      <c r="AN1036" s="1"/>
      <c r="AO1036" s="39"/>
      <c r="AP1036" s="39"/>
      <c r="AQ1036" s="1"/>
      <c r="AR1036" s="39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</row>
    <row r="1037" ht="11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 t="s">
        <v>0</v>
      </c>
      <c r="AB1037" s="1" t="s">
        <v>0</v>
      </c>
      <c r="AC1037" s="23" t="s">
        <v>0</v>
      </c>
      <c r="AD1037" s="1"/>
      <c r="AE1037" s="19"/>
      <c r="AF1037" s="1"/>
      <c r="AG1037" s="1"/>
      <c r="AH1037" s="1"/>
      <c r="AI1037" s="39"/>
      <c r="AJ1037" s="39"/>
      <c r="AK1037" s="39"/>
      <c r="AL1037" s="39"/>
      <c r="AM1037" s="1"/>
      <c r="AN1037" s="1"/>
      <c r="AO1037" s="39"/>
      <c r="AP1037" s="39"/>
      <c r="AQ1037" s="1"/>
      <c r="AR1037" s="39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</row>
    <row r="1038" ht="11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 t="s">
        <v>0</v>
      </c>
      <c r="AB1038" s="1" t="s">
        <v>0</v>
      </c>
      <c r="AC1038" s="23" t="s">
        <v>0</v>
      </c>
      <c r="AD1038" s="1"/>
      <c r="AE1038" s="19"/>
      <c r="AF1038" s="1"/>
      <c r="AG1038" s="1"/>
      <c r="AH1038" s="1"/>
      <c r="AI1038" s="39"/>
      <c r="AJ1038" s="39"/>
      <c r="AK1038" s="39"/>
      <c r="AL1038" s="39"/>
      <c r="AM1038" s="1"/>
      <c r="AN1038" s="1"/>
      <c r="AO1038" s="39"/>
      <c r="AP1038" s="39"/>
      <c r="AQ1038" s="1"/>
      <c r="AR1038" s="39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</row>
    <row r="1039" ht="11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 t="s">
        <v>0</v>
      </c>
      <c r="AB1039" s="1" t="s">
        <v>0</v>
      </c>
      <c r="AC1039" s="23" t="s">
        <v>0</v>
      </c>
      <c r="AD1039" s="1"/>
      <c r="AE1039" s="19"/>
      <c r="AF1039" s="1"/>
      <c r="AG1039" s="1"/>
      <c r="AH1039" s="1"/>
      <c r="AI1039" s="39"/>
      <c r="AJ1039" s="39"/>
      <c r="AK1039" s="39"/>
      <c r="AL1039" s="39"/>
      <c r="AM1039" s="1"/>
      <c r="AN1039" s="1"/>
      <c r="AO1039" s="39"/>
      <c r="AP1039" s="39"/>
      <c r="AQ1039" s="1"/>
      <c r="AR1039" s="39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</row>
    <row r="1040" ht="11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 t="s">
        <v>0</v>
      </c>
      <c r="AB1040" s="1" t="s">
        <v>0</v>
      </c>
      <c r="AC1040" s="23" t="s">
        <v>0</v>
      </c>
      <c r="AD1040" s="1"/>
      <c r="AE1040" s="19"/>
      <c r="AF1040" s="1"/>
      <c r="AG1040" s="1"/>
      <c r="AH1040" s="1"/>
      <c r="AI1040" s="39"/>
      <c r="AJ1040" s="39"/>
      <c r="AK1040" s="39"/>
      <c r="AL1040" s="39"/>
      <c r="AM1040" s="1"/>
      <c r="AN1040" s="1"/>
      <c r="AO1040" s="39"/>
      <c r="AP1040" s="39"/>
      <c r="AQ1040" s="1"/>
      <c r="AR1040" s="39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</row>
    <row r="1041" ht="11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 t="s">
        <v>0</v>
      </c>
      <c r="AB1041" s="1" t="s">
        <v>0</v>
      </c>
      <c r="AC1041" s="23" t="s">
        <v>0</v>
      </c>
      <c r="AD1041" s="1"/>
      <c r="AE1041" s="19"/>
      <c r="AF1041" s="1"/>
      <c r="AG1041" s="1"/>
      <c r="AH1041" s="1"/>
      <c r="AI1041" s="39"/>
      <c r="AJ1041" s="39"/>
      <c r="AK1041" s="39"/>
      <c r="AL1041" s="39"/>
      <c r="AM1041" s="1"/>
      <c r="AN1041" s="1"/>
      <c r="AO1041" s="39"/>
      <c r="AP1041" s="39"/>
      <c r="AQ1041" s="1"/>
      <c r="AR1041" s="39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</row>
    <row r="1042" ht="11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 t="s">
        <v>0</v>
      </c>
      <c r="AB1042" s="1" t="s">
        <v>0</v>
      </c>
      <c r="AC1042" s="23" t="s">
        <v>0</v>
      </c>
      <c r="AD1042" s="1"/>
      <c r="AE1042" s="19"/>
      <c r="AF1042" s="1"/>
      <c r="AG1042" s="1"/>
      <c r="AH1042" s="1"/>
      <c r="AI1042" s="39"/>
      <c r="AJ1042" s="39"/>
      <c r="AK1042" s="39"/>
      <c r="AL1042" s="39"/>
      <c r="AM1042" s="1"/>
      <c r="AN1042" s="1"/>
      <c r="AO1042" s="39"/>
      <c r="AP1042" s="39"/>
      <c r="AQ1042" s="1"/>
      <c r="AR1042" s="39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</row>
    <row r="1043" ht="11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 t="s">
        <v>0</v>
      </c>
      <c r="AB1043" s="1" t="s">
        <v>0</v>
      </c>
      <c r="AC1043" s="23" t="s">
        <v>0</v>
      </c>
      <c r="AD1043" s="1"/>
      <c r="AE1043" s="19"/>
      <c r="AF1043" s="1"/>
      <c r="AG1043" s="1"/>
      <c r="AH1043" s="1"/>
      <c r="AI1043" s="39"/>
      <c r="AJ1043" s="39"/>
      <c r="AK1043" s="39"/>
      <c r="AL1043" s="39"/>
      <c r="AM1043" s="1"/>
      <c r="AN1043" s="1"/>
      <c r="AO1043" s="39"/>
      <c r="AP1043" s="39"/>
      <c r="AQ1043" s="1"/>
      <c r="AR1043" s="39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</row>
    <row r="1044" ht="11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 t="s">
        <v>0</v>
      </c>
      <c r="AB1044" s="1" t="s">
        <v>0</v>
      </c>
      <c r="AC1044" s="23" t="s">
        <v>0</v>
      </c>
      <c r="AD1044" s="1"/>
      <c r="AE1044" s="19"/>
      <c r="AF1044" s="1"/>
      <c r="AG1044" s="1"/>
      <c r="AH1044" s="1"/>
      <c r="AI1044" s="39"/>
      <c r="AJ1044" s="39"/>
      <c r="AK1044" s="39"/>
      <c r="AL1044" s="39"/>
      <c r="AM1044" s="1"/>
      <c r="AN1044" s="1"/>
      <c r="AO1044" s="39"/>
      <c r="AP1044" s="39"/>
      <c r="AQ1044" s="1"/>
      <c r="AR1044" s="39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</row>
    <row r="1045" ht="11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 t="s">
        <v>0</v>
      </c>
      <c r="AB1045" s="1" t="s">
        <v>0</v>
      </c>
      <c r="AC1045" s="23" t="s">
        <v>0</v>
      </c>
      <c r="AD1045" s="1"/>
      <c r="AE1045" s="19"/>
      <c r="AF1045" s="1"/>
      <c r="AG1045" s="1"/>
      <c r="AH1045" s="1"/>
      <c r="AI1045" s="39"/>
      <c r="AJ1045" s="39"/>
      <c r="AK1045" s="39"/>
      <c r="AL1045" s="39"/>
      <c r="AM1045" s="1"/>
      <c r="AN1045" s="1"/>
      <c r="AO1045" s="39"/>
      <c r="AP1045" s="39"/>
      <c r="AQ1045" s="1"/>
      <c r="AR1045" s="39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</row>
    <row r="1046" ht="11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 t="s">
        <v>0</v>
      </c>
      <c r="AB1046" s="1" t="s">
        <v>0</v>
      </c>
      <c r="AC1046" s="23" t="s">
        <v>0</v>
      </c>
      <c r="AD1046" s="1"/>
      <c r="AE1046" s="19"/>
      <c r="AF1046" s="1"/>
      <c r="AG1046" s="1"/>
      <c r="AH1046" s="1"/>
      <c r="AI1046" s="39"/>
      <c r="AJ1046" s="39"/>
      <c r="AK1046" s="39"/>
      <c r="AL1046" s="39"/>
      <c r="AM1046" s="1"/>
      <c r="AN1046" s="1"/>
      <c r="AO1046" s="39"/>
      <c r="AP1046" s="39"/>
      <c r="AQ1046" s="1"/>
      <c r="AR1046" s="39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</row>
    <row r="1047" ht="11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 t="s">
        <v>0</v>
      </c>
      <c r="AB1047" s="1" t="s">
        <v>0</v>
      </c>
      <c r="AC1047" s="23" t="s">
        <v>0</v>
      </c>
      <c r="AD1047" s="1"/>
      <c r="AE1047" s="19"/>
      <c r="AF1047" s="1"/>
      <c r="AG1047" s="1"/>
      <c r="AH1047" s="1"/>
      <c r="AI1047" s="39"/>
      <c r="AJ1047" s="39"/>
      <c r="AK1047" s="39"/>
      <c r="AL1047" s="39"/>
      <c r="AM1047" s="1"/>
      <c r="AN1047" s="1"/>
      <c r="AO1047" s="39"/>
      <c r="AP1047" s="39"/>
      <c r="AQ1047" s="1"/>
      <c r="AR1047" s="39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</row>
    <row r="1048" ht="11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 t="s">
        <v>0</v>
      </c>
      <c r="AB1048" s="1" t="s">
        <v>0</v>
      </c>
      <c r="AC1048" s="23" t="s">
        <v>0</v>
      </c>
      <c r="AD1048" s="1"/>
      <c r="AE1048" s="19"/>
      <c r="AF1048" s="1"/>
      <c r="AG1048" s="1"/>
      <c r="AH1048" s="1"/>
      <c r="AI1048" s="39"/>
      <c r="AJ1048" s="39"/>
      <c r="AK1048" s="39"/>
      <c r="AL1048" s="39"/>
      <c r="AM1048" s="1"/>
      <c r="AN1048" s="1"/>
      <c r="AO1048" s="39"/>
      <c r="AP1048" s="39"/>
      <c r="AQ1048" s="1"/>
      <c r="AR1048" s="39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</row>
    <row r="1049" ht="11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 t="s">
        <v>0</v>
      </c>
      <c r="AB1049" s="1" t="s">
        <v>0</v>
      </c>
      <c r="AC1049" s="23" t="s">
        <v>0</v>
      </c>
      <c r="AD1049" s="1"/>
      <c r="AE1049" s="19"/>
      <c r="AF1049" s="1"/>
      <c r="AG1049" s="1"/>
      <c r="AH1049" s="1"/>
      <c r="AI1049" s="39"/>
      <c r="AJ1049" s="39"/>
      <c r="AK1049" s="39"/>
      <c r="AL1049" s="39"/>
      <c r="AM1049" s="1"/>
      <c r="AN1049" s="1"/>
      <c r="AO1049" s="39"/>
      <c r="AP1049" s="39"/>
      <c r="AQ1049" s="1"/>
      <c r="AR1049" s="39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</row>
    <row r="1050" ht="11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 t="s">
        <v>0</v>
      </c>
      <c r="AB1050" s="1" t="s">
        <v>0</v>
      </c>
      <c r="AC1050" s="23" t="s">
        <v>0</v>
      </c>
      <c r="AD1050" s="1"/>
      <c r="AE1050" s="19"/>
      <c r="AF1050" s="1"/>
      <c r="AG1050" s="1"/>
      <c r="AH1050" s="1"/>
      <c r="AI1050" s="39"/>
      <c r="AJ1050" s="39"/>
      <c r="AK1050" s="39"/>
      <c r="AL1050" s="39"/>
      <c r="AM1050" s="1"/>
      <c r="AN1050" s="1"/>
      <c r="AO1050" s="39"/>
      <c r="AP1050" s="39"/>
      <c r="AQ1050" s="1"/>
      <c r="AR1050" s="39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</row>
    <row r="1051" ht="11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 t="s">
        <v>0</v>
      </c>
      <c r="AB1051" s="1" t="s">
        <v>0</v>
      </c>
      <c r="AC1051" s="23" t="s">
        <v>0</v>
      </c>
      <c r="AD1051" s="1"/>
      <c r="AE1051" s="19"/>
      <c r="AF1051" s="1"/>
      <c r="AG1051" s="1"/>
      <c r="AH1051" s="1"/>
      <c r="AI1051" s="39"/>
      <c r="AJ1051" s="39"/>
      <c r="AK1051" s="39"/>
      <c r="AL1051" s="39"/>
      <c r="AM1051" s="1"/>
      <c r="AN1051" s="1"/>
      <c r="AO1051" s="39"/>
      <c r="AP1051" s="39"/>
      <c r="AQ1051" s="1"/>
      <c r="AR1051" s="39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</row>
    <row r="1052" ht="11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 t="s">
        <v>0</v>
      </c>
      <c r="AB1052" s="1" t="s">
        <v>0</v>
      </c>
      <c r="AC1052" s="23" t="s">
        <v>0</v>
      </c>
      <c r="AD1052" s="1"/>
      <c r="AE1052" s="19"/>
      <c r="AF1052" s="1"/>
      <c r="AG1052" s="1"/>
      <c r="AH1052" s="1"/>
      <c r="AI1052" s="39"/>
      <c r="AJ1052" s="39"/>
      <c r="AK1052" s="39"/>
      <c r="AL1052" s="39"/>
      <c r="AM1052" s="1"/>
      <c r="AN1052" s="1"/>
      <c r="AO1052" s="39"/>
      <c r="AP1052" s="39"/>
      <c r="AQ1052" s="1"/>
      <c r="AR1052" s="39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</row>
    <row r="1053" ht="11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 t="s">
        <v>0</v>
      </c>
      <c r="AB1053" s="1" t="s">
        <v>0</v>
      </c>
      <c r="AC1053" s="23" t="s">
        <v>0</v>
      </c>
      <c r="AD1053" s="1"/>
      <c r="AE1053" s="19"/>
      <c r="AF1053" s="1"/>
      <c r="AG1053" s="1"/>
      <c r="AH1053" s="1"/>
      <c r="AI1053" s="39"/>
      <c r="AJ1053" s="39"/>
      <c r="AK1053" s="39"/>
      <c r="AL1053" s="39"/>
      <c r="AM1053" s="1"/>
      <c r="AN1053" s="1"/>
      <c r="AO1053" s="39"/>
      <c r="AP1053" s="39"/>
      <c r="AQ1053" s="1"/>
      <c r="AR1053" s="39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</row>
    <row r="1054" ht="11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 t="s">
        <v>0</v>
      </c>
      <c r="AB1054" s="1" t="s">
        <v>0</v>
      </c>
      <c r="AC1054" s="23" t="s">
        <v>0</v>
      </c>
      <c r="AD1054" s="1"/>
      <c r="AE1054" s="19"/>
      <c r="AF1054" s="1"/>
      <c r="AG1054" s="1"/>
      <c r="AH1054" s="1"/>
      <c r="AI1054" s="39"/>
      <c r="AJ1054" s="39"/>
      <c r="AK1054" s="39"/>
      <c r="AL1054" s="39"/>
      <c r="AM1054" s="1"/>
      <c r="AN1054" s="1"/>
      <c r="AO1054" s="39"/>
      <c r="AP1054" s="39"/>
      <c r="AQ1054" s="1"/>
      <c r="AR1054" s="39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</row>
    <row r="1055" ht="11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 t="s">
        <v>0</v>
      </c>
      <c r="AB1055" s="1" t="s">
        <v>0</v>
      </c>
      <c r="AC1055" s="23" t="s">
        <v>0</v>
      </c>
      <c r="AD1055" s="1"/>
      <c r="AE1055" s="19"/>
      <c r="AF1055" s="1"/>
      <c r="AG1055" s="1"/>
      <c r="AH1055" s="1"/>
      <c r="AI1055" s="39"/>
      <c r="AJ1055" s="39"/>
      <c r="AK1055" s="39"/>
      <c r="AL1055" s="39"/>
      <c r="AM1055" s="1"/>
      <c r="AN1055" s="1"/>
      <c r="AO1055" s="39"/>
      <c r="AP1055" s="39"/>
      <c r="AQ1055" s="1"/>
      <c r="AR1055" s="39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</row>
    <row r="1056" ht="11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 t="s">
        <v>0</v>
      </c>
      <c r="AB1056" s="1" t="s">
        <v>0</v>
      </c>
      <c r="AC1056" s="23" t="s">
        <v>0</v>
      </c>
      <c r="AD1056" s="1"/>
      <c r="AE1056" s="19"/>
      <c r="AF1056" s="1"/>
      <c r="AG1056" s="1"/>
      <c r="AH1056" s="1"/>
      <c r="AI1056" s="39"/>
      <c r="AJ1056" s="39"/>
      <c r="AK1056" s="39"/>
      <c r="AL1056" s="39"/>
      <c r="AM1056" s="1"/>
      <c r="AN1056" s="1"/>
      <c r="AO1056" s="39"/>
      <c r="AP1056" s="39"/>
      <c r="AQ1056" s="1"/>
      <c r="AR1056" s="39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</row>
    <row r="1057" ht="11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 t="s">
        <v>0</v>
      </c>
      <c r="AB1057" s="1" t="s">
        <v>0</v>
      </c>
      <c r="AC1057" s="23" t="s">
        <v>0</v>
      </c>
      <c r="AD1057" s="1"/>
      <c r="AE1057" s="19"/>
      <c r="AF1057" s="1"/>
      <c r="AG1057" s="1"/>
      <c r="AH1057" s="1"/>
      <c r="AI1057" s="39"/>
      <c r="AJ1057" s="39"/>
      <c r="AK1057" s="39"/>
      <c r="AL1057" s="39"/>
      <c r="AM1057" s="1"/>
      <c r="AN1057" s="1"/>
      <c r="AO1057" s="39"/>
      <c r="AP1057" s="39"/>
      <c r="AQ1057" s="1"/>
      <c r="AR1057" s="39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</row>
    <row r="1058" ht="11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 t="s">
        <v>0</v>
      </c>
      <c r="AB1058" s="1" t="s">
        <v>0</v>
      </c>
      <c r="AC1058" s="23" t="s">
        <v>0</v>
      </c>
      <c r="AD1058" s="1"/>
      <c r="AE1058" s="19"/>
      <c r="AF1058" s="1"/>
      <c r="AG1058" s="1"/>
      <c r="AH1058" s="1"/>
      <c r="AI1058" s="39"/>
      <c r="AJ1058" s="39"/>
      <c r="AK1058" s="39"/>
      <c r="AL1058" s="39"/>
      <c r="AM1058" s="1"/>
      <c r="AN1058" s="1"/>
      <c r="AO1058" s="39"/>
      <c r="AP1058" s="39"/>
      <c r="AQ1058" s="1"/>
      <c r="AR1058" s="39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</row>
    <row r="1059" ht="11.2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 t="s">
        <v>0</v>
      </c>
      <c r="AB1059" s="1" t="s">
        <v>0</v>
      </c>
      <c r="AC1059" s="23" t="s">
        <v>0</v>
      </c>
      <c r="AD1059" s="1"/>
      <c r="AE1059" s="19"/>
      <c r="AF1059" s="1"/>
      <c r="AG1059" s="1"/>
      <c r="AH1059" s="1"/>
      <c r="AI1059" s="39"/>
      <c r="AJ1059" s="39"/>
      <c r="AK1059" s="39"/>
      <c r="AL1059" s="39"/>
      <c r="AM1059" s="1"/>
      <c r="AN1059" s="1"/>
      <c r="AO1059" s="39"/>
      <c r="AP1059" s="39"/>
      <c r="AQ1059" s="1"/>
      <c r="AR1059" s="39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</row>
    <row r="1060" ht="11.2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 t="s">
        <v>0</v>
      </c>
      <c r="AB1060" s="1" t="s">
        <v>0</v>
      </c>
      <c r="AC1060" s="23" t="s">
        <v>0</v>
      </c>
      <c r="AD1060" s="1"/>
      <c r="AE1060" s="19"/>
      <c r="AF1060" s="1"/>
      <c r="AG1060" s="1"/>
      <c r="AH1060" s="1"/>
      <c r="AI1060" s="39"/>
      <c r="AJ1060" s="39"/>
      <c r="AK1060" s="39"/>
      <c r="AL1060" s="39"/>
      <c r="AM1060" s="1"/>
      <c r="AN1060" s="1"/>
      <c r="AO1060" s="39"/>
      <c r="AP1060" s="39"/>
      <c r="AQ1060" s="1"/>
      <c r="AR1060" s="39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</row>
    <row r="1061" ht="11.2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 t="s">
        <v>0</v>
      </c>
      <c r="AB1061" s="1" t="s">
        <v>0</v>
      </c>
      <c r="AC1061" s="23" t="s">
        <v>0</v>
      </c>
      <c r="AD1061" s="1"/>
      <c r="AE1061" s="19"/>
      <c r="AF1061" s="1"/>
      <c r="AG1061" s="1"/>
      <c r="AH1061" s="1"/>
      <c r="AI1061" s="39"/>
      <c r="AJ1061" s="39"/>
      <c r="AK1061" s="39"/>
      <c r="AL1061" s="39"/>
      <c r="AM1061" s="1"/>
      <c r="AN1061" s="1"/>
      <c r="AO1061" s="39"/>
      <c r="AP1061" s="39"/>
      <c r="AQ1061" s="1"/>
      <c r="AR1061" s="39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</row>
    <row r="1062" ht="11.2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 t="s">
        <v>0</v>
      </c>
      <c r="AB1062" s="1" t="s">
        <v>0</v>
      </c>
      <c r="AC1062" s="23" t="s">
        <v>0</v>
      </c>
      <c r="AD1062" s="1"/>
      <c r="AE1062" s="19"/>
      <c r="AF1062" s="1"/>
      <c r="AG1062" s="1"/>
      <c r="AH1062" s="1"/>
      <c r="AI1062" s="39"/>
      <c r="AJ1062" s="39"/>
      <c r="AK1062" s="39"/>
      <c r="AL1062" s="39"/>
      <c r="AM1062" s="1"/>
      <c r="AN1062" s="1"/>
      <c r="AO1062" s="39"/>
      <c r="AP1062" s="39"/>
      <c r="AQ1062" s="1"/>
      <c r="AR1062" s="39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</row>
    <row r="1063" ht="11.2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 t="s">
        <v>0</v>
      </c>
      <c r="AB1063" s="1" t="s">
        <v>0</v>
      </c>
      <c r="AC1063" s="23" t="s">
        <v>0</v>
      </c>
      <c r="AD1063" s="1"/>
      <c r="AE1063" s="19"/>
      <c r="AF1063" s="1"/>
      <c r="AG1063" s="1"/>
      <c r="AH1063" s="1"/>
      <c r="AI1063" s="39"/>
      <c r="AJ1063" s="39"/>
      <c r="AK1063" s="39"/>
      <c r="AL1063" s="39"/>
      <c r="AM1063" s="1"/>
      <c r="AN1063" s="1"/>
      <c r="AO1063" s="39"/>
      <c r="AP1063" s="39"/>
      <c r="AQ1063" s="1"/>
      <c r="AR1063" s="39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</row>
    <row r="1064" ht="11.2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 t="s">
        <v>0</v>
      </c>
      <c r="AB1064" s="1" t="s">
        <v>0</v>
      </c>
      <c r="AC1064" s="23" t="s">
        <v>0</v>
      </c>
      <c r="AD1064" s="1"/>
      <c r="AE1064" s="19"/>
      <c r="AF1064" s="1"/>
      <c r="AG1064" s="1"/>
      <c r="AH1064" s="1"/>
      <c r="AI1064" s="39"/>
      <c r="AJ1064" s="39"/>
      <c r="AK1064" s="39"/>
      <c r="AL1064" s="39"/>
      <c r="AM1064" s="1"/>
      <c r="AN1064" s="1"/>
      <c r="AO1064" s="39"/>
      <c r="AP1064" s="39"/>
      <c r="AQ1064" s="1"/>
      <c r="AR1064" s="39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</row>
    <row r="1065" ht="11.2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 t="s">
        <v>0</v>
      </c>
      <c r="AB1065" s="1" t="s">
        <v>0</v>
      </c>
      <c r="AC1065" s="23" t="s">
        <v>0</v>
      </c>
      <c r="AD1065" s="1"/>
      <c r="AE1065" s="19"/>
      <c r="AF1065" s="1"/>
      <c r="AG1065" s="1"/>
      <c r="AH1065" s="1"/>
      <c r="AI1065" s="39"/>
      <c r="AJ1065" s="39"/>
      <c r="AK1065" s="39"/>
      <c r="AL1065" s="39"/>
      <c r="AM1065" s="1"/>
      <c r="AN1065" s="1"/>
      <c r="AO1065" s="39"/>
      <c r="AP1065" s="39"/>
      <c r="AQ1065" s="1"/>
      <c r="AR1065" s="39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</row>
    <row r="1066" ht="11.2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 t="s">
        <v>0</v>
      </c>
      <c r="AB1066" s="1" t="s">
        <v>0</v>
      </c>
      <c r="AC1066" s="23" t="s">
        <v>0</v>
      </c>
      <c r="AD1066" s="1"/>
      <c r="AE1066" s="19"/>
      <c r="AF1066" s="1"/>
      <c r="AG1066" s="1"/>
      <c r="AH1066" s="1"/>
      <c r="AI1066" s="39"/>
      <c r="AJ1066" s="39"/>
      <c r="AK1066" s="39"/>
      <c r="AL1066" s="39"/>
      <c r="AM1066" s="1"/>
      <c r="AN1066" s="1"/>
      <c r="AO1066" s="39"/>
      <c r="AP1066" s="39"/>
      <c r="AQ1066" s="1"/>
      <c r="AR1066" s="39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</row>
    <row r="1067" ht="11.2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 t="s">
        <v>0</v>
      </c>
      <c r="AB1067" s="1" t="s">
        <v>0</v>
      </c>
      <c r="AC1067" s="23" t="s">
        <v>0</v>
      </c>
      <c r="AD1067" s="1"/>
      <c r="AE1067" s="19"/>
      <c r="AF1067" s="1"/>
      <c r="AG1067" s="1"/>
      <c r="AH1067" s="1"/>
      <c r="AI1067" s="39"/>
      <c r="AJ1067" s="39"/>
      <c r="AK1067" s="39"/>
      <c r="AL1067" s="39"/>
      <c r="AM1067" s="1"/>
      <c r="AN1067" s="1"/>
      <c r="AO1067" s="39"/>
      <c r="AP1067" s="39"/>
      <c r="AQ1067" s="1"/>
      <c r="AR1067" s="39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</row>
    <row r="1068" ht="11.2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 t="s">
        <v>0</v>
      </c>
      <c r="AB1068" s="1" t="s">
        <v>0</v>
      </c>
      <c r="AC1068" s="23" t="s">
        <v>0</v>
      </c>
      <c r="AD1068" s="1"/>
      <c r="AE1068" s="19"/>
      <c r="AF1068" s="1"/>
      <c r="AG1068" s="1"/>
      <c r="AH1068" s="1"/>
      <c r="AI1068" s="39"/>
      <c r="AJ1068" s="39"/>
      <c r="AK1068" s="39"/>
      <c r="AL1068" s="39"/>
      <c r="AM1068" s="1"/>
      <c r="AN1068" s="1"/>
      <c r="AO1068" s="39"/>
      <c r="AP1068" s="39"/>
      <c r="AQ1068" s="1"/>
      <c r="AR1068" s="39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</row>
    <row r="1069" ht="11.2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 t="s">
        <v>0</v>
      </c>
      <c r="AB1069" s="1" t="s">
        <v>0</v>
      </c>
      <c r="AC1069" s="23" t="s">
        <v>0</v>
      </c>
      <c r="AD1069" s="1"/>
      <c r="AE1069" s="19"/>
      <c r="AF1069" s="1"/>
      <c r="AG1069" s="1"/>
      <c r="AH1069" s="1"/>
      <c r="AI1069" s="39"/>
      <c r="AJ1069" s="39"/>
      <c r="AK1069" s="39"/>
      <c r="AL1069" s="39"/>
      <c r="AM1069" s="1"/>
      <c r="AN1069" s="1"/>
      <c r="AO1069" s="39"/>
      <c r="AP1069" s="39"/>
      <c r="AQ1069" s="1"/>
      <c r="AR1069" s="39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</row>
    <row r="1070" ht="11.2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 t="s">
        <v>0</v>
      </c>
      <c r="AB1070" s="1" t="s">
        <v>0</v>
      </c>
      <c r="AC1070" s="23" t="s">
        <v>0</v>
      </c>
      <c r="AD1070" s="1"/>
      <c r="AE1070" s="19"/>
      <c r="AF1070" s="1"/>
      <c r="AG1070" s="1"/>
      <c r="AH1070" s="1"/>
      <c r="AI1070" s="39"/>
      <c r="AJ1070" s="39"/>
      <c r="AK1070" s="39"/>
      <c r="AL1070" s="39"/>
      <c r="AM1070" s="1"/>
      <c r="AN1070" s="1"/>
      <c r="AO1070" s="39"/>
      <c r="AP1070" s="39"/>
      <c r="AQ1070" s="1"/>
      <c r="AR1070" s="39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</row>
    <row r="1071" ht="11.2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 t="s">
        <v>0</v>
      </c>
      <c r="AB1071" s="1" t="s">
        <v>0</v>
      </c>
      <c r="AC1071" s="23" t="s">
        <v>0</v>
      </c>
      <c r="AD1071" s="1"/>
      <c r="AE1071" s="19"/>
      <c r="AF1071" s="1"/>
      <c r="AG1071" s="1"/>
      <c r="AH1071" s="1"/>
      <c r="AI1071" s="39"/>
      <c r="AJ1071" s="39"/>
      <c r="AK1071" s="39"/>
      <c r="AL1071" s="39"/>
      <c r="AM1071" s="1"/>
      <c r="AN1071" s="1"/>
      <c r="AO1071" s="39"/>
      <c r="AP1071" s="39"/>
      <c r="AQ1071" s="1"/>
      <c r="AR1071" s="39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</row>
    <row r="1072" ht="11.2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 t="s">
        <v>0</v>
      </c>
      <c r="AB1072" s="1" t="s">
        <v>0</v>
      </c>
      <c r="AC1072" s="23" t="s">
        <v>0</v>
      </c>
      <c r="AD1072" s="1"/>
      <c r="AE1072" s="19"/>
      <c r="AF1072" s="1"/>
      <c r="AG1072" s="1"/>
      <c r="AH1072" s="1"/>
      <c r="AI1072" s="39"/>
      <c r="AJ1072" s="39"/>
      <c r="AK1072" s="39"/>
      <c r="AL1072" s="39"/>
      <c r="AM1072" s="1"/>
      <c r="AN1072" s="1"/>
      <c r="AO1072" s="39"/>
      <c r="AP1072" s="39"/>
      <c r="AQ1072" s="1"/>
      <c r="AR1072" s="39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</row>
    <row r="1073" ht="11.2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 t="s">
        <v>0</v>
      </c>
      <c r="AB1073" s="1" t="s">
        <v>0</v>
      </c>
      <c r="AC1073" s="23" t="s">
        <v>0</v>
      </c>
      <c r="AD1073" s="1"/>
      <c r="AE1073" s="19"/>
      <c r="AF1073" s="1"/>
      <c r="AG1073" s="1"/>
      <c r="AH1073" s="1"/>
      <c r="AI1073" s="39"/>
      <c r="AJ1073" s="39"/>
      <c r="AK1073" s="39"/>
      <c r="AL1073" s="39"/>
      <c r="AM1073" s="1"/>
      <c r="AN1073" s="1"/>
      <c r="AO1073" s="39"/>
      <c r="AP1073" s="39"/>
      <c r="AQ1073" s="1"/>
      <c r="AR1073" s="39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</row>
    <row r="1074" ht="11.2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 t="s">
        <v>0</v>
      </c>
      <c r="AB1074" s="1" t="s">
        <v>0</v>
      </c>
      <c r="AC1074" s="23" t="s">
        <v>0</v>
      </c>
      <c r="AD1074" s="1"/>
      <c r="AE1074" s="19"/>
      <c r="AF1074" s="1"/>
      <c r="AG1074" s="1"/>
      <c r="AH1074" s="1"/>
      <c r="AI1074" s="39"/>
      <c r="AJ1074" s="39"/>
      <c r="AK1074" s="39"/>
      <c r="AL1074" s="39"/>
      <c r="AM1074" s="1"/>
      <c r="AN1074" s="1"/>
      <c r="AO1074" s="39"/>
      <c r="AP1074" s="39"/>
      <c r="AQ1074" s="1"/>
      <c r="AR1074" s="39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</row>
    <row r="1075" ht="11.2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 t="s">
        <v>0</v>
      </c>
      <c r="AB1075" s="1" t="s">
        <v>0</v>
      </c>
      <c r="AC1075" s="23" t="s">
        <v>0</v>
      </c>
      <c r="AD1075" s="1"/>
      <c r="AE1075" s="19"/>
      <c r="AF1075" s="1"/>
      <c r="AG1075" s="1"/>
      <c r="AH1075" s="1"/>
      <c r="AI1075" s="39"/>
      <c r="AJ1075" s="39"/>
      <c r="AK1075" s="39"/>
      <c r="AL1075" s="39"/>
      <c r="AM1075" s="1"/>
      <c r="AN1075" s="1"/>
      <c r="AO1075" s="39"/>
      <c r="AP1075" s="39"/>
      <c r="AQ1075" s="1"/>
      <c r="AR1075" s="39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</row>
    <row r="1076" ht="11.2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 t="s">
        <v>0</v>
      </c>
      <c r="AB1076" s="1" t="s">
        <v>0</v>
      </c>
      <c r="AC1076" s="23" t="s">
        <v>0</v>
      </c>
      <c r="AD1076" s="1"/>
      <c r="AE1076" s="19"/>
      <c r="AF1076" s="1"/>
      <c r="AG1076" s="1"/>
      <c r="AH1076" s="1"/>
      <c r="AI1076" s="39"/>
      <c r="AJ1076" s="39"/>
      <c r="AK1076" s="39"/>
      <c r="AL1076" s="39"/>
      <c r="AM1076" s="1"/>
      <c r="AN1076" s="1"/>
      <c r="AO1076" s="39"/>
      <c r="AP1076" s="39"/>
      <c r="AQ1076" s="1"/>
      <c r="AR1076" s="39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</row>
    <row r="1077" ht="11.2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 t="s">
        <v>0</v>
      </c>
      <c r="AB1077" s="1" t="s">
        <v>0</v>
      </c>
      <c r="AC1077" s="23" t="s">
        <v>0</v>
      </c>
      <c r="AD1077" s="1"/>
      <c r="AE1077" s="19"/>
      <c r="AF1077" s="1"/>
      <c r="AG1077" s="1"/>
      <c r="AH1077" s="1"/>
      <c r="AI1077" s="39"/>
      <c r="AJ1077" s="39"/>
      <c r="AK1077" s="39"/>
      <c r="AL1077" s="39"/>
      <c r="AM1077" s="1"/>
      <c r="AN1077" s="1"/>
      <c r="AO1077" s="39"/>
      <c r="AP1077" s="39"/>
      <c r="AQ1077" s="1"/>
      <c r="AR1077" s="39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</row>
    <row r="1078" ht="11.2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 t="s">
        <v>0</v>
      </c>
      <c r="AB1078" s="1" t="s">
        <v>0</v>
      </c>
      <c r="AC1078" s="23" t="s">
        <v>0</v>
      </c>
      <c r="AD1078" s="1"/>
      <c r="AE1078" s="19"/>
      <c r="AF1078" s="1"/>
      <c r="AG1078" s="1"/>
      <c r="AH1078" s="1"/>
      <c r="AI1078" s="39"/>
      <c r="AJ1078" s="39"/>
      <c r="AK1078" s="39"/>
      <c r="AL1078" s="39"/>
      <c r="AM1078" s="1"/>
      <c r="AN1078" s="1"/>
      <c r="AO1078" s="39"/>
      <c r="AP1078" s="39"/>
      <c r="AQ1078" s="1"/>
      <c r="AR1078" s="39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</row>
    <row r="1079" ht="11.2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 t="s">
        <v>0</v>
      </c>
      <c r="AB1079" s="1" t="s">
        <v>0</v>
      </c>
      <c r="AC1079" s="23" t="s">
        <v>0</v>
      </c>
      <c r="AD1079" s="1"/>
      <c r="AE1079" s="19"/>
      <c r="AF1079" s="1"/>
      <c r="AG1079" s="1"/>
      <c r="AH1079" s="1"/>
      <c r="AI1079" s="39"/>
      <c r="AJ1079" s="39"/>
      <c r="AK1079" s="39"/>
      <c r="AL1079" s="39"/>
      <c r="AM1079" s="1"/>
      <c r="AN1079" s="1"/>
      <c r="AO1079" s="39"/>
      <c r="AP1079" s="39"/>
      <c r="AQ1079" s="1"/>
      <c r="AR1079" s="39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</row>
    <row r="1080" ht="11.2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 t="s">
        <v>0</v>
      </c>
      <c r="AB1080" s="1" t="s">
        <v>0</v>
      </c>
      <c r="AC1080" s="23" t="s">
        <v>0</v>
      </c>
      <c r="AD1080" s="1"/>
      <c r="AE1080" s="19"/>
      <c r="AF1080" s="1"/>
      <c r="AG1080" s="1"/>
      <c r="AH1080" s="1"/>
      <c r="AI1080" s="39"/>
      <c r="AJ1080" s="39"/>
      <c r="AK1080" s="39"/>
      <c r="AL1080" s="39"/>
      <c r="AM1080" s="1"/>
      <c r="AN1080" s="1"/>
      <c r="AO1080" s="39"/>
      <c r="AP1080" s="39"/>
      <c r="AQ1080" s="1"/>
      <c r="AR1080" s="39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</row>
    <row r="1081" ht="11.2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 t="s">
        <v>0</v>
      </c>
      <c r="AB1081" s="1" t="s">
        <v>0</v>
      </c>
      <c r="AC1081" s="23" t="s">
        <v>0</v>
      </c>
      <c r="AD1081" s="1"/>
      <c r="AE1081" s="19"/>
      <c r="AF1081" s="1"/>
      <c r="AG1081" s="1"/>
      <c r="AH1081" s="1"/>
      <c r="AI1081" s="39"/>
      <c r="AJ1081" s="39"/>
      <c r="AK1081" s="39"/>
      <c r="AL1081" s="39"/>
      <c r="AM1081" s="1"/>
      <c r="AN1081" s="1"/>
      <c r="AO1081" s="39"/>
      <c r="AP1081" s="39"/>
      <c r="AQ1081" s="1"/>
      <c r="AR1081" s="39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</row>
    <row r="1082" ht="11.2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 t="s">
        <v>0</v>
      </c>
      <c r="AB1082" s="1" t="s">
        <v>0</v>
      </c>
      <c r="AC1082" s="23" t="s">
        <v>0</v>
      </c>
      <c r="AD1082" s="1"/>
      <c r="AE1082" s="19"/>
      <c r="AF1082" s="1"/>
      <c r="AG1082" s="1"/>
      <c r="AH1082" s="1"/>
      <c r="AI1082" s="39"/>
      <c r="AJ1082" s="39"/>
      <c r="AK1082" s="39"/>
      <c r="AL1082" s="39"/>
      <c r="AM1082" s="1"/>
      <c r="AN1082" s="1"/>
      <c r="AO1082" s="39"/>
      <c r="AP1082" s="39"/>
      <c r="AQ1082" s="1"/>
      <c r="AR1082" s="39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</row>
    <row r="1083" ht="11.2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 t="s">
        <v>0</v>
      </c>
      <c r="AB1083" s="1" t="s">
        <v>0</v>
      </c>
      <c r="AC1083" s="23" t="s">
        <v>0</v>
      </c>
      <c r="AD1083" s="1"/>
      <c r="AE1083" s="19"/>
      <c r="AF1083" s="1"/>
      <c r="AG1083" s="1"/>
      <c r="AH1083" s="1"/>
      <c r="AI1083" s="39"/>
      <c r="AJ1083" s="39"/>
      <c r="AK1083" s="39"/>
      <c r="AL1083" s="39"/>
      <c r="AM1083" s="1"/>
      <c r="AN1083" s="1"/>
      <c r="AO1083" s="39"/>
      <c r="AP1083" s="39"/>
      <c r="AQ1083" s="1"/>
      <c r="AR1083" s="39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</row>
    <row r="1084" ht="11.2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 t="s">
        <v>0</v>
      </c>
      <c r="AB1084" s="1" t="s">
        <v>0</v>
      </c>
      <c r="AC1084" s="23" t="s">
        <v>0</v>
      </c>
      <c r="AD1084" s="1"/>
      <c r="AE1084" s="19"/>
      <c r="AF1084" s="1"/>
      <c r="AG1084" s="1"/>
      <c r="AH1084" s="1"/>
      <c r="AI1084" s="39"/>
      <c r="AJ1084" s="39"/>
      <c r="AK1084" s="39"/>
      <c r="AL1084" s="39"/>
      <c r="AM1084" s="1"/>
      <c r="AN1084" s="1"/>
      <c r="AO1084" s="39"/>
      <c r="AP1084" s="39"/>
      <c r="AQ1084" s="1"/>
      <c r="AR1084" s="39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</row>
    <row r="1085" ht="11.2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 t="s">
        <v>0</v>
      </c>
      <c r="AB1085" s="1" t="s">
        <v>0</v>
      </c>
      <c r="AC1085" s="23" t="s">
        <v>0</v>
      </c>
      <c r="AD1085" s="1"/>
      <c r="AE1085" s="19"/>
      <c r="AF1085" s="1"/>
      <c r="AG1085" s="1"/>
      <c r="AH1085" s="1"/>
      <c r="AI1085" s="39"/>
      <c r="AJ1085" s="39"/>
      <c r="AK1085" s="39"/>
      <c r="AL1085" s="39"/>
      <c r="AM1085" s="1"/>
      <c r="AN1085" s="1"/>
      <c r="AO1085" s="39"/>
      <c r="AP1085" s="39"/>
      <c r="AQ1085" s="1"/>
      <c r="AR1085" s="39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</row>
    <row r="1086" ht="11.2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 t="s">
        <v>0</v>
      </c>
      <c r="AB1086" s="1" t="s">
        <v>0</v>
      </c>
      <c r="AC1086" s="23" t="s">
        <v>0</v>
      </c>
      <c r="AD1086" s="1"/>
      <c r="AE1086" s="19"/>
      <c r="AF1086" s="1"/>
      <c r="AG1086" s="1"/>
      <c r="AH1086" s="1"/>
      <c r="AI1086" s="39"/>
      <c r="AJ1086" s="39"/>
      <c r="AK1086" s="39"/>
      <c r="AL1086" s="39"/>
      <c r="AM1086" s="1"/>
      <c r="AN1086" s="1"/>
      <c r="AO1086" s="39"/>
      <c r="AP1086" s="39"/>
      <c r="AQ1086" s="1"/>
      <c r="AR1086" s="39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</row>
    <row r="1087" ht="11.2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 t="s">
        <v>0</v>
      </c>
      <c r="AB1087" s="1" t="s">
        <v>0</v>
      </c>
      <c r="AC1087" s="23" t="s">
        <v>0</v>
      </c>
      <c r="AD1087" s="1"/>
      <c r="AE1087" s="19"/>
      <c r="AF1087" s="1"/>
      <c r="AG1087" s="1"/>
      <c r="AH1087" s="1"/>
      <c r="AI1087" s="39"/>
      <c r="AJ1087" s="39"/>
      <c r="AK1087" s="39"/>
      <c r="AL1087" s="39"/>
      <c r="AM1087" s="1"/>
      <c r="AN1087" s="1"/>
      <c r="AO1087" s="39"/>
      <c r="AP1087" s="39"/>
      <c r="AQ1087" s="1"/>
      <c r="AR1087" s="39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</row>
    <row r="1088" ht="11.2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 t="s">
        <v>0</v>
      </c>
      <c r="AB1088" s="1" t="s">
        <v>0</v>
      </c>
      <c r="AC1088" s="23" t="s">
        <v>0</v>
      </c>
      <c r="AD1088" s="1"/>
      <c r="AE1088" s="19"/>
      <c r="AF1088" s="1"/>
      <c r="AG1088" s="1"/>
      <c r="AH1088" s="1"/>
      <c r="AI1088" s="39"/>
      <c r="AJ1088" s="39"/>
      <c r="AK1088" s="39"/>
      <c r="AL1088" s="39"/>
      <c r="AM1088" s="1"/>
      <c r="AN1088" s="1"/>
      <c r="AO1088" s="39"/>
      <c r="AP1088" s="39"/>
      <c r="AQ1088" s="1"/>
      <c r="AR1088" s="39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</row>
    <row r="1089" ht="11.2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 t="s">
        <v>0</v>
      </c>
      <c r="AB1089" s="1" t="s">
        <v>0</v>
      </c>
      <c r="AC1089" s="23" t="s">
        <v>0</v>
      </c>
      <c r="AD1089" s="1"/>
      <c r="AE1089" s="19"/>
      <c r="AF1089" s="1"/>
      <c r="AG1089" s="1"/>
      <c r="AH1089" s="1"/>
      <c r="AI1089" s="39"/>
      <c r="AJ1089" s="39"/>
      <c r="AK1089" s="39"/>
      <c r="AL1089" s="39"/>
      <c r="AM1089" s="1"/>
      <c r="AN1089" s="1"/>
      <c r="AO1089" s="39"/>
      <c r="AP1089" s="39"/>
      <c r="AQ1089" s="1"/>
      <c r="AR1089" s="39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</row>
    <row r="1090" ht="11.2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 t="s">
        <v>0</v>
      </c>
      <c r="AB1090" s="1" t="s">
        <v>0</v>
      </c>
      <c r="AC1090" s="23" t="s">
        <v>0</v>
      </c>
      <c r="AD1090" s="1"/>
      <c r="AE1090" s="19"/>
      <c r="AF1090" s="1"/>
      <c r="AG1090" s="1"/>
      <c r="AH1090" s="1"/>
      <c r="AI1090" s="39"/>
      <c r="AJ1090" s="39"/>
      <c r="AK1090" s="39"/>
      <c r="AL1090" s="39"/>
      <c r="AM1090" s="1"/>
      <c r="AN1090" s="1"/>
      <c r="AO1090" s="39"/>
      <c r="AP1090" s="39"/>
      <c r="AQ1090" s="1"/>
      <c r="AR1090" s="39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</row>
    <row r="1091" ht="11.2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 t="s">
        <v>0</v>
      </c>
      <c r="AB1091" s="1" t="s">
        <v>0</v>
      </c>
      <c r="AC1091" s="23" t="s">
        <v>0</v>
      </c>
      <c r="AD1091" s="1"/>
      <c r="AE1091" s="19"/>
      <c r="AF1091" s="1"/>
      <c r="AG1091" s="1"/>
      <c r="AH1091" s="1"/>
      <c r="AI1091" s="39"/>
      <c r="AJ1091" s="39"/>
      <c r="AK1091" s="39"/>
      <c r="AL1091" s="39"/>
      <c r="AM1091" s="1"/>
      <c r="AN1091" s="1"/>
      <c r="AO1091" s="39"/>
      <c r="AP1091" s="39"/>
      <c r="AQ1091" s="1"/>
      <c r="AR1091" s="39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</row>
    <row r="1092" ht="11.2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 t="s">
        <v>0</v>
      </c>
      <c r="AB1092" s="1" t="s">
        <v>0</v>
      </c>
      <c r="AC1092" s="23" t="s">
        <v>0</v>
      </c>
      <c r="AD1092" s="1"/>
      <c r="AE1092" s="19"/>
      <c r="AF1092" s="1"/>
      <c r="AG1092" s="1"/>
      <c r="AH1092" s="1"/>
      <c r="AI1092" s="39"/>
      <c r="AJ1092" s="39"/>
      <c r="AK1092" s="39"/>
      <c r="AL1092" s="39"/>
      <c r="AM1092" s="1"/>
      <c r="AN1092" s="1"/>
      <c r="AO1092" s="39"/>
      <c r="AP1092" s="39"/>
      <c r="AQ1092" s="1"/>
      <c r="AR1092" s="39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</row>
    <row r="1093" ht="11.2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 t="s">
        <v>0</v>
      </c>
      <c r="AB1093" s="1" t="s">
        <v>0</v>
      </c>
      <c r="AC1093" s="23" t="s">
        <v>0</v>
      </c>
      <c r="AD1093" s="1"/>
      <c r="AE1093" s="19"/>
      <c r="AF1093" s="1"/>
      <c r="AG1093" s="1"/>
      <c r="AH1093" s="1"/>
      <c r="AI1093" s="39"/>
      <c r="AJ1093" s="39"/>
      <c r="AK1093" s="39"/>
      <c r="AL1093" s="39"/>
      <c r="AM1093" s="1"/>
      <c r="AN1093" s="1"/>
      <c r="AO1093" s="39"/>
      <c r="AP1093" s="39"/>
      <c r="AQ1093" s="1"/>
      <c r="AR1093" s="39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 ht="11.2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 t="s">
        <v>0</v>
      </c>
      <c r="AB1094" s="1" t="s">
        <v>0</v>
      </c>
      <c r="AC1094" s="23" t="s">
        <v>0</v>
      </c>
      <c r="AD1094" s="1"/>
      <c r="AE1094" s="19"/>
      <c r="AF1094" s="1"/>
      <c r="AG1094" s="1"/>
      <c r="AH1094" s="1"/>
      <c r="AI1094" s="39"/>
      <c r="AJ1094" s="39"/>
      <c r="AK1094" s="39"/>
      <c r="AL1094" s="39"/>
      <c r="AM1094" s="1"/>
      <c r="AN1094" s="1"/>
      <c r="AO1094" s="39"/>
      <c r="AP1094" s="39"/>
      <c r="AQ1094" s="1"/>
      <c r="AR1094" s="39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</row>
    <row r="1095" ht="11.2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 t="s">
        <v>0</v>
      </c>
      <c r="AB1095" s="1" t="s">
        <v>0</v>
      </c>
      <c r="AC1095" s="23" t="s">
        <v>0</v>
      </c>
      <c r="AD1095" s="1"/>
      <c r="AE1095" s="19"/>
      <c r="AF1095" s="1"/>
      <c r="AG1095" s="1"/>
      <c r="AH1095" s="1"/>
      <c r="AI1095" s="39"/>
      <c r="AJ1095" s="39"/>
      <c r="AK1095" s="39"/>
      <c r="AL1095" s="39"/>
      <c r="AM1095" s="1"/>
      <c r="AN1095" s="1"/>
      <c r="AO1095" s="39"/>
      <c r="AP1095" s="39"/>
      <c r="AQ1095" s="1"/>
      <c r="AR1095" s="39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</row>
    <row r="1096" ht="11.2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 t="s">
        <v>0</v>
      </c>
      <c r="AB1096" s="1" t="s">
        <v>0</v>
      </c>
      <c r="AC1096" s="23" t="s">
        <v>0</v>
      </c>
      <c r="AD1096" s="1"/>
      <c r="AE1096" s="19"/>
      <c r="AF1096" s="1"/>
      <c r="AG1096" s="1"/>
      <c r="AH1096" s="1"/>
      <c r="AI1096" s="39"/>
      <c r="AJ1096" s="39"/>
      <c r="AK1096" s="39"/>
      <c r="AL1096" s="39"/>
      <c r="AM1096" s="1"/>
      <c r="AN1096" s="1"/>
      <c r="AO1096" s="39"/>
      <c r="AP1096" s="39"/>
      <c r="AQ1096" s="1"/>
      <c r="AR1096" s="39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</row>
    <row r="1097" ht="11.2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 t="s">
        <v>0</v>
      </c>
      <c r="AB1097" s="1" t="s">
        <v>0</v>
      </c>
      <c r="AC1097" s="23" t="s">
        <v>0</v>
      </c>
      <c r="AD1097" s="1"/>
      <c r="AE1097" s="19"/>
      <c r="AF1097" s="1"/>
      <c r="AG1097" s="1"/>
      <c r="AH1097" s="1"/>
      <c r="AI1097" s="39"/>
      <c r="AJ1097" s="39"/>
      <c r="AK1097" s="39"/>
      <c r="AL1097" s="39"/>
      <c r="AM1097" s="1"/>
      <c r="AN1097" s="1"/>
      <c r="AO1097" s="39"/>
      <c r="AP1097" s="39"/>
      <c r="AQ1097" s="1"/>
      <c r="AR1097" s="39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</row>
    <row r="1098" ht="11.2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 t="s">
        <v>0</v>
      </c>
      <c r="AB1098" s="1" t="s">
        <v>0</v>
      </c>
      <c r="AC1098" s="23" t="s">
        <v>0</v>
      </c>
      <c r="AD1098" s="1"/>
      <c r="AE1098" s="19"/>
      <c r="AF1098" s="1"/>
      <c r="AG1098" s="1"/>
      <c r="AH1098" s="1"/>
      <c r="AI1098" s="39"/>
      <c r="AJ1098" s="39"/>
      <c r="AK1098" s="39"/>
      <c r="AL1098" s="39"/>
      <c r="AM1098" s="1"/>
      <c r="AN1098" s="1"/>
      <c r="AO1098" s="39"/>
      <c r="AP1098" s="39"/>
      <c r="AQ1098" s="1"/>
      <c r="AR1098" s="39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</row>
    <row r="1099" ht="11.2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 t="s">
        <v>0</v>
      </c>
      <c r="AB1099" s="1" t="s">
        <v>0</v>
      </c>
      <c r="AC1099" s="23" t="s">
        <v>0</v>
      </c>
      <c r="AD1099" s="1"/>
      <c r="AE1099" s="19"/>
      <c r="AF1099" s="1"/>
      <c r="AG1099" s="1"/>
      <c r="AH1099" s="1"/>
      <c r="AI1099" s="39"/>
      <c r="AJ1099" s="39"/>
      <c r="AK1099" s="39"/>
      <c r="AL1099" s="39"/>
      <c r="AM1099" s="1"/>
      <c r="AN1099" s="1"/>
      <c r="AO1099" s="39"/>
      <c r="AP1099" s="39"/>
      <c r="AQ1099" s="1"/>
      <c r="AR1099" s="39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</row>
    <row r="1100" ht="11.2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 t="s">
        <v>0</v>
      </c>
      <c r="AB1100" s="1" t="s">
        <v>0</v>
      </c>
      <c r="AC1100" s="23" t="s">
        <v>0</v>
      </c>
      <c r="AD1100" s="1"/>
      <c r="AE1100" s="19"/>
      <c r="AF1100" s="1"/>
      <c r="AG1100" s="1"/>
      <c r="AH1100" s="1"/>
      <c r="AI1100" s="39"/>
      <c r="AJ1100" s="39"/>
      <c r="AK1100" s="39"/>
      <c r="AL1100" s="39"/>
      <c r="AM1100" s="1"/>
      <c r="AN1100" s="1"/>
      <c r="AO1100" s="39"/>
      <c r="AP1100" s="39"/>
      <c r="AQ1100" s="1"/>
      <c r="AR1100" s="39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</row>
    <row r="1101" ht="11.2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 t="s">
        <v>0</v>
      </c>
      <c r="AB1101" s="1" t="s">
        <v>0</v>
      </c>
      <c r="AC1101" s="23" t="s">
        <v>0</v>
      </c>
      <c r="AD1101" s="1"/>
      <c r="AE1101" s="19"/>
      <c r="AF1101" s="1"/>
      <c r="AG1101" s="1"/>
      <c r="AH1101" s="1"/>
      <c r="AI1101" s="39"/>
      <c r="AJ1101" s="39"/>
      <c r="AK1101" s="39"/>
      <c r="AL1101" s="39"/>
      <c r="AM1101" s="1"/>
      <c r="AN1101" s="1"/>
      <c r="AO1101" s="39"/>
      <c r="AP1101" s="39"/>
      <c r="AQ1101" s="1"/>
      <c r="AR1101" s="39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</row>
    <row r="1102" ht="11.2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 t="s">
        <v>0</v>
      </c>
      <c r="AB1102" s="1" t="s">
        <v>0</v>
      </c>
      <c r="AC1102" s="23" t="s">
        <v>0</v>
      </c>
      <c r="AD1102" s="1"/>
      <c r="AE1102" s="19"/>
      <c r="AF1102" s="1"/>
      <c r="AG1102" s="1"/>
      <c r="AH1102" s="1"/>
      <c r="AI1102" s="39"/>
      <c r="AJ1102" s="39"/>
      <c r="AK1102" s="39"/>
      <c r="AL1102" s="39"/>
      <c r="AM1102" s="1"/>
      <c r="AN1102" s="1"/>
      <c r="AO1102" s="39"/>
      <c r="AP1102" s="39"/>
      <c r="AQ1102" s="1"/>
      <c r="AR1102" s="39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</row>
  </sheetData>
  <autoFilter ref="$A$2:$AY$394"/>
  <conditionalFormatting sqref="A322:AE364">
    <cfRule type="expression" dxfId="0" priority="1">
      <formula>$Y322="CANCELED"</formula>
    </cfRule>
  </conditionalFormatting>
  <conditionalFormatting sqref="A3:AF500">
    <cfRule type="expression" dxfId="0" priority="2">
      <formula>AND($A3&lt;&gt;"",$A3=FALSE)</formula>
    </cfRule>
  </conditionalFormatting>
  <conditionalFormatting sqref="AI3:AJ3 AI4:AI12 AI13:AJ14 AI15:AI32 AI33:AJ36 AI37:AI44 AI45:AJ45 AI46:AI57 AI58:AJ59 AI60:AI73 AI74:AJ75 AI76:AI77 AI78:AJ79 AI80:AI94 AI95:AJ96 AI97:AI121 AI122:AJ122 AI123:AI163 AI164:AJ167 AI168:AI173 AI174:AJ175 AI176:AI201 AI202:AJ205 AI206:AI209 AI210:AJ211 AI212:AI221 AI222:AJ223 AI224:AI250 AI251:AJ252 AI253:AI256 AI257:AJ268 AI269:AI270 AI271:AJ274 AI275:AI284 AI285:AJ290 AI291:AI295 AI296:AJ299 AI300:AI301 AI302:AJ303 AI304:AI321 AI322:AJ326 AI327:AI329 AI330:AJ333 AI334 AI335:AJ346 AI347:AI348 AI349:AJ373 AI374:AI385 AI386:AJ392 AI393:AI394">
    <cfRule type="containsText" dxfId="6" priority="3" operator="containsText" text="REVIEW">
      <formula>NOT(ISERROR(SEARCH(("REVIEW"),(AI3))))</formula>
    </cfRule>
  </conditionalFormatting>
  <conditionalFormatting sqref="AJ228:AJ229">
    <cfRule type="containsText" dxfId="6" priority="4" operator="containsText" text="REVIEW">
      <formula>NOT(ISERROR(SEARCH(("REVIEW"),(AJ228))))</formula>
    </cfRule>
  </conditionalFormatting>
  <conditionalFormatting sqref="AJ320:AJ321">
    <cfRule type="containsText" dxfId="6" priority="5" operator="containsText" text="REVIEW">
      <formula>NOT(ISERROR(SEARCH(("REVIEW"),(AJ320))))</formula>
    </cfRule>
  </conditionalFormatting>
  <conditionalFormatting sqref="AW3:AW394">
    <cfRule type="cellIs" dxfId="7" priority="6" operator="equal">
      <formula>"Review"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1.22" defaultRowHeight="15.0"/>
  <cols>
    <col customWidth="1" min="1" max="4" width="11.0"/>
    <col customWidth="1" min="5" max="5" width="24.56"/>
    <col customWidth="1" min="6" max="6" width="20.89"/>
    <col customWidth="1" min="7" max="18" width="11.0"/>
    <col customWidth="1" hidden="1" min="19" max="51" width="11.0"/>
    <col customWidth="1" min="52" max="53" width="11.0"/>
    <col customWidth="1" min="54" max="54" width="16.11"/>
    <col customWidth="1" min="55" max="55" width="31.56"/>
    <col customWidth="1" min="56" max="57" width="11.0"/>
    <col customWidth="1" min="58" max="58" width="17.67"/>
    <col customWidth="1" min="59" max="62" width="11.0"/>
  </cols>
  <sheetData>
    <row r="1" ht="16.5" customHeight="1"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6.5" customHeight="1">
      <c r="A2" s="5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10</v>
      </c>
      <c r="I2" s="4" t="s">
        <v>13</v>
      </c>
      <c r="J2" s="4" t="s">
        <v>15</v>
      </c>
      <c r="K2" s="4" t="s">
        <v>17</v>
      </c>
      <c r="L2" s="4" t="s">
        <v>23</v>
      </c>
      <c r="M2" s="4" t="s">
        <v>8</v>
      </c>
      <c r="N2" s="4" t="s">
        <v>9</v>
      </c>
      <c r="O2" s="4" t="s">
        <v>11</v>
      </c>
      <c r="P2" s="4" t="s">
        <v>12</v>
      </c>
      <c r="Q2" s="4" t="s">
        <v>31</v>
      </c>
      <c r="R2" s="4" t="s">
        <v>34</v>
      </c>
      <c r="S2" s="4" t="s">
        <v>36</v>
      </c>
      <c r="T2" s="4" t="s">
        <v>38</v>
      </c>
      <c r="U2" s="4" t="s">
        <v>41</v>
      </c>
      <c r="V2" s="4" t="s">
        <v>19</v>
      </c>
      <c r="W2" s="4" t="s">
        <v>20</v>
      </c>
      <c r="X2" s="4" t="s">
        <v>21</v>
      </c>
      <c r="Y2" s="4" t="s">
        <v>46</v>
      </c>
      <c r="Z2" s="4" t="s">
        <v>50</v>
      </c>
      <c r="AA2" s="4" t="s">
        <v>22</v>
      </c>
      <c r="AB2" s="4" t="s">
        <v>24</v>
      </c>
      <c r="AC2" s="4" t="s">
        <v>55</v>
      </c>
      <c r="AD2" s="4" t="s">
        <v>59</v>
      </c>
      <c r="AE2" s="4" t="s">
        <v>26</v>
      </c>
      <c r="AF2" s="4" t="s">
        <v>27</v>
      </c>
      <c r="AG2" s="4" t="s">
        <v>63</v>
      </c>
      <c r="AH2" s="4" t="s">
        <v>67</v>
      </c>
      <c r="AI2" s="4" t="s">
        <v>28</v>
      </c>
      <c r="AJ2" s="4" t="s">
        <v>29</v>
      </c>
      <c r="AK2" s="4" t="s">
        <v>71</v>
      </c>
      <c r="AL2" s="4" t="s">
        <v>74</v>
      </c>
      <c r="AM2" s="4" t="s">
        <v>75</v>
      </c>
      <c r="AN2" s="4" t="s">
        <v>76</v>
      </c>
      <c r="AO2" s="4" t="s">
        <v>77</v>
      </c>
      <c r="AP2" s="4" t="s">
        <v>71</v>
      </c>
      <c r="AQ2" s="4" t="s">
        <v>74</v>
      </c>
      <c r="AR2" s="4" t="s">
        <v>77</v>
      </c>
      <c r="AS2" s="4" t="s">
        <v>84</v>
      </c>
      <c r="AT2" s="4" t="s">
        <v>77</v>
      </c>
      <c r="AU2" s="4" t="s">
        <v>71</v>
      </c>
      <c r="AV2" s="4" t="s">
        <v>74</v>
      </c>
      <c r="AW2" s="4" t="s">
        <v>75</v>
      </c>
      <c r="AX2" s="4" t="s">
        <v>76</v>
      </c>
      <c r="AY2" s="4" t="s">
        <v>77</v>
      </c>
      <c r="AZ2" s="4" t="s">
        <v>93</v>
      </c>
      <c r="BA2" s="3" t="s">
        <v>47</v>
      </c>
      <c r="BB2" s="3" t="s">
        <v>48</v>
      </c>
      <c r="BC2" s="15" t="s">
        <v>51</v>
      </c>
      <c r="BD2" s="3" t="s">
        <v>52</v>
      </c>
      <c r="BE2" s="3" t="s">
        <v>53</v>
      </c>
      <c r="BF2" s="3" t="s">
        <v>54</v>
      </c>
      <c r="BG2" s="3" t="s">
        <v>56</v>
      </c>
      <c r="BH2" s="3" t="s">
        <v>57</v>
      </c>
      <c r="BI2" s="3" t="s">
        <v>58</v>
      </c>
      <c r="BJ2" s="3" t="s">
        <v>99</v>
      </c>
    </row>
    <row r="3" ht="16.5" hidden="1" customHeight="1">
      <c r="A3" s="5" t="s">
        <v>100</v>
      </c>
      <c r="B3" s="24" t="s">
        <v>0</v>
      </c>
      <c r="C3" s="5" t="b">
        <v>0</v>
      </c>
      <c r="D3" s="5" t="s">
        <v>102</v>
      </c>
      <c r="E3" s="5" t="s">
        <v>103</v>
      </c>
      <c r="F3" s="5"/>
      <c r="G3" s="5" t="s">
        <v>65</v>
      </c>
      <c r="H3" s="5" t="s">
        <v>76</v>
      </c>
      <c r="I3" s="5" t="s">
        <v>106</v>
      </c>
      <c r="J3" s="25" t="s">
        <v>108</v>
      </c>
      <c r="K3" s="25"/>
      <c r="L3" s="5"/>
      <c r="M3" s="5" t="s">
        <v>109</v>
      </c>
      <c r="N3" s="5" t="s">
        <v>68</v>
      </c>
      <c r="O3" s="5" t="s">
        <v>96</v>
      </c>
      <c r="P3" s="5" t="s">
        <v>70</v>
      </c>
      <c r="Q3" s="5" t="s">
        <v>89</v>
      </c>
      <c r="R3" s="5" t="s">
        <v>110</v>
      </c>
      <c r="S3" s="5"/>
      <c r="T3" s="5"/>
      <c r="U3" s="5"/>
      <c r="V3" s="5">
        <v>0.0</v>
      </c>
      <c r="W3" s="26">
        <v>2.1</v>
      </c>
      <c r="X3" s="5">
        <v>0.0</v>
      </c>
      <c r="Y3" s="27">
        <v>0.0</v>
      </c>
      <c r="Z3" s="28">
        <v>0.0</v>
      </c>
      <c r="AA3" s="27">
        <v>0.0</v>
      </c>
      <c r="AB3" s="5" t="s">
        <v>0</v>
      </c>
      <c r="AC3" s="27"/>
      <c r="AD3" s="5"/>
      <c r="AE3" s="5" t="s">
        <v>80</v>
      </c>
      <c r="AF3" s="5" t="s">
        <v>0</v>
      </c>
      <c r="AG3" s="5"/>
      <c r="AH3" s="5">
        <v>1.0</v>
      </c>
      <c r="AI3" s="5" t="s">
        <v>0</v>
      </c>
      <c r="AJ3" s="5" t="s">
        <v>116</v>
      </c>
      <c r="AK3" s="30"/>
      <c r="AL3" s="28">
        <v>0.0</v>
      </c>
      <c r="AM3" s="28">
        <v>0.0</v>
      </c>
      <c r="AN3" s="28">
        <v>0.0</v>
      </c>
      <c r="AO3" s="28">
        <v>0.0</v>
      </c>
      <c r="AP3" s="28">
        <v>0.0</v>
      </c>
      <c r="AQ3" s="28">
        <v>0.0</v>
      </c>
      <c r="AR3" s="28">
        <v>0.0</v>
      </c>
      <c r="AS3" s="28">
        <v>0.0</v>
      </c>
      <c r="AT3" s="28">
        <v>0.0</v>
      </c>
      <c r="AU3" s="28">
        <v>0.0</v>
      </c>
      <c r="AV3" s="28">
        <v>0.0</v>
      </c>
      <c r="AW3" s="28">
        <v>0.0</v>
      </c>
      <c r="AX3" s="28">
        <v>0.0</v>
      </c>
      <c r="AY3" s="28">
        <v>0.0</v>
      </c>
      <c r="AZ3" s="5" t="s">
        <v>124</v>
      </c>
      <c r="BA3" s="5" t="s">
        <v>125</v>
      </c>
      <c r="BB3" s="5" t="s">
        <v>127</v>
      </c>
      <c r="BD3" s="5" t="s">
        <v>68</v>
      </c>
      <c r="BE3" s="5" t="s">
        <v>89</v>
      </c>
      <c r="BF3" s="5" t="s">
        <v>132</v>
      </c>
      <c r="BG3" s="5" t="s">
        <v>91</v>
      </c>
    </row>
    <row r="4" ht="16.5" hidden="1" customHeight="1">
      <c r="A4" s="5" t="s">
        <v>100</v>
      </c>
      <c r="B4" s="5" t="s">
        <v>137</v>
      </c>
      <c r="C4" s="5" t="b">
        <v>1</v>
      </c>
      <c r="D4" s="5" t="s">
        <v>62</v>
      </c>
      <c r="E4" s="5" t="s">
        <v>64</v>
      </c>
      <c r="F4" s="5"/>
      <c r="G4" s="5" t="s">
        <v>65</v>
      </c>
      <c r="H4" s="5" t="s">
        <v>76</v>
      </c>
      <c r="I4" s="5" t="s">
        <v>82</v>
      </c>
      <c r="J4" s="25"/>
      <c r="K4" s="25"/>
      <c r="L4" s="5"/>
      <c r="M4" s="5" t="s">
        <v>66</v>
      </c>
      <c r="N4" s="5" t="s">
        <v>68</v>
      </c>
      <c r="O4" s="5" t="s">
        <v>69</v>
      </c>
      <c r="P4" s="5" t="s">
        <v>70</v>
      </c>
      <c r="Q4" s="5" t="s">
        <v>89</v>
      </c>
      <c r="R4" s="5" t="s">
        <v>110</v>
      </c>
      <c r="S4" s="5"/>
      <c r="T4" s="5"/>
      <c r="U4" s="5"/>
      <c r="V4" s="5">
        <v>3800.0</v>
      </c>
      <c r="W4" s="26">
        <v>2.1</v>
      </c>
      <c r="X4" s="5">
        <v>1810.0</v>
      </c>
      <c r="Y4" s="27">
        <v>0.2</v>
      </c>
      <c r="Z4" s="28">
        <v>1448.0</v>
      </c>
      <c r="AA4" s="27">
        <v>1.0</v>
      </c>
      <c r="AB4" s="5" t="s">
        <v>78</v>
      </c>
      <c r="AC4" s="27">
        <v>0.58</v>
      </c>
      <c r="AD4" s="5"/>
      <c r="AE4" s="5" t="s">
        <v>80</v>
      </c>
      <c r="AF4" s="5" t="s">
        <v>81</v>
      </c>
      <c r="AG4" s="5">
        <v>4.0</v>
      </c>
      <c r="AH4" s="5">
        <v>4.0</v>
      </c>
      <c r="AI4" s="5" t="s">
        <v>142</v>
      </c>
      <c r="AJ4" s="5" t="s">
        <v>0</v>
      </c>
      <c r="AK4" s="30">
        <v>1700.0</v>
      </c>
      <c r="AL4" s="28">
        <v>1653.0</v>
      </c>
      <c r="AM4" s="28">
        <v>1630.0</v>
      </c>
      <c r="AN4" s="28">
        <v>1330.0</v>
      </c>
      <c r="AO4" s="28">
        <v>861.0</v>
      </c>
      <c r="AP4" s="28">
        <v>3077000.0</v>
      </c>
      <c r="AQ4" s="28">
        <v>2991136.56</v>
      </c>
      <c r="AR4" s="28">
        <v>1558410.0</v>
      </c>
      <c r="AS4" s="28">
        <v>0.0</v>
      </c>
      <c r="AT4" s="28">
        <v>1558410.0</v>
      </c>
      <c r="AU4" s="28">
        <v>2461600.0</v>
      </c>
      <c r="AV4" s="28">
        <v>2537969.0011074203</v>
      </c>
      <c r="AW4" s="28">
        <v>2396467.3916823003</v>
      </c>
      <c r="AX4" s="28">
        <v>1980693.552602436</v>
      </c>
      <c r="AY4" s="28">
        <v>1353722.423175</v>
      </c>
      <c r="AZ4" s="5"/>
      <c r="BA4" s="5" t="s">
        <v>86</v>
      </c>
      <c r="BB4" s="5" t="s">
        <v>87</v>
      </c>
      <c r="BC4" s="5" t="s">
        <v>88</v>
      </c>
      <c r="BD4" s="5" t="s">
        <v>68</v>
      </c>
      <c r="BE4" s="5" t="s">
        <v>89</v>
      </c>
      <c r="BF4" s="5" t="s">
        <v>90</v>
      </c>
      <c r="BG4" s="5" t="s">
        <v>91</v>
      </c>
    </row>
    <row r="5" ht="16.5" hidden="1" customHeight="1">
      <c r="A5" s="5" t="s">
        <v>100</v>
      </c>
      <c r="B5" s="35" t="s">
        <v>137</v>
      </c>
      <c r="C5" s="35" t="b">
        <v>1</v>
      </c>
      <c r="D5" s="35" t="s">
        <v>94</v>
      </c>
      <c r="E5" s="35" t="s">
        <v>95</v>
      </c>
      <c r="F5" s="35"/>
      <c r="G5" s="35" t="s">
        <v>65</v>
      </c>
      <c r="H5" s="35" t="s">
        <v>76</v>
      </c>
      <c r="I5" s="35" t="s">
        <v>82</v>
      </c>
      <c r="J5" s="36" t="s">
        <v>150</v>
      </c>
      <c r="K5" s="25"/>
      <c r="L5" s="5"/>
      <c r="M5" s="5" t="s">
        <v>66</v>
      </c>
      <c r="N5" s="5" t="s">
        <v>68</v>
      </c>
      <c r="O5" s="5" t="s">
        <v>96</v>
      </c>
      <c r="P5" s="5" t="s">
        <v>70</v>
      </c>
      <c r="Q5" s="5" t="s">
        <v>89</v>
      </c>
      <c r="R5" s="5" t="s">
        <v>110</v>
      </c>
      <c r="S5" s="5"/>
      <c r="T5" s="5"/>
      <c r="U5" s="5"/>
      <c r="V5" s="5">
        <v>3800.0</v>
      </c>
      <c r="W5" s="26">
        <v>2.1</v>
      </c>
      <c r="X5" s="5">
        <v>1810.0</v>
      </c>
      <c r="Y5" s="27">
        <v>0.2</v>
      </c>
      <c r="Z5" s="28">
        <v>1448.0</v>
      </c>
      <c r="AA5" s="27">
        <v>1.0</v>
      </c>
      <c r="AB5" s="5" t="s">
        <v>78</v>
      </c>
      <c r="AC5" s="27"/>
      <c r="AD5" s="5"/>
      <c r="AE5" s="5" t="s">
        <v>80</v>
      </c>
      <c r="AF5" s="5" t="s">
        <v>81</v>
      </c>
      <c r="AG5" s="5"/>
      <c r="AH5" s="5">
        <v>0.0</v>
      </c>
      <c r="AI5" s="5" t="s">
        <v>151</v>
      </c>
      <c r="AJ5" s="5" t="s">
        <v>97</v>
      </c>
      <c r="AK5" s="30">
        <v>1000.0</v>
      </c>
      <c r="AL5" s="28">
        <v>1000.0</v>
      </c>
      <c r="AM5" s="28">
        <v>1000.0</v>
      </c>
      <c r="AN5" s="28">
        <v>300.0</v>
      </c>
      <c r="AO5" s="28">
        <v>0.0</v>
      </c>
      <c r="AP5" s="28">
        <v>1810000.0</v>
      </c>
      <c r="AQ5" s="28">
        <v>1809520.0</v>
      </c>
      <c r="AR5" s="28">
        <v>0.0</v>
      </c>
      <c r="AS5" s="28">
        <v>0.0</v>
      </c>
      <c r="AT5" s="28">
        <v>0.0</v>
      </c>
      <c r="AU5" s="28">
        <v>1448000.0</v>
      </c>
      <c r="AV5" s="28">
        <v>633410.0</v>
      </c>
      <c r="AW5" s="28">
        <v>669600.0</v>
      </c>
      <c r="AX5" s="28">
        <v>190023.0</v>
      </c>
      <c r="AY5" s="28">
        <v>0.0</v>
      </c>
      <c r="AZ5" s="5" t="s">
        <v>124</v>
      </c>
      <c r="BA5" s="5" t="s">
        <v>86</v>
      </c>
      <c r="BB5" s="5" t="s">
        <v>87</v>
      </c>
      <c r="BC5" s="5" t="s">
        <v>88</v>
      </c>
      <c r="BD5" s="5" t="s">
        <v>68</v>
      </c>
      <c r="BE5" s="5" t="s">
        <v>89</v>
      </c>
      <c r="BF5" s="5" t="s">
        <v>90</v>
      </c>
      <c r="BG5" s="5" t="s">
        <v>91</v>
      </c>
    </row>
    <row r="6" ht="16.5" hidden="1" customHeight="1">
      <c r="A6" s="5" t="s">
        <v>100</v>
      </c>
      <c r="B6" s="5" t="s">
        <v>137</v>
      </c>
      <c r="C6" s="5" t="b">
        <v>1</v>
      </c>
      <c r="D6" s="5" t="s">
        <v>104</v>
      </c>
      <c r="E6" s="5" t="s">
        <v>105</v>
      </c>
      <c r="F6" s="5"/>
      <c r="G6" s="5" t="s">
        <v>65</v>
      </c>
      <c r="H6" s="5" t="s">
        <v>76</v>
      </c>
      <c r="I6" s="5" t="s">
        <v>82</v>
      </c>
      <c r="J6" s="25"/>
      <c r="K6" s="25"/>
      <c r="L6" s="5"/>
      <c r="M6" s="5" t="s">
        <v>66</v>
      </c>
      <c r="N6" s="5" t="s">
        <v>68</v>
      </c>
      <c r="O6" s="5" t="s">
        <v>69</v>
      </c>
      <c r="P6" s="5" t="s">
        <v>107</v>
      </c>
      <c r="Q6" s="5" t="s">
        <v>89</v>
      </c>
      <c r="R6" s="5" t="s">
        <v>110</v>
      </c>
      <c r="S6" s="5"/>
      <c r="T6" s="5"/>
      <c r="U6" s="5"/>
      <c r="V6" s="5">
        <v>3800.0</v>
      </c>
      <c r="W6" s="26">
        <v>2.1</v>
      </c>
      <c r="X6" s="5">
        <v>1810.0</v>
      </c>
      <c r="Y6" s="27">
        <v>0.2</v>
      </c>
      <c r="Z6" s="28">
        <v>1448.0</v>
      </c>
      <c r="AA6" s="27">
        <v>1.0</v>
      </c>
      <c r="AB6" s="5" t="s">
        <v>78</v>
      </c>
      <c r="AC6" s="27">
        <v>0.6</v>
      </c>
      <c r="AD6" s="5"/>
      <c r="AE6" s="5" t="s">
        <v>80</v>
      </c>
      <c r="AF6" s="5" t="s">
        <v>81</v>
      </c>
      <c r="AG6" s="5">
        <v>4.0</v>
      </c>
      <c r="AH6" s="5">
        <v>4.0</v>
      </c>
      <c r="AI6" s="5" t="s">
        <v>172</v>
      </c>
      <c r="AJ6" s="5" t="s">
        <v>0</v>
      </c>
      <c r="AK6" s="30">
        <v>2000.0</v>
      </c>
      <c r="AL6" s="28">
        <v>1989.0</v>
      </c>
      <c r="AM6" s="28">
        <v>1878.0</v>
      </c>
      <c r="AN6" s="28">
        <v>1239.0</v>
      </c>
      <c r="AO6" s="28">
        <v>521.0</v>
      </c>
      <c r="AP6" s="28">
        <v>3620000.0</v>
      </c>
      <c r="AQ6" s="28">
        <v>3599135.28</v>
      </c>
      <c r="AR6" s="28">
        <v>943010.0</v>
      </c>
      <c r="AS6" s="28">
        <v>0.0</v>
      </c>
      <c r="AT6" s="28">
        <v>943010.0</v>
      </c>
      <c r="AU6" s="28">
        <v>2896000.0</v>
      </c>
      <c r="AV6" s="28">
        <v>2645230.064008859</v>
      </c>
      <c r="AW6" s="28">
        <v>2194639.3861523</v>
      </c>
      <c r="AX6" s="28">
        <v>1663577.9240310076</v>
      </c>
      <c r="AY6" s="28">
        <v>831871.751675</v>
      </c>
      <c r="AZ6" s="5"/>
      <c r="BA6" s="5" t="s">
        <v>86</v>
      </c>
      <c r="BB6" s="5" t="s">
        <v>87</v>
      </c>
      <c r="BC6" s="5" t="s">
        <v>88</v>
      </c>
      <c r="BD6" s="5" t="s">
        <v>68</v>
      </c>
      <c r="BE6" s="5" t="s">
        <v>89</v>
      </c>
      <c r="BF6" s="5" t="s">
        <v>90</v>
      </c>
      <c r="BG6" s="5" t="s">
        <v>91</v>
      </c>
    </row>
    <row r="7" ht="16.5" hidden="1" customHeight="1">
      <c r="A7" s="5" t="s">
        <v>100</v>
      </c>
      <c r="B7" s="5" t="s">
        <v>137</v>
      </c>
      <c r="C7" s="5" t="b">
        <v>1</v>
      </c>
      <c r="D7" s="5" t="s">
        <v>111</v>
      </c>
      <c r="E7" s="5" t="s">
        <v>112</v>
      </c>
      <c r="F7" s="5"/>
      <c r="G7" s="5" t="s">
        <v>65</v>
      </c>
      <c r="H7" s="5" t="s">
        <v>76</v>
      </c>
      <c r="I7" s="5" t="s">
        <v>82</v>
      </c>
      <c r="J7" s="25"/>
      <c r="K7" s="25"/>
      <c r="L7" s="25"/>
      <c r="M7" s="5" t="s">
        <v>66</v>
      </c>
      <c r="N7" s="5" t="s">
        <v>113</v>
      </c>
      <c r="O7" s="5" t="s">
        <v>69</v>
      </c>
      <c r="P7" s="5" t="s">
        <v>70</v>
      </c>
      <c r="Q7" s="5" t="s">
        <v>180</v>
      </c>
      <c r="R7" s="5" t="s">
        <v>181</v>
      </c>
      <c r="S7" s="5"/>
      <c r="T7" s="5"/>
      <c r="U7" s="5"/>
      <c r="V7" s="5">
        <v>1700.0</v>
      </c>
      <c r="W7" s="26">
        <v>2.1</v>
      </c>
      <c r="X7" s="5">
        <v>810.0</v>
      </c>
      <c r="Y7" s="27">
        <v>0.2</v>
      </c>
      <c r="Z7" s="28">
        <v>648.0</v>
      </c>
      <c r="AA7" s="27">
        <v>1.0</v>
      </c>
      <c r="AB7" s="5" t="s">
        <v>117</v>
      </c>
      <c r="AC7" s="27">
        <v>0.62</v>
      </c>
      <c r="AD7" s="26"/>
      <c r="AE7" s="5" t="s">
        <v>81</v>
      </c>
      <c r="AF7" s="5" t="s">
        <v>81</v>
      </c>
      <c r="AG7" s="5">
        <v>4.0</v>
      </c>
      <c r="AH7" s="5">
        <v>4.0</v>
      </c>
      <c r="AI7" s="5" t="s">
        <v>186</v>
      </c>
      <c r="AJ7" s="5" t="s">
        <v>0</v>
      </c>
      <c r="AK7" s="30">
        <v>6000.0</v>
      </c>
      <c r="AL7" s="28">
        <v>7095.0</v>
      </c>
      <c r="AM7" s="28">
        <v>4652.0</v>
      </c>
      <c r="AN7" s="28">
        <v>5683.0</v>
      </c>
      <c r="AO7" s="28">
        <v>4400.0</v>
      </c>
      <c r="AP7" s="28">
        <v>4860000.0</v>
      </c>
      <c r="AQ7" s="28">
        <v>5743544.4</v>
      </c>
      <c r="AR7" s="28">
        <v>3564000.0</v>
      </c>
      <c r="AS7" s="28">
        <v>0.0</v>
      </c>
      <c r="AT7" s="28">
        <v>3564000.0</v>
      </c>
      <c r="AU7" s="28">
        <v>3888000.0</v>
      </c>
      <c r="AV7" s="28">
        <v>4637409.850498339</v>
      </c>
      <c r="AW7" s="28">
        <v>2901739.147262298</v>
      </c>
      <c r="AX7" s="28">
        <v>3512969.690476191</v>
      </c>
      <c r="AY7" s="28">
        <v>2723876.6905190004</v>
      </c>
      <c r="AZ7" s="5"/>
      <c r="BA7" s="5" t="s">
        <v>86</v>
      </c>
      <c r="BB7" s="5" t="s">
        <v>121</v>
      </c>
      <c r="BC7" s="32" t="s">
        <v>122</v>
      </c>
      <c r="BD7" s="5" t="s">
        <v>126</v>
      </c>
      <c r="BE7" s="5" t="s">
        <v>128</v>
      </c>
      <c r="BF7" s="5" t="s">
        <v>130</v>
      </c>
      <c r="BG7" s="5" t="s">
        <v>131</v>
      </c>
    </row>
    <row r="8" ht="16.5" hidden="1" customHeight="1">
      <c r="A8" s="5" t="s">
        <v>100</v>
      </c>
      <c r="B8" s="5" t="s">
        <v>137</v>
      </c>
      <c r="C8" s="5" t="b">
        <v>1</v>
      </c>
      <c r="D8" s="5" t="s">
        <v>134</v>
      </c>
      <c r="E8" s="5" t="s">
        <v>135</v>
      </c>
      <c r="F8" s="5"/>
      <c r="G8" s="5" t="s">
        <v>65</v>
      </c>
      <c r="H8" s="5" t="s">
        <v>76</v>
      </c>
      <c r="I8" s="5" t="s">
        <v>82</v>
      </c>
      <c r="J8" s="25"/>
      <c r="K8" s="25"/>
      <c r="L8" s="25"/>
      <c r="M8" s="5" t="s">
        <v>66</v>
      </c>
      <c r="N8" s="5" t="s">
        <v>113</v>
      </c>
      <c r="O8" s="5" t="s">
        <v>69</v>
      </c>
      <c r="P8" s="5" t="s">
        <v>107</v>
      </c>
      <c r="Q8" s="5" t="s">
        <v>180</v>
      </c>
      <c r="R8" s="5" t="s">
        <v>181</v>
      </c>
      <c r="S8" s="5"/>
      <c r="T8" s="5"/>
      <c r="U8" s="5"/>
      <c r="V8" s="5">
        <v>1700.0</v>
      </c>
      <c r="W8" s="26">
        <v>2.1</v>
      </c>
      <c r="X8" s="5">
        <v>810.0</v>
      </c>
      <c r="Y8" s="27">
        <v>0.2</v>
      </c>
      <c r="Z8" s="28">
        <v>648.0</v>
      </c>
      <c r="AA8" s="27">
        <v>1.0</v>
      </c>
      <c r="AB8" s="5" t="s">
        <v>117</v>
      </c>
      <c r="AC8" s="27">
        <v>0.63</v>
      </c>
      <c r="AD8" s="26"/>
      <c r="AE8" s="5" t="s">
        <v>81</v>
      </c>
      <c r="AF8" s="5" t="s">
        <v>81</v>
      </c>
      <c r="AG8" s="5">
        <v>4.0</v>
      </c>
      <c r="AH8" s="5">
        <v>4.0</v>
      </c>
      <c r="AI8" s="5" t="s">
        <v>186</v>
      </c>
      <c r="AJ8" s="5" t="s">
        <v>0</v>
      </c>
      <c r="AK8" s="30">
        <v>4000.0</v>
      </c>
      <c r="AL8" s="28">
        <v>5087.0</v>
      </c>
      <c r="AM8" s="28">
        <v>2986.0</v>
      </c>
      <c r="AN8" s="28">
        <v>3897.0</v>
      </c>
      <c r="AO8" s="28">
        <v>2958.0</v>
      </c>
      <c r="AP8" s="28">
        <v>3240000.0</v>
      </c>
      <c r="AQ8" s="28">
        <v>4118028.24</v>
      </c>
      <c r="AR8" s="28">
        <v>2395980.0</v>
      </c>
      <c r="AS8" s="28">
        <v>0.0</v>
      </c>
      <c r="AT8" s="28">
        <v>2395980.0</v>
      </c>
      <c r="AU8" s="28">
        <v>2592000.0</v>
      </c>
      <c r="AV8" s="28">
        <v>3346565.166112957</v>
      </c>
      <c r="AW8" s="28">
        <v>1938127.9634300002</v>
      </c>
      <c r="AX8" s="28">
        <v>2436492.62303433</v>
      </c>
      <c r="AY8" s="28">
        <v>1855962.8514060006</v>
      </c>
      <c r="AZ8" s="5"/>
      <c r="BA8" s="5" t="s">
        <v>86</v>
      </c>
      <c r="BB8" s="5" t="s">
        <v>121</v>
      </c>
      <c r="BC8" s="32" t="s">
        <v>122</v>
      </c>
      <c r="BD8" s="5" t="s">
        <v>126</v>
      </c>
      <c r="BE8" s="5" t="s">
        <v>128</v>
      </c>
      <c r="BF8" s="5" t="s">
        <v>130</v>
      </c>
      <c r="BG8" s="5" t="s">
        <v>131</v>
      </c>
    </row>
    <row r="9" ht="16.5" hidden="1" customHeight="1">
      <c r="A9" s="5" t="s">
        <v>100</v>
      </c>
      <c r="B9" s="5" t="s">
        <v>200</v>
      </c>
      <c r="C9" s="5" t="b">
        <v>1</v>
      </c>
      <c r="D9" s="5" t="s">
        <v>143</v>
      </c>
      <c r="E9" s="5" t="s">
        <v>144</v>
      </c>
      <c r="F9" s="5"/>
      <c r="G9" s="5" t="s">
        <v>65</v>
      </c>
      <c r="H9" s="5" t="s">
        <v>74</v>
      </c>
      <c r="I9" s="5" t="s">
        <v>82</v>
      </c>
      <c r="J9" s="25"/>
      <c r="K9" s="25"/>
      <c r="L9" s="25"/>
      <c r="M9" s="5" t="s">
        <v>66</v>
      </c>
      <c r="N9" s="5" t="s">
        <v>113</v>
      </c>
      <c r="O9" s="5" t="s">
        <v>69</v>
      </c>
      <c r="P9" s="5" t="s">
        <v>70</v>
      </c>
      <c r="Q9" s="5" t="s">
        <v>147</v>
      </c>
      <c r="R9" s="5" t="s">
        <v>181</v>
      </c>
      <c r="S9" s="5"/>
      <c r="T9" s="5"/>
      <c r="U9" s="5"/>
      <c r="V9" s="5">
        <v>1200.0</v>
      </c>
      <c r="W9" s="26">
        <v>2.1</v>
      </c>
      <c r="X9" s="5">
        <v>571.0</v>
      </c>
      <c r="Y9" s="27">
        <v>0.2</v>
      </c>
      <c r="Z9" s="28">
        <v>456.8</v>
      </c>
      <c r="AA9" s="27">
        <v>1.0</v>
      </c>
      <c r="AB9" s="5" t="s">
        <v>117</v>
      </c>
      <c r="AC9" s="27">
        <v>0.63</v>
      </c>
      <c r="AD9" s="5"/>
      <c r="AE9" s="5" t="s">
        <v>81</v>
      </c>
      <c r="AF9" s="5" t="s">
        <v>81</v>
      </c>
      <c r="AG9" s="5">
        <v>5.0</v>
      </c>
      <c r="AH9" s="5">
        <v>5.0</v>
      </c>
      <c r="AI9" s="5" t="s">
        <v>0</v>
      </c>
      <c r="AJ9" s="5" t="s">
        <v>0</v>
      </c>
      <c r="AK9" s="30">
        <v>5100.0</v>
      </c>
      <c r="AL9" s="28">
        <v>5066.0</v>
      </c>
      <c r="AM9" s="28">
        <v>5091.0</v>
      </c>
      <c r="AN9" s="28">
        <v>0.0</v>
      </c>
      <c r="AO9" s="28">
        <v>0.0</v>
      </c>
      <c r="AP9" s="28">
        <v>2912100.0</v>
      </c>
      <c r="AQ9" s="28">
        <v>2894864.38</v>
      </c>
      <c r="AR9" s="28">
        <v>0.0</v>
      </c>
      <c r="AS9" s="28">
        <v>0.0</v>
      </c>
      <c r="AT9" s="28">
        <v>0.0</v>
      </c>
      <c r="AU9" s="28">
        <v>2329680.0</v>
      </c>
      <c r="AV9" s="28">
        <v>2473686.7436323366</v>
      </c>
      <c r="AW9" s="28">
        <v>2256708.735860801</v>
      </c>
      <c r="AX9" s="28">
        <v>0.0</v>
      </c>
      <c r="AY9" s="28">
        <v>0.0</v>
      </c>
      <c r="AZ9" s="5"/>
      <c r="BA9" s="5" t="s">
        <v>125</v>
      </c>
      <c r="BB9" s="5" t="s">
        <v>121</v>
      </c>
      <c r="BD9" s="5" t="s">
        <v>126</v>
      </c>
      <c r="BE9" s="5" t="s">
        <v>147</v>
      </c>
      <c r="BF9" s="5" t="s">
        <v>130</v>
      </c>
      <c r="BG9" s="5" t="s">
        <v>131</v>
      </c>
    </row>
    <row r="10" ht="16.5" hidden="1" customHeight="1">
      <c r="A10" s="5" t="s">
        <v>100</v>
      </c>
      <c r="B10" s="5" t="s">
        <v>200</v>
      </c>
      <c r="C10" s="5" t="b">
        <v>1</v>
      </c>
      <c r="D10" s="5" t="s">
        <v>148</v>
      </c>
      <c r="E10" s="5" t="s">
        <v>149</v>
      </c>
      <c r="F10" s="5"/>
      <c r="G10" s="5" t="s">
        <v>65</v>
      </c>
      <c r="H10" s="5" t="s">
        <v>74</v>
      </c>
      <c r="I10" s="5" t="s">
        <v>82</v>
      </c>
      <c r="J10" s="25"/>
      <c r="K10" s="25"/>
      <c r="L10" s="25"/>
      <c r="M10" s="5" t="s">
        <v>66</v>
      </c>
      <c r="N10" s="5" t="s">
        <v>113</v>
      </c>
      <c r="O10" s="5" t="s">
        <v>69</v>
      </c>
      <c r="P10" s="5" t="s">
        <v>107</v>
      </c>
      <c r="Q10" s="5" t="s">
        <v>147</v>
      </c>
      <c r="R10" s="5" t="s">
        <v>181</v>
      </c>
      <c r="S10" s="5"/>
      <c r="T10" s="5"/>
      <c r="U10" s="5"/>
      <c r="V10" s="5">
        <v>1200.0</v>
      </c>
      <c r="W10" s="26">
        <v>2.1</v>
      </c>
      <c r="X10" s="5">
        <v>571.0</v>
      </c>
      <c r="Y10" s="27">
        <v>0.2</v>
      </c>
      <c r="Z10" s="28">
        <v>456.8</v>
      </c>
      <c r="AA10" s="27">
        <v>1.0</v>
      </c>
      <c r="AB10" s="5" t="s">
        <v>117</v>
      </c>
      <c r="AC10" s="27">
        <v>0.64</v>
      </c>
      <c r="AD10" s="5"/>
      <c r="AE10" s="5" t="s">
        <v>81</v>
      </c>
      <c r="AF10" s="5" t="s">
        <v>81</v>
      </c>
      <c r="AG10" s="5">
        <v>4.0</v>
      </c>
      <c r="AH10" s="5">
        <v>4.0</v>
      </c>
      <c r="AI10" s="5" t="s">
        <v>0</v>
      </c>
      <c r="AJ10" s="5" t="s">
        <v>0</v>
      </c>
      <c r="AK10" s="30">
        <v>3400.0</v>
      </c>
      <c r="AL10" s="28">
        <v>3383.0</v>
      </c>
      <c r="AM10" s="28">
        <v>2688.0</v>
      </c>
      <c r="AN10" s="28">
        <v>0.0</v>
      </c>
      <c r="AO10" s="28">
        <v>0.0</v>
      </c>
      <c r="AP10" s="28">
        <v>1941400.0</v>
      </c>
      <c r="AQ10" s="28">
        <v>1933147.6899999997</v>
      </c>
      <c r="AR10" s="28">
        <v>0.0</v>
      </c>
      <c r="AS10" s="28">
        <v>0.0</v>
      </c>
      <c r="AT10" s="28">
        <v>0.0</v>
      </c>
      <c r="AU10" s="28">
        <v>1553120.0</v>
      </c>
      <c r="AV10" s="28">
        <v>1630457.5531561458</v>
      </c>
      <c r="AW10" s="28">
        <v>1311618.1853988012</v>
      </c>
      <c r="AX10" s="28">
        <v>0.0</v>
      </c>
      <c r="AY10" s="28">
        <v>0.0</v>
      </c>
      <c r="AZ10" s="5"/>
      <c r="BA10" s="5" t="s">
        <v>125</v>
      </c>
      <c r="BB10" s="5" t="s">
        <v>121</v>
      </c>
      <c r="BD10" s="5" t="s">
        <v>126</v>
      </c>
      <c r="BE10" s="5" t="s">
        <v>147</v>
      </c>
      <c r="BF10" s="5" t="s">
        <v>130</v>
      </c>
      <c r="BG10" s="5" t="s">
        <v>131</v>
      </c>
    </row>
    <row r="11" ht="16.5" hidden="1" customHeight="1">
      <c r="A11" s="5" t="s">
        <v>100</v>
      </c>
      <c r="B11" s="5" t="s">
        <v>215</v>
      </c>
      <c r="C11" s="5" t="b">
        <v>0</v>
      </c>
      <c r="D11" s="5" t="s">
        <v>216</v>
      </c>
      <c r="E11" s="5" t="s">
        <v>217</v>
      </c>
      <c r="F11" s="5"/>
      <c r="G11" s="5" t="s">
        <v>65</v>
      </c>
      <c r="H11" s="5" t="s">
        <v>76</v>
      </c>
      <c r="I11" s="5" t="s">
        <v>218</v>
      </c>
      <c r="J11" s="25" t="s">
        <v>219</v>
      </c>
      <c r="K11" s="25"/>
      <c r="L11" s="25"/>
      <c r="M11" s="5" t="s">
        <v>220</v>
      </c>
      <c r="N11" s="5" t="s">
        <v>68</v>
      </c>
      <c r="O11" s="5" t="s">
        <v>69</v>
      </c>
      <c r="P11" s="5" t="s">
        <v>70</v>
      </c>
      <c r="Q11" s="5" t="s">
        <v>89</v>
      </c>
      <c r="R11" s="5" t="s">
        <v>110</v>
      </c>
      <c r="S11" s="5"/>
      <c r="T11" s="5"/>
      <c r="U11" s="5"/>
      <c r="V11" s="5">
        <v>4000.0</v>
      </c>
      <c r="W11" s="26">
        <v>2.1</v>
      </c>
      <c r="X11" s="5">
        <v>1905.0</v>
      </c>
      <c r="Y11" s="27">
        <v>0.0</v>
      </c>
      <c r="Z11" s="28">
        <v>1905.0</v>
      </c>
      <c r="AA11" s="27">
        <v>1.0</v>
      </c>
      <c r="AB11" s="5" t="s">
        <v>117</v>
      </c>
      <c r="AC11" s="27"/>
      <c r="AD11" s="26"/>
      <c r="AE11" s="5" t="s">
        <v>166</v>
      </c>
      <c r="AF11" s="5" t="s">
        <v>81</v>
      </c>
      <c r="AG11" s="5"/>
      <c r="AH11" s="5">
        <v>4.0</v>
      </c>
      <c r="AI11" s="5" t="s">
        <v>223</v>
      </c>
      <c r="AJ11" s="5" t="s">
        <v>0</v>
      </c>
      <c r="AK11" s="30"/>
      <c r="AL11" s="28">
        <v>0.0</v>
      </c>
      <c r="AM11" s="28">
        <v>0.0</v>
      </c>
      <c r="AN11" s="28">
        <v>2497.0</v>
      </c>
      <c r="AO11" s="28">
        <v>1964.0</v>
      </c>
      <c r="AP11" s="28">
        <v>0.0</v>
      </c>
      <c r="AQ11" s="28">
        <v>0.0</v>
      </c>
      <c r="AR11" s="28">
        <v>3741420.0</v>
      </c>
      <c r="AS11" s="28">
        <v>0.0</v>
      </c>
      <c r="AT11" s="28">
        <v>3741420.0</v>
      </c>
      <c r="AU11" s="28">
        <v>0.0</v>
      </c>
      <c r="AV11" s="28">
        <v>0.0</v>
      </c>
      <c r="AW11" s="28">
        <v>0.0</v>
      </c>
      <c r="AX11" s="28">
        <v>3782774.6492801774</v>
      </c>
      <c r="AY11" s="28">
        <v>3026580.9562190007</v>
      </c>
      <c r="AZ11" s="5" t="s">
        <v>124</v>
      </c>
      <c r="BA11" s="5" t="s">
        <v>226</v>
      </c>
      <c r="BB11" s="5" t="s">
        <v>227</v>
      </c>
      <c r="BC11" s="32" t="s">
        <v>229</v>
      </c>
      <c r="BD11" s="5" t="s">
        <v>68</v>
      </c>
      <c r="BE11" s="5" t="s">
        <v>89</v>
      </c>
      <c r="BF11" s="5" t="s">
        <v>132</v>
      </c>
      <c r="BG11" s="5" t="s">
        <v>91</v>
      </c>
    </row>
    <row r="12" ht="16.5" hidden="1" customHeight="1">
      <c r="A12" s="5" t="s">
        <v>100</v>
      </c>
      <c r="B12" s="5" t="s">
        <v>215</v>
      </c>
      <c r="C12" s="5" t="b">
        <v>0</v>
      </c>
      <c r="D12" s="5" t="s">
        <v>232</v>
      </c>
      <c r="E12" s="5" t="s">
        <v>233</v>
      </c>
      <c r="F12" s="5"/>
      <c r="G12" s="5" t="s">
        <v>65</v>
      </c>
      <c r="H12" s="5" t="s">
        <v>76</v>
      </c>
      <c r="I12" s="5" t="s">
        <v>218</v>
      </c>
      <c r="J12" s="25" t="s">
        <v>219</v>
      </c>
      <c r="K12" s="25"/>
      <c r="L12" s="25"/>
      <c r="M12" s="5" t="s">
        <v>220</v>
      </c>
      <c r="N12" s="5" t="s">
        <v>68</v>
      </c>
      <c r="O12" s="5" t="s">
        <v>69</v>
      </c>
      <c r="P12" s="5" t="s">
        <v>107</v>
      </c>
      <c r="Q12" s="5" t="s">
        <v>89</v>
      </c>
      <c r="R12" s="5" t="s">
        <v>110</v>
      </c>
      <c r="S12" s="5"/>
      <c r="T12" s="5"/>
      <c r="U12" s="5"/>
      <c r="V12" s="5">
        <v>4000.0</v>
      </c>
      <c r="W12" s="26">
        <v>2.1</v>
      </c>
      <c r="X12" s="5">
        <v>1905.0</v>
      </c>
      <c r="Y12" s="27">
        <v>0.0</v>
      </c>
      <c r="Z12" s="28">
        <v>1905.0</v>
      </c>
      <c r="AA12" s="27">
        <v>1.0</v>
      </c>
      <c r="AB12" s="5" t="s">
        <v>117</v>
      </c>
      <c r="AC12" s="27"/>
      <c r="AD12" s="26"/>
      <c r="AE12" s="5" t="s">
        <v>166</v>
      </c>
      <c r="AF12" s="5" t="s">
        <v>81</v>
      </c>
      <c r="AG12" s="5"/>
      <c r="AH12" s="5">
        <v>3.0</v>
      </c>
      <c r="AI12" s="5" t="s">
        <v>240</v>
      </c>
      <c r="AJ12" s="5" t="s">
        <v>0</v>
      </c>
      <c r="AK12" s="30"/>
      <c r="AL12" s="28">
        <v>0.0</v>
      </c>
      <c r="AM12" s="28">
        <v>0.0</v>
      </c>
      <c r="AN12" s="28">
        <v>1605.0</v>
      </c>
      <c r="AO12" s="28">
        <v>1265.0</v>
      </c>
      <c r="AP12" s="28">
        <v>0.0</v>
      </c>
      <c r="AQ12" s="28">
        <v>0.0</v>
      </c>
      <c r="AR12" s="28">
        <v>2409825.0</v>
      </c>
      <c r="AS12" s="28">
        <v>0.0</v>
      </c>
      <c r="AT12" s="28">
        <v>2409825.0</v>
      </c>
      <c r="AU12" s="28">
        <v>0.0</v>
      </c>
      <c r="AV12" s="28">
        <v>0.0</v>
      </c>
      <c r="AW12" s="28">
        <v>0.0</v>
      </c>
      <c r="AX12" s="28">
        <v>2520159.824473975</v>
      </c>
      <c r="AY12" s="28">
        <v>2020862.6724599998</v>
      </c>
      <c r="AZ12" s="5" t="s">
        <v>124</v>
      </c>
      <c r="BA12" s="5" t="s">
        <v>226</v>
      </c>
      <c r="BB12" s="5" t="s">
        <v>227</v>
      </c>
      <c r="BC12" s="32" t="s">
        <v>229</v>
      </c>
      <c r="BD12" s="5" t="s">
        <v>68</v>
      </c>
      <c r="BE12" s="5" t="s">
        <v>89</v>
      </c>
      <c r="BF12" s="5" t="s">
        <v>132</v>
      </c>
      <c r="BG12" s="5" t="s">
        <v>91</v>
      </c>
    </row>
    <row r="13" ht="16.5" hidden="1" customHeight="1">
      <c r="A13" s="5" t="s">
        <v>100</v>
      </c>
      <c r="B13" s="5" t="s">
        <v>215</v>
      </c>
      <c r="C13" s="5" t="b">
        <v>0</v>
      </c>
      <c r="D13" s="5" t="s">
        <v>243</v>
      </c>
      <c r="E13" s="5" t="s">
        <v>244</v>
      </c>
      <c r="F13" s="5"/>
      <c r="G13" s="5" t="s">
        <v>65</v>
      </c>
      <c r="H13" s="5" t="s">
        <v>76</v>
      </c>
      <c r="I13" s="5" t="s">
        <v>218</v>
      </c>
      <c r="J13" s="25" t="s">
        <v>219</v>
      </c>
      <c r="K13" s="25"/>
      <c r="L13" s="25"/>
      <c r="M13" s="5" t="s">
        <v>220</v>
      </c>
      <c r="N13" s="5" t="s">
        <v>68</v>
      </c>
      <c r="O13" s="5" t="s">
        <v>69</v>
      </c>
      <c r="P13" s="5" t="s">
        <v>70</v>
      </c>
      <c r="Q13" s="5" t="s">
        <v>180</v>
      </c>
      <c r="R13" s="5" t="s">
        <v>181</v>
      </c>
      <c r="S13" s="5"/>
      <c r="T13" s="5"/>
      <c r="U13" s="5"/>
      <c r="V13" s="5">
        <v>3200.0</v>
      </c>
      <c r="W13" s="26">
        <v>2.1</v>
      </c>
      <c r="X13" s="5">
        <v>1524.0</v>
      </c>
      <c r="Y13" s="27">
        <v>0.0</v>
      </c>
      <c r="Z13" s="28">
        <v>1524.0</v>
      </c>
      <c r="AA13" s="27">
        <v>1.0</v>
      </c>
      <c r="AB13" s="5" t="s">
        <v>117</v>
      </c>
      <c r="AC13" s="27"/>
      <c r="AD13" s="5"/>
      <c r="AE13" s="5" t="s">
        <v>166</v>
      </c>
      <c r="AF13" s="5" t="s">
        <v>81</v>
      </c>
      <c r="AG13" s="5"/>
      <c r="AH13" s="5">
        <v>3.0</v>
      </c>
      <c r="AI13" s="5" t="s">
        <v>251</v>
      </c>
      <c r="AJ13" s="5" t="s">
        <v>0</v>
      </c>
      <c r="AK13" s="30"/>
      <c r="AL13" s="28">
        <v>0.0</v>
      </c>
      <c r="AM13" s="28">
        <v>0.0</v>
      </c>
      <c r="AN13" s="28">
        <v>1816.0</v>
      </c>
      <c r="AO13" s="28">
        <v>1464.0</v>
      </c>
      <c r="AP13" s="28">
        <v>0.0</v>
      </c>
      <c r="AQ13" s="28">
        <v>0.0</v>
      </c>
      <c r="AR13" s="28">
        <v>2231136.0</v>
      </c>
      <c r="AS13" s="28">
        <v>0.0</v>
      </c>
      <c r="AT13" s="28">
        <v>2231136.0</v>
      </c>
      <c r="AU13" s="28">
        <v>0.0</v>
      </c>
      <c r="AV13" s="28">
        <v>0.0</v>
      </c>
      <c r="AW13" s="28">
        <v>0.0</v>
      </c>
      <c r="AX13" s="28">
        <v>2203624.283499446</v>
      </c>
      <c r="AY13" s="28">
        <v>1809783.820083</v>
      </c>
      <c r="AZ13" s="5" t="s">
        <v>124</v>
      </c>
      <c r="BA13" s="5" t="s">
        <v>226</v>
      </c>
      <c r="BB13" s="5" t="s">
        <v>227</v>
      </c>
      <c r="BC13" s="32" t="s">
        <v>229</v>
      </c>
      <c r="BD13" s="5" t="s">
        <v>68</v>
      </c>
      <c r="BE13" s="5" t="s">
        <v>128</v>
      </c>
      <c r="BF13" s="5" t="s">
        <v>132</v>
      </c>
      <c r="BG13" s="5" t="s">
        <v>91</v>
      </c>
    </row>
    <row r="14" ht="16.5" hidden="1" customHeight="1">
      <c r="A14" s="5" t="s">
        <v>100</v>
      </c>
      <c r="B14" s="5" t="s">
        <v>215</v>
      </c>
      <c r="C14" s="5" t="b">
        <v>0</v>
      </c>
      <c r="D14" s="5" t="s">
        <v>260</v>
      </c>
      <c r="E14" s="5" t="s">
        <v>261</v>
      </c>
      <c r="F14" s="5"/>
      <c r="G14" s="5" t="s">
        <v>65</v>
      </c>
      <c r="H14" s="5" t="s">
        <v>76</v>
      </c>
      <c r="I14" s="5" t="s">
        <v>218</v>
      </c>
      <c r="J14" s="25" t="s">
        <v>219</v>
      </c>
      <c r="K14" s="25"/>
      <c r="L14" s="25"/>
      <c r="M14" s="5" t="s">
        <v>220</v>
      </c>
      <c r="N14" s="5" t="s">
        <v>68</v>
      </c>
      <c r="O14" s="5" t="s">
        <v>69</v>
      </c>
      <c r="P14" s="5" t="s">
        <v>107</v>
      </c>
      <c r="Q14" s="5" t="s">
        <v>180</v>
      </c>
      <c r="R14" s="5" t="s">
        <v>181</v>
      </c>
      <c r="S14" s="5"/>
      <c r="T14" s="5"/>
      <c r="U14" s="5"/>
      <c r="V14" s="5">
        <v>3200.0</v>
      </c>
      <c r="W14" s="26">
        <v>2.1</v>
      </c>
      <c r="X14" s="5">
        <v>1524.0</v>
      </c>
      <c r="Y14" s="27">
        <v>0.0</v>
      </c>
      <c r="Z14" s="28">
        <v>1524.0</v>
      </c>
      <c r="AA14" s="27">
        <v>1.0</v>
      </c>
      <c r="AB14" s="5" t="s">
        <v>117</v>
      </c>
      <c r="AC14" s="27"/>
      <c r="AD14" s="5"/>
      <c r="AE14" s="5" t="s">
        <v>166</v>
      </c>
      <c r="AF14" s="5" t="s">
        <v>81</v>
      </c>
      <c r="AG14" s="5"/>
      <c r="AH14" s="5">
        <v>3.0</v>
      </c>
      <c r="AI14" s="5" t="s">
        <v>0</v>
      </c>
      <c r="AJ14" s="5" t="s">
        <v>0</v>
      </c>
      <c r="AK14" s="30"/>
      <c r="AL14" s="28">
        <v>0.0</v>
      </c>
      <c r="AM14" s="28">
        <v>0.0</v>
      </c>
      <c r="AN14" s="28">
        <v>1003.0</v>
      </c>
      <c r="AO14" s="28">
        <v>1122.0</v>
      </c>
      <c r="AP14" s="28">
        <v>0.0</v>
      </c>
      <c r="AQ14" s="28">
        <v>0.0</v>
      </c>
      <c r="AR14" s="28">
        <v>1709928.0</v>
      </c>
      <c r="AS14" s="28">
        <v>0.0</v>
      </c>
      <c r="AT14" s="28">
        <v>1709928.0</v>
      </c>
      <c r="AU14" s="28">
        <v>0.0</v>
      </c>
      <c r="AV14" s="28">
        <v>0.0</v>
      </c>
      <c r="AW14" s="28">
        <v>0.0</v>
      </c>
      <c r="AX14" s="28">
        <v>1290394.5802879292</v>
      </c>
      <c r="AY14" s="28">
        <v>1456702.4792260001</v>
      </c>
      <c r="AZ14" s="5" t="s">
        <v>124</v>
      </c>
      <c r="BA14" s="5" t="s">
        <v>226</v>
      </c>
      <c r="BB14" s="5" t="s">
        <v>227</v>
      </c>
      <c r="BC14" s="32" t="s">
        <v>229</v>
      </c>
      <c r="BD14" s="5" t="s">
        <v>68</v>
      </c>
      <c r="BE14" s="5" t="s">
        <v>128</v>
      </c>
      <c r="BF14" s="5" t="s">
        <v>132</v>
      </c>
      <c r="BG14" s="5" t="s">
        <v>91</v>
      </c>
    </row>
    <row r="15" ht="16.5" hidden="1" customHeight="1">
      <c r="A15" s="5" t="s">
        <v>100</v>
      </c>
      <c r="B15" s="5" t="s">
        <v>137</v>
      </c>
      <c r="C15" s="5" t="b">
        <v>0</v>
      </c>
      <c r="D15" s="5" t="s">
        <v>152</v>
      </c>
      <c r="E15" s="5" t="s">
        <v>153</v>
      </c>
      <c r="F15" s="5"/>
      <c r="G15" s="5" t="s">
        <v>65</v>
      </c>
      <c r="H15" s="5" t="s">
        <v>74</v>
      </c>
      <c r="I15" s="5" t="s">
        <v>106</v>
      </c>
      <c r="J15" s="25" t="s">
        <v>267</v>
      </c>
      <c r="K15" s="25"/>
      <c r="L15" s="25" t="s">
        <v>156</v>
      </c>
      <c r="M15" s="5" t="s">
        <v>66</v>
      </c>
      <c r="N15" s="5" t="s">
        <v>126</v>
      </c>
      <c r="O15" s="5" t="s">
        <v>69</v>
      </c>
      <c r="P15" s="5" t="s">
        <v>70</v>
      </c>
      <c r="Q15" s="5" t="s">
        <v>89</v>
      </c>
      <c r="R15" s="5" t="s">
        <v>110</v>
      </c>
      <c r="S15" s="5"/>
      <c r="T15" s="5"/>
      <c r="U15" s="5"/>
      <c r="V15" s="5">
        <v>2200.0</v>
      </c>
      <c r="W15" s="26">
        <v>2.1</v>
      </c>
      <c r="X15" s="5">
        <v>1048.0</v>
      </c>
      <c r="Y15" s="27">
        <v>0.0</v>
      </c>
      <c r="Z15" s="28">
        <v>1048.0</v>
      </c>
      <c r="AA15" s="27">
        <v>1.0</v>
      </c>
      <c r="AB15" s="5" t="s">
        <v>117</v>
      </c>
      <c r="AC15" s="27"/>
      <c r="AD15" s="5"/>
      <c r="AE15" s="5" t="s">
        <v>81</v>
      </c>
      <c r="AF15" s="5" t="s">
        <v>81</v>
      </c>
      <c r="AG15" s="5"/>
      <c r="AH15" s="5">
        <v>1.0</v>
      </c>
      <c r="AI15" s="5" t="s">
        <v>0</v>
      </c>
      <c r="AJ15" s="5" t="s">
        <v>156</v>
      </c>
      <c r="AK15" s="30"/>
      <c r="AL15" s="28">
        <v>0.0</v>
      </c>
      <c r="AM15" s="28">
        <v>3032.0</v>
      </c>
      <c r="AN15" s="28">
        <v>0.0</v>
      </c>
      <c r="AO15" s="28">
        <v>0.0</v>
      </c>
      <c r="AP15" s="28">
        <v>0.0</v>
      </c>
      <c r="AQ15" s="28">
        <v>0.0</v>
      </c>
      <c r="AR15" s="28">
        <v>0.0</v>
      </c>
      <c r="AS15" s="28">
        <v>0.0</v>
      </c>
      <c r="AT15" s="28">
        <v>0.0</v>
      </c>
      <c r="AU15" s="28">
        <v>0.0</v>
      </c>
      <c r="AV15" s="28">
        <v>0.0</v>
      </c>
      <c r="AW15" s="28">
        <v>1744987.2</v>
      </c>
      <c r="AX15" s="28">
        <v>0.0</v>
      </c>
      <c r="AY15" s="28">
        <v>0.0</v>
      </c>
      <c r="AZ15" s="5" t="s">
        <v>124</v>
      </c>
      <c r="BA15" s="5" t="s">
        <v>125</v>
      </c>
      <c r="BB15" s="5" t="s">
        <v>127</v>
      </c>
      <c r="BD15" s="5" t="s">
        <v>126</v>
      </c>
      <c r="BE15" s="5" t="s">
        <v>161</v>
      </c>
      <c r="BF15" s="5" t="s">
        <v>130</v>
      </c>
      <c r="BG15" s="5" t="s">
        <v>131</v>
      </c>
      <c r="BH15" s="5" t="s">
        <v>281</v>
      </c>
    </row>
    <row r="16" ht="16.5" hidden="1" customHeight="1">
      <c r="A16" s="5" t="s">
        <v>100</v>
      </c>
      <c r="B16" s="5" t="s">
        <v>137</v>
      </c>
      <c r="C16" s="5" t="b">
        <v>0</v>
      </c>
      <c r="D16" s="5" t="s">
        <v>162</v>
      </c>
      <c r="E16" s="5" t="s">
        <v>163</v>
      </c>
      <c r="F16" s="5"/>
      <c r="G16" s="5" t="s">
        <v>65</v>
      </c>
      <c r="H16" s="5" t="s">
        <v>74</v>
      </c>
      <c r="I16" s="5" t="s">
        <v>106</v>
      </c>
      <c r="J16" s="25" t="s">
        <v>267</v>
      </c>
      <c r="K16" s="25"/>
      <c r="L16" s="25" t="s">
        <v>156</v>
      </c>
      <c r="M16" s="5" t="s">
        <v>66</v>
      </c>
      <c r="N16" s="5" t="s">
        <v>126</v>
      </c>
      <c r="O16" s="5" t="s">
        <v>69</v>
      </c>
      <c r="P16" s="5" t="s">
        <v>107</v>
      </c>
      <c r="Q16" s="5" t="s">
        <v>282</v>
      </c>
      <c r="R16" s="5" t="s">
        <v>110</v>
      </c>
      <c r="S16" s="5"/>
      <c r="T16" s="5"/>
      <c r="U16" s="5"/>
      <c r="V16" s="5">
        <v>2200.0</v>
      </c>
      <c r="W16" s="26">
        <v>2.1</v>
      </c>
      <c r="X16" s="5">
        <v>1048.0</v>
      </c>
      <c r="Y16" s="27">
        <v>0.0</v>
      </c>
      <c r="Z16" s="28">
        <v>1048.0</v>
      </c>
      <c r="AA16" s="27">
        <v>1.0</v>
      </c>
      <c r="AB16" s="5" t="s">
        <v>117</v>
      </c>
      <c r="AC16" s="27"/>
      <c r="AD16" s="26"/>
      <c r="AE16" s="5" t="s">
        <v>81</v>
      </c>
      <c r="AF16" s="5" t="s">
        <v>81</v>
      </c>
      <c r="AG16" s="5"/>
      <c r="AH16" s="5">
        <v>1.0</v>
      </c>
      <c r="AI16" s="5" t="s">
        <v>0</v>
      </c>
      <c r="AJ16" s="5" t="s">
        <v>156</v>
      </c>
      <c r="AK16" s="30"/>
      <c r="AL16" s="28">
        <v>0.0</v>
      </c>
      <c r="AM16" s="28">
        <v>1475.0</v>
      </c>
      <c r="AN16" s="28">
        <v>0.0</v>
      </c>
      <c r="AO16" s="28">
        <v>0.0</v>
      </c>
      <c r="AP16" s="28">
        <v>0.0</v>
      </c>
      <c r="AQ16" s="28">
        <v>0.0</v>
      </c>
      <c r="AR16" s="28">
        <v>0.0</v>
      </c>
      <c r="AS16" s="28">
        <v>0.0</v>
      </c>
      <c r="AT16" s="28">
        <v>0.0</v>
      </c>
      <c r="AU16" s="28">
        <v>0.0</v>
      </c>
      <c r="AV16" s="28">
        <v>0.0</v>
      </c>
      <c r="AW16" s="28">
        <v>848685.75</v>
      </c>
      <c r="AX16" s="28">
        <v>0.0</v>
      </c>
      <c r="AY16" s="28">
        <v>0.0</v>
      </c>
      <c r="AZ16" s="5" t="s">
        <v>124</v>
      </c>
      <c r="BA16" s="5" t="s">
        <v>125</v>
      </c>
      <c r="BB16" s="5" t="s">
        <v>127</v>
      </c>
      <c r="BD16" s="5" t="s">
        <v>126</v>
      </c>
      <c r="BE16" s="5" t="s">
        <v>161</v>
      </c>
      <c r="BF16" s="5" t="s">
        <v>130</v>
      </c>
      <c r="BG16" s="5" t="s">
        <v>131</v>
      </c>
      <c r="BH16" s="5" t="s">
        <v>281</v>
      </c>
    </row>
    <row r="17" ht="16.5" hidden="1" customHeight="1">
      <c r="A17" s="5" t="s">
        <v>100</v>
      </c>
      <c r="B17" s="5" t="s">
        <v>215</v>
      </c>
      <c r="C17" s="5" t="b">
        <v>0</v>
      </c>
      <c r="D17" s="5" t="s">
        <v>287</v>
      </c>
      <c r="E17" s="5" t="s">
        <v>288</v>
      </c>
      <c r="F17" s="5"/>
      <c r="G17" s="5" t="s">
        <v>65</v>
      </c>
      <c r="H17" s="5" t="s">
        <v>76</v>
      </c>
      <c r="I17" s="5" t="s">
        <v>218</v>
      </c>
      <c r="J17" s="25" t="s">
        <v>219</v>
      </c>
      <c r="K17" s="25"/>
      <c r="L17" s="25"/>
      <c r="M17" s="5" t="s">
        <v>66</v>
      </c>
      <c r="N17" s="5" t="s">
        <v>248</v>
      </c>
      <c r="O17" s="5" t="s">
        <v>69</v>
      </c>
      <c r="P17" s="5" t="s">
        <v>249</v>
      </c>
      <c r="Q17" s="5" t="s">
        <v>291</v>
      </c>
      <c r="R17" s="5" t="s">
        <v>23</v>
      </c>
      <c r="S17" s="5"/>
      <c r="T17" s="5"/>
      <c r="U17" s="5"/>
      <c r="V17" s="5">
        <v>450.0</v>
      </c>
      <c r="W17" s="26">
        <v>2.1</v>
      </c>
      <c r="X17" s="5">
        <v>214.0</v>
      </c>
      <c r="Y17" s="27">
        <v>0.0</v>
      </c>
      <c r="Z17" s="28">
        <v>214.0</v>
      </c>
      <c r="AA17" s="27">
        <v>1.0</v>
      </c>
      <c r="AB17" s="5" t="s">
        <v>78</v>
      </c>
      <c r="AC17" s="27"/>
      <c r="AD17" s="5"/>
      <c r="AE17" s="5" t="s">
        <v>81</v>
      </c>
      <c r="AF17" s="5" t="s">
        <v>81</v>
      </c>
      <c r="AG17" s="5"/>
      <c r="AH17" s="5">
        <v>5.0</v>
      </c>
      <c r="AI17" s="5" t="s">
        <v>292</v>
      </c>
      <c r="AJ17" s="5" t="s">
        <v>0</v>
      </c>
      <c r="AK17" s="30"/>
      <c r="AL17" s="28">
        <v>0.0</v>
      </c>
      <c r="AM17" s="28">
        <v>0.0</v>
      </c>
      <c r="AN17" s="28">
        <v>3055.0</v>
      </c>
      <c r="AO17" s="28">
        <v>0.0</v>
      </c>
      <c r="AP17" s="28">
        <v>0.0</v>
      </c>
      <c r="AQ17" s="28">
        <v>0.0</v>
      </c>
      <c r="AR17" s="28">
        <v>0.0</v>
      </c>
      <c r="AS17" s="28">
        <v>0.0</v>
      </c>
      <c r="AT17" s="28">
        <v>0.0</v>
      </c>
      <c r="AU17" s="28">
        <v>0.0</v>
      </c>
      <c r="AV17" s="28">
        <v>0.0</v>
      </c>
      <c r="AW17" s="28">
        <v>0.0</v>
      </c>
      <c r="AX17" s="28">
        <v>447391.92721483944</v>
      </c>
      <c r="AY17" s="28">
        <v>0.0</v>
      </c>
      <c r="AZ17" s="5" t="s">
        <v>124</v>
      </c>
      <c r="BA17" s="5" t="s">
        <v>125</v>
      </c>
      <c r="BB17" s="5" t="s">
        <v>127</v>
      </c>
      <c r="BD17" s="5" t="s">
        <v>248</v>
      </c>
      <c r="BE17" s="5" t="s">
        <v>253</v>
      </c>
      <c r="BF17" s="5" t="s">
        <v>291</v>
      </c>
      <c r="BG17" s="5" t="s">
        <v>131</v>
      </c>
    </row>
    <row r="18" ht="16.5" hidden="1" customHeight="1">
      <c r="A18" s="5" t="s">
        <v>100</v>
      </c>
      <c r="B18" s="45" t="s">
        <v>137</v>
      </c>
      <c r="C18" s="45" t="b">
        <v>0</v>
      </c>
      <c r="D18" s="45" t="s">
        <v>170</v>
      </c>
      <c r="E18" s="45" t="s">
        <v>171</v>
      </c>
      <c r="F18" s="45"/>
      <c r="G18" s="45" t="s">
        <v>65</v>
      </c>
      <c r="H18" s="45" t="s">
        <v>74</v>
      </c>
      <c r="I18" s="45" t="s">
        <v>106</v>
      </c>
      <c r="J18" s="46" t="s">
        <v>298</v>
      </c>
      <c r="K18" s="25"/>
      <c r="L18" s="25"/>
      <c r="M18" s="5" t="s">
        <v>66</v>
      </c>
      <c r="N18" s="5" t="s">
        <v>68</v>
      </c>
      <c r="O18" s="5" t="s">
        <v>69</v>
      </c>
      <c r="P18" s="5" t="s">
        <v>107</v>
      </c>
      <c r="Q18" s="5" t="s">
        <v>175</v>
      </c>
      <c r="R18" s="5" t="s">
        <v>110</v>
      </c>
      <c r="S18" s="5"/>
      <c r="T18" s="5"/>
      <c r="U18" s="5"/>
      <c r="V18" s="5">
        <v>2500.0</v>
      </c>
      <c r="W18" s="26">
        <v>2.1</v>
      </c>
      <c r="X18" s="5">
        <v>1190.0</v>
      </c>
      <c r="Y18" s="27">
        <v>0.2</v>
      </c>
      <c r="Z18" s="28">
        <v>952.0</v>
      </c>
      <c r="AA18" s="27">
        <v>1.0</v>
      </c>
      <c r="AB18" s="5" t="s">
        <v>117</v>
      </c>
      <c r="AC18" s="27"/>
      <c r="AD18" s="26"/>
      <c r="AE18" s="5" t="s">
        <v>166</v>
      </c>
      <c r="AF18" s="5" t="s">
        <v>81</v>
      </c>
      <c r="AG18" s="5"/>
      <c r="AH18" s="5">
        <v>3.0</v>
      </c>
      <c r="AI18" s="5" t="s">
        <v>0</v>
      </c>
      <c r="AJ18" s="5" t="s">
        <v>156</v>
      </c>
      <c r="AK18" s="30"/>
      <c r="AL18" s="28">
        <v>1191.0</v>
      </c>
      <c r="AM18" s="28">
        <v>708.0</v>
      </c>
      <c r="AN18" s="28">
        <v>0.0</v>
      </c>
      <c r="AO18" s="28">
        <v>1163.0</v>
      </c>
      <c r="AP18" s="28">
        <v>0.0</v>
      </c>
      <c r="AQ18" s="28">
        <v>1417861.68</v>
      </c>
      <c r="AR18" s="28">
        <v>1383970.0</v>
      </c>
      <c r="AS18" s="28">
        <v>0.0</v>
      </c>
      <c r="AT18" s="28">
        <v>1383970.0</v>
      </c>
      <c r="AU18" s="28">
        <v>0.0</v>
      </c>
      <c r="AV18" s="28">
        <v>1120741.8990033222</v>
      </c>
      <c r="AW18" s="28">
        <v>718346.3769404999</v>
      </c>
      <c r="AX18" s="28">
        <v>0.0</v>
      </c>
      <c r="AY18" s="28">
        <v>1199096.341511</v>
      </c>
      <c r="AZ18" s="5" t="s">
        <v>124</v>
      </c>
      <c r="BA18" s="5" t="s">
        <v>125</v>
      </c>
      <c r="BB18" s="5" t="s">
        <v>174</v>
      </c>
      <c r="BD18" s="5" t="s">
        <v>68</v>
      </c>
      <c r="BE18" s="5" t="s">
        <v>175</v>
      </c>
      <c r="BF18" s="5" t="s">
        <v>90</v>
      </c>
      <c r="BG18" s="5" t="s">
        <v>91</v>
      </c>
      <c r="BH18" s="5" t="s">
        <v>304</v>
      </c>
    </row>
    <row r="19" ht="16.5" hidden="1" customHeight="1">
      <c r="A19" s="5" t="s">
        <v>100</v>
      </c>
      <c r="B19" s="5" t="s">
        <v>215</v>
      </c>
      <c r="C19" s="5" t="b">
        <v>0</v>
      </c>
      <c r="D19" s="5" t="s">
        <v>193</v>
      </c>
      <c r="E19" s="5" t="s">
        <v>194</v>
      </c>
      <c r="F19" s="5"/>
      <c r="G19" s="5" t="s">
        <v>65</v>
      </c>
      <c r="H19" s="5" t="s">
        <v>76</v>
      </c>
      <c r="I19" s="5" t="s">
        <v>218</v>
      </c>
      <c r="J19" s="25" t="s">
        <v>219</v>
      </c>
      <c r="K19" s="25"/>
      <c r="L19" s="25" t="s">
        <v>146</v>
      </c>
      <c r="M19" s="5" t="s">
        <v>66</v>
      </c>
      <c r="N19" s="5" t="s">
        <v>68</v>
      </c>
      <c r="O19" s="5" t="s">
        <v>141</v>
      </c>
      <c r="P19" s="5" t="s">
        <v>70</v>
      </c>
      <c r="Q19" s="5" t="s">
        <v>89</v>
      </c>
      <c r="R19" s="5" t="s">
        <v>110</v>
      </c>
      <c r="S19" s="5"/>
      <c r="T19" s="5"/>
      <c r="U19" s="5"/>
      <c r="V19" s="5">
        <v>2500.0</v>
      </c>
      <c r="W19" s="26">
        <v>2.1</v>
      </c>
      <c r="X19" s="5">
        <v>1190.0</v>
      </c>
      <c r="Y19" s="27">
        <v>0.0</v>
      </c>
      <c r="Z19" s="28">
        <v>1190.0</v>
      </c>
      <c r="AA19" s="27">
        <v>1.0</v>
      </c>
      <c r="AB19" s="5" t="s">
        <v>78</v>
      </c>
      <c r="AC19" s="27"/>
      <c r="AD19" s="5"/>
      <c r="AE19" s="5" t="s">
        <v>166</v>
      </c>
      <c r="AF19" s="5" t="s">
        <v>198</v>
      </c>
      <c r="AG19" s="5"/>
      <c r="AH19" s="5">
        <v>3.0</v>
      </c>
      <c r="AI19" s="5" t="s">
        <v>309</v>
      </c>
      <c r="AJ19" s="5" t="s">
        <v>146</v>
      </c>
      <c r="AK19" s="30"/>
      <c r="AL19" s="28">
        <v>0.0</v>
      </c>
      <c r="AM19" s="28">
        <v>0.0</v>
      </c>
      <c r="AN19" s="28">
        <v>1500.0</v>
      </c>
      <c r="AO19" s="28">
        <v>1011.0</v>
      </c>
      <c r="AP19" s="28">
        <v>0.0</v>
      </c>
      <c r="AQ19" s="28">
        <v>0.0</v>
      </c>
      <c r="AR19" s="28">
        <v>1203090.0</v>
      </c>
      <c r="AS19" s="28">
        <v>0.0</v>
      </c>
      <c r="AT19" s="28">
        <v>1203090.0</v>
      </c>
      <c r="AU19" s="28">
        <v>0.0</v>
      </c>
      <c r="AV19" s="28">
        <v>0.0</v>
      </c>
      <c r="AW19" s="28">
        <v>0.0</v>
      </c>
      <c r="AX19" s="28">
        <v>1471851.4047619049</v>
      </c>
      <c r="AY19" s="28">
        <v>891142.1999999998</v>
      </c>
      <c r="AZ19" s="5" t="s">
        <v>124</v>
      </c>
      <c r="BA19" s="5" t="s">
        <v>125</v>
      </c>
      <c r="BB19" s="5" t="s">
        <v>127</v>
      </c>
      <c r="BD19" s="5" t="s">
        <v>68</v>
      </c>
      <c r="BE19" s="5" t="s">
        <v>89</v>
      </c>
      <c r="BF19" s="5" t="s">
        <v>206</v>
      </c>
      <c r="BG19" s="5" t="s">
        <v>91</v>
      </c>
    </row>
    <row r="20" ht="16.5" hidden="1" customHeight="1">
      <c r="A20" s="5" t="s">
        <v>100</v>
      </c>
      <c r="B20" s="5" t="s">
        <v>215</v>
      </c>
      <c r="C20" s="5" t="b">
        <v>0</v>
      </c>
      <c r="D20" s="5" t="s">
        <v>208</v>
      </c>
      <c r="E20" s="5" t="s">
        <v>209</v>
      </c>
      <c r="F20" s="5"/>
      <c r="G20" s="5" t="s">
        <v>65</v>
      </c>
      <c r="H20" s="5" t="s">
        <v>76</v>
      </c>
      <c r="I20" s="5" t="s">
        <v>218</v>
      </c>
      <c r="J20" s="25" t="s">
        <v>219</v>
      </c>
      <c r="K20" s="25"/>
      <c r="L20" s="25" t="s">
        <v>146</v>
      </c>
      <c r="M20" s="5" t="s">
        <v>66</v>
      </c>
      <c r="N20" s="5" t="s">
        <v>68</v>
      </c>
      <c r="O20" s="5" t="s">
        <v>141</v>
      </c>
      <c r="P20" s="5" t="s">
        <v>107</v>
      </c>
      <c r="Q20" s="5" t="s">
        <v>89</v>
      </c>
      <c r="R20" s="5" t="s">
        <v>110</v>
      </c>
      <c r="S20" s="5"/>
      <c r="T20" s="5"/>
      <c r="U20" s="5"/>
      <c r="V20" s="5">
        <v>2500.0</v>
      </c>
      <c r="W20" s="26">
        <v>2.1</v>
      </c>
      <c r="X20" s="5">
        <v>1190.0</v>
      </c>
      <c r="Y20" s="27">
        <v>0.0</v>
      </c>
      <c r="Z20" s="28">
        <v>1190.0</v>
      </c>
      <c r="AA20" s="27">
        <v>1.0</v>
      </c>
      <c r="AB20" s="5" t="s">
        <v>78</v>
      </c>
      <c r="AC20" s="27"/>
      <c r="AD20" s="5"/>
      <c r="AE20" s="5" t="s">
        <v>166</v>
      </c>
      <c r="AF20" s="5" t="s">
        <v>198</v>
      </c>
      <c r="AG20" s="5"/>
      <c r="AH20" s="5">
        <v>3.0</v>
      </c>
      <c r="AI20" s="5" t="s">
        <v>316</v>
      </c>
      <c r="AJ20" s="5" t="s">
        <v>146</v>
      </c>
      <c r="AK20" s="30"/>
      <c r="AL20" s="28">
        <v>0.0</v>
      </c>
      <c r="AM20" s="28">
        <v>0.0</v>
      </c>
      <c r="AN20" s="28">
        <v>1340.0</v>
      </c>
      <c r="AO20" s="28">
        <v>735.0</v>
      </c>
      <c r="AP20" s="28">
        <v>0.0</v>
      </c>
      <c r="AQ20" s="28">
        <v>0.0</v>
      </c>
      <c r="AR20" s="28">
        <v>874650.0</v>
      </c>
      <c r="AS20" s="28">
        <v>0.0</v>
      </c>
      <c r="AT20" s="28">
        <v>874650.0</v>
      </c>
      <c r="AU20" s="28">
        <v>0.0</v>
      </c>
      <c r="AV20" s="28">
        <v>0.0</v>
      </c>
      <c r="AW20" s="28">
        <v>0.0</v>
      </c>
      <c r="AX20" s="28">
        <v>1310782.8333333333</v>
      </c>
      <c r="AY20" s="28">
        <v>612003.3165000001</v>
      </c>
      <c r="AZ20" s="5" t="s">
        <v>124</v>
      </c>
      <c r="BA20" s="5" t="s">
        <v>125</v>
      </c>
      <c r="BB20" s="5" t="s">
        <v>127</v>
      </c>
      <c r="BD20" s="5" t="s">
        <v>68</v>
      </c>
      <c r="BE20" s="5" t="s">
        <v>89</v>
      </c>
      <c r="BF20" s="5" t="s">
        <v>206</v>
      </c>
      <c r="BG20" s="5" t="s">
        <v>91</v>
      </c>
    </row>
    <row r="21" ht="16.5" hidden="1" customHeight="1">
      <c r="A21" s="5" t="s">
        <v>100</v>
      </c>
      <c r="B21" s="5" t="s">
        <v>215</v>
      </c>
      <c r="C21" s="5" t="b">
        <v>0</v>
      </c>
      <c r="D21" s="5" t="s">
        <v>235</v>
      </c>
      <c r="E21" s="5" t="s">
        <v>236</v>
      </c>
      <c r="F21" s="5"/>
      <c r="G21" s="5" t="s">
        <v>65</v>
      </c>
      <c r="H21" s="5" t="s">
        <v>76</v>
      </c>
      <c r="I21" s="5" t="s">
        <v>218</v>
      </c>
      <c r="J21" s="25" t="s">
        <v>219</v>
      </c>
      <c r="K21" s="25"/>
      <c r="L21" s="25" t="s">
        <v>146</v>
      </c>
      <c r="M21" s="5" t="s">
        <v>66</v>
      </c>
      <c r="N21" s="5" t="s">
        <v>68</v>
      </c>
      <c r="O21" s="5" t="s">
        <v>141</v>
      </c>
      <c r="P21" s="5" t="s">
        <v>70</v>
      </c>
      <c r="Q21" s="5" t="s">
        <v>180</v>
      </c>
      <c r="R21" s="5" t="s">
        <v>181</v>
      </c>
      <c r="S21" s="5"/>
      <c r="T21" s="5"/>
      <c r="U21" s="5"/>
      <c r="V21" s="5">
        <v>2000.0</v>
      </c>
      <c r="W21" s="26">
        <v>2.1</v>
      </c>
      <c r="X21" s="5">
        <v>952.0</v>
      </c>
      <c r="Y21" s="27">
        <v>0.0</v>
      </c>
      <c r="Z21" s="28">
        <v>952.0</v>
      </c>
      <c r="AA21" s="27">
        <v>1.0</v>
      </c>
      <c r="AB21" s="5" t="s">
        <v>78</v>
      </c>
      <c r="AC21" s="27"/>
      <c r="AD21" s="5"/>
      <c r="AE21" s="5" t="s">
        <v>166</v>
      </c>
      <c r="AF21" s="5" t="s">
        <v>198</v>
      </c>
      <c r="AG21" s="5"/>
      <c r="AH21" s="5">
        <v>1.0</v>
      </c>
      <c r="AI21" s="5" t="s">
        <v>323</v>
      </c>
      <c r="AJ21" s="5" t="s">
        <v>146</v>
      </c>
      <c r="AK21" s="30"/>
      <c r="AL21" s="28">
        <v>0.0</v>
      </c>
      <c r="AM21" s="28">
        <v>0.0</v>
      </c>
      <c r="AN21" s="28">
        <v>845.0</v>
      </c>
      <c r="AO21" s="28">
        <v>681.0</v>
      </c>
      <c r="AP21" s="28">
        <v>0.0</v>
      </c>
      <c r="AQ21" s="28">
        <v>0.0</v>
      </c>
      <c r="AR21" s="28">
        <v>648312.0</v>
      </c>
      <c r="AS21" s="28">
        <v>0.0</v>
      </c>
      <c r="AT21" s="28">
        <v>648312.0</v>
      </c>
      <c r="AU21" s="28">
        <v>0.0</v>
      </c>
      <c r="AV21" s="28">
        <v>0.0</v>
      </c>
      <c r="AW21" s="28">
        <v>0.0</v>
      </c>
      <c r="AX21" s="28">
        <v>640402.857142857</v>
      </c>
      <c r="AY21" s="28">
        <v>468186.19999999984</v>
      </c>
      <c r="AZ21" s="5" t="s">
        <v>124</v>
      </c>
      <c r="BA21" s="5" t="s">
        <v>125</v>
      </c>
      <c r="BB21" s="5" t="s">
        <v>127</v>
      </c>
      <c r="BC21" s="5" t="s">
        <v>237</v>
      </c>
      <c r="BD21" s="5" t="s">
        <v>68</v>
      </c>
      <c r="BE21" s="5" t="s">
        <v>128</v>
      </c>
      <c r="BF21" s="5" t="s">
        <v>206</v>
      </c>
      <c r="BG21" s="5" t="s">
        <v>91</v>
      </c>
    </row>
    <row r="22" ht="16.5" hidden="1" customHeight="1">
      <c r="A22" s="5" t="s">
        <v>100</v>
      </c>
      <c r="B22" s="5" t="s">
        <v>215</v>
      </c>
      <c r="C22" s="5" t="b">
        <v>0</v>
      </c>
      <c r="D22" s="5" t="s">
        <v>262</v>
      </c>
      <c r="E22" s="5" t="s">
        <v>263</v>
      </c>
      <c r="F22" s="5"/>
      <c r="G22" s="5" t="s">
        <v>65</v>
      </c>
      <c r="H22" s="5" t="s">
        <v>76</v>
      </c>
      <c r="I22" s="5" t="s">
        <v>218</v>
      </c>
      <c r="J22" s="25" t="s">
        <v>219</v>
      </c>
      <c r="K22" s="25"/>
      <c r="L22" s="25" t="s">
        <v>146</v>
      </c>
      <c r="M22" s="5" t="s">
        <v>66</v>
      </c>
      <c r="N22" s="5" t="s">
        <v>68</v>
      </c>
      <c r="O22" s="5" t="s">
        <v>141</v>
      </c>
      <c r="P22" s="5" t="s">
        <v>107</v>
      </c>
      <c r="Q22" s="5" t="s">
        <v>180</v>
      </c>
      <c r="R22" s="5" t="s">
        <v>181</v>
      </c>
      <c r="S22" s="5"/>
      <c r="T22" s="5"/>
      <c r="U22" s="5"/>
      <c r="V22" s="5">
        <v>2000.0</v>
      </c>
      <c r="W22" s="26">
        <v>2.1</v>
      </c>
      <c r="X22" s="5">
        <v>952.0</v>
      </c>
      <c r="Y22" s="27">
        <v>0.0</v>
      </c>
      <c r="Z22" s="28">
        <v>952.0</v>
      </c>
      <c r="AA22" s="27">
        <v>1.0</v>
      </c>
      <c r="AB22" s="5" t="s">
        <v>78</v>
      </c>
      <c r="AC22" s="27"/>
      <c r="AD22" s="5"/>
      <c r="AE22" s="5" t="s">
        <v>166</v>
      </c>
      <c r="AF22" s="5" t="s">
        <v>198</v>
      </c>
      <c r="AG22" s="5"/>
      <c r="AH22" s="5">
        <v>1.0</v>
      </c>
      <c r="AI22" s="5" t="s">
        <v>323</v>
      </c>
      <c r="AJ22" s="5" t="s">
        <v>146</v>
      </c>
      <c r="AK22" s="30"/>
      <c r="AL22" s="28">
        <v>0.0</v>
      </c>
      <c r="AM22" s="28">
        <v>0.0</v>
      </c>
      <c r="AN22" s="28">
        <v>995.0</v>
      </c>
      <c r="AO22" s="28">
        <v>781.0</v>
      </c>
      <c r="AP22" s="28">
        <v>0.0</v>
      </c>
      <c r="AQ22" s="28">
        <v>0.0</v>
      </c>
      <c r="AR22" s="28">
        <v>743512.0</v>
      </c>
      <c r="AS22" s="28">
        <v>0.0</v>
      </c>
      <c r="AT22" s="28">
        <v>743512.0</v>
      </c>
      <c r="AU22" s="28">
        <v>0.0</v>
      </c>
      <c r="AV22" s="28">
        <v>0.0</v>
      </c>
      <c r="AW22" s="28">
        <v>0.0</v>
      </c>
      <c r="AX22" s="28">
        <v>753259.9999999999</v>
      </c>
      <c r="AY22" s="28">
        <v>536031.08</v>
      </c>
      <c r="AZ22" s="5" t="s">
        <v>124</v>
      </c>
      <c r="BA22" s="5" t="s">
        <v>125</v>
      </c>
      <c r="BB22" s="5" t="s">
        <v>127</v>
      </c>
      <c r="BC22" s="5" t="s">
        <v>237</v>
      </c>
      <c r="BD22" s="5" t="s">
        <v>68</v>
      </c>
      <c r="BE22" s="5" t="s">
        <v>128</v>
      </c>
      <c r="BF22" s="5" t="s">
        <v>206</v>
      </c>
      <c r="BG22" s="5" t="s">
        <v>91</v>
      </c>
    </row>
    <row r="23" ht="16.5" hidden="1" customHeight="1">
      <c r="A23" s="5" t="s">
        <v>100</v>
      </c>
      <c r="B23" s="5" t="s">
        <v>137</v>
      </c>
      <c r="C23" s="5" t="b">
        <v>1</v>
      </c>
      <c r="D23" s="5" t="s">
        <v>176</v>
      </c>
      <c r="E23" s="5" t="s">
        <v>177</v>
      </c>
      <c r="F23" s="5"/>
      <c r="G23" s="5" t="s">
        <v>65</v>
      </c>
      <c r="H23" s="5" t="s">
        <v>76</v>
      </c>
      <c r="I23" s="5" t="s">
        <v>82</v>
      </c>
      <c r="J23" s="25"/>
      <c r="K23" s="25"/>
      <c r="L23" s="25" t="s">
        <v>146</v>
      </c>
      <c r="M23" s="5" t="s">
        <v>66</v>
      </c>
      <c r="N23" s="5" t="s">
        <v>68</v>
      </c>
      <c r="O23" s="5" t="s">
        <v>141</v>
      </c>
      <c r="P23" s="5" t="s">
        <v>70</v>
      </c>
      <c r="Q23" s="5" t="s">
        <v>89</v>
      </c>
      <c r="R23" s="5" t="s">
        <v>110</v>
      </c>
      <c r="S23" s="5"/>
      <c r="T23" s="5"/>
      <c r="U23" s="5"/>
      <c r="V23" s="5">
        <v>2200.0</v>
      </c>
      <c r="W23" s="26">
        <v>2.1</v>
      </c>
      <c r="X23" s="5">
        <v>1048.0</v>
      </c>
      <c r="Y23" s="27">
        <v>0.2</v>
      </c>
      <c r="Z23" s="28">
        <v>838.4000000000001</v>
      </c>
      <c r="AA23" s="27">
        <v>1.0</v>
      </c>
      <c r="AB23" s="5" t="s">
        <v>78</v>
      </c>
      <c r="AC23" s="27">
        <v>0.5920000000000001</v>
      </c>
      <c r="AD23" s="5"/>
      <c r="AE23" s="5" t="s">
        <v>166</v>
      </c>
      <c r="AF23" s="5" t="s">
        <v>81</v>
      </c>
      <c r="AG23" s="5">
        <v>3.0</v>
      </c>
      <c r="AH23" s="5">
        <v>3.0</v>
      </c>
      <c r="AI23" s="5" t="s">
        <v>335</v>
      </c>
      <c r="AJ23" s="5" t="s">
        <v>146</v>
      </c>
      <c r="AK23" s="30">
        <v>2300.0</v>
      </c>
      <c r="AL23" s="28">
        <v>2300.0</v>
      </c>
      <c r="AM23" s="28">
        <v>2838.0</v>
      </c>
      <c r="AN23" s="28">
        <v>2125.0</v>
      </c>
      <c r="AO23" s="28">
        <v>1259.0</v>
      </c>
      <c r="AP23" s="28">
        <v>2410400.0</v>
      </c>
      <c r="AQ23" s="28">
        <v>2409525.9999999995</v>
      </c>
      <c r="AR23" s="28">
        <v>1319432.0</v>
      </c>
      <c r="AS23" s="28">
        <v>0.0</v>
      </c>
      <c r="AT23" s="28">
        <v>1319432.0</v>
      </c>
      <c r="AU23" s="28">
        <v>1928320.0000000002</v>
      </c>
      <c r="AV23" s="28">
        <v>1866064.7452934664</v>
      </c>
      <c r="AW23" s="28">
        <v>1988996.3255000005</v>
      </c>
      <c r="AX23" s="28">
        <v>1723444.6428571432</v>
      </c>
      <c r="AY23" s="28">
        <v>885189.8799999998</v>
      </c>
      <c r="AZ23" s="5"/>
      <c r="BA23" s="5" t="s">
        <v>125</v>
      </c>
      <c r="BB23" s="5" t="s">
        <v>127</v>
      </c>
      <c r="BD23" s="5" t="s">
        <v>68</v>
      </c>
      <c r="BE23" s="5" t="s">
        <v>89</v>
      </c>
      <c r="BF23" s="5" t="s">
        <v>90</v>
      </c>
      <c r="BG23" s="5" t="s">
        <v>91</v>
      </c>
    </row>
    <row r="24" ht="16.5" hidden="1" customHeight="1">
      <c r="A24" s="5" t="s">
        <v>100</v>
      </c>
      <c r="B24" s="5" t="s">
        <v>137</v>
      </c>
      <c r="C24" s="5" t="b">
        <v>1</v>
      </c>
      <c r="D24" s="5" t="s">
        <v>187</v>
      </c>
      <c r="E24" s="5" t="s">
        <v>188</v>
      </c>
      <c r="F24" s="5"/>
      <c r="G24" s="5" t="s">
        <v>65</v>
      </c>
      <c r="H24" s="5" t="s">
        <v>76</v>
      </c>
      <c r="I24" s="5" t="s">
        <v>82</v>
      </c>
      <c r="J24" s="25"/>
      <c r="K24" s="25"/>
      <c r="L24" s="25" t="s">
        <v>146</v>
      </c>
      <c r="M24" s="5" t="s">
        <v>66</v>
      </c>
      <c r="N24" s="5" t="s">
        <v>68</v>
      </c>
      <c r="O24" s="5" t="s">
        <v>141</v>
      </c>
      <c r="P24" s="5" t="s">
        <v>107</v>
      </c>
      <c r="Q24" s="5" t="s">
        <v>89</v>
      </c>
      <c r="R24" s="5" t="s">
        <v>110</v>
      </c>
      <c r="S24" s="5"/>
      <c r="T24" s="5"/>
      <c r="U24" s="5"/>
      <c r="V24" s="5">
        <v>2200.0</v>
      </c>
      <c r="W24" s="26">
        <v>2.1</v>
      </c>
      <c r="X24" s="5">
        <v>1048.0</v>
      </c>
      <c r="Y24" s="27">
        <v>0.2</v>
      </c>
      <c r="Z24" s="28">
        <v>838.4000000000001</v>
      </c>
      <c r="AA24" s="27">
        <v>1.0</v>
      </c>
      <c r="AB24" s="5" t="s">
        <v>78</v>
      </c>
      <c r="AC24" s="27">
        <v>0.575</v>
      </c>
      <c r="AD24" s="5"/>
      <c r="AE24" s="5" t="s">
        <v>166</v>
      </c>
      <c r="AF24" s="5" t="s">
        <v>81</v>
      </c>
      <c r="AG24" s="5">
        <v>3.0</v>
      </c>
      <c r="AH24" s="5">
        <v>3.0</v>
      </c>
      <c r="AI24" s="5" t="s">
        <v>335</v>
      </c>
      <c r="AJ24" s="5" t="s">
        <v>146</v>
      </c>
      <c r="AK24" s="30">
        <v>2300.0</v>
      </c>
      <c r="AL24" s="28">
        <v>2335.0</v>
      </c>
      <c r="AM24" s="28">
        <v>2067.0</v>
      </c>
      <c r="AN24" s="28">
        <v>2125.0</v>
      </c>
      <c r="AO24" s="28">
        <v>1283.0</v>
      </c>
      <c r="AP24" s="28">
        <v>2410400.0</v>
      </c>
      <c r="AQ24" s="28">
        <v>2446192.6999999997</v>
      </c>
      <c r="AR24" s="28">
        <v>1344584.0</v>
      </c>
      <c r="AS24" s="28">
        <v>0.0</v>
      </c>
      <c r="AT24" s="28">
        <v>1344584.0</v>
      </c>
      <c r="AU24" s="28">
        <v>1928320.0000000002</v>
      </c>
      <c r="AV24" s="28">
        <v>1892373.0786268</v>
      </c>
      <c r="AW24" s="28">
        <v>1464220.9105000007</v>
      </c>
      <c r="AX24" s="28">
        <v>1720616.0714285716</v>
      </c>
      <c r="AY24" s="28">
        <v>913682.28</v>
      </c>
      <c r="AZ24" s="5"/>
      <c r="BA24" s="5" t="s">
        <v>125</v>
      </c>
      <c r="BB24" s="5" t="s">
        <v>127</v>
      </c>
      <c r="BD24" s="5" t="s">
        <v>68</v>
      </c>
      <c r="BE24" s="5" t="s">
        <v>89</v>
      </c>
      <c r="BF24" s="5" t="s">
        <v>90</v>
      </c>
      <c r="BG24" s="5" t="s">
        <v>91</v>
      </c>
    </row>
    <row r="25" ht="16.5" hidden="1" customHeight="1">
      <c r="A25" s="5" t="s">
        <v>100</v>
      </c>
      <c r="B25" s="5" t="s">
        <v>137</v>
      </c>
      <c r="C25" s="5" t="b">
        <v>1</v>
      </c>
      <c r="D25" s="5" t="s">
        <v>191</v>
      </c>
      <c r="E25" s="5" t="s">
        <v>192</v>
      </c>
      <c r="F25" s="5"/>
      <c r="G25" s="5" t="s">
        <v>65</v>
      </c>
      <c r="H25" s="5" t="s">
        <v>76</v>
      </c>
      <c r="I25" s="5" t="s">
        <v>82</v>
      </c>
      <c r="J25" s="25"/>
      <c r="K25" s="25"/>
      <c r="L25" s="25" t="s">
        <v>146</v>
      </c>
      <c r="M25" s="5" t="s">
        <v>66</v>
      </c>
      <c r="N25" s="5" t="s">
        <v>68</v>
      </c>
      <c r="O25" s="5" t="s">
        <v>141</v>
      </c>
      <c r="P25" s="5" t="s">
        <v>70</v>
      </c>
      <c r="Q25" s="5" t="s">
        <v>180</v>
      </c>
      <c r="R25" s="5" t="s">
        <v>181</v>
      </c>
      <c r="S25" s="5"/>
      <c r="T25" s="5"/>
      <c r="U25" s="5"/>
      <c r="V25" s="5">
        <v>1700.0</v>
      </c>
      <c r="W25" s="26">
        <v>2.1</v>
      </c>
      <c r="X25" s="5">
        <v>810.0</v>
      </c>
      <c r="Y25" s="27">
        <v>0.2</v>
      </c>
      <c r="Z25" s="28">
        <v>648.0</v>
      </c>
      <c r="AA25" s="27">
        <v>1.0</v>
      </c>
      <c r="AB25" s="5" t="s">
        <v>78</v>
      </c>
      <c r="AC25" s="27">
        <v>0.5920000000000001</v>
      </c>
      <c r="AD25" s="5"/>
      <c r="AE25" s="5" t="s">
        <v>166</v>
      </c>
      <c r="AF25" s="5" t="s">
        <v>81</v>
      </c>
      <c r="AG25" s="5">
        <v>1.0</v>
      </c>
      <c r="AH25" s="5">
        <v>1.0</v>
      </c>
      <c r="AI25" s="5" t="s">
        <v>347</v>
      </c>
      <c r="AJ25" s="5" t="s">
        <v>146</v>
      </c>
      <c r="AK25" s="30">
        <v>1600.0</v>
      </c>
      <c r="AL25" s="28">
        <v>1625.0</v>
      </c>
      <c r="AM25" s="28">
        <v>883.0</v>
      </c>
      <c r="AN25" s="28">
        <v>1615.0</v>
      </c>
      <c r="AO25" s="28">
        <v>442.0</v>
      </c>
      <c r="AP25" s="28">
        <v>1296000.0</v>
      </c>
      <c r="AQ25" s="28">
        <v>1315470.0</v>
      </c>
      <c r="AR25" s="28">
        <v>358020.0</v>
      </c>
      <c r="AS25" s="28">
        <v>0.0</v>
      </c>
      <c r="AT25" s="28">
        <v>358020.0</v>
      </c>
      <c r="AU25" s="28">
        <v>1036800.0</v>
      </c>
      <c r="AV25" s="28">
        <v>1036303.75</v>
      </c>
      <c r="AW25" s="28">
        <v>504389.4878</v>
      </c>
      <c r="AX25" s="28">
        <v>1032163.9880952381</v>
      </c>
      <c r="AY25" s="28">
        <v>255197.475</v>
      </c>
      <c r="AZ25" s="5"/>
      <c r="BA25" s="5" t="s">
        <v>125</v>
      </c>
      <c r="BB25" s="5" t="s">
        <v>127</v>
      </c>
      <c r="BD25" s="5" t="s">
        <v>68</v>
      </c>
      <c r="BE25" s="5" t="s">
        <v>128</v>
      </c>
      <c r="BF25" s="5" t="s">
        <v>90</v>
      </c>
      <c r="BG25" s="5" t="s">
        <v>91</v>
      </c>
    </row>
    <row r="26" ht="16.5" hidden="1" customHeight="1">
      <c r="A26" s="5" t="s">
        <v>100</v>
      </c>
      <c r="B26" s="5" t="s">
        <v>137</v>
      </c>
      <c r="C26" s="5" t="b">
        <v>1</v>
      </c>
      <c r="D26" s="5" t="s">
        <v>195</v>
      </c>
      <c r="E26" s="5" t="s">
        <v>196</v>
      </c>
      <c r="F26" s="5"/>
      <c r="G26" s="5" t="s">
        <v>65</v>
      </c>
      <c r="H26" s="5" t="s">
        <v>76</v>
      </c>
      <c r="I26" s="5" t="s">
        <v>82</v>
      </c>
      <c r="J26" s="25"/>
      <c r="K26" s="25"/>
      <c r="L26" s="25" t="s">
        <v>146</v>
      </c>
      <c r="M26" s="5" t="s">
        <v>66</v>
      </c>
      <c r="N26" s="5" t="s">
        <v>68</v>
      </c>
      <c r="O26" s="5" t="s">
        <v>141</v>
      </c>
      <c r="P26" s="5" t="s">
        <v>107</v>
      </c>
      <c r="Q26" s="5" t="s">
        <v>180</v>
      </c>
      <c r="R26" s="5" t="s">
        <v>181</v>
      </c>
      <c r="S26" s="5"/>
      <c r="T26" s="5"/>
      <c r="U26" s="5"/>
      <c r="V26" s="5">
        <v>1700.0</v>
      </c>
      <c r="W26" s="26">
        <v>2.1</v>
      </c>
      <c r="X26" s="5">
        <v>810.0</v>
      </c>
      <c r="Y26" s="27">
        <v>0.2</v>
      </c>
      <c r="Z26" s="28">
        <v>648.0</v>
      </c>
      <c r="AA26" s="27">
        <v>1.0</v>
      </c>
      <c r="AB26" s="5" t="s">
        <v>78</v>
      </c>
      <c r="AC26" s="27">
        <v>0.575</v>
      </c>
      <c r="AD26" s="5"/>
      <c r="AE26" s="5" t="s">
        <v>166</v>
      </c>
      <c r="AF26" s="5" t="s">
        <v>81</v>
      </c>
      <c r="AG26" s="5">
        <v>1.0</v>
      </c>
      <c r="AH26" s="5">
        <v>1.0</v>
      </c>
      <c r="AI26" s="5" t="s">
        <v>347</v>
      </c>
      <c r="AJ26" s="5" t="s">
        <v>146</v>
      </c>
      <c r="AK26" s="30">
        <v>1600.0</v>
      </c>
      <c r="AL26" s="28">
        <v>1625.0</v>
      </c>
      <c r="AM26" s="28">
        <v>729.0</v>
      </c>
      <c r="AN26" s="28">
        <v>1665.0</v>
      </c>
      <c r="AO26" s="28">
        <v>472.0</v>
      </c>
      <c r="AP26" s="28">
        <v>1296000.0</v>
      </c>
      <c r="AQ26" s="28">
        <v>1315470.0</v>
      </c>
      <c r="AR26" s="28">
        <v>382320.0</v>
      </c>
      <c r="AS26" s="28">
        <v>0.0</v>
      </c>
      <c r="AT26" s="28">
        <v>382320.0</v>
      </c>
      <c r="AU26" s="28">
        <v>1036800.0</v>
      </c>
      <c r="AV26" s="28">
        <v>1036303.75</v>
      </c>
      <c r="AW26" s="28">
        <v>417695.6484</v>
      </c>
      <c r="AX26" s="28">
        <v>1063866.8452380951</v>
      </c>
      <c r="AY26" s="28">
        <v>272257.025</v>
      </c>
      <c r="AZ26" s="5"/>
      <c r="BA26" s="5" t="s">
        <v>125</v>
      </c>
      <c r="BB26" s="5" t="s">
        <v>127</v>
      </c>
      <c r="BD26" s="5" t="s">
        <v>68</v>
      </c>
      <c r="BE26" s="5" t="s">
        <v>128</v>
      </c>
      <c r="BF26" s="5" t="s">
        <v>90</v>
      </c>
      <c r="BG26" s="5" t="s">
        <v>91</v>
      </c>
    </row>
    <row r="27" ht="16.5" hidden="1" customHeight="1">
      <c r="A27" s="5" t="s">
        <v>100</v>
      </c>
      <c r="B27" s="5" t="s">
        <v>137</v>
      </c>
      <c r="C27" s="5" t="b">
        <v>1</v>
      </c>
      <c r="D27" s="5" t="s">
        <v>139</v>
      </c>
      <c r="E27" s="5" t="s">
        <v>140</v>
      </c>
      <c r="F27" s="5"/>
      <c r="G27" s="5" t="s">
        <v>65</v>
      </c>
      <c r="H27" s="5" t="s">
        <v>76</v>
      </c>
      <c r="I27" s="5" t="s">
        <v>82</v>
      </c>
      <c r="J27" s="25"/>
      <c r="K27" s="25"/>
      <c r="L27" s="25" t="s">
        <v>146</v>
      </c>
      <c r="M27" s="5" t="s">
        <v>66</v>
      </c>
      <c r="N27" s="5" t="s">
        <v>126</v>
      </c>
      <c r="O27" s="5" t="s">
        <v>141</v>
      </c>
      <c r="P27" s="5" t="s">
        <v>70</v>
      </c>
      <c r="Q27" s="5" t="s">
        <v>89</v>
      </c>
      <c r="R27" s="5" t="s">
        <v>110</v>
      </c>
      <c r="S27" s="5"/>
      <c r="T27" s="5"/>
      <c r="U27" s="5"/>
      <c r="V27" s="5">
        <v>1800.0</v>
      </c>
      <c r="W27" s="26">
        <v>2.1</v>
      </c>
      <c r="X27" s="5">
        <v>857.0</v>
      </c>
      <c r="Y27" s="27">
        <v>0.2</v>
      </c>
      <c r="Z27" s="28">
        <v>685.6</v>
      </c>
      <c r="AA27" s="27">
        <v>1.0</v>
      </c>
      <c r="AB27" s="5" t="s">
        <v>78</v>
      </c>
      <c r="AC27" s="27">
        <v>0.62</v>
      </c>
      <c r="AD27" s="5"/>
      <c r="AE27" s="5" t="s">
        <v>81</v>
      </c>
      <c r="AF27" s="5" t="s">
        <v>81</v>
      </c>
      <c r="AG27" s="5">
        <v>3.0</v>
      </c>
      <c r="AH27" s="5">
        <v>4.0</v>
      </c>
      <c r="AI27" s="5" t="s">
        <v>363</v>
      </c>
      <c r="AJ27" s="5" t="s">
        <v>146</v>
      </c>
      <c r="AK27" s="30">
        <v>1700.0</v>
      </c>
      <c r="AL27" s="28">
        <v>1745.0</v>
      </c>
      <c r="AM27" s="28">
        <v>0.0</v>
      </c>
      <c r="AN27" s="28">
        <v>0.0</v>
      </c>
      <c r="AO27" s="28">
        <v>0.0</v>
      </c>
      <c r="AP27" s="28">
        <v>1456900.0</v>
      </c>
      <c r="AQ27" s="28">
        <v>1246436.05</v>
      </c>
      <c r="AR27" s="28">
        <v>0.0</v>
      </c>
      <c r="AS27" s="28">
        <v>0.0</v>
      </c>
      <c r="AT27" s="28">
        <v>0.0</v>
      </c>
      <c r="AU27" s="28">
        <v>1165520.0</v>
      </c>
      <c r="AV27" s="28">
        <v>970756.7383720931</v>
      </c>
      <c r="AW27" s="28">
        <v>0.0</v>
      </c>
      <c r="AX27" s="28">
        <v>0.0</v>
      </c>
      <c r="AY27" s="28">
        <v>0.0</v>
      </c>
      <c r="AZ27" s="5"/>
      <c r="BA27" s="5" t="s">
        <v>86</v>
      </c>
      <c r="BB27" s="5" t="s">
        <v>87</v>
      </c>
      <c r="BC27" s="5" t="s">
        <v>88</v>
      </c>
      <c r="BD27" s="5" t="s">
        <v>126</v>
      </c>
      <c r="BE27" s="5" t="s">
        <v>161</v>
      </c>
      <c r="BF27" s="5" t="s">
        <v>130</v>
      </c>
      <c r="BG27" s="5" t="s">
        <v>131</v>
      </c>
    </row>
    <row r="28" ht="16.5" hidden="1" customHeight="1">
      <c r="A28" s="5" t="s">
        <v>100</v>
      </c>
      <c r="B28" s="5" t="s">
        <v>137</v>
      </c>
      <c r="C28" s="5" t="b">
        <v>1</v>
      </c>
      <c r="D28" s="5" t="s">
        <v>167</v>
      </c>
      <c r="E28" s="5" t="s">
        <v>168</v>
      </c>
      <c r="F28" s="5"/>
      <c r="G28" s="5" t="s">
        <v>65</v>
      </c>
      <c r="H28" s="5" t="s">
        <v>76</v>
      </c>
      <c r="I28" s="5" t="s">
        <v>82</v>
      </c>
      <c r="J28" s="25"/>
      <c r="K28" s="25"/>
      <c r="L28" s="25" t="s">
        <v>146</v>
      </c>
      <c r="M28" s="5" t="s">
        <v>66</v>
      </c>
      <c r="N28" s="5" t="s">
        <v>126</v>
      </c>
      <c r="O28" s="5" t="s">
        <v>141</v>
      </c>
      <c r="P28" s="5" t="s">
        <v>107</v>
      </c>
      <c r="Q28" s="5" t="s">
        <v>89</v>
      </c>
      <c r="R28" s="5" t="s">
        <v>110</v>
      </c>
      <c r="S28" s="5"/>
      <c r="T28" s="5"/>
      <c r="U28" s="5"/>
      <c r="V28" s="5">
        <v>1800.0</v>
      </c>
      <c r="W28" s="26">
        <v>2.1</v>
      </c>
      <c r="X28" s="5">
        <v>857.0</v>
      </c>
      <c r="Y28" s="27">
        <v>0.2</v>
      </c>
      <c r="Z28" s="28">
        <v>685.6</v>
      </c>
      <c r="AA28" s="27">
        <v>1.0</v>
      </c>
      <c r="AB28" s="5" t="s">
        <v>78</v>
      </c>
      <c r="AC28" s="27">
        <v>0.64</v>
      </c>
      <c r="AD28" s="5"/>
      <c r="AE28" s="5" t="s">
        <v>81</v>
      </c>
      <c r="AF28" s="5" t="s">
        <v>81</v>
      </c>
      <c r="AG28" s="5">
        <v>3.0</v>
      </c>
      <c r="AH28" s="5">
        <v>3.0</v>
      </c>
      <c r="AI28" s="5" t="s">
        <v>363</v>
      </c>
      <c r="AJ28" s="5" t="s">
        <v>146</v>
      </c>
      <c r="AK28" s="30">
        <v>1600.0</v>
      </c>
      <c r="AL28" s="28">
        <v>1610.0</v>
      </c>
      <c r="AM28" s="28">
        <v>0.0</v>
      </c>
      <c r="AN28" s="28">
        <v>250.0</v>
      </c>
      <c r="AO28" s="28">
        <v>0.0</v>
      </c>
      <c r="AP28" s="28">
        <v>1371200.0</v>
      </c>
      <c r="AQ28" s="28">
        <v>1150006.9</v>
      </c>
      <c r="AR28" s="28">
        <v>0.0</v>
      </c>
      <c r="AS28" s="28">
        <v>0.0</v>
      </c>
      <c r="AT28" s="28">
        <v>0.0</v>
      </c>
      <c r="AU28" s="28">
        <v>1096960.0</v>
      </c>
      <c r="AV28" s="28">
        <v>894659.500276855</v>
      </c>
      <c r="AW28" s="28">
        <v>0.0</v>
      </c>
      <c r="AX28" s="28">
        <v>145304.7619047619</v>
      </c>
      <c r="AY28" s="28">
        <v>0.0</v>
      </c>
      <c r="AZ28" s="5"/>
      <c r="BA28" s="5" t="s">
        <v>86</v>
      </c>
      <c r="BB28" s="5" t="s">
        <v>87</v>
      </c>
      <c r="BC28" s="5" t="s">
        <v>88</v>
      </c>
      <c r="BD28" s="5" t="s">
        <v>126</v>
      </c>
      <c r="BE28" s="5" t="s">
        <v>161</v>
      </c>
      <c r="BF28" s="5" t="s">
        <v>130</v>
      </c>
      <c r="BG28" s="5" t="s">
        <v>131</v>
      </c>
    </row>
    <row r="29" ht="16.5" hidden="1" customHeight="1">
      <c r="A29" s="5" t="s">
        <v>100</v>
      </c>
      <c r="B29" s="5" t="s">
        <v>137</v>
      </c>
      <c r="C29" s="5" t="b">
        <v>1</v>
      </c>
      <c r="D29" s="5" t="s">
        <v>212</v>
      </c>
      <c r="E29" s="5" t="s">
        <v>213</v>
      </c>
      <c r="F29" s="5"/>
      <c r="G29" s="5" t="s">
        <v>65</v>
      </c>
      <c r="H29" s="5" t="s">
        <v>76</v>
      </c>
      <c r="I29" s="5" t="s">
        <v>82</v>
      </c>
      <c r="J29" s="25"/>
      <c r="K29" s="25"/>
      <c r="L29" s="25" t="s">
        <v>146</v>
      </c>
      <c r="M29" s="5" t="s">
        <v>66</v>
      </c>
      <c r="N29" s="5" t="s">
        <v>126</v>
      </c>
      <c r="O29" s="5" t="s">
        <v>141</v>
      </c>
      <c r="P29" s="5" t="s">
        <v>70</v>
      </c>
      <c r="Q29" s="5" t="s">
        <v>180</v>
      </c>
      <c r="R29" s="5" t="s">
        <v>181</v>
      </c>
      <c r="S29" s="5"/>
      <c r="T29" s="5"/>
      <c r="U29" s="5"/>
      <c r="V29" s="5">
        <v>1400.0</v>
      </c>
      <c r="W29" s="26">
        <v>2.1</v>
      </c>
      <c r="X29" s="5">
        <v>667.0</v>
      </c>
      <c r="Y29" s="27">
        <v>0.2</v>
      </c>
      <c r="Z29" s="28">
        <v>533.6</v>
      </c>
      <c r="AA29" s="27">
        <v>1.0</v>
      </c>
      <c r="AB29" s="5" t="s">
        <v>78</v>
      </c>
      <c r="AC29" s="27">
        <v>0.65</v>
      </c>
      <c r="AD29" s="5"/>
      <c r="AE29" s="5" t="s">
        <v>81</v>
      </c>
      <c r="AF29" s="5" t="s">
        <v>81</v>
      </c>
      <c r="AG29" s="5">
        <v>1.0</v>
      </c>
      <c r="AH29" s="5">
        <v>1.0</v>
      </c>
      <c r="AI29" s="5" t="s">
        <v>347</v>
      </c>
      <c r="AJ29" s="5" t="s">
        <v>146</v>
      </c>
      <c r="AK29" s="30">
        <v>2500.0</v>
      </c>
      <c r="AL29" s="28">
        <v>2525.0</v>
      </c>
      <c r="AM29" s="28">
        <v>0.0</v>
      </c>
      <c r="AN29" s="28">
        <v>1750.0</v>
      </c>
      <c r="AO29" s="28">
        <v>0.0</v>
      </c>
      <c r="AP29" s="28">
        <v>1667500.0</v>
      </c>
      <c r="AQ29" s="28">
        <v>1442860.75</v>
      </c>
      <c r="AR29" s="28">
        <v>0.0</v>
      </c>
      <c r="AS29" s="28">
        <v>0.0</v>
      </c>
      <c r="AT29" s="28">
        <v>0.0</v>
      </c>
      <c r="AU29" s="28">
        <v>1334000.0</v>
      </c>
      <c r="AV29" s="28">
        <v>1112445.4551495016</v>
      </c>
      <c r="AW29" s="28">
        <v>0.0</v>
      </c>
      <c r="AX29" s="28">
        <v>777628.5714285715</v>
      </c>
      <c r="AY29" s="28">
        <v>0.0</v>
      </c>
      <c r="AZ29" s="5"/>
      <c r="BA29" s="5" t="s">
        <v>86</v>
      </c>
      <c r="BB29" s="5" t="s">
        <v>87</v>
      </c>
      <c r="BC29" s="5" t="s">
        <v>88</v>
      </c>
      <c r="BD29" s="5" t="s">
        <v>126</v>
      </c>
      <c r="BE29" s="5" t="s">
        <v>128</v>
      </c>
      <c r="BF29" s="5" t="s">
        <v>130</v>
      </c>
      <c r="BG29" s="5" t="s">
        <v>131</v>
      </c>
    </row>
    <row r="30" ht="16.5" hidden="1" customHeight="1">
      <c r="A30" s="5" t="s">
        <v>100</v>
      </c>
      <c r="B30" s="5" t="s">
        <v>137</v>
      </c>
      <c r="C30" s="5" t="b">
        <v>1</v>
      </c>
      <c r="D30" s="5" t="s">
        <v>221</v>
      </c>
      <c r="E30" s="5" t="s">
        <v>222</v>
      </c>
      <c r="F30" s="5"/>
      <c r="G30" s="5" t="s">
        <v>65</v>
      </c>
      <c r="H30" s="5" t="s">
        <v>76</v>
      </c>
      <c r="I30" s="5" t="s">
        <v>82</v>
      </c>
      <c r="J30" s="25"/>
      <c r="K30" s="25"/>
      <c r="L30" s="25" t="s">
        <v>146</v>
      </c>
      <c r="M30" s="5" t="s">
        <v>66</v>
      </c>
      <c r="N30" s="5" t="s">
        <v>126</v>
      </c>
      <c r="O30" s="5" t="s">
        <v>141</v>
      </c>
      <c r="P30" s="5" t="s">
        <v>107</v>
      </c>
      <c r="Q30" s="5" t="s">
        <v>180</v>
      </c>
      <c r="R30" s="5" t="s">
        <v>181</v>
      </c>
      <c r="S30" s="5"/>
      <c r="T30" s="5"/>
      <c r="U30" s="5"/>
      <c r="V30" s="5">
        <v>1400.0</v>
      </c>
      <c r="W30" s="26">
        <v>2.1</v>
      </c>
      <c r="X30" s="5">
        <v>667.0</v>
      </c>
      <c r="Y30" s="27">
        <v>0.2</v>
      </c>
      <c r="Z30" s="28">
        <v>533.6</v>
      </c>
      <c r="AA30" s="27">
        <v>1.0</v>
      </c>
      <c r="AB30" s="5" t="s">
        <v>78</v>
      </c>
      <c r="AC30" s="27">
        <v>0.65</v>
      </c>
      <c r="AD30" s="5"/>
      <c r="AE30" s="5" t="s">
        <v>81</v>
      </c>
      <c r="AF30" s="5" t="s">
        <v>81</v>
      </c>
      <c r="AG30" s="5">
        <v>1.0</v>
      </c>
      <c r="AH30" s="5">
        <v>1.0</v>
      </c>
      <c r="AI30" s="5" t="s">
        <v>347</v>
      </c>
      <c r="AJ30" s="5" t="s">
        <v>146</v>
      </c>
      <c r="AK30" s="30">
        <v>2500.0</v>
      </c>
      <c r="AL30" s="28">
        <v>2525.0</v>
      </c>
      <c r="AM30" s="28">
        <v>0.0</v>
      </c>
      <c r="AN30" s="28">
        <v>1600.0</v>
      </c>
      <c r="AO30" s="28">
        <v>0.0</v>
      </c>
      <c r="AP30" s="28">
        <v>1667500.0</v>
      </c>
      <c r="AQ30" s="28">
        <v>1442860.75</v>
      </c>
      <c r="AR30" s="28">
        <v>0.0</v>
      </c>
      <c r="AS30" s="28">
        <v>0.0</v>
      </c>
      <c r="AT30" s="28">
        <v>0.0</v>
      </c>
      <c r="AU30" s="28">
        <v>1334000.0</v>
      </c>
      <c r="AV30" s="28">
        <v>1112445.4551495016</v>
      </c>
      <c r="AW30" s="28">
        <v>0.0</v>
      </c>
      <c r="AX30" s="28">
        <v>710260.0</v>
      </c>
      <c r="AY30" s="28">
        <v>0.0</v>
      </c>
      <c r="AZ30" s="5"/>
      <c r="BA30" s="5" t="s">
        <v>86</v>
      </c>
      <c r="BB30" s="5" t="s">
        <v>87</v>
      </c>
      <c r="BC30" s="5" t="s">
        <v>88</v>
      </c>
      <c r="BD30" s="5" t="s">
        <v>126</v>
      </c>
      <c r="BE30" s="5" t="s">
        <v>128</v>
      </c>
      <c r="BF30" s="5" t="s">
        <v>130</v>
      </c>
      <c r="BG30" s="5" t="s">
        <v>131</v>
      </c>
    </row>
    <row r="31" ht="16.5" hidden="1" customHeight="1">
      <c r="A31" s="5" t="s">
        <v>100</v>
      </c>
      <c r="B31" s="5" t="s">
        <v>137</v>
      </c>
      <c r="C31" s="5" t="b">
        <v>1</v>
      </c>
      <c r="D31" s="5" t="s">
        <v>228</v>
      </c>
      <c r="E31" s="5" t="s">
        <v>230</v>
      </c>
      <c r="F31" s="5"/>
      <c r="G31" s="5" t="s">
        <v>65</v>
      </c>
      <c r="H31" s="5" t="s">
        <v>76</v>
      </c>
      <c r="I31" s="5" t="s">
        <v>82</v>
      </c>
      <c r="J31" s="25"/>
      <c r="K31" s="25"/>
      <c r="L31" s="25"/>
      <c r="M31" s="5" t="s">
        <v>66</v>
      </c>
      <c r="N31" s="5" t="s">
        <v>68</v>
      </c>
      <c r="O31" s="5" t="s">
        <v>69</v>
      </c>
      <c r="P31" s="5" t="s">
        <v>70</v>
      </c>
      <c r="Q31" s="5" t="s">
        <v>89</v>
      </c>
      <c r="R31" s="5" t="s">
        <v>110</v>
      </c>
      <c r="S31" s="5"/>
      <c r="T31" s="5"/>
      <c r="U31" s="5"/>
      <c r="V31" s="5">
        <v>4500.0</v>
      </c>
      <c r="W31" s="26">
        <v>2.1</v>
      </c>
      <c r="X31" s="5">
        <v>2143.0</v>
      </c>
      <c r="Y31" s="27">
        <v>0.2</v>
      </c>
      <c r="Z31" s="28">
        <v>1714.4</v>
      </c>
      <c r="AA31" s="27">
        <v>1.0</v>
      </c>
      <c r="AB31" s="5" t="s">
        <v>117</v>
      </c>
      <c r="AC31" s="27">
        <v>0.615</v>
      </c>
      <c r="AD31" s="5"/>
      <c r="AE31" s="5" t="s">
        <v>80</v>
      </c>
      <c r="AF31" s="5" t="s">
        <v>81</v>
      </c>
      <c r="AG31" s="5">
        <v>5.0</v>
      </c>
      <c r="AH31" s="5">
        <v>5.0</v>
      </c>
      <c r="AI31" s="5" t="s">
        <v>391</v>
      </c>
      <c r="AJ31" s="5" t="s">
        <v>0</v>
      </c>
      <c r="AK31" s="30">
        <v>3700.0</v>
      </c>
      <c r="AL31" s="28">
        <v>3931.0</v>
      </c>
      <c r="AM31" s="28">
        <v>2516.0</v>
      </c>
      <c r="AN31" s="28">
        <v>4202.0</v>
      </c>
      <c r="AO31" s="28">
        <v>2944.0</v>
      </c>
      <c r="AP31" s="28">
        <v>7929100.0</v>
      </c>
      <c r="AQ31" s="28">
        <v>8423582.659999998</v>
      </c>
      <c r="AR31" s="28">
        <v>6308992.0</v>
      </c>
      <c r="AS31" s="28">
        <v>0.0</v>
      </c>
      <c r="AT31" s="28">
        <v>6308992.0</v>
      </c>
      <c r="AU31" s="28">
        <v>6343280.0</v>
      </c>
      <c r="AV31" s="28">
        <v>6941242.703765227</v>
      </c>
      <c r="AW31" s="28">
        <v>3977695.164602001</v>
      </c>
      <c r="AX31" s="28">
        <v>7335526.014174973</v>
      </c>
      <c r="AY31" s="28">
        <v>5348195.516525</v>
      </c>
      <c r="AZ31" s="5"/>
      <c r="BA31" s="5" t="s">
        <v>125</v>
      </c>
      <c r="BB31" s="5" t="s">
        <v>127</v>
      </c>
      <c r="BC31" s="5" t="s">
        <v>237</v>
      </c>
      <c r="BD31" s="5" t="s">
        <v>68</v>
      </c>
      <c r="BE31" s="5" t="s">
        <v>89</v>
      </c>
      <c r="BF31" s="5" t="s">
        <v>90</v>
      </c>
      <c r="BG31" s="5" t="s">
        <v>91</v>
      </c>
    </row>
    <row r="32" ht="16.5" hidden="1" customHeight="1">
      <c r="A32" s="5" t="s">
        <v>100</v>
      </c>
      <c r="B32" s="5" t="s">
        <v>137</v>
      </c>
      <c r="C32" s="5" t="b">
        <v>1</v>
      </c>
      <c r="D32" s="5" t="s">
        <v>239</v>
      </c>
      <c r="E32" s="5" t="s">
        <v>241</v>
      </c>
      <c r="F32" s="5"/>
      <c r="G32" s="5" t="s">
        <v>65</v>
      </c>
      <c r="H32" s="5" t="s">
        <v>76</v>
      </c>
      <c r="I32" s="5" t="s">
        <v>82</v>
      </c>
      <c r="J32" s="25"/>
      <c r="K32" s="25"/>
      <c r="L32" s="25"/>
      <c r="M32" s="5" t="s">
        <v>66</v>
      </c>
      <c r="N32" s="5" t="s">
        <v>68</v>
      </c>
      <c r="O32" s="5" t="s">
        <v>69</v>
      </c>
      <c r="P32" s="5" t="s">
        <v>107</v>
      </c>
      <c r="Q32" s="5" t="s">
        <v>89</v>
      </c>
      <c r="R32" s="5" t="s">
        <v>110</v>
      </c>
      <c r="S32" s="5"/>
      <c r="T32" s="5"/>
      <c r="U32" s="5"/>
      <c r="V32" s="5">
        <v>4500.0</v>
      </c>
      <c r="W32" s="26">
        <v>2.1</v>
      </c>
      <c r="X32" s="5">
        <v>2143.0</v>
      </c>
      <c r="Y32" s="27">
        <v>0.2</v>
      </c>
      <c r="Z32" s="28">
        <v>1714.4</v>
      </c>
      <c r="AA32" s="27">
        <v>1.0</v>
      </c>
      <c r="AB32" s="5" t="s">
        <v>117</v>
      </c>
      <c r="AC32" s="27">
        <v>0.616</v>
      </c>
      <c r="AD32" s="5"/>
      <c r="AE32" s="5" t="s">
        <v>80</v>
      </c>
      <c r="AF32" s="5" t="s">
        <v>81</v>
      </c>
      <c r="AG32" s="5">
        <v>5.0</v>
      </c>
      <c r="AH32" s="5">
        <v>5.0</v>
      </c>
      <c r="AI32" s="5" t="s">
        <v>391</v>
      </c>
      <c r="AJ32" s="5" t="s">
        <v>0</v>
      </c>
      <c r="AK32" s="30">
        <v>3100.0</v>
      </c>
      <c r="AL32" s="28">
        <v>3272.0</v>
      </c>
      <c r="AM32" s="28">
        <v>2041.0</v>
      </c>
      <c r="AN32" s="28">
        <v>2693.0</v>
      </c>
      <c r="AO32" s="28">
        <v>1591.0</v>
      </c>
      <c r="AP32" s="28">
        <v>6643300.0</v>
      </c>
      <c r="AQ32" s="28">
        <v>7011437.919999998</v>
      </c>
      <c r="AR32" s="28">
        <v>3409513.0</v>
      </c>
      <c r="AS32" s="28">
        <v>0.0</v>
      </c>
      <c r="AT32" s="28">
        <v>3409513.0</v>
      </c>
      <c r="AU32" s="28">
        <v>5314640.0</v>
      </c>
      <c r="AV32" s="28">
        <v>5779169.810908085</v>
      </c>
      <c r="AW32" s="28">
        <v>3349112.366485001</v>
      </c>
      <c r="AX32" s="28">
        <v>4708139.838316722</v>
      </c>
      <c r="AY32" s="28">
        <v>2930006.227149999</v>
      </c>
      <c r="AZ32" s="5"/>
      <c r="BA32" s="5" t="s">
        <v>125</v>
      </c>
      <c r="BB32" s="5" t="s">
        <v>127</v>
      </c>
      <c r="BC32" s="5" t="s">
        <v>237</v>
      </c>
      <c r="BD32" s="5" t="s">
        <v>68</v>
      </c>
      <c r="BE32" s="5" t="s">
        <v>89</v>
      </c>
      <c r="BF32" s="5" t="s">
        <v>90</v>
      </c>
      <c r="BG32" s="5" t="s">
        <v>91</v>
      </c>
    </row>
    <row r="33" ht="16.5" hidden="1" customHeight="1">
      <c r="A33" s="5" t="s">
        <v>100</v>
      </c>
      <c r="B33" s="5" t="s">
        <v>215</v>
      </c>
      <c r="C33" s="5" t="b">
        <v>0</v>
      </c>
      <c r="D33" s="5" t="s">
        <v>400</v>
      </c>
      <c r="E33" s="5" t="s">
        <v>401</v>
      </c>
      <c r="F33" s="5"/>
      <c r="G33" s="5" t="s">
        <v>65</v>
      </c>
      <c r="H33" s="5" t="s">
        <v>76</v>
      </c>
      <c r="I33" s="5" t="s">
        <v>218</v>
      </c>
      <c r="J33" s="25" t="s">
        <v>219</v>
      </c>
      <c r="K33" s="25"/>
      <c r="L33" s="25"/>
      <c r="M33" s="5" t="s">
        <v>66</v>
      </c>
      <c r="N33" s="5" t="s">
        <v>248</v>
      </c>
      <c r="O33" s="5" t="s">
        <v>69</v>
      </c>
      <c r="P33" s="5" t="s">
        <v>249</v>
      </c>
      <c r="Q33" s="5" t="s">
        <v>291</v>
      </c>
      <c r="R33" s="5" t="s">
        <v>23</v>
      </c>
      <c r="S33" s="5"/>
      <c r="T33" s="5"/>
      <c r="U33" s="5"/>
      <c r="V33" s="5">
        <v>300.0</v>
      </c>
      <c r="W33" s="26">
        <v>2.1</v>
      </c>
      <c r="X33" s="5">
        <v>143.0</v>
      </c>
      <c r="Y33" s="27">
        <v>0.0</v>
      </c>
      <c r="Z33" s="28">
        <v>143.0</v>
      </c>
      <c r="AA33" s="27">
        <v>1.0</v>
      </c>
      <c r="AB33" s="5" t="s">
        <v>78</v>
      </c>
      <c r="AC33" s="27"/>
      <c r="AD33" s="5"/>
      <c r="AE33" s="5" t="s">
        <v>81</v>
      </c>
      <c r="AF33" s="5" t="s">
        <v>81</v>
      </c>
      <c r="AG33" s="5"/>
      <c r="AH33" s="5">
        <v>5.0</v>
      </c>
      <c r="AI33" s="5" t="s">
        <v>404</v>
      </c>
      <c r="AJ33" s="5" t="s">
        <v>0</v>
      </c>
      <c r="AK33" s="30"/>
      <c r="AL33" s="28">
        <v>0.0</v>
      </c>
      <c r="AM33" s="28">
        <v>0.0</v>
      </c>
      <c r="AN33" s="28">
        <v>5966.0</v>
      </c>
      <c r="AO33" s="28">
        <v>0.0</v>
      </c>
      <c r="AP33" s="28">
        <v>0.0</v>
      </c>
      <c r="AQ33" s="28">
        <v>0.0</v>
      </c>
      <c r="AR33" s="28">
        <v>0.0</v>
      </c>
      <c r="AS33" s="28">
        <v>0.0</v>
      </c>
      <c r="AT33" s="28">
        <v>0.0</v>
      </c>
      <c r="AU33" s="28">
        <v>0.0</v>
      </c>
      <c r="AV33" s="28">
        <v>0.0</v>
      </c>
      <c r="AW33" s="28">
        <v>0.0</v>
      </c>
      <c r="AX33" s="28">
        <v>664971.9208194906</v>
      </c>
      <c r="AY33" s="28">
        <v>0.0</v>
      </c>
      <c r="AZ33" s="5" t="s">
        <v>124</v>
      </c>
      <c r="BA33" s="5" t="s">
        <v>125</v>
      </c>
      <c r="BB33" s="5" t="s">
        <v>127</v>
      </c>
      <c r="BD33" s="5" t="s">
        <v>248</v>
      </c>
      <c r="BE33" s="5" t="s">
        <v>253</v>
      </c>
      <c r="BF33" s="5" t="s">
        <v>291</v>
      </c>
      <c r="BG33" s="5" t="s">
        <v>131</v>
      </c>
    </row>
    <row r="34" ht="16.5" hidden="1" customHeight="1">
      <c r="A34" s="5" t="s">
        <v>100</v>
      </c>
      <c r="B34" s="5" t="s">
        <v>215</v>
      </c>
      <c r="C34" s="5" t="b">
        <v>0</v>
      </c>
      <c r="D34" s="5" t="s">
        <v>353</v>
      </c>
      <c r="E34" s="5" t="s">
        <v>354</v>
      </c>
      <c r="F34" s="5"/>
      <c r="G34" s="5" t="s">
        <v>65</v>
      </c>
      <c r="H34" s="5" t="s">
        <v>76</v>
      </c>
      <c r="I34" s="5" t="s">
        <v>106</v>
      </c>
      <c r="J34" s="25" t="s">
        <v>267</v>
      </c>
      <c r="K34" s="25"/>
      <c r="L34" s="25" t="s">
        <v>156</v>
      </c>
      <c r="M34" s="5" t="s">
        <v>66</v>
      </c>
      <c r="N34" s="5" t="s">
        <v>355</v>
      </c>
      <c r="O34" s="5" t="s">
        <v>141</v>
      </c>
      <c r="P34" s="5" t="s">
        <v>70</v>
      </c>
      <c r="Q34" s="5" t="s">
        <v>282</v>
      </c>
      <c r="R34" s="5" t="s">
        <v>110</v>
      </c>
      <c r="S34" s="5"/>
      <c r="T34" s="5"/>
      <c r="U34" s="5"/>
      <c r="V34" s="5">
        <v>2200.0</v>
      </c>
      <c r="W34" s="26">
        <v>2.1</v>
      </c>
      <c r="X34" s="5">
        <v>1048.0</v>
      </c>
      <c r="Y34" s="27">
        <v>0.0</v>
      </c>
      <c r="Z34" s="28">
        <v>1048.0</v>
      </c>
      <c r="AA34" s="27">
        <v>1.0</v>
      </c>
      <c r="AB34" s="5" t="s">
        <v>78</v>
      </c>
      <c r="AC34" s="27"/>
      <c r="AD34" s="5"/>
      <c r="AE34" s="5" t="s">
        <v>198</v>
      </c>
      <c r="AF34" s="5" t="s">
        <v>81</v>
      </c>
      <c r="AG34" s="5"/>
      <c r="AH34" s="5">
        <v>4.0</v>
      </c>
      <c r="AI34" s="5" t="s">
        <v>409</v>
      </c>
      <c r="AJ34" s="5" t="s">
        <v>156</v>
      </c>
      <c r="AK34" s="30"/>
      <c r="AL34" s="28">
        <v>0.0</v>
      </c>
      <c r="AM34" s="28">
        <v>0.0</v>
      </c>
      <c r="AN34" s="28">
        <v>60.0</v>
      </c>
      <c r="AO34" s="28">
        <v>0.0</v>
      </c>
      <c r="AP34" s="28">
        <v>0.0</v>
      </c>
      <c r="AQ34" s="28">
        <v>0.0</v>
      </c>
      <c r="AR34" s="28">
        <v>0.0</v>
      </c>
      <c r="AS34" s="28">
        <v>0.0</v>
      </c>
      <c r="AT34" s="28">
        <v>0.0</v>
      </c>
      <c r="AU34" s="28">
        <v>0.0</v>
      </c>
      <c r="AV34" s="28">
        <v>0.0</v>
      </c>
      <c r="AW34" s="28">
        <v>0.0</v>
      </c>
      <c r="AX34" s="28">
        <v>47141.999999999985</v>
      </c>
      <c r="AY34" s="28">
        <v>0.0</v>
      </c>
      <c r="AZ34" s="5" t="s">
        <v>124</v>
      </c>
      <c r="BA34" s="5" t="s">
        <v>125</v>
      </c>
      <c r="BB34" s="5" t="s">
        <v>127</v>
      </c>
      <c r="BD34" s="5" t="s">
        <v>355</v>
      </c>
      <c r="BE34" s="5" t="s">
        <v>161</v>
      </c>
      <c r="BF34" s="5" t="s">
        <v>367</v>
      </c>
      <c r="BG34" s="5" t="s">
        <v>131</v>
      </c>
    </row>
    <row r="35" ht="16.5" hidden="1" customHeight="1">
      <c r="A35" s="5" t="s">
        <v>100</v>
      </c>
      <c r="B35" s="5" t="s">
        <v>215</v>
      </c>
      <c r="C35" s="5" t="b">
        <v>0</v>
      </c>
      <c r="D35" s="5" t="s">
        <v>370</v>
      </c>
      <c r="E35" s="5" t="s">
        <v>371</v>
      </c>
      <c r="F35" s="5"/>
      <c r="G35" s="5" t="s">
        <v>65</v>
      </c>
      <c r="H35" s="5" t="s">
        <v>76</v>
      </c>
      <c r="I35" s="5" t="s">
        <v>106</v>
      </c>
      <c r="J35" s="25" t="s">
        <v>267</v>
      </c>
      <c r="K35" s="25"/>
      <c r="L35" s="25" t="s">
        <v>156</v>
      </c>
      <c r="M35" s="5" t="s">
        <v>66</v>
      </c>
      <c r="N35" s="5" t="s">
        <v>355</v>
      </c>
      <c r="O35" s="5" t="s">
        <v>141</v>
      </c>
      <c r="P35" s="5" t="s">
        <v>107</v>
      </c>
      <c r="Q35" s="5" t="s">
        <v>282</v>
      </c>
      <c r="R35" s="5" t="s">
        <v>110</v>
      </c>
      <c r="S35" s="5"/>
      <c r="T35" s="5"/>
      <c r="U35" s="5"/>
      <c r="V35" s="5">
        <v>2200.0</v>
      </c>
      <c r="W35" s="26">
        <v>2.1</v>
      </c>
      <c r="X35" s="5">
        <v>1048.0</v>
      </c>
      <c r="Y35" s="27">
        <v>0.0</v>
      </c>
      <c r="Z35" s="28">
        <v>1048.0</v>
      </c>
      <c r="AA35" s="27">
        <v>1.0</v>
      </c>
      <c r="AB35" s="5" t="s">
        <v>78</v>
      </c>
      <c r="AC35" s="27"/>
      <c r="AD35" s="5"/>
      <c r="AE35" s="5" t="s">
        <v>198</v>
      </c>
      <c r="AF35" s="5" t="s">
        <v>81</v>
      </c>
      <c r="AG35" s="5"/>
      <c r="AH35" s="5">
        <v>3.0</v>
      </c>
      <c r="AI35" s="5" t="s">
        <v>418</v>
      </c>
      <c r="AJ35" s="5" t="s">
        <v>156</v>
      </c>
      <c r="AK35" s="30"/>
      <c r="AL35" s="28">
        <v>0.0</v>
      </c>
      <c r="AM35" s="28">
        <v>0.0</v>
      </c>
      <c r="AN35" s="28">
        <v>60.0</v>
      </c>
      <c r="AO35" s="28">
        <v>0.0</v>
      </c>
      <c r="AP35" s="28">
        <v>0.0</v>
      </c>
      <c r="AQ35" s="28">
        <v>0.0</v>
      </c>
      <c r="AR35" s="28">
        <v>0.0</v>
      </c>
      <c r="AS35" s="28">
        <v>0.0</v>
      </c>
      <c r="AT35" s="28">
        <v>0.0</v>
      </c>
      <c r="AU35" s="28">
        <v>0.0</v>
      </c>
      <c r="AV35" s="28">
        <v>0.0</v>
      </c>
      <c r="AW35" s="28">
        <v>0.0</v>
      </c>
      <c r="AX35" s="28">
        <v>47141.999999999985</v>
      </c>
      <c r="AY35" s="28">
        <v>0.0</v>
      </c>
      <c r="AZ35" s="5" t="s">
        <v>124</v>
      </c>
      <c r="BA35" s="5" t="s">
        <v>125</v>
      </c>
      <c r="BB35" s="5" t="s">
        <v>127</v>
      </c>
      <c r="BD35" s="5" t="s">
        <v>355</v>
      </c>
      <c r="BE35" s="5" t="s">
        <v>161</v>
      </c>
      <c r="BF35" s="5" t="s">
        <v>367</v>
      </c>
      <c r="BG35" s="5" t="s">
        <v>131</v>
      </c>
    </row>
    <row r="36" ht="16.5" hidden="1" customHeight="1">
      <c r="A36" s="5" t="s">
        <v>100</v>
      </c>
      <c r="B36" s="5" t="s">
        <v>215</v>
      </c>
      <c r="C36" s="5" t="b">
        <v>0</v>
      </c>
      <c r="D36" s="5" t="s">
        <v>382</v>
      </c>
      <c r="E36" s="5" t="s">
        <v>383</v>
      </c>
      <c r="F36" s="5"/>
      <c r="G36" s="5" t="s">
        <v>65</v>
      </c>
      <c r="H36" s="5" t="s">
        <v>76</v>
      </c>
      <c r="I36" s="5" t="s">
        <v>106</v>
      </c>
      <c r="J36" s="25" t="s">
        <v>267</v>
      </c>
      <c r="K36" s="25"/>
      <c r="L36" s="25" t="s">
        <v>156</v>
      </c>
      <c r="M36" s="5" t="s">
        <v>66</v>
      </c>
      <c r="N36" s="5" t="s">
        <v>355</v>
      </c>
      <c r="O36" s="5" t="s">
        <v>141</v>
      </c>
      <c r="P36" s="5" t="s">
        <v>70</v>
      </c>
      <c r="Q36" s="5" t="s">
        <v>89</v>
      </c>
      <c r="R36" s="5" t="s">
        <v>110</v>
      </c>
      <c r="S36" s="5"/>
      <c r="T36" s="5"/>
      <c r="U36" s="5"/>
      <c r="V36" s="5">
        <v>2000.0</v>
      </c>
      <c r="W36" s="26">
        <v>2.1</v>
      </c>
      <c r="X36" s="5">
        <v>952.0</v>
      </c>
      <c r="Y36" s="27">
        <v>0.0</v>
      </c>
      <c r="Z36" s="28">
        <v>952.0</v>
      </c>
      <c r="AA36" s="27">
        <v>1.0</v>
      </c>
      <c r="AB36" s="5" t="s">
        <v>78</v>
      </c>
      <c r="AC36" s="27"/>
      <c r="AD36" s="5"/>
      <c r="AE36" s="5" t="s">
        <v>198</v>
      </c>
      <c r="AF36" s="5" t="s">
        <v>81</v>
      </c>
      <c r="AG36" s="5"/>
      <c r="AH36" s="5">
        <v>4.0</v>
      </c>
      <c r="AI36" s="5" t="s">
        <v>425</v>
      </c>
      <c r="AJ36" s="5" t="s">
        <v>156</v>
      </c>
      <c r="AK36" s="52"/>
      <c r="AL36" s="28">
        <v>0.0</v>
      </c>
      <c r="AM36" s="28">
        <v>0.0</v>
      </c>
      <c r="AN36" s="28">
        <v>40.0</v>
      </c>
      <c r="AO36" s="28">
        <v>1000.0</v>
      </c>
      <c r="AP36" s="28">
        <v>0.0</v>
      </c>
      <c r="AQ36" s="28">
        <v>0.0</v>
      </c>
      <c r="AR36" s="28">
        <v>952000.0</v>
      </c>
      <c r="AS36" s="28">
        <v>0.0</v>
      </c>
      <c r="AT36" s="28">
        <v>952000.0</v>
      </c>
      <c r="AU36" s="28">
        <v>0.0</v>
      </c>
      <c r="AV36" s="28">
        <v>0.0</v>
      </c>
      <c r="AW36" s="28">
        <v>0.0</v>
      </c>
      <c r="AX36" s="28">
        <v>29100.0</v>
      </c>
      <c r="AY36" s="28">
        <v>571000.0</v>
      </c>
      <c r="AZ36" s="5" t="s">
        <v>124</v>
      </c>
      <c r="BA36" s="5" t="s">
        <v>125</v>
      </c>
      <c r="BB36" s="5" t="s">
        <v>127</v>
      </c>
      <c r="BD36" s="5" t="s">
        <v>355</v>
      </c>
      <c r="BE36" s="5" t="s">
        <v>89</v>
      </c>
      <c r="BF36" s="5" t="s">
        <v>367</v>
      </c>
      <c r="BG36" s="5" t="s">
        <v>131</v>
      </c>
    </row>
    <row r="37" ht="16.5" hidden="1" customHeight="1">
      <c r="A37" s="5" t="s">
        <v>100</v>
      </c>
      <c r="B37" s="5" t="s">
        <v>215</v>
      </c>
      <c r="C37" s="5" t="b">
        <v>0</v>
      </c>
      <c r="D37" s="5" t="s">
        <v>394</v>
      </c>
      <c r="E37" s="5" t="s">
        <v>395</v>
      </c>
      <c r="F37" s="5"/>
      <c r="G37" s="5" t="s">
        <v>65</v>
      </c>
      <c r="H37" s="5" t="s">
        <v>76</v>
      </c>
      <c r="I37" s="5" t="s">
        <v>106</v>
      </c>
      <c r="J37" s="25" t="s">
        <v>267</v>
      </c>
      <c r="K37" s="25"/>
      <c r="L37" s="25" t="s">
        <v>156</v>
      </c>
      <c r="M37" s="5" t="s">
        <v>66</v>
      </c>
      <c r="N37" s="5" t="s">
        <v>355</v>
      </c>
      <c r="O37" s="5" t="s">
        <v>141</v>
      </c>
      <c r="P37" s="5" t="s">
        <v>107</v>
      </c>
      <c r="Q37" s="5" t="s">
        <v>89</v>
      </c>
      <c r="R37" s="5" t="s">
        <v>110</v>
      </c>
      <c r="S37" s="5"/>
      <c r="T37" s="5"/>
      <c r="U37" s="5"/>
      <c r="V37" s="5">
        <v>2000.0</v>
      </c>
      <c r="W37" s="26">
        <v>2.1</v>
      </c>
      <c r="X37" s="5">
        <v>952.0</v>
      </c>
      <c r="Y37" s="27">
        <v>0.0</v>
      </c>
      <c r="Z37" s="28">
        <v>952.0</v>
      </c>
      <c r="AA37" s="27">
        <v>1.0</v>
      </c>
      <c r="AB37" s="5" t="s">
        <v>78</v>
      </c>
      <c r="AC37" s="27"/>
      <c r="AD37" s="5"/>
      <c r="AE37" s="5" t="s">
        <v>198</v>
      </c>
      <c r="AF37" s="5" t="s">
        <v>81</v>
      </c>
      <c r="AG37" s="5"/>
      <c r="AH37" s="5">
        <v>4.0</v>
      </c>
      <c r="AI37" s="5" t="s">
        <v>435</v>
      </c>
      <c r="AJ37" s="5" t="s">
        <v>156</v>
      </c>
      <c r="AK37" s="30"/>
      <c r="AL37" s="28">
        <v>0.0</v>
      </c>
      <c r="AM37" s="28">
        <v>0.0</v>
      </c>
      <c r="AN37" s="28">
        <v>40.0</v>
      </c>
      <c r="AO37" s="28">
        <v>1000.0</v>
      </c>
      <c r="AP37" s="28">
        <v>0.0</v>
      </c>
      <c r="AQ37" s="28">
        <v>0.0</v>
      </c>
      <c r="AR37" s="28">
        <v>952000.0</v>
      </c>
      <c r="AS37" s="28">
        <v>0.0</v>
      </c>
      <c r="AT37" s="28">
        <v>952000.0</v>
      </c>
      <c r="AU37" s="28">
        <v>0.0</v>
      </c>
      <c r="AV37" s="28">
        <v>0.0</v>
      </c>
      <c r="AW37" s="28">
        <v>0.0</v>
      </c>
      <c r="AX37" s="28">
        <v>29100.0</v>
      </c>
      <c r="AY37" s="28">
        <v>571000.0</v>
      </c>
      <c r="AZ37" s="5" t="s">
        <v>124</v>
      </c>
      <c r="BA37" s="5" t="s">
        <v>125</v>
      </c>
      <c r="BB37" s="5" t="s">
        <v>127</v>
      </c>
      <c r="BD37" s="5" t="s">
        <v>355</v>
      </c>
      <c r="BE37" s="5" t="s">
        <v>89</v>
      </c>
      <c r="BF37" s="5" t="s">
        <v>367</v>
      </c>
      <c r="BG37" s="5" t="s">
        <v>131</v>
      </c>
    </row>
    <row r="38" ht="16.5" hidden="1" customHeight="1">
      <c r="A38" s="5" t="s">
        <v>100</v>
      </c>
      <c r="B38" s="5" t="s">
        <v>137</v>
      </c>
      <c r="C38" s="5" t="b">
        <v>1</v>
      </c>
      <c r="D38" s="5" t="s">
        <v>245</v>
      </c>
      <c r="E38" s="5" t="s">
        <v>246</v>
      </c>
      <c r="F38" s="5"/>
      <c r="G38" s="5" t="s">
        <v>65</v>
      </c>
      <c r="H38" s="5" t="s">
        <v>76</v>
      </c>
      <c r="I38" s="5" t="s">
        <v>82</v>
      </c>
      <c r="J38" s="25"/>
      <c r="K38" s="25"/>
      <c r="L38" s="25"/>
      <c r="M38" s="5" t="s">
        <v>247</v>
      </c>
      <c r="N38" s="5" t="s">
        <v>248</v>
      </c>
      <c r="O38" s="5" t="s">
        <v>69</v>
      </c>
      <c r="P38" s="5" t="s">
        <v>249</v>
      </c>
      <c r="Q38" s="5" t="s">
        <v>254</v>
      </c>
      <c r="R38" s="5" t="s">
        <v>23</v>
      </c>
      <c r="S38" s="5"/>
      <c r="T38" s="5"/>
      <c r="U38" s="5"/>
      <c r="V38" s="5">
        <v>450.0</v>
      </c>
      <c r="W38" s="26">
        <v>2.1</v>
      </c>
      <c r="X38" s="5">
        <v>214.0</v>
      </c>
      <c r="Y38" s="27">
        <v>0.2</v>
      </c>
      <c r="Z38" s="28">
        <v>171.20000000000002</v>
      </c>
      <c r="AA38" s="27">
        <v>1.0</v>
      </c>
      <c r="AB38" s="5" t="s">
        <v>117</v>
      </c>
      <c r="AC38" s="27">
        <v>0.613</v>
      </c>
      <c r="AD38" s="5"/>
      <c r="AE38" s="5" t="s">
        <v>81</v>
      </c>
      <c r="AF38" s="5" t="s">
        <v>81</v>
      </c>
      <c r="AG38" s="5">
        <v>6.0</v>
      </c>
      <c r="AH38" s="5">
        <v>6.0</v>
      </c>
      <c r="AI38" s="5" t="s">
        <v>442</v>
      </c>
      <c r="AJ38" s="5" t="s">
        <v>0</v>
      </c>
      <c r="AK38" s="30">
        <v>4000.0</v>
      </c>
      <c r="AL38" s="28">
        <v>4038.0</v>
      </c>
      <c r="AM38" s="28">
        <v>2901.0</v>
      </c>
      <c r="AN38" s="28">
        <v>688.0</v>
      </c>
      <c r="AO38" s="28">
        <v>580.0</v>
      </c>
      <c r="AP38" s="28">
        <v>856000.0</v>
      </c>
      <c r="AQ38" s="28">
        <v>865303.02</v>
      </c>
      <c r="AR38" s="28">
        <v>124120.0</v>
      </c>
      <c r="AS38" s="28">
        <v>0.0</v>
      </c>
      <c r="AT38" s="28">
        <v>124120.0</v>
      </c>
      <c r="AU38" s="28">
        <v>684800.0000000001</v>
      </c>
      <c r="AV38" s="28">
        <v>701135.7078183835</v>
      </c>
      <c r="AW38" s="28">
        <v>547336.0314094998</v>
      </c>
      <c r="AX38" s="28">
        <v>132974.2142857143</v>
      </c>
      <c r="AY38" s="28">
        <v>113812.42109999998</v>
      </c>
      <c r="AZ38" s="5"/>
      <c r="BA38" s="5" t="s">
        <v>125</v>
      </c>
      <c r="BB38" s="5" t="s">
        <v>127</v>
      </c>
      <c r="BD38" s="5" t="s">
        <v>248</v>
      </c>
      <c r="BE38" s="5" t="s">
        <v>253</v>
      </c>
      <c r="BF38" s="5" t="s">
        <v>254</v>
      </c>
      <c r="BG38" s="5" t="s">
        <v>131</v>
      </c>
    </row>
    <row r="39" ht="16.5" hidden="1" customHeight="1">
      <c r="A39" s="5" t="s">
        <v>100</v>
      </c>
      <c r="B39" s="5" t="s">
        <v>215</v>
      </c>
      <c r="C39" s="5" t="b">
        <v>0</v>
      </c>
      <c r="D39" s="5" t="s">
        <v>444</v>
      </c>
      <c r="E39" s="5" t="s">
        <v>445</v>
      </c>
      <c r="F39" s="5"/>
      <c r="G39" s="5" t="s">
        <v>65</v>
      </c>
      <c r="H39" s="5" t="s">
        <v>76</v>
      </c>
      <c r="I39" s="5" t="s">
        <v>218</v>
      </c>
      <c r="J39" s="25" t="s">
        <v>219</v>
      </c>
      <c r="K39" s="25"/>
      <c r="L39" s="25"/>
      <c r="M39" s="5" t="s">
        <v>66</v>
      </c>
      <c r="N39" s="5" t="s">
        <v>355</v>
      </c>
      <c r="O39" s="5" t="s">
        <v>69</v>
      </c>
      <c r="P39" s="5" t="s">
        <v>70</v>
      </c>
      <c r="Q39" s="5" t="s">
        <v>282</v>
      </c>
      <c r="R39" s="5" t="s">
        <v>110</v>
      </c>
      <c r="S39" s="5"/>
      <c r="T39" s="5"/>
      <c r="U39" s="5"/>
      <c r="V39" s="5">
        <v>2600.0</v>
      </c>
      <c r="W39" s="26">
        <v>2.1</v>
      </c>
      <c r="X39" s="5">
        <v>1238.0</v>
      </c>
      <c r="Y39" s="27">
        <v>0.0</v>
      </c>
      <c r="Z39" s="28">
        <v>1238.0</v>
      </c>
      <c r="AA39" s="27">
        <v>1.0</v>
      </c>
      <c r="AB39" s="5" t="s">
        <v>78</v>
      </c>
      <c r="AC39" s="27"/>
      <c r="AD39" s="26"/>
      <c r="AE39" s="5" t="s">
        <v>198</v>
      </c>
      <c r="AF39" s="5" t="s">
        <v>81</v>
      </c>
      <c r="AG39" s="5"/>
      <c r="AH39" s="5">
        <v>3.0</v>
      </c>
      <c r="AI39" s="5" t="s">
        <v>451</v>
      </c>
      <c r="AJ39" s="5" t="s">
        <v>146</v>
      </c>
      <c r="AK39" s="30"/>
      <c r="AL39" s="28">
        <v>0.0</v>
      </c>
      <c r="AM39" s="28">
        <v>0.0</v>
      </c>
      <c r="AN39" s="28">
        <v>1375.0</v>
      </c>
      <c r="AO39" s="28">
        <v>1083.0</v>
      </c>
      <c r="AP39" s="28">
        <v>0.0</v>
      </c>
      <c r="AQ39" s="28">
        <v>0.0</v>
      </c>
      <c r="AR39" s="28">
        <v>1340754.0</v>
      </c>
      <c r="AS39" s="28">
        <v>0.0</v>
      </c>
      <c r="AT39" s="28">
        <v>1340754.0</v>
      </c>
      <c r="AU39" s="28">
        <v>0.0</v>
      </c>
      <c r="AV39" s="28">
        <v>0.0</v>
      </c>
      <c r="AW39" s="28">
        <v>0.0</v>
      </c>
      <c r="AX39" s="28">
        <v>1473835.5437430788</v>
      </c>
      <c r="AY39" s="28">
        <v>1142469.9533000002</v>
      </c>
      <c r="AZ39" s="5" t="s">
        <v>124</v>
      </c>
      <c r="BA39" s="5" t="s">
        <v>125</v>
      </c>
      <c r="BB39" s="5" t="s">
        <v>127</v>
      </c>
      <c r="BC39" s="32" t="s">
        <v>454</v>
      </c>
      <c r="BD39" s="5" t="s">
        <v>355</v>
      </c>
      <c r="BE39" s="5" t="s">
        <v>161</v>
      </c>
      <c r="BF39" s="5" t="s">
        <v>367</v>
      </c>
      <c r="BG39" s="5" t="s">
        <v>131</v>
      </c>
    </row>
    <row r="40" ht="16.5" hidden="1" customHeight="1">
      <c r="A40" s="5" t="s">
        <v>100</v>
      </c>
      <c r="B40" s="5" t="s">
        <v>215</v>
      </c>
      <c r="C40" s="5" t="b">
        <v>0</v>
      </c>
      <c r="D40" s="5" t="s">
        <v>455</v>
      </c>
      <c r="E40" s="5" t="s">
        <v>456</v>
      </c>
      <c r="F40" s="5"/>
      <c r="G40" s="5" t="s">
        <v>65</v>
      </c>
      <c r="H40" s="5" t="s">
        <v>76</v>
      </c>
      <c r="I40" s="5" t="s">
        <v>218</v>
      </c>
      <c r="J40" s="25" t="s">
        <v>219</v>
      </c>
      <c r="K40" s="25"/>
      <c r="L40" s="25"/>
      <c r="M40" s="5" t="s">
        <v>66</v>
      </c>
      <c r="N40" s="5" t="s">
        <v>355</v>
      </c>
      <c r="O40" s="5" t="s">
        <v>69</v>
      </c>
      <c r="P40" s="5" t="s">
        <v>107</v>
      </c>
      <c r="Q40" s="5" t="s">
        <v>282</v>
      </c>
      <c r="R40" s="5" t="s">
        <v>110</v>
      </c>
      <c r="S40" s="5"/>
      <c r="T40" s="5"/>
      <c r="U40" s="5"/>
      <c r="V40" s="5">
        <v>2600.0</v>
      </c>
      <c r="W40" s="26">
        <v>2.1</v>
      </c>
      <c r="X40" s="5">
        <v>1238.0</v>
      </c>
      <c r="Y40" s="27">
        <v>0.0</v>
      </c>
      <c r="Z40" s="28">
        <v>1238.0</v>
      </c>
      <c r="AA40" s="27">
        <v>1.0</v>
      </c>
      <c r="AB40" s="5" t="s">
        <v>78</v>
      </c>
      <c r="AC40" s="27"/>
      <c r="AD40" s="26"/>
      <c r="AE40" s="5" t="s">
        <v>198</v>
      </c>
      <c r="AF40" s="5" t="s">
        <v>81</v>
      </c>
      <c r="AG40" s="5"/>
      <c r="AH40" s="5">
        <v>3.0</v>
      </c>
      <c r="AI40" s="5" t="s">
        <v>460</v>
      </c>
      <c r="AJ40" s="5" t="s">
        <v>146</v>
      </c>
      <c r="AK40" s="30"/>
      <c r="AL40" s="28">
        <v>0.0</v>
      </c>
      <c r="AM40" s="28">
        <v>0.0</v>
      </c>
      <c r="AN40" s="28">
        <v>1204.0</v>
      </c>
      <c r="AO40" s="28">
        <v>1107.0</v>
      </c>
      <c r="AP40" s="28">
        <v>0.0</v>
      </c>
      <c r="AQ40" s="28">
        <v>0.0</v>
      </c>
      <c r="AR40" s="28">
        <v>1370466.0</v>
      </c>
      <c r="AS40" s="28">
        <v>0.0</v>
      </c>
      <c r="AT40" s="28">
        <v>1370466.0</v>
      </c>
      <c r="AU40" s="28">
        <v>0.0</v>
      </c>
      <c r="AV40" s="28">
        <v>0.0</v>
      </c>
      <c r="AW40" s="28">
        <v>0.0</v>
      </c>
      <c r="AX40" s="28">
        <v>1304800.668881506</v>
      </c>
      <c r="AY40" s="28">
        <v>1123400.5719</v>
      </c>
      <c r="AZ40" s="5" t="s">
        <v>124</v>
      </c>
      <c r="BA40" s="5" t="s">
        <v>125</v>
      </c>
      <c r="BB40" s="5" t="s">
        <v>127</v>
      </c>
      <c r="BC40" s="32" t="s">
        <v>454</v>
      </c>
      <c r="BD40" s="5" t="s">
        <v>355</v>
      </c>
      <c r="BE40" s="5" t="s">
        <v>161</v>
      </c>
      <c r="BF40" s="5" t="s">
        <v>367</v>
      </c>
      <c r="BG40" s="5" t="s">
        <v>131</v>
      </c>
    </row>
    <row r="41" ht="16.5" hidden="1" customHeight="1">
      <c r="A41" s="5" t="s">
        <v>100</v>
      </c>
      <c r="B41" s="5" t="s">
        <v>137</v>
      </c>
      <c r="C41" s="5" t="b">
        <v>1</v>
      </c>
      <c r="D41" s="5" t="s">
        <v>256</v>
      </c>
      <c r="E41" s="5" t="s">
        <v>258</v>
      </c>
      <c r="F41" s="5"/>
      <c r="G41" s="5" t="s">
        <v>65</v>
      </c>
      <c r="H41" s="5" t="s">
        <v>76</v>
      </c>
      <c r="I41" s="5" t="s">
        <v>82</v>
      </c>
      <c r="J41" s="25"/>
      <c r="K41" s="25"/>
      <c r="L41" s="25"/>
      <c r="M41" s="5" t="s">
        <v>66</v>
      </c>
      <c r="N41" s="5" t="s">
        <v>68</v>
      </c>
      <c r="O41" s="5" t="s">
        <v>69</v>
      </c>
      <c r="P41" s="5" t="s">
        <v>70</v>
      </c>
      <c r="Q41" s="5" t="s">
        <v>89</v>
      </c>
      <c r="R41" s="5" t="s">
        <v>110</v>
      </c>
      <c r="S41" s="5"/>
      <c r="T41" s="5"/>
      <c r="U41" s="5"/>
      <c r="V41" s="5">
        <v>2000.0</v>
      </c>
      <c r="W41" s="26">
        <v>2.1</v>
      </c>
      <c r="X41" s="5">
        <v>952.0</v>
      </c>
      <c r="Y41" s="27">
        <v>0.2</v>
      </c>
      <c r="Z41" s="28">
        <v>761.6</v>
      </c>
      <c r="AA41" s="27">
        <v>1.0</v>
      </c>
      <c r="AB41" s="5" t="s">
        <v>78</v>
      </c>
      <c r="AC41" s="27">
        <v>0.6</v>
      </c>
      <c r="AD41" s="5"/>
      <c r="AE41" s="5" t="s">
        <v>166</v>
      </c>
      <c r="AF41" s="5" t="s">
        <v>81</v>
      </c>
      <c r="AG41" s="5">
        <v>5.0</v>
      </c>
      <c r="AH41" s="5">
        <v>5.0</v>
      </c>
      <c r="AI41" s="5" t="s">
        <v>464</v>
      </c>
      <c r="AJ41" s="5" t="s">
        <v>0</v>
      </c>
      <c r="AK41" s="30">
        <v>5500.0</v>
      </c>
      <c r="AL41" s="28">
        <v>5969.0</v>
      </c>
      <c r="AM41" s="28">
        <v>4019.0</v>
      </c>
      <c r="AN41" s="28">
        <v>3746.0</v>
      </c>
      <c r="AO41" s="28">
        <v>2710.0</v>
      </c>
      <c r="AP41" s="28">
        <v>5236000.0</v>
      </c>
      <c r="AQ41" s="28">
        <v>5684756.22</v>
      </c>
      <c r="AR41" s="28">
        <v>2579920.0</v>
      </c>
      <c r="AS41" s="28">
        <v>0.0</v>
      </c>
      <c r="AT41" s="28">
        <v>2579920.0</v>
      </c>
      <c r="AU41" s="28">
        <v>4188800.0</v>
      </c>
      <c r="AV41" s="28">
        <v>4220635.482834994</v>
      </c>
      <c r="AW41" s="28">
        <v>2784798.263430001</v>
      </c>
      <c r="AX41" s="28">
        <v>2814178.614950166</v>
      </c>
      <c r="AY41" s="28">
        <v>2086447.7810499994</v>
      </c>
      <c r="AZ41" s="5"/>
      <c r="BA41" s="5" t="s">
        <v>125</v>
      </c>
      <c r="BB41" s="5" t="s">
        <v>174</v>
      </c>
      <c r="BC41" s="32" t="s">
        <v>264</v>
      </c>
      <c r="BD41" s="5" t="s">
        <v>68</v>
      </c>
      <c r="BE41" s="5" t="s">
        <v>89</v>
      </c>
      <c r="BF41" s="5" t="s">
        <v>90</v>
      </c>
      <c r="BG41" s="5" t="s">
        <v>91</v>
      </c>
    </row>
    <row r="42" ht="16.5" hidden="1" customHeight="1">
      <c r="A42" s="5" t="s">
        <v>100</v>
      </c>
      <c r="B42" s="35" t="s">
        <v>137</v>
      </c>
      <c r="C42" s="35" t="b">
        <v>1</v>
      </c>
      <c r="D42" s="35" t="s">
        <v>467</v>
      </c>
      <c r="E42" s="35" t="s">
        <v>468</v>
      </c>
      <c r="F42" s="35"/>
      <c r="G42" s="35" t="s">
        <v>65</v>
      </c>
      <c r="H42" s="35" t="s">
        <v>74</v>
      </c>
      <c r="I42" s="35" t="s">
        <v>82</v>
      </c>
      <c r="J42" s="36" t="s">
        <v>150</v>
      </c>
      <c r="K42" s="25"/>
      <c r="L42" s="25"/>
      <c r="M42" s="5" t="s">
        <v>66</v>
      </c>
      <c r="N42" s="5" t="s">
        <v>68</v>
      </c>
      <c r="O42" s="5" t="s">
        <v>96</v>
      </c>
      <c r="P42" s="5" t="s">
        <v>70</v>
      </c>
      <c r="Q42" s="5" t="s">
        <v>89</v>
      </c>
      <c r="R42" s="5" t="s">
        <v>110</v>
      </c>
      <c r="S42" s="5"/>
      <c r="T42" s="5"/>
      <c r="U42" s="5"/>
      <c r="V42" s="5">
        <v>2000.0</v>
      </c>
      <c r="W42" s="26">
        <v>2.1</v>
      </c>
      <c r="X42" s="5">
        <v>952.0</v>
      </c>
      <c r="Y42" s="27">
        <v>0.2</v>
      </c>
      <c r="Z42" s="28">
        <v>761.6</v>
      </c>
      <c r="AA42" s="27">
        <v>1.0</v>
      </c>
      <c r="AB42" s="5" t="s">
        <v>78</v>
      </c>
      <c r="AC42" s="27"/>
      <c r="AD42" s="26"/>
      <c r="AE42" s="5" t="s">
        <v>166</v>
      </c>
      <c r="AF42" s="5" t="s">
        <v>81</v>
      </c>
      <c r="AG42" s="5"/>
      <c r="AH42" s="5">
        <v>0.0</v>
      </c>
      <c r="AI42" s="5" t="s">
        <v>0</v>
      </c>
      <c r="AJ42" s="5" t="s">
        <v>471</v>
      </c>
      <c r="AK42" s="30">
        <v>0.0</v>
      </c>
      <c r="AL42" s="28">
        <v>0.0</v>
      </c>
      <c r="AM42" s="28">
        <v>0.0</v>
      </c>
      <c r="AN42" s="28">
        <v>0.0</v>
      </c>
      <c r="AO42" s="28">
        <v>0.0</v>
      </c>
      <c r="AP42" s="28">
        <v>0.0</v>
      </c>
      <c r="AQ42" s="28">
        <v>0.0</v>
      </c>
      <c r="AR42" s="28">
        <v>0.0</v>
      </c>
      <c r="AS42" s="28">
        <v>0.0</v>
      </c>
      <c r="AT42" s="28">
        <v>0.0</v>
      </c>
      <c r="AU42" s="28">
        <v>0.0</v>
      </c>
      <c r="AV42" s="28">
        <v>0.0</v>
      </c>
      <c r="AW42" s="28">
        <v>0.0</v>
      </c>
      <c r="AX42" s="28">
        <v>0.0</v>
      </c>
      <c r="AY42" s="28">
        <v>0.0</v>
      </c>
      <c r="AZ42" s="5" t="s">
        <v>124</v>
      </c>
      <c r="BA42" s="5" t="s">
        <v>125</v>
      </c>
      <c r="BB42" s="5" t="s">
        <v>174</v>
      </c>
      <c r="BC42" s="32" t="s">
        <v>264</v>
      </c>
      <c r="BD42" s="5" t="s">
        <v>68</v>
      </c>
      <c r="BE42" s="5" t="s">
        <v>89</v>
      </c>
      <c r="BF42" s="5" t="s">
        <v>90</v>
      </c>
      <c r="BG42" s="5" t="s">
        <v>91</v>
      </c>
    </row>
    <row r="43" ht="16.5" hidden="1" customHeight="1">
      <c r="A43" s="5" t="s">
        <v>100</v>
      </c>
      <c r="B43" s="5" t="s">
        <v>137</v>
      </c>
      <c r="C43" s="5" t="b">
        <v>1</v>
      </c>
      <c r="D43" s="5" t="s">
        <v>265</v>
      </c>
      <c r="E43" s="5" t="s">
        <v>266</v>
      </c>
      <c r="F43" s="5"/>
      <c r="G43" s="5" t="s">
        <v>65</v>
      </c>
      <c r="H43" s="5" t="s">
        <v>76</v>
      </c>
      <c r="I43" s="5" t="s">
        <v>82</v>
      </c>
      <c r="J43" s="25"/>
      <c r="K43" s="25"/>
      <c r="L43" s="25"/>
      <c r="M43" s="5" t="s">
        <v>66</v>
      </c>
      <c r="N43" s="5" t="s">
        <v>68</v>
      </c>
      <c r="O43" s="5" t="s">
        <v>69</v>
      </c>
      <c r="P43" s="5" t="s">
        <v>107</v>
      </c>
      <c r="Q43" s="5" t="s">
        <v>89</v>
      </c>
      <c r="R43" s="5" t="s">
        <v>110</v>
      </c>
      <c r="S43" s="5"/>
      <c r="T43" s="5"/>
      <c r="U43" s="5"/>
      <c r="V43" s="5">
        <v>2000.0</v>
      </c>
      <c r="W43" s="26">
        <v>2.1</v>
      </c>
      <c r="X43" s="5">
        <v>952.0</v>
      </c>
      <c r="Y43" s="27">
        <v>0.2</v>
      </c>
      <c r="Z43" s="28">
        <v>761.6</v>
      </c>
      <c r="AA43" s="27">
        <v>1.0</v>
      </c>
      <c r="AB43" s="5" t="s">
        <v>78</v>
      </c>
      <c r="AC43" s="27">
        <v>0.61</v>
      </c>
      <c r="AD43" s="5"/>
      <c r="AE43" s="5" t="s">
        <v>166</v>
      </c>
      <c r="AF43" s="5" t="s">
        <v>81</v>
      </c>
      <c r="AG43" s="5">
        <v>5.0</v>
      </c>
      <c r="AH43" s="5">
        <v>5.0</v>
      </c>
      <c r="AI43" s="5" t="s">
        <v>478</v>
      </c>
      <c r="AJ43" s="5" t="s">
        <v>0</v>
      </c>
      <c r="AK43" s="30">
        <v>4300.0</v>
      </c>
      <c r="AL43" s="28">
        <v>4615.0</v>
      </c>
      <c r="AM43" s="28">
        <v>3226.0</v>
      </c>
      <c r="AN43" s="28">
        <v>2959.0</v>
      </c>
      <c r="AO43" s="28">
        <v>2000.0</v>
      </c>
      <c r="AP43" s="28">
        <v>4093600.0</v>
      </c>
      <c r="AQ43" s="28">
        <v>4395233.700000001</v>
      </c>
      <c r="AR43" s="28">
        <v>1904000.0</v>
      </c>
      <c r="AS43" s="28">
        <v>0.0</v>
      </c>
      <c r="AT43" s="28">
        <v>1904000.0</v>
      </c>
      <c r="AU43" s="28">
        <v>3274880.0</v>
      </c>
      <c r="AV43" s="28">
        <v>3377107.078073089</v>
      </c>
      <c r="AW43" s="28">
        <v>2382801.320664999</v>
      </c>
      <c r="AX43" s="28">
        <v>2223956.215946844</v>
      </c>
      <c r="AY43" s="28">
        <v>1593406.5724700002</v>
      </c>
      <c r="AZ43" s="5"/>
      <c r="BA43" s="5" t="s">
        <v>125</v>
      </c>
      <c r="BB43" s="5" t="s">
        <v>174</v>
      </c>
      <c r="BC43" s="32" t="s">
        <v>264</v>
      </c>
      <c r="BD43" s="5" t="s">
        <v>68</v>
      </c>
      <c r="BE43" s="5" t="s">
        <v>89</v>
      </c>
      <c r="BF43" s="5" t="s">
        <v>90</v>
      </c>
      <c r="BG43" s="5" t="s">
        <v>91</v>
      </c>
    </row>
    <row r="44" ht="16.5" hidden="1" customHeight="1">
      <c r="A44" s="5" t="s">
        <v>100</v>
      </c>
      <c r="B44" s="35" t="s">
        <v>137</v>
      </c>
      <c r="C44" s="35" t="b">
        <v>1</v>
      </c>
      <c r="D44" s="35" t="s">
        <v>479</v>
      </c>
      <c r="E44" s="35" t="s">
        <v>481</v>
      </c>
      <c r="F44" s="35"/>
      <c r="G44" s="35" t="s">
        <v>65</v>
      </c>
      <c r="H44" s="35" t="s">
        <v>74</v>
      </c>
      <c r="I44" s="35" t="s">
        <v>82</v>
      </c>
      <c r="J44" s="36" t="s">
        <v>150</v>
      </c>
      <c r="K44" s="25"/>
      <c r="L44" s="25"/>
      <c r="M44" s="5" t="s">
        <v>66</v>
      </c>
      <c r="N44" s="5" t="s">
        <v>68</v>
      </c>
      <c r="O44" s="5" t="s">
        <v>96</v>
      </c>
      <c r="P44" s="5" t="s">
        <v>107</v>
      </c>
      <c r="Q44" s="5" t="s">
        <v>89</v>
      </c>
      <c r="R44" s="5" t="s">
        <v>110</v>
      </c>
      <c r="S44" s="5"/>
      <c r="T44" s="5"/>
      <c r="U44" s="5"/>
      <c r="V44" s="5">
        <v>2000.0</v>
      </c>
      <c r="W44" s="26">
        <v>2.1</v>
      </c>
      <c r="X44" s="5">
        <v>952.0</v>
      </c>
      <c r="Y44" s="27">
        <v>0.2</v>
      </c>
      <c r="Z44" s="28">
        <v>761.6</v>
      </c>
      <c r="AA44" s="27">
        <v>1.0</v>
      </c>
      <c r="AB44" s="5" t="s">
        <v>78</v>
      </c>
      <c r="AC44" s="27"/>
      <c r="AD44" s="26"/>
      <c r="AE44" s="5" t="s">
        <v>166</v>
      </c>
      <c r="AF44" s="5" t="s">
        <v>81</v>
      </c>
      <c r="AG44" s="5"/>
      <c r="AH44" s="5">
        <v>0.0</v>
      </c>
      <c r="AI44" s="5" t="s">
        <v>0</v>
      </c>
      <c r="AJ44" s="5" t="s">
        <v>471</v>
      </c>
      <c r="AK44" s="30">
        <v>0.0</v>
      </c>
      <c r="AL44" s="28">
        <v>0.0</v>
      </c>
      <c r="AM44" s="28">
        <v>0.0</v>
      </c>
      <c r="AN44" s="28">
        <v>0.0</v>
      </c>
      <c r="AO44" s="28">
        <v>0.0</v>
      </c>
      <c r="AP44" s="28">
        <v>0.0</v>
      </c>
      <c r="AQ44" s="28">
        <v>0.0</v>
      </c>
      <c r="AR44" s="28">
        <v>0.0</v>
      </c>
      <c r="AS44" s="28">
        <v>0.0</v>
      </c>
      <c r="AT44" s="28">
        <v>0.0</v>
      </c>
      <c r="AU44" s="28">
        <v>0.0</v>
      </c>
      <c r="AV44" s="28">
        <v>0.0</v>
      </c>
      <c r="AW44" s="28">
        <v>0.0</v>
      </c>
      <c r="AX44" s="28">
        <v>0.0</v>
      </c>
      <c r="AY44" s="28">
        <v>0.0</v>
      </c>
      <c r="AZ44" s="5" t="s">
        <v>124</v>
      </c>
      <c r="BA44" s="5" t="s">
        <v>125</v>
      </c>
      <c r="BB44" s="5" t="s">
        <v>174</v>
      </c>
      <c r="BC44" s="32" t="s">
        <v>264</v>
      </c>
      <c r="BD44" s="5" t="s">
        <v>68</v>
      </c>
      <c r="BE44" s="5" t="s">
        <v>89</v>
      </c>
      <c r="BF44" s="5" t="s">
        <v>90</v>
      </c>
      <c r="BG44" s="5" t="s">
        <v>91</v>
      </c>
    </row>
    <row r="45" ht="16.5" hidden="1" customHeight="1">
      <c r="A45" s="5" t="s">
        <v>100</v>
      </c>
      <c r="B45" s="5" t="s">
        <v>137</v>
      </c>
      <c r="C45" s="5" t="b">
        <v>1</v>
      </c>
      <c r="D45" s="5" t="s">
        <v>494</v>
      </c>
      <c r="E45" s="5" t="s">
        <v>495</v>
      </c>
      <c r="F45" s="5"/>
      <c r="G45" s="5" t="s">
        <v>65</v>
      </c>
      <c r="H45" s="5" t="s">
        <v>76</v>
      </c>
      <c r="I45" s="5" t="s">
        <v>82</v>
      </c>
      <c r="J45" s="25"/>
      <c r="K45" s="25"/>
      <c r="L45" s="25"/>
      <c r="M45" s="5" t="s">
        <v>500</v>
      </c>
      <c r="N45" s="5" t="s">
        <v>270</v>
      </c>
      <c r="O45" s="5" t="s">
        <v>69</v>
      </c>
      <c r="P45" s="5" t="s">
        <v>70</v>
      </c>
      <c r="Q45" s="5" t="s">
        <v>502</v>
      </c>
      <c r="R45" s="5" t="s">
        <v>110</v>
      </c>
      <c r="S45" s="5"/>
      <c r="T45" s="5"/>
      <c r="U45" s="5"/>
      <c r="V45" s="5">
        <v>2200.0</v>
      </c>
      <c r="W45" s="26">
        <v>2.1</v>
      </c>
      <c r="X45" s="5">
        <v>1048.0</v>
      </c>
      <c r="Y45" s="27">
        <v>0.2</v>
      </c>
      <c r="Z45" s="28">
        <v>838.4000000000001</v>
      </c>
      <c r="AA45" s="27">
        <v>1.0</v>
      </c>
      <c r="AB45" s="5" t="s">
        <v>242</v>
      </c>
      <c r="AC45" s="27">
        <v>0.58</v>
      </c>
      <c r="AD45" s="5"/>
      <c r="AE45" s="5" t="s">
        <v>81</v>
      </c>
      <c r="AF45" s="5" t="s">
        <v>81</v>
      </c>
      <c r="AG45" s="5">
        <v>4.0</v>
      </c>
      <c r="AH45" s="5">
        <v>4.0</v>
      </c>
      <c r="AI45" s="5" t="s">
        <v>507</v>
      </c>
      <c r="AJ45" s="5" t="s">
        <v>0</v>
      </c>
      <c r="AK45" s="30">
        <v>1500.0</v>
      </c>
      <c r="AL45" s="28">
        <v>0.0</v>
      </c>
      <c r="AM45" s="28">
        <v>0.0</v>
      </c>
      <c r="AN45" s="28">
        <v>1987.0</v>
      </c>
      <c r="AO45" s="28">
        <v>0.0</v>
      </c>
      <c r="AP45" s="28">
        <v>1572000.0</v>
      </c>
      <c r="AQ45" s="28">
        <v>0.0</v>
      </c>
      <c r="AR45" s="28">
        <v>0.0</v>
      </c>
      <c r="AS45" s="28">
        <v>0.0</v>
      </c>
      <c r="AT45" s="28">
        <v>0.0</v>
      </c>
      <c r="AU45" s="28">
        <v>1257600.0000000002</v>
      </c>
      <c r="AV45" s="28">
        <v>0.0</v>
      </c>
      <c r="AW45" s="28">
        <v>0.0</v>
      </c>
      <c r="AX45" s="28">
        <v>1221855.5847176078</v>
      </c>
      <c r="AY45" s="28">
        <v>0.0</v>
      </c>
      <c r="AZ45" s="5"/>
      <c r="BA45" s="5" t="s">
        <v>125</v>
      </c>
      <c r="BB45" s="5" t="s">
        <v>127</v>
      </c>
      <c r="BC45" s="32" t="s">
        <v>510</v>
      </c>
      <c r="BD45" s="5" t="s">
        <v>276</v>
      </c>
      <c r="BE45" s="5" t="s">
        <v>161</v>
      </c>
      <c r="BF45" s="5" t="s">
        <v>501</v>
      </c>
      <c r="BG45" s="5" t="s">
        <v>131</v>
      </c>
    </row>
    <row r="46" ht="16.5" hidden="1" customHeight="1">
      <c r="A46" s="5" t="s">
        <v>100</v>
      </c>
      <c r="B46" s="5" t="s">
        <v>137</v>
      </c>
      <c r="C46" s="5" t="b">
        <v>1</v>
      </c>
      <c r="D46" s="5" t="s">
        <v>513</v>
      </c>
      <c r="E46" s="5" t="s">
        <v>514</v>
      </c>
      <c r="F46" s="5"/>
      <c r="G46" s="5" t="s">
        <v>65</v>
      </c>
      <c r="H46" s="5" t="s">
        <v>76</v>
      </c>
      <c r="I46" s="5" t="s">
        <v>82</v>
      </c>
      <c r="J46" s="25"/>
      <c r="K46" s="25"/>
      <c r="L46" s="25"/>
      <c r="M46" s="5" t="s">
        <v>500</v>
      </c>
      <c r="N46" s="5" t="s">
        <v>270</v>
      </c>
      <c r="O46" s="5" t="s">
        <v>69</v>
      </c>
      <c r="P46" s="5" t="s">
        <v>107</v>
      </c>
      <c r="Q46" s="5" t="s">
        <v>502</v>
      </c>
      <c r="R46" s="5" t="s">
        <v>110</v>
      </c>
      <c r="S46" s="5"/>
      <c r="T46" s="5"/>
      <c r="U46" s="5"/>
      <c r="V46" s="5">
        <v>2200.0</v>
      </c>
      <c r="W46" s="26">
        <v>2.1</v>
      </c>
      <c r="X46" s="5">
        <v>1048.0</v>
      </c>
      <c r="Y46" s="27">
        <v>0.2</v>
      </c>
      <c r="Z46" s="28">
        <v>838.4000000000001</v>
      </c>
      <c r="AA46" s="27">
        <v>1.0</v>
      </c>
      <c r="AB46" s="5" t="s">
        <v>242</v>
      </c>
      <c r="AC46" s="27">
        <v>0.6</v>
      </c>
      <c r="AD46" s="5"/>
      <c r="AE46" s="5" t="s">
        <v>81</v>
      </c>
      <c r="AF46" s="5" t="s">
        <v>81</v>
      </c>
      <c r="AG46" s="5">
        <v>4.0</v>
      </c>
      <c r="AH46" s="5">
        <v>4.0</v>
      </c>
      <c r="AI46" s="5" t="s">
        <v>507</v>
      </c>
      <c r="AJ46" s="5" t="s">
        <v>0</v>
      </c>
      <c r="AK46" s="30">
        <v>1200.0</v>
      </c>
      <c r="AL46" s="28">
        <v>0.0</v>
      </c>
      <c r="AM46" s="28">
        <v>0.0</v>
      </c>
      <c r="AN46" s="28">
        <v>1497.0</v>
      </c>
      <c r="AO46" s="28">
        <v>0.0</v>
      </c>
      <c r="AP46" s="28">
        <v>1257600.0</v>
      </c>
      <c r="AQ46" s="28">
        <v>0.0</v>
      </c>
      <c r="AR46" s="28">
        <v>0.0</v>
      </c>
      <c r="AS46" s="28">
        <v>0.0</v>
      </c>
      <c r="AT46" s="28">
        <v>0.0</v>
      </c>
      <c r="AU46" s="28">
        <v>1006080.0000000001</v>
      </c>
      <c r="AV46" s="28">
        <v>0.0</v>
      </c>
      <c r="AW46" s="28">
        <v>0.0</v>
      </c>
      <c r="AX46" s="28">
        <v>856425.965669989</v>
      </c>
      <c r="AY46" s="28">
        <v>0.0</v>
      </c>
      <c r="AZ46" s="5"/>
      <c r="BA46" s="5" t="s">
        <v>125</v>
      </c>
      <c r="BB46" s="5" t="s">
        <v>127</v>
      </c>
      <c r="BC46" s="32" t="s">
        <v>510</v>
      </c>
      <c r="BD46" s="5" t="s">
        <v>276</v>
      </c>
      <c r="BE46" s="5" t="s">
        <v>161</v>
      </c>
      <c r="BF46" s="5" t="s">
        <v>501</v>
      </c>
      <c r="BG46" s="5" t="s">
        <v>131</v>
      </c>
    </row>
    <row r="47" ht="16.5" hidden="1" customHeight="1">
      <c r="A47" s="5" t="s">
        <v>100</v>
      </c>
      <c r="B47" s="5" t="s">
        <v>137</v>
      </c>
      <c r="C47" s="5" t="b">
        <v>1</v>
      </c>
      <c r="D47" s="5" t="s">
        <v>268</v>
      </c>
      <c r="E47" s="5" t="s">
        <v>269</v>
      </c>
      <c r="F47" s="5"/>
      <c r="G47" s="5" t="s">
        <v>65</v>
      </c>
      <c r="H47" s="5" t="s">
        <v>76</v>
      </c>
      <c r="I47" s="5" t="s">
        <v>82</v>
      </c>
      <c r="J47" s="25"/>
      <c r="K47" s="25"/>
      <c r="L47" s="25"/>
      <c r="M47" s="5" t="s">
        <v>66</v>
      </c>
      <c r="N47" s="5" t="s">
        <v>270</v>
      </c>
      <c r="O47" s="5" t="s">
        <v>69</v>
      </c>
      <c r="P47" s="5" t="s">
        <v>70</v>
      </c>
      <c r="Q47" s="5" t="s">
        <v>526</v>
      </c>
      <c r="R47" s="5" t="s">
        <v>110</v>
      </c>
      <c r="S47" s="5"/>
      <c r="T47" s="5"/>
      <c r="U47" s="5"/>
      <c r="V47" s="5">
        <v>900.0</v>
      </c>
      <c r="W47" s="26">
        <v>2.1</v>
      </c>
      <c r="X47" s="5">
        <v>429.0</v>
      </c>
      <c r="Y47" s="27">
        <v>0.2</v>
      </c>
      <c r="Z47" s="28">
        <v>343.20000000000005</v>
      </c>
      <c r="AA47" s="27">
        <v>1.0</v>
      </c>
      <c r="AB47" s="5" t="s">
        <v>78</v>
      </c>
      <c r="AC47" s="27">
        <v>0.65</v>
      </c>
      <c r="AD47" s="5"/>
      <c r="AE47" s="5" t="s">
        <v>273</v>
      </c>
      <c r="AF47" s="5" t="s">
        <v>81</v>
      </c>
      <c r="AG47" s="5">
        <v>6.0</v>
      </c>
      <c r="AH47" s="5">
        <v>6.0</v>
      </c>
      <c r="AI47" s="5" t="s">
        <v>529</v>
      </c>
      <c r="AJ47" s="5" t="s">
        <v>0</v>
      </c>
      <c r="AK47" s="30">
        <v>10400.0</v>
      </c>
      <c r="AL47" s="28">
        <v>10354.0</v>
      </c>
      <c r="AM47" s="28">
        <v>0.0</v>
      </c>
      <c r="AN47" s="28">
        <v>19873.0</v>
      </c>
      <c r="AO47" s="28">
        <v>15531.0</v>
      </c>
      <c r="AP47" s="28">
        <v>4461600.0</v>
      </c>
      <c r="AQ47" s="28">
        <v>4437413.779999999</v>
      </c>
      <c r="AR47" s="28">
        <v>6662799.0</v>
      </c>
      <c r="AS47" s="28">
        <v>0.0</v>
      </c>
      <c r="AT47" s="28">
        <v>6662799.0</v>
      </c>
      <c r="AU47" s="28">
        <v>3569280.0000000005</v>
      </c>
      <c r="AV47" s="28">
        <v>3585295.3261351055</v>
      </c>
      <c r="AW47" s="28">
        <v>0.0</v>
      </c>
      <c r="AX47" s="28">
        <v>6260264.512181615</v>
      </c>
      <c r="AY47" s="28">
        <v>4983007.185975999</v>
      </c>
      <c r="AZ47" s="5"/>
      <c r="BA47" s="5" t="s">
        <v>125</v>
      </c>
      <c r="BB47" s="5" t="s">
        <v>127</v>
      </c>
      <c r="BC47" s="5" t="s">
        <v>237</v>
      </c>
      <c r="BD47" s="5" t="s">
        <v>276</v>
      </c>
      <c r="BE47" s="5" t="s">
        <v>89</v>
      </c>
      <c r="BF47" s="5" t="s">
        <v>277</v>
      </c>
      <c r="BG47" s="5" t="s">
        <v>131</v>
      </c>
    </row>
    <row r="48" ht="16.5" hidden="1" customHeight="1">
      <c r="A48" s="5" t="s">
        <v>100</v>
      </c>
      <c r="B48" s="35" t="s">
        <v>137</v>
      </c>
      <c r="C48" s="35" t="b">
        <v>1</v>
      </c>
      <c r="D48" s="35" t="s">
        <v>536</v>
      </c>
      <c r="E48" s="35" t="s">
        <v>537</v>
      </c>
      <c r="F48" s="35"/>
      <c r="G48" s="35" t="s">
        <v>65</v>
      </c>
      <c r="H48" s="35" t="s">
        <v>74</v>
      </c>
      <c r="I48" s="35" t="s">
        <v>82</v>
      </c>
      <c r="J48" s="36" t="s">
        <v>150</v>
      </c>
      <c r="K48" s="25"/>
      <c r="L48" s="25"/>
      <c r="M48" s="5" t="s">
        <v>66</v>
      </c>
      <c r="N48" s="5" t="s">
        <v>270</v>
      </c>
      <c r="O48" s="5" t="s">
        <v>96</v>
      </c>
      <c r="P48" s="5" t="s">
        <v>70</v>
      </c>
      <c r="Q48" s="5" t="s">
        <v>526</v>
      </c>
      <c r="R48" s="5" t="s">
        <v>110</v>
      </c>
      <c r="S48" s="5"/>
      <c r="T48" s="5"/>
      <c r="U48" s="5"/>
      <c r="V48" s="5">
        <v>900.0</v>
      </c>
      <c r="W48" s="26">
        <v>2.1</v>
      </c>
      <c r="X48" s="5">
        <v>429.0</v>
      </c>
      <c r="Y48" s="27">
        <v>0.2</v>
      </c>
      <c r="Z48" s="28">
        <v>343.20000000000005</v>
      </c>
      <c r="AA48" s="27">
        <v>1.0</v>
      </c>
      <c r="AB48" s="5" t="s">
        <v>78</v>
      </c>
      <c r="AC48" s="27"/>
      <c r="AD48" s="5"/>
      <c r="AE48" s="5" t="s">
        <v>273</v>
      </c>
      <c r="AF48" s="5" t="s">
        <v>81</v>
      </c>
      <c r="AG48" s="5"/>
      <c r="AH48" s="5">
        <v>0.0</v>
      </c>
      <c r="AI48" s="5" t="s">
        <v>0</v>
      </c>
      <c r="AJ48" s="5" t="s">
        <v>471</v>
      </c>
      <c r="AK48" s="30">
        <v>1000.0</v>
      </c>
      <c r="AL48" s="28">
        <v>0.0</v>
      </c>
      <c r="AM48" s="28">
        <v>0.0</v>
      </c>
      <c r="AN48" s="28">
        <v>0.0</v>
      </c>
      <c r="AO48" s="28">
        <v>1200.0</v>
      </c>
      <c r="AP48" s="28">
        <v>429000.0</v>
      </c>
      <c r="AQ48" s="28">
        <v>0.0</v>
      </c>
      <c r="AR48" s="28">
        <v>514800.0</v>
      </c>
      <c r="AS48" s="28">
        <v>0.0</v>
      </c>
      <c r="AT48" s="28">
        <v>514800.0</v>
      </c>
      <c r="AU48" s="28">
        <v>343200.00000000006</v>
      </c>
      <c r="AV48" s="28">
        <v>0.0</v>
      </c>
      <c r="AW48" s="28">
        <v>0.0</v>
      </c>
      <c r="AX48" s="28">
        <v>0.0</v>
      </c>
      <c r="AY48" s="28">
        <v>153370.8</v>
      </c>
      <c r="AZ48" s="5" t="s">
        <v>124</v>
      </c>
      <c r="BA48" s="5" t="s">
        <v>125</v>
      </c>
      <c r="BB48" s="5" t="s">
        <v>127</v>
      </c>
      <c r="BC48" s="5" t="s">
        <v>237</v>
      </c>
      <c r="BD48" s="5" t="s">
        <v>276</v>
      </c>
      <c r="BE48" s="5" t="s">
        <v>89</v>
      </c>
      <c r="BF48" s="5" t="s">
        <v>277</v>
      </c>
      <c r="BG48" s="5" t="s">
        <v>131</v>
      </c>
    </row>
    <row r="49" ht="16.5" hidden="1" customHeight="1">
      <c r="A49" s="5" t="s">
        <v>100</v>
      </c>
      <c r="B49" s="5" t="s">
        <v>137</v>
      </c>
      <c r="C49" s="5" t="b">
        <v>1</v>
      </c>
      <c r="D49" s="5" t="s">
        <v>278</v>
      </c>
      <c r="E49" s="5" t="s">
        <v>279</v>
      </c>
      <c r="F49" s="5"/>
      <c r="G49" s="5" t="s">
        <v>65</v>
      </c>
      <c r="H49" s="5" t="s">
        <v>76</v>
      </c>
      <c r="I49" s="5" t="s">
        <v>82</v>
      </c>
      <c r="J49" s="25"/>
      <c r="K49" s="25"/>
      <c r="L49" s="25"/>
      <c r="M49" s="5" t="s">
        <v>66</v>
      </c>
      <c r="N49" s="5" t="s">
        <v>270</v>
      </c>
      <c r="O49" s="5" t="s">
        <v>69</v>
      </c>
      <c r="P49" s="5" t="s">
        <v>107</v>
      </c>
      <c r="Q49" s="5" t="s">
        <v>526</v>
      </c>
      <c r="R49" s="5" t="s">
        <v>110</v>
      </c>
      <c r="S49" s="5"/>
      <c r="T49" s="5"/>
      <c r="U49" s="5"/>
      <c r="V49" s="5">
        <v>900.0</v>
      </c>
      <c r="W49" s="26">
        <v>2.1</v>
      </c>
      <c r="X49" s="5">
        <v>429.0</v>
      </c>
      <c r="Y49" s="27">
        <v>0.2</v>
      </c>
      <c r="Z49" s="28">
        <v>343.20000000000005</v>
      </c>
      <c r="AA49" s="27">
        <v>1.0</v>
      </c>
      <c r="AB49" s="5" t="s">
        <v>78</v>
      </c>
      <c r="AC49" s="27">
        <v>0.68</v>
      </c>
      <c r="AD49" s="5"/>
      <c r="AE49" s="5" t="s">
        <v>273</v>
      </c>
      <c r="AF49" s="5" t="s">
        <v>81</v>
      </c>
      <c r="AG49" s="5">
        <v>6.0</v>
      </c>
      <c r="AH49" s="5">
        <v>6.0</v>
      </c>
      <c r="AI49" s="5" t="s">
        <v>558</v>
      </c>
      <c r="AJ49" s="5" t="s">
        <v>0</v>
      </c>
      <c r="AK49" s="30">
        <v>8800.0</v>
      </c>
      <c r="AL49" s="28">
        <v>6133.0</v>
      </c>
      <c r="AM49" s="28">
        <v>0.0</v>
      </c>
      <c r="AN49" s="28">
        <v>14103.0</v>
      </c>
      <c r="AO49" s="28">
        <v>10333.0</v>
      </c>
      <c r="AP49" s="28">
        <v>3775200.0</v>
      </c>
      <c r="AQ49" s="28">
        <v>2628419.8100000005</v>
      </c>
      <c r="AR49" s="28">
        <v>4432857.0</v>
      </c>
      <c r="AS49" s="28">
        <v>0.0</v>
      </c>
      <c r="AT49" s="28">
        <v>4432857.0</v>
      </c>
      <c r="AU49" s="28">
        <v>3020160.0000000005</v>
      </c>
      <c r="AV49" s="28">
        <v>2155705.9670542637</v>
      </c>
      <c r="AW49" s="28">
        <v>0.0</v>
      </c>
      <c r="AX49" s="28">
        <v>4447945.355204874</v>
      </c>
      <c r="AY49" s="28">
        <v>3397201.0316319983</v>
      </c>
      <c r="AZ49" s="5"/>
      <c r="BA49" s="5" t="s">
        <v>125</v>
      </c>
      <c r="BB49" s="5" t="s">
        <v>127</v>
      </c>
      <c r="BC49" s="5" t="s">
        <v>237</v>
      </c>
      <c r="BD49" s="5" t="s">
        <v>276</v>
      </c>
      <c r="BE49" s="5" t="s">
        <v>89</v>
      </c>
      <c r="BF49" s="5" t="s">
        <v>277</v>
      </c>
      <c r="BG49" s="5" t="s">
        <v>131</v>
      </c>
    </row>
    <row r="50" ht="16.5" hidden="1" customHeight="1">
      <c r="A50" s="5" t="s">
        <v>100</v>
      </c>
      <c r="B50" s="35" t="s">
        <v>137</v>
      </c>
      <c r="C50" s="35" t="b">
        <v>1</v>
      </c>
      <c r="D50" s="35" t="s">
        <v>561</v>
      </c>
      <c r="E50" s="35" t="s">
        <v>562</v>
      </c>
      <c r="F50" s="35"/>
      <c r="G50" s="35" t="s">
        <v>65</v>
      </c>
      <c r="H50" s="35" t="s">
        <v>74</v>
      </c>
      <c r="I50" s="35" t="s">
        <v>82</v>
      </c>
      <c r="J50" s="36" t="s">
        <v>150</v>
      </c>
      <c r="K50" s="25"/>
      <c r="L50" s="25"/>
      <c r="M50" s="5" t="s">
        <v>66</v>
      </c>
      <c r="N50" s="5" t="s">
        <v>270</v>
      </c>
      <c r="O50" s="5" t="s">
        <v>96</v>
      </c>
      <c r="P50" s="5" t="s">
        <v>107</v>
      </c>
      <c r="Q50" s="5" t="s">
        <v>526</v>
      </c>
      <c r="R50" s="5" t="s">
        <v>110</v>
      </c>
      <c r="S50" s="5"/>
      <c r="T50" s="5"/>
      <c r="U50" s="5"/>
      <c r="V50" s="5">
        <v>900.0</v>
      </c>
      <c r="W50" s="26">
        <v>2.1</v>
      </c>
      <c r="X50" s="5">
        <v>429.0</v>
      </c>
      <c r="Y50" s="27">
        <v>0.2</v>
      </c>
      <c r="Z50" s="28">
        <v>343.20000000000005</v>
      </c>
      <c r="AA50" s="27">
        <v>1.0</v>
      </c>
      <c r="AB50" s="5" t="s">
        <v>78</v>
      </c>
      <c r="AC50" s="27"/>
      <c r="AD50" s="5"/>
      <c r="AE50" s="5" t="s">
        <v>273</v>
      </c>
      <c r="AF50" s="5" t="s">
        <v>81</v>
      </c>
      <c r="AG50" s="5"/>
      <c r="AH50" s="5">
        <v>0.0</v>
      </c>
      <c r="AI50" s="5" t="s">
        <v>0</v>
      </c>
      <c r="AJ50" s="5" t="s">
        <v>471</v>
      </c>
      <c r="AK50" s="30">
        <v>1000.0</v>
      </c>
      <c r="AL50" s="28">
        <v>0.0</v>
      </c>
      <c r="AM50" s="28">
        <v>0.0</v>
      </c>
      <c r="AN50" s="28">
        <v>0.0</v>
      </c>
      <c r="AO50" s="28">
        <v>600.0</v>
      </c>
      <c r="AP50" s="28">
        <v>429000.0</v>
      </c>
      <c r="AQ50" s="28">
        <v>0.0</v>
      </c>
      <c r="AR50" s="28">
        <v>257400.0</v>
      </c>
      <c r="AS50" s="28">
        <v>0.0</v>
      </c>
      <c r="AT50" s="28">
        <v>257400.0</v>
      </c>
      <c r="AU50" s="28">
        <v>343200.00000000006</v>
      </c>
      <c r="AV50" s="28">
        <v>0.0</v>
      </c>
      <c r="AW50" s="28">
        <v>0.0</v>
      </c>
      <c r="AX50" s="28">
        <v>0.0</v>
      </c>
      <c r="AY50" s="28">
        <v>72111.6</v>
      </c>
      <c r="AZ50" s="5" t="s">
        <v>124</v>
      </c>
      <c r="BA50" s="5" t="s">
        <v>125</v>
      </c>
      <c r="BB50" s="5" t="s">
        <v>127</v>
      </c>
      <c r="BC50" s="5" t="s">
        <v>237</v>
      </c>
      <c r="BD50" s="5" t="s">
        <v>276</v>
      </c>
      <c r="BE50" s="5" t="s">
        <v>89</v>
      </c>
      <c r="BF50" s="5" t="s">
        <v>277</v>
      </c>
      <c r="BG50" s="5" t="s">
        <v>131</v>
      </c>
    </row>
    <row r="51" ht="16.5" hidden="1" customHeight="1">
      <c r="A51" s="5" t="s">
        <v>100</v>
      </c>
      <c r="B51" s="57" t="s">
        <v>137</v>
      </c>
      <c r="C51" s="57" t="b">
        <v>1</v>
      </c>
      <c r="D51" s="57" t="s">
        <v>285</v>
      </c>
      <c r="E51" s="57" t="s">
        <v>286</v>
      </c>
      <c r="F51" s="57"/>
      <c r="G51" s="57" t="s">
        <v>65</v>
      </c>
      <c r="H51" s="57" t="s">
        <v>76</v>
      </c>
      <c r="I51" s="57" t="s">
        <v>82</v>
      </c>
      <c r="J51" s="58" t="s">
        <v>578</v>
      </c>
      <c r="K51" s="25"/>
      <c r="L51" s="25" t="s">
        <v>146</v>
      </c>
      <c r="M51" s="5" t="s">
        <v>66</v>
      </c>
      <c r="N51" s="5" t="s">
        <v>68</v>
      </c>
      <c r="O51" s="5" t="s">
        <v>141</v>
      </c>
      <c r="P51" s="5" t="s">
        <v>70</v>
      </c>
      <c r="Q51" s="5" t="s">
        <v>89</v>
      </c>
      <c r="R51" s="5" t="s">
        <v>110</v>
      </c>
      <c r="S51" s="5"/>
      <c r="T51" s="5"/>
      <c r="U51" s="5"/>
      <c r="V51" s="5">
        <v>3500.0</v>
      </c>
      <c r="W51" s="26">
        <v>2.1</v>
      </c>
      <c r="X51" s="5">
        <v>1667.0</v>
      </c>
      <c r="Y51" s="27">
        <v>0.2</v>
      </c>
      <c r="Z51" s="28">
        <v>1333.6000000000001</v>
      </c>
      <c r="AA51" s="27">
        <v>1.0</v>
      </c>
      <c r="AB51" s="5" t="s">
        <v>78</v>
      </c>
      <c r="AC51" s="27">
        <v>0.5920000000000001</v>
      </c>
      <c r="AD51" s="5"/>
      <c r="AE51" s="5" t="s">
        <v>80</v>
      </c>
      <c r="AF51" s="5" t="s">
        <v>81</v>
      </c>
      <c r="AG51" s="5">
        <v>0.0</v>
      </c>
      <c r="AH51" s="5">
        <v>3.0</v>
      </c>
      <c r="AI51" s="5" t="s">
        <v>583</v>
      </c>
      <c r="AJ51" s="5" t="s">
        <v>146</v>
      </c>
      <c r="AK51" s="30">
        <v>1100.0</v>
      </c>
      <c r="AL51" s="28">
        <v>1105.0</v>
      </c>
      <c r="AM51" s="28">
        <v>1034.0</v>
      </c>
      <c r="AN51" s="28">
        <v>850.0</v>
      </c>
      <c r="AO51" s="28">
        <v>2011.0</v>
      </c>
      <c r="AP51" s="28">
        <v>1833700.0</v>
      </c>
      <c r="AQ51" s="28">
        <v>1841670.35</v>
      </c>
      <c r="AR51" s="28">
        <v>3352337.0</v>
      </c>
      <c r="AS51" s="28">
        <v>0.0</v>
      </c>
      <c r="AT51" s="28">
        <v>3352337.0</v>
      </c>
      <c r="AU51" s="28">
        <v>1466960.0000000002</v>
      </c>
      <c r="AV51" s="28">
        <v>1451359.2499999998</v>
      </c>
      <c r="AW51" s="28">
        <v>1148276.8548000003</v>
      </c>
      <c r="AX51" s="28">
        <v>1100417.1428571427</v>
      </c>
      <c r="AY51" s="28">
        <v>1524056.2440000004</v>
      </c>
      <c r="AZ51" s="5"/>
      <c r="BA51" s="5" t="s">
        <v>125</v>
      </c>
      <c r="BB51" s="5" t="s">
        <v>127</v>
      </c>
      <c r="BC51" s="5" t="s">
        <v>237</v>
      </c>
      <c r="BD51" s="5" t="s">
        <v>68</v>
      </c>
      <c r="BE51" s="5" t="s">
        <v>89</v>
      </c>
      <c r="BF51" s="5" t="s">
        <v>90</v>
      </c>
      <c r="BG51" s="5" t="s">
        <v>91</v>
      </c>
    </row>
    <row r="52" ht="16.5" hidden="1" customHeight="1">
      <c r="A52" s="5" t="s">
        <v>100</v>
      </c>
      <c r="B52" s="57" t="s">
        <v>137</v>
      </c>
      <c r="C52" s="57" t="b">
        <v>1</v>
      </c>
      <c r="D52" s="57" t="s">
        <v>289</v>
      </c>
      <c r="E52" s="57" t="s">
        <v>290</v>
      </c>
      <c r="F52" s="57"/>
      <c r="G52" s="57" t="s">
        <v>65</v>
      </c>
      <c r="H52" s="57" t="s">
        <v>76</v>
      </c>
      <c r="I52" s="57" t="s">
        <v>82</v>
      </c>
      <c r="J52" s="58" t="s">
        <v>578</v>
      </c>
      <c r="K52" s="25"/>
      <c r="L52" s="25" t="s">
        <v>146</v>
      </c>
      <c r="M52" s="5" t="s">
        <v>66</v>
      </c>
      <c r="N52" s="5" t="s">
        <v>68</v>
      </c>
      <c r="O52" s="5" t="s">
        <v>141</v>
      </c>
      <c r="P52" s="5" t="s">
        <v>107</v>
      </c>
      <c r="Q52" s="5" t="s">
        <v>89</v>
      </c>
      <c r="R52" s="5" t="s">
        <v>110</v>
      </c>
      <c r="S52" s="5"/>
      <c r="T52" s="5"/>
      <c r="U52" s="5"/>
      <c r="V52" s="5">
        <v>3500.0</v>
      </c>
      <c r="W52" s="26">
        <v>2.1</v>
      </c>
      <c r="X52" s="5">
        <v>1667.0</v>
      </c>
      <c r="Y52" s="27">
        <v>0.2</v>
      </c>
      <c r="Z52" s="28">
        <v>1333.6000000000001</v>
      </c>
      <c r="AA52" s="27">
        <v>1.0</v>
      </c>
      <c r="AB52" s="5" t="s">
        <v>78</v>
      </c>
      <c r="AC52" s="27">
        <v>0.575</v>
      </c>
      <c r="AD52" s="5"/>
      <c r="AE52" s="5" t="s">
        <v>80</v>
      </c>
      <c r="AF52" s="5" t="s">
        <v>81</v>
      </c>
      <c r="AG52" s="5">
        <v>0.0</v>
      </c>
      <c r="AH52" s="5">
        <v>2.0</v>
      </c>
      <c r="AI52" s="5" t="s">
        <v>594</v>
      </c>
      <c r="AJ52" s="5" t="s">
        <v>146</v>
      </c>
      <c r="AK52" s="30">
        <v>800.0</v>
      </c>
      <c r="AL52" s="28">
        <v>810.0</v>
      </c>
      <c r="AM52" s="28">
        <v>820.0</v>
      </c>
      <c r="AN52" s="28">
        <v>750.0</v>
      </c>
      <c r="AO52" s="28">
        <v>1343.0</v>
      </c>
      <c r="AP52" s="28">
        <v>1333600.0</v>
      </c>
      <c r="AQ52" s="28">
        <v>1350002.7</v>
      </c>
      <c r="AR52" s="28">
        <v>2238781.0</v>
      </c>
      <c r="AS52" s="28">
        <v>0.0</v>
      </c>
      <c r="AT52" s="28">
        <v>2238781.0</v>
      </c>
      <c r="AU52" s="28">
        <v>1066880.0</v>
      </c>
      <c r="AV52" s="28">
        <v>1061877.9166666665</v>
      </c>
      <c r="AW52" s="28">
        <v>926932.9686000004</v>
      </c>
      <c r="AX52" s="28">
        <v>968750.4761904762</v>
      </c>
      <c r="AY52" s="28">
        <v>1192610.2710000002</v>
      </c>
      <c r="AZ52" s="5"/>
      <c r="BA52" s="5" t="s">
        <v>86</v>
      </c>
      <c r="BB52" s="5" t="s">
        <v>127</v>
      </c>
      <c r="BC52" s="32" t="s">
        <v>295</v>
      </c>
      <c r="BD52" s="5" t="s">
        <v>68</v>
      </c>
      <c r="BE52" s="5" t="s">
        <v>89</v>
      </c>
      <c r="BF52" s="5" t="s">
        <v>90</v>
      </c>
      <c r="BG52" s="5" t="s">
        <v>91</v>
      </c>
    </row>
    <row r="53" ht="16.5" hidden="1" customHeight="1">
      <c r="A53" s="5" t="s">
        <v>100</v>
      </c>
      <c r="B53" s="5" t="s">
        <v>215</v>
      </c>
      <c r="C53" s="5" t="b">
        <v>0</v>
      </c>
      <c r="D53" s="5" t="s">
        <v>436</v>
      </c>
      <c r="E53" s="5" t="s">
        <v>437</v>
      </c>
      <c r="F53" s="5"/>
      <c r="G53" s="5" t="s">
        <v>65</v>
      </c>
      <c r="H53" s="5" t="s">
        <v>76</v>
      </c>
      <c r="I53" s="5" t="s">
        <v>218</v>
      </c>
      <c r="J53" s="25" t="s">
        <v>219</v>
      </c>
      <c r="K53" s="25"/>
      <c r="L53" s="25" t="s">
        <v>146</v>
      </c>
      <c r="M53" s="5" t="s">
        <v>66</v>
      </c>
      <c r="N53" s="5" t="s">
        <v>355</v>
      </c>
      <c r="O53" s="5" t="s">
        <v>141</v>
      </c>
      <c r="P53" s="5" t="s">
        <v>70</v>
      </c>
      <c r="Q53" s="5" t="s">
        <v>282</v>
      </c>
      <c r="R53" s="5" t="s">
        <v>110</v>
      </c>
      <c r="S53" s="5"/>
      <c r="T53" s="5"/>
      <c r="U53" s="5"/>
      <c r="V53" s="5">
        <v>3400.0</v>
      </c>
      <c r="W53" s="26">
        <v>2.1</v>
      </c>
      <c r="X53" s="5">
        <v>1619.0</v>
      </c>
      <c r="Y53" s="27">
        <v>0.0</v>
      </c>
      <c r="Z53" s="28">
        <v>1619.0</v>
      </c>
      <c r="AA53" s="27">
        <v>1.0</v>
      </c>
      <c r="AB53" s="5" t="s">
        <v>117</v>
      </c>
      <c r="AC53" s="27"/>
      <c r="AD53" s="5"/>
      <c r="AE53" s="5" t="s">
        <v>359</v>
      </c>
      <c r="AF53" s="5" t="s">
        <v>81</v>
      </c>
      <c r="AG53" s="5"/>
      <c r="AH53" s="5">
        <v>2.0</v>
      </c>
      <c r="AI53" s="5" t="s">
        <v>603</v>
      </c>
      <c r="AJ53" s="5" t="s">
        <v>146</v>
      </c>
      <c r="AK53" s="30"/>
      <c r="AL53" s="28">
        <v>0.0</v>
      </c>
      <c r="AM53" s="28">
        <v>0.0</v>
      </c>
      <c r="AN53" s="28">
        <v>1140.0</v>
      </c>
      <c r="AO53" s="28">
        <v>1160.0</v>
      </c>
      <c r="AP53" s="28">
        <v>0.0</v>
      </c>
      <c r="AQ53" s="28">
        <v>0.0</v>
      </c>
      <c r="AR53" s="28">
        <v>1878040.0</v>
      </c>
      <c r="AS53" s="28">
        <v>0.0</v>
      </c>
      <c r="AT53" s="28">
        <v>1878040.0</v>
      </c>
      <c r="AU53" s="28">
        <v>0.0</v>
      </c>
      <c r="AV53" s="28">
        <v>0.0</v>
      </c>
      <c r="AW53" s="28">
        <v>0.0</v>
      </c>
      <c r="AX53" s="28">
        <v>1455017.142857143</v>
      </c>
      <c r="AY53" s="28">
        <v>1142296.4174399986</v>
      </c>
      <c r="AZ53" s="5" t="s">
        <v>124</v>
      </c>
      <c r="BA53" s="5" t="s">
        <v>125</v>
      </c>
      <c r="BB53" s="5" t="s">
        <v>127</v>
      </c>
      <c r="BC53" s="32" t="s">
        <v>608</v>
      </c>
      <c r="BD53" s="5" t="s">
        <v>355</v>
      </c>
      <c r="BE53" s="5" t="s">
        <v>161</v>
      </c>
      <c r="BF53" s="5" t="s">
        <v>448</v>
      </c>
      <c r="BG53" s="5" t="s">
        <v>131</v>
      </c>
    </row>
    <row r="54" ht="16.5" hidden="1" customHeight="1">
      <c r="A54" s="5" t="s">
        <v>100</v>
      </c>
      <c r="B54" s="5" t="s">
        <v>215</v>
      </c>
      <c r="C54" s="5" t="b">
        <v>0</v>
      </c>
      <c r="D54" s="5" t="s">
        <v>449</v>
      </c>
      <c r="E54" s="5" t="s">
        <v>450</v>
      </c>
      <c r="F54" s="5"/>
      <c r="G54" s="5" t="s">
        <v>65</v>
      </c>
      <c r="H54" s="5" t="s">
        <v>76</v>
      </c>
      <c r="I54" s="5" t="s">
        <v>218</v>
      </c>
      <c r="J54" s="25" t="s">
        <v>219</v>
      </c>
      <c r="K54" s="25"/>
      <c r="L54" s="25" t="s">
        <v>146</v>
      </c>
      <c r="M54" s="5" t="s">
        <v>66</v>
      </c>
      <c r="N54" s="5" t="s">
        <v>355</v>
      </c>
      <c r="O54" s="5" t="s">
        <v>141</v>
      </c>
      <c r="P54" s="5" t="s">
        <v>70</v>
      </c>
      <c r="Q54" s="5" t="s">
        <v>282</v>
      </c>
      <c r="R54" s="5" t="s">
        <v>110</v>
      </c>
      <c r="S54" s="5"/>
      <c r="T54" s="5"/>
      <c r="U54" s="5"/>
      <c r="V54" s="5">
        <v>2800.0</v>
      </c>
      <c r="W54" s="26">
        <v>2.1</v>
      </c>
      <c r="X54" s="5">
        <v>1333.0</v>
      </c>
      <c r="Y54" s="27">
        <v>0.0</v>
      </c>
      <c r="Z54" s="28">
        <v>1333.0</v>
      </c>
      <c r="AA54" s="27">
        <v>1.0</v>
      </c>
      <c r="AB54" s="5" t="s">
        <v>117</v>
      </c>
      <c r="AC54" s="27"/>
      <c r="AD54" s="5"/>
      <c r="AE54" s="5" t="s">
        <v>359</v>
      </c>
      <c r="AF54" s="5" t="s">
        <v>81</v>
      </c>
      <c r="AG54" s="5"/>
      <c r="AH54" s="5">
        <v>2.0</v>
      </c>
      <c r="AI54" s="5" t="s">
        <v>612</v>
      </c>
      <c r="AJ54" s="5" t="s">
        <v>146</v>
      </c>
      <c r="AK54" s="30"/>
      <c r="AL54" s="5">
        <v>0.0</v>
      </c>
      <c r="AM54" s="5">
        <v>0.0</v>
      </c>
      <c r="AN54" s="5">
        <v>2000.0</v>
      </c>
      <c r="AO54" s="5">
        <v>2201.0</v>
      </c>
      <c r="AP54" s="28">
        <v>0.0</v>
      </c>
      <c r="AQ54" s="28">
        <v>0.0</v>
      </c>
      <c r="AR54" s="28">
        <v>2933933.0</v>
      </c>
      <c r="AS54" s="28">
        <v>0.0</v>
      </c>
      <c r="AT54" s="28">
        <v>2933933.0</v>
      </c>
      <c r="AU54" s="28">
        <v>0.0</v>
      </c>
      <c r="AV54" s="28">
        <v>0.0</v>
      </c>
      <c r="AW54" s="28">
        <v>0.0</v>
      </c>
      <c r="AX54" s="28">
        <v>2119550.0</v>
      </c>
      <c r="AY54" s="28">
        <v>1968619.9349999998</v>
      </c>
      <c r="AZ54" s="5" t="s">
        <v>124</v>
      </c>
      <c r="BA54" s="5" t="s">
        <v>125</v>
      </c>
      <c r="BB54" s="5" t="s">
        <v>127</v>
      </c>
      <c r="BD54" s="5" t="s">
        <v>355</v>
      </c>
      <c r="BE54" s="5" t="s">
        <v>161</v>
      </c>
      <c r="BF54" s="5" t="s">
        <v>448</v>
      </c>
      <c r="BG54" s="5" t="s">
        <v>131</v>
      </c>
    </row>
    <row r="55" ht="16.5" hidden="1" customHeight="1">
      <c r="A55" s="5" t="s">
        <v>100</v>
      </c>
      <c r="B55" s="5" t="s">
        <v>215</v>
      </c>
      <c r="C55" s="5" t="b">
        <v>0</v>
      </c>
      <c r="D55" s="5" t="s">
        <v>619</v>
      </c>
      <c r="E55" s="5" t="s">
        <v>620</v>
      </c>
      <c r="F55" s="5"/>
      <c r="G55" s="5" t="s">
        <v>65</v>
      </c>
      <c r="H55" s="5" t="s">
        <v>76</v>
      </c>
      <c r="I55" s="5" t="s">
        <v>218</v>
      </c>
      <c r="J55" s="25" t="s">
        <v>219</v>
      </c>
      <c r="K55" s="25"/>
      <c r="L55" s="25"/>
      <c r="M55" s="5" t="s">
        <v>247</v>
      </c>
      <c r="N55" s="5" t="s">
        <v>355</v>
      </c>
      <c r="O55" s="5" t="s">
        <v>69</v>
      </c>
      <c r="P55" s="5" t="s">
        <v>70</v>
      </c>
      <c r="Q55" s="5" t="s">
        <v>89</v>
      </c>
      <c r="R55" s="5" t="s">
        <v>110</v>
      </c>
      <c r="S55" s="5"/>
      <c r="T55" s="5"/>
      <c r="U55" s="5"/>
      <c r="V55" s="5">
        <v>2500.0</v>
      </c>
      <c r="W55" s="26">
        <v>2.1</v>
      </c>
      <c r="X55" s="5">
        <v>1190.0</v>
      </c>
      <c r="Y55" s="27">
        <v>0.0</v>
      </c>
      <c r="Z55" s="28">
        <v>1190.0</v>
      </c>
      <c r="AA55" s="27">
        <v>1.0</v>
      </c>
      <c r="AB55" s="5" t="s">
        <v>117</v>
      </c>
      <c r="AC55" s="27"/>
      <c r="AD55" s="5"/>
      <c r="AE55" s="5" t="s">
        <v>511</v>
      </c>
      <c r="AF55" s="5" t="s">
        <v>198</v>
      </c>
      <c r="AG55" s="5"/>
      <c r="AH55" s="5">
        <v>2.0</v>
      </c>
      <c r="AI55" s="5" t="s">
        <v>623</v>
      </c>
      <c r="AJ55" s="5" t="s">
        <v>0</v>
      </c>
      <c r="AK55" s="30"/>
      <c r="AL55" s="28">
        <v>0.0</v>
      </c>
      <c r="AM55" s="28">
        <v>0.0</v>
      </c>
      <c r="AN55" s="28">
        <v>1036.0</v>
      </c>
      <c r="AO55" s="28">
        <v>884.0</v>
      </c>
      <c r="AP55" s="28">
        <v>0.0</v>
      </c>
      <c r="AQ55" s="28">
        <v>0.0</v>
      </c>
      <c r="AR55" s="28">
        <v>1051960.0</v>
      </c>
      <c r="AS55" s="28">
        <v>0.0</v>
      </c>
      <c r="AT55" s="28">
        <v>1051960.0</v>
      </c>
      <c r="AU55" s="28">
        <v>0.0</v>
      </c>
      <c r="AV55" s="28">
        <v>0.0</v>
      </c>
      <c r="AW55" s="28">
        <v>0.0</v>
      </c>
      <c r="AX55" s="28">
        <v>825532.4485049833</v>
      </c>
      <c r="AY55" s="28">
        <v>784549.9391750002</v>
      </c>
      <c r="AZ55" s="5" t="s">
        <v>124</v>
      </c>
      <c r="BA55" s="5" t="s">
        <v>125</v>
      </c>
      <c r="BB55" s="5" t="s">
        <v>174</v>
      </c>
      <c r="BC55" s="5" t="s">
        <v>237</v>
      </c>
      <c r="BD55" s="5" t="s">
        <v>355</v>
      </c>
      <c r="BE55" s="5" t="s">
        <v>89</v>
      </c>
      <c r="BF55" s="5" t="s">
        <v>367</v>
      </c>
      <c r="BG55" s="5" t="s">
        <v>131</v>
      </c>
    </row>
    <row r="56" ht="16.5" hidden="1" customHeight="1">
      <c r="A56" s="5" t="s">
        <v>100</v>
      </c>
      <c r="B56" s="5" t="s">
        <v>215</v>
      </c>
      <c r="C56" s="5" t="b">
        <v>0</v>
      </c>
      <c r="D56" s="5" t="s">
        <v>628</v>
      </c>
      <c r="E56" s="5" t="s">
        <v>629</v>
      </c>
      <c r="F56" s="5"/>
      <c r="G56" s="5" t="s">
        <v>65</v>
      </c>
      <c r="H56" s="5" t="s">
        <v>76</v>
      </c>
      <c r="I56" s="5" t="s">
        <v>218</v>
      </c>
      <c r="J56" s="25" t="s">
        <v>219</v>
      </c>
      <c r="K56" s="25"/>
      <c r="L56" s="25"/>
      <c r="M56" s="5" t="s">
        <v>247</v>
      </c>
      <c r="N56" s="5" t="s">
        <v>355</v>
      </c>
      <c r="O56" s="5" t="s">
        <v>69</v>
      </c>
      <c r="P56" s="5" t="s">
        <v>107</v>
      </c>
      <c r="Q56" s="5" t="s">
        <v>89</v>
      </c>
      <c r="R56" s="5" t="s">
        <v>110</v>
      </c>
      <c r="S56" s="5"/>
      <c r="T56" s="5"/>
      <c r="U56" s="5"/>
      <c r="V56" s="5">
        <v>2500.0</v>
      </c>
      <c r="W56" s="26">
        <v>2.1</v>
      </c>
      <c r="X56" s="5">
        <v>1190.0</v>
      </c>
      <c r="Y56" s="27">
        <v>0.0</v>
      </c>
      <c r="Z56" s="28">
        <v>1190.0</v>
      </c>
      <c r="AA56" s="27">
        <v>1.0</v>
      </c>
      <c r="AB56" s="5" t="s">
        <v>117</v>
      </c>
      <c r="AC56" s="27"/>
      <c r="AD56" s="5"/>
      <c r="AE56" s="5" t="s">
        <v>511</v>
      </c>
      <c r="AF56" s="5" t="s">
        <v>198</v>
      </c>
      <c r="AG56" s="5"/>
      <c r="AH56" s="5">
        <v>3.0</v>
      </c>
      <c r="AI56" s="5" t="s">
        <v>632</v>
      </c>
      <c r="AJ56" s="5" t="s">
        <v>0</v>
      </c>
      <c r="AK56" s="30"/>
      <c r="AL56" s="28">
        <v>0.0</v>
      </c>
      <c r="AM56" s="28">
        <v>0.0</v>
      </c>
      <c r="AN56" s="28">
        <v>879.0</v>
      </c>
      <c r="AO56" s="28">
        <v>792.0</v>
      </c>
      <c r="AP56" s="28">
        <v>0.0</v>
      </c>
      <c r="AQ56" s="28">
        <v>0.0</v>
      </c>
      <c r="AR56" s="28">
        <v>942480.0</v>
      </c>
      <c r="AS56" s="28">
        <v>0.0</v>
      </c>
      <c r="AT56" s="28">
        <v>942480.0</v>
      </c>
      <c r="AU56" s="28">
        <v>0.0</v>
      </c>
      <c r="AV56" s="28">
        <v>0.0</v>
      </c>
      <c r="AW56" s="28">
        <v>0.0</v>
      </c>
      <c r="AX56" s="28">
        <v>690186.9265780731</v>
      </c>
      <c r="AY56" s="28">
        <v>726468.3309400004</v>
      </c>
      <c r="AZ56" s="5" t="s">
        <v>124</v>
      </c>
      <c r="BA56" s="5" t="s">
        <v>125</v>
      </c>
      <c r="BB56" s="5" t="s">
        <v>174</v>
      </c>
      <c r="BC56" s="5" t="s">
        <v>237</v>
      </c>
      <c r="BD56" s="5" t="s">
        <v>355</v>
      </c>
      <c r="BE56" s="5" t="s">
        <v>89</v>
      </c>
      <c r="BF56" s="5" t="s">
        <v>367</v>
      </c>
      <c r="BG56" s="5" t="s">
        <v>131</v>
      </c>
    </row>
    <row r="57" ht="16.5" hidden="1" customHeight="1">
      <c r="A57" s="5" t="s">
        <v>100</v>
      </c>
      <c r="B57" s="5" t="s">
        <v>137</v>
      </c>
      <c r="C57" s="5" t="b">
        <v>1</v>
      </c>
      <c r="D57" s="5" t="s">
        <v>296</v>
      </c>
      <c r="E57" s="5" t="s">
        <v>297</v>
      </c>
      <c r="F57" s="5"/>
      <c r="G57" s="5" t="s">
        <v>65</v>
      </c>
      <c r="H57" s="5" t="s">
        <v>76</v>
      </c>
      <c r="I57" s="5" t="s">
        <v>82</v>
      </c>
      <c r="J57" s="25"/>
      <c r="K57" s="25"/>
      <c r="L57" s="25"/>
      <c r="M57" s="5" t="s">
        <v>66</v>
      </c>
      <c r="N57" s="5" t="s">
        <v>113</v>
      </c>
      <c r="O57" s="5" t="s">
        <v>69</v>
      </c>
      <c r="P57" s="5" t="s">
        <v>70</v>
      </c>
      <c r="Q57" s="5" t="s">
        <v>180</v>
      </c>
      <c r="R57" s="5" t="s">
        <v>181</v>
      </c>
      <c r="S57" s="5"/>
      <c r="T57" s="5"/>
      <c r="U57" s="5"/>
      <c r="V57" s="5">
        <v>1500.0</v>
      </c>
      <c r="W57" s="26">
        <v>2.1</v>
      </c>
      <c r="X57" s="5">
        <v>714.0</v>
      </c>
      <c r="Y57" s="27">
        <v>0.2</v>
      </c>
      <c r="Z57" s="28">
        <v>571.2</v>
      </c>
      <c r="AA57" s="27">
        <v>1.0</v>
      </c>
      <c r="AB57" s="5" t="s">
        <v>117</v>
      </c>
      <c r="AC57" s="27">
        <v>0.62</v>
      </c>
      <c r="AD57" s="5"/>
      <c r="AE57" s="5" t="s">
        <v>81</v>
      </c>
      <c r="AF57" s="5" t="s">
        <v>81</v>
      </c>
      <c r="AG57" s="5">
        <v>0.0</v>
      </c>
      <c r="AH57" s="5">
        <v>1.0</v>
      </c>
      <c r="AI57" s="5" t="s">
        <v>0</v>
      </c>
      <c r="AJ57" s="5" t="s">
        <v>0</v>
      </c>
      <c r="AK57" s="30">
        <v>500.0</v>
      </c>
      <c r="AL57" s="28">
        <v>478.0</v>
      </c>
      <c r="AM57" s="28">
        <v>688.0</v>
      </c>
      <c r="AN57" s="28">
        <v>1821.0</v>
      </c>
      <c r="AO57" s="28">
        <v>902.0</v>
      </c>
      <c r="AP57" s="28">
        <v>357000.0</v>
      </c>
      <c r="AQ57" s="28">
        <v>341430.62</v>
      </c>
      <c r="AR57" s="28">
        <v>644028.0</v>
      </c>
      <c r="AS57" s="28">
        <v>0.0</v>
      </c>
      <c r="AT57" s="28">
        <v>644028.0</v>
      </c>
      <c r="AU57" s="28">
        <v>285600.0</v>
      </c>
      <c r="AV57" s="28">
        <v>316823.89285714284</v>
      </c>
      <c r="AW57" s="28">
        <v>421807.3692833</v>
      </c>
      <c r="AX57" s="28">
        <v>824876.6611295681</v>
      </c>
      <c r="AY57" s="28">
        <v>468937.56967999996</v>
      </c>
      <c r="AZ57" s="5"/>
      <c r="BA57" s="5" t="s">
        <v>86</v>
      </c>
      <c r="BB57" s="5" t="s">
        <v>121</v>
      </c>
      <c r="BC57" s="32" t="s">
        <v>122</v>
      </c>
      <c r="BD57" s="5" t="s">
        <v>126</v>
      </c>
      <c r="BE57" s="5" t="s">
        <v>128</v>
      </c>
      <c r="BF57" s="5" t="s">
        <v>130</v>
      </c>
      <c r="BG57" s="5" t="s">
        <v>131</v>
      </c>
    </row>
    <row r="58" ht="16.5" hidden="1" customHeight="1">
      <c r="A58" s="5" t="s">
        <v>100</v>
      </c>
      <c r="B58" s="5" t="s">
        <v>137</v>
      </c>
      <c r="C58" s="5" t="b">
        <v>1</v>
      </c>
      <c r="D58" s="5" t="s">
        <v>299</v>
      </c>
      <c r="E58" s="5" t="s">
        <v>300</v>
      </c>
      <c r="F58" s="5"/>
      <c r="G58" s="5" t="s">
        <v>65</v>
      </c>
      <c r="H58" s="5" t="s">
        <v>76</v>
      </c>
      <c r="I58" s="5" t="s">
        <v>82</v>
      </c>
      <c r="J58" s="25"/>
      <c r="K58" s="25"/>
      <c r="L58" s="25"/>
      <c r="M58" s="5" t="s">
        <v>66</v>
      </c>
      <c r="N58" s="5" t="s">
        <v>113</v>
      </c>
      <c r="O58" s="5" t="s">
        <v>69</v>
      </c>
      <c r="P58" s="5" t="s">
        <v>107</v>
      </c>
      <c r="Q58" s="5" t="s">
        <v>180</v>
      </c>
      <c r="R58" s="5" t="s">
        <v>181</v>
      </c>
      <c r="S58" s="5"/>
      <c r="T58" s="5"/>
      <c r="U58" s="5"/>
      <c r="V58" s="5">
        <v>1500.0</v>
      </c>
      <c r="W58" s="26">
        <v>2.1</v>
      </c>
      <c r="X58" s="5">
        <v>714.0</v>
      </c>
      <c r="Y58" s="27">
        <v>0.2</v>
      </c>
      <c r="Z58" s="28">
        <v>571.2</v>
      </c>
      <c r="AA58" s="27">
        <v>1.0</v>
      </c>
      <c r="AB58" s="5" t="s">
        <v>117</v>
      </c>
      <c r="AC58" s="27">
        <v>0.63</v>
      </c>
      <c r="AD58" s="5"/>
      <c r="AE58" s="5" t="s">
        <v>81</v>
      </c>
      <c r="AF58" s="5" t="s">
        <v>81</v>
      </c>
      <c r="AG58" s="5">
        <v>0.0</v>
      </c>
      <c r="AH58" s="5">
        <v>1.0</v>
      </c>
      <c r="AI58" s="5" t="s">
        <v>0</v>
      </c>
      <c r="AJ58" s="5" t="s">
        <v>0</v>
      </c>
      <c r="AK58" s="30">
        <v>400.0</v>
      </c>
      <c r="AL58" s="28">
        <v>374.0</v>
      </c>
      <c r="AM58" s="28">
        <v>742.0</v>
      </c>
      <c r="AN58" s="28">
        <v>1169.0</v>
      </c>
      <c r="AO58" s="28">
        <v>669.0</v>
      </c>
      <c r="AP58" s="28">
        <v>285600.0</v>
      </c>
      <c r="AQ58" s="28">
        <v>267144.46</v>
      </c>
      <c r="AR58" s="28">
        <v>477666.0</v>
      </c>
      <c r="AS58" s="28">
        <v>0.0</v>
      </c>
      <c r="AT58" s="28">
        <v>477666.0</v>
      </c>
      <c r="AU58" s="28">
        <v>228480.00000000003</v>
      </c>
      <c r="AV58" s="28">
        <v>241758.74999999997</v>
      </c>
      <c r="AW58" s="28">
        <v>429512.2848888</v>
      </c>
      <c r="AX58" s="28">
        <v>609763.5279069768</v>
      </c>
      <c r="AY58" s="28">
        <v>382968.595471</v>
      </c>
      <c r="AZ58" s="5"/>
      <c r="BA58" s="5" t="s">
        <v>86</v>
      </c>
      <c r="BB58" s="5" t="s">
        <v>121</v>
      </c>
      <c r="BC58" s="32" t="s">
        <v>122</v>
      </c>
      <c r="BD58" s="5" t="s">
        <v>126</v>
      </c>
      <c r="BE58" s="5" t="s">
        <v>128</v>
      </c>
      <c r="BF58" s="5" t="s">
        <v>130</v>
      </c>
      <c r="BG58" s="5" t="s">
        <v>131</v>
      </c>
    </row>
    <row r="59" ht="16.5" hidden="1" customHeight="1">
      <c r="A59" s="5" t="s">
        <v>100</v>
      </c>
      <c r="B59" s="5" t="s">
        <v>137</v>
      </c>
      <c r="C59" s="5" t="b">
        <v>1</v>
      </c>
      <c r="D59" s="5" t="s">
        <v>302</v>
      </c>
      <c r="E59" s="5" t="s">
        <v>303</v>
      </c>
      <c r="F59" s="5"/>
      <c r="G59" s="5" t="s">
        <v>65</v>
      </c>
      <c r="H59" s="5" t="s">
        <v>76</v>
      </c>
      <c r="I59" s="5" t="s">
        <v>82</v>
      </c>
      <c r="J59" s="25"/>
      <c r="K59" s="25"/>
      <c r="L59" s="25"/>
      <c r="M59" s="5" t="s">
        <v>66</v>
      </c>
      <c r="N59" s="5" t="s">
        <v>68</v>
      </c>
      <c r="O59" s="5" t="s">
        <v>69</v>
      </c>
      <c r="P59" s="5" t="s">
        <v>70</v>
      </c>
      <c r="Q59" s="5" t="s">
        <v>89</v>
      </c>
      <c r="R59" s="5" t="s">
        <v>110</v>
      </c>
      <c r="S59" s="5"/>
      <c r="T59" s="5"/>
      <c r="U59" s="5"/>
      <c r="V59" s="5">
        <v>3300.0</v>
      </c>
      <c r="W59" s="26">
        <v>2.1</v>
      </c>
      <c r="X59" s="5">
        <v>1571.0</v>
      </c>
      <c r="Y59" s="27">
        <v>0.2</v>
      </c>
      <c r="Z59" s="28">
        <v>1256.8000000000002</v>
      </c>
      <c r="AA59" s="27">
        <v>1.0</v>
      </c>
      <c r="AB59" s="5" t="s">
        <v>117</v>
      </c>
      <c r="AC59" s="27">
        <v>0.6</v>
      </c>
      <c r="AD59" s="5"/>
      <c r="AE59" s="5" t="s">
        <v>166</v>
      </c>
      <c r="AF59" s="5" t="s">
        <v>81</v>
      </c>
      <c r="AG59" s="5">
        <v>5.0</v>
      </c>
      <c r="AH59" s="5">
        <v>5.0</v>
      </c>
      <c r="AI59" s="5" t="s">
        <v>666</v>
      </c>
      <c r="AJ59" s="5" t="s">
        <v>0</v>
      </c>
      <c r="AK59" s="30">
        <v>4200.0</v>
      </c>
      <c r="AL59" s="28">
        <v>4216.0</v>
      </c>
      <c r="AM59" s="28">
        <v>3116.0</v>
      </c>
      <c r="AN59" s="28">
        <v>4350.0</v>
      </c>
      <c r="AO59" s="28">
        <v>2965.0</v>
      </c>
      <c r="AP59" s="28">
        <v>6598200.0</v>
      </c>
      <c r="AQ59" s="28">
        <v>6625148.88</v>
      </c>
      <c r="AR59" s="28">
        <v>4658015.0</v>
      </c>
      <c r="AS59" s="28">
        <v>0.0</v>
      </c>
      <c r="AT59" s="28">
        <v>4658015.0</v>
      </c>
      <c r="AU59" s="28">
        <v>5278560.000000001</v>
      </c>
      <c r="AV59" s="28">
        <v>4791926.01173865</v>
      </c>
      <c r="AW59" s="28">
        <v>3378237.4952354007</v>
      </c>
      <c r="AX59" s="28">
        <v>5237876.657918051</v>
      </c>
      <c r="AY59" s="28">
        <v>3718994.9080159995</v>
      </c>
      <c r="AZ59" s="5"/>
      <c r="BA59" s="5" t="s">
        <v>86</v>
      </c>
      <c r="BB59" s="5" t="s">
        <v>121</v>
      </c>
      <c r="BC59" s="5" t="s">
        <v>306</v>
      </c>
      <c r="BD59" s="5" t="s">
        <v>68</v>
      </c>
      <c r="BE59" s="5" t="s">
        <v>89</v>
      </c>
      <c r="BF59" s="5" t="s">
        <v>132</v>
      </c>
      <c r="BG59" s="5" t="s">
        <v>91</v>
      </c>
    </row>
    <row r="60" ht="16.5" hidden="1" customHeight="1">
      <c r="A60" s="5" t="s">
        <v>100</v>
      </c>
      <c r="B60" s="35" t="s">
        <v>137</v>
      </c>
      <c r="C60" s="35" t="b">
        <v>0</v>
      </c>
      <c r="D60" s="35" t="s">
        <v>671</v>
      </c>
      <c r="E60" s="35" t="s">
        <v>672</v>
      </c>
      <c r="F60" s="35"/>
      <c r="G60" s="35" t="s">
        <v>65</v>
      </c>
      <c r="H60" s="35" t="s">
        <v>74</v>
      </c>
      <c r="I60" s="35" t="s">
        <v>106</v>
      </c>
      <c r="J60" s="36" t="s">
        <v>150</v>
      </c>
      <c r="K60" s="25"/>
      <c r="L60" s="25"/>
      <c r="M60" s="5" t="s">
        <v>66</v>
      </c>
      <c r="N60" s="5" t="s">
        <v>68</v>
      </c>
      <c r="O60" s="5" t="s">
        <v>96</v>
      </c>
      <c r="P60" s="5" t="s">
        <v>70</v>
      </c>
      <c r="Q60" s="5" t="s">
        <v>89</v>
      </c>
      <c r="R60" s="5" t="s">
        <v>110</v>
      </c>
      <c r="S60" s="5"/>
      <c r="T60" s="5"/>
      <c r="U60" s="5"/>
      <c r="V60" s="5">
        <v>3300.0</v>
      </c>
      <c r="W60" s="26">
        <v>2.1</v>
      </c>
      <c r="X60" s="5">
        <v>1571.0</v>
      </c>
      <c r="Y60" s="27">
        <v>0.0</v>
      </c>
      <c r="Z60" s="28">
        <v>1571.0</v>
      </c>
      <c r="AA60" s="27">
        <v>1.0</v>
      </c>
      <c r="AB60" s="5" t="s">
        <v>117</v>
      </c>
      <c r="AC60" s="27"/>
      <c r="AD60" s="26"/>
      <c r="AE60" s="5" t="s">
        <v>166</v>
      </c>
      <c r="AF60" s="5" t="s">
        <v>81</v>
      </c>
      <c r="AG60" s="5"/>
      <c r="AH60" s="5">
        <v>3.0</v>
      </c>
      <c r="AI60" s="5" t="s">
        <v>0</v>
      </c>
      <c r="AJ60" s="5" t="s">
        <v>471</v>
      </c>
      <c r="AK60" s="30"/>
      <c r="AL60" s="28">
        <v>0.0</v>
      </c>
      <c r="AM60" s="28">
        <v>0.0</v>
      </c>
      <c r="AN60" s="28">
        <v>0.0</v>
      </c>
      <c r="AO60" s="28">
        <v>0.0</v>
      </c>
      <c r="AP60" s="28">
        <v>0.0</v>
      </c>
      <c r="AQ60" s="28">
        <v>0.0</v>
      </c>
      <c r="AR60" s="28">
        <v>0.0</v>
      </c>
      <c r="AS60" s="28">
        <v>0.0</v>
      </c>
      <c r="AT60" s="28">
        <v>0.0</v>
      </c>
      <c r="AU60" s="28">
        <v>0.0</v>
      </c>
      <c r="AV60" s="28">
        <v>0.0</v>
      </c>
      <c r="AW60" s="28">
        <v>0.0</v>
      </c>
      <c r="AX60" s="28">
        <v>0.0</v>
      </c>
      <c r="AY60" s="28">
        <v>0.0</v>
      </c>
      <c r="AZ60" s="5" t="s">
        <v>124</v>
      </c>
      <c r="BA60" s="5" t="s">
        <v>86</v>
      </c>
      <c r="BB60" s="5" t="s">
        <v>121</v>
      </c>
      <c r="BC60" s="5" t="s">
        <v>306</v>
      </c>
      <c r="BD60" s="5" t="s">
        <v>68</v>
      </c>
      <c r="BE60" s="5" t="s">
        <v>89</v>
      </c>
      <c r="BF60" s="5" t="s">
        <v>132</v>
      </c>
      <c r="BG60" s="5" t="s">
        <v>91</v>
      </c>
      <c r="BH60" s="5" t="s">
        <v>683</v>
      </c>
    </row>
    <row r="61" ht="16.5" hidden="1" customHeight="1">
      <c r="A61" s="5" t="s">
        <v>100</v>
      </c>
      <c r="B61" s="5" t="s">
        <v>137</v>
      </c>
      <c r="C61" s="5" t="b">
        <v>1</v>
      </c>
      <c r="D61" s="5" t="s">
        <v>307</v>
      </c>
      <c r="E61" s="5" t="s">
        <v>308</v>
      </c>
      <c r="F61" s="5"/>
      <c r="G61" s="5" t="s">
        <v>65</v>
      </c>
      <c r="H61" s="5" t="s">
        <v>76</v>
      </c>
      <c r="I61" s="5" t="s">
        <v>82</v>
      </c>
      <c r="J61" s="25"/>
      <c r="K61" s="25"/>
      <c r="L61" s="25"/>
      <c r="M61" s="5" t="s">
        <v>66</v>
      </c>
      <c r="N61" s="5" t="s">
        <v>68</v>
      </c>
      <c r="O61" s="5" t="s">
        <v>69</v>
      </c>
      <c r="P61" s="5" t="s">
        <v>107</v>
      </c>
      <c r="Q61" s="5" t="s">
        <v>89</v>
      </c>
      <c r="R61" s="5" t="s">
        <v>110</v>
      </c>
      <c r="S61" s="5"/>
      <c r="T61" s="5"/>
      <c r="U61" s="5"/>
      <c r="V61" s="5">
        <v>3300.0</v>
      </c>
      <c r="W61" s="26">
        <v>2.1</v>
      </c>
      <c r="X61" s="5">
        <v>1571.0</v>
      </c>
      <c r="Y61" s="27">
        <v>0.2</v>
      </c>
      <c r="Z61" s="28">
        <v>1256.8000000000002</v>
      </c>
      <c r="AA61" s="27">
        <v>1.0</v>
      </c>
      <c r="AB61" s="5" t="s">
        <v>117</v>
      </c>
      <c r="AC61" s="27">
        <v>0.62</v>
      </c>
      <c r="AD61" s="5"/>
      <c r="AE61" s="5" t="s">
        <v>166</v>
      </c>
      <c r="AF61" s="5" t="s">
        <v>81</v>
      </c>
      <c r="AG61" s="5">
        <v>5.0</v>
      </c>
      <c r="AH61" s="5">
        <v>5.0</v>
      </c>
      <c r="AI61" s="5" t="s">
        <v>689</v>
      </c>
      <c r="AJ61" s="5" t="s">
        <v>0</v>
      </c>
      <c r="AK61" s="30">
        <v>3200.0</v>
      </c>
      <c r="AL61" s="28">
        <v>3222.0</v>
      </c>
      <c r="AM61" s="28">
        <v>2374.0</v>
      </c>
      <c r="AN61" s="28">
        <v>3020.0</v>
      </c>
      <c r="AO61" s="28">
        <v>2466.0</v>
      </c>
      <c r="AP61" s="28">
        <v>5027200.0</v>
      </c>
      <c r="AQ61" s="28">
        <v>5063147.459999999</v>
      </c>
      <c r="AR61" s="28">
        <v>3874086.0</v>
      </c>
      <c r="AS61" s="28">
        <v>0.0</v>
      </c>
      <c r="AT61" s="28">
        <v>3874086.0</v>
      </c>
      <c r="AU61" s="28">
        <v>4021760.0000000005</v>
      </c>
      <c r="AV61" s="28">
        <v>3853233.1562015507</v>
      </c>
      <c r="AW61" s="28">
        <v>2652802.8544412</v>
      </c>
      <c r="AX61" s="28">
        <v>3757290.418272425</v>
      </c>
      <c r="AY61" s="28">
        <v>3149470.0139840003</v>
      </c>
      <c r="AZ61" s="5"/>
      <c r="BA61" s="5" t="s">
        <v>86</v>
      </c>
      <c r="BB61" s="5" t="s">
        <v>121</v>
      </c>
      <c r="BC61" s="5" t="s">
        <v>306</v>
      </c>
      <c r="BD61" s="5" t="s">
        <v>68</v>
      </c>
      <c r="BE61" s="5" t="s">
        <v>89</v>
      </c>
      <c r="BF61" s="5" t="s">
        <v>132</v>
      </c>
      <c r="BG61" s="5" t="s">
        <v>91</v>
      </c>
    </row>
    <row r="62" ht="16.5" hidden="1" customHeight="1">
      <c r="A62" s="5" t="s">
        <v>100</v>
      </c>
      <c r="B62" s="35" t="s">
        <v>137</v>
      </c>
      <c r="C62" s="35" t="b">
        <v>0</v>
      </c>
      <c r="D62" s="35" t="s">
        <v>696</v>
      </c>
      <c r="E62" s="35" t="s">
        <v>697</v>
      </c>
      <c r="F62" s="35"/>
      <c r="G62" s="35" t="s">
        <v>65</v>
      </c>
      <c r="H62" s="35" t="s">
        <v>74</v>
      </c>
      <c r="I62" s="35" t="s">
        <v>106</v>
      </c>
      <c r="J62" s="36" t="s">
        <v>150</v>
      </c>
      <c r="K62" s="25"/>
      <c r="L62" s="25"/>
      <c r="M62" s="5" t="s">
        <v>66</v>
      </c>
      <c r="N62" s="5" t="s">
        <v>68</v>
      </c>
      <c r="O62" s="5" t="s">
        <v>96</v>
      </c>
      <c r="P62" s="5" t="s">
        <v>107</v>
      </c>
      <c r="Q62" s="5" t="s">
        <v>89</v>
      </c>
      <c r="R62" s="5" t="s">
        <v>110</v>
      </c>
      <c r="S62" s="5"/>
      <c r="T62" s="5"/>
      <c r="U62" s="5"/>
      <c r="V62" s="5">
        <v>3300.0</v>
      </c>
      <c r="W62" s="26">
        <v>2.1</v>
      </c>
      <c r="X62" s="5">
        <v>1571.0</v>
      </c>
      <c r="Y62" s="27">
        <v>0.0</v>
      </c>
      <c r="Z62" s="28">
        <v>1571.0</v>
      </c>
      <c r="AA62" s="27">
        <v>1.0</v>
      </c>
      <c r="AB62" s="5" t="s">
        <v>117</v>
      </c>
      <c r="AC62" s="27"/>
      <c r="AD62" s="26"/>
      <c r="AE62" s="5" t="s">
        <v>166</v>
      </c>
      <c r="AF62" s="5" t="s">
        <v>81</v>
      </c>
      <c r="AG62" s="5"/>
      <c r="AH62" s="5">
        <v>2.0</v>
      </c>
      <c r="AI62" s="5" t="s">
        <v>0</v>
      </c>
      <c r="AJ62" s="5" t="s">
        <v>471</v>
      </c>
      <c r="AK62" s="30"/>
      <c r="AL62" s="28">
        <v>0.0</v>
      </c>
      <c r="AM62" s="28">
        <v>0.0</v>
      </c>
      <c r="AN62" s="28">
        <v>0.0</v>
      </c>
      <c r="AO62" s="28">
        <v>0.0</v>
      </c>
      <c r="AP62" s="28">
        <v>0.0</v>
      </c>
      <c r="AQ62" s="28">
        <v>0.0</v>
      </c>
      <c r="AR62" s="28">
        <v>0.0</v>
      </c>
      <c r="AS62" s="28">
        <v>0.0</v>
      </c>
      <c r="AT62" s="28">
        <v>0.0</v>
      </c>
      <c r="AU62" s="28">
        <v>0.0</v>
      </c>
      <c r="AV62" s="28">
        <v>0.0</v>
      </c>
      <c r="AW62" s="28">
        <v>0.0</v>
      </c>
      <c r="AX62" s="28">
        <v>0.0</v>
      </c>
      <c r="AY62" s="28">
        <v>0.0</v>
      </c>
      <c r="AZ62" s="5" t="s">
        <v>124</v>
      </c>
      <c r="BA62" s="5" t="s">
        <v>86</v>
      </c>
      <c r="BB62" s="5" t="s">
        <v>121</v>
      </c>
      <c r="BC62" s="5" t="s">
        <v>306</v>
      </c>
      <c r="BD62" s="5" t="s">
        <v>68</v>
      </c>
      <c r="BE62" s="5" t="s">
        <v>89</v>
      </c>
      <c r="BF62" s="5" t="s">
        <v>132</v>
      </c>
      <c r="BG62" s="5" t="s">
        <v>91</v>
      </c>
      <c r="BH62" s="5" t="s">
        <v>704</v>
      </c>
    </row>
    <row r="63" ht="16.5" hidden="1" customHeight="1">
      <c r="A63" s="5" t="s">
        <v>100</v>
      </c>
      <c r="B63" s="5" t="s">
        <v>137</v>
      </c>
      <c r="C63" s="5" t="b">
        <v>0</v>
      </c>
      <c r="D63" s="5" t="s">
        <v>705</v>
      </c>
      <c r="E63" s="5" t="s">
        <v>706</v>
      </c>
      <c r="F63" s="5"/>
      <c r="G63" s="5" t="s">
        <v>65</v>
      </c>
      <c r="H63" s="5" t="s">
        <v>76</v>
      </c>
      <c r="I63" s="5" t="s">
        <v>218</v>
      </c>
      <c r="J63" s="25" t="s">
        <v>707</v>
      </c>
      <c r="K63" s="25"/>
      <c r="L63" s="25"/>
      <c r="M63" s="5" t="s">
        <v>247</v>
      </c>
      <c r="N63" s="5" t="s">
        <v>270</v>
      </c>
      <c r="O63" s="5" t="s">
        <v>69</v>
      </c>
      <c r="P63" s="5" t="s">
        <v>70</v>
      </c>
      <c r="Q63" s="5" t="s">
        <v>282</v>
      </c>
      <c r="R63" s="5" t="s">
        <v>110</v>
      </c>
      <c r="S63" s="5"/>
      <c r="T63" s="5"/>
      <c r="U63" s="5"/>
      <c r="V63" s="5">
        <v>1800.0</v>
      </c>
      <c r="W63" s="26">
        <v>2.1</v>
      </c>
      <c r="X63" s="5">
        <v>857.0</v>
      </c>
      <c r="Y63" s="27">
        <v>0.0</v>
      </c>
      <c r="Z63" s="28">
        <v>857.0</v>
      </c>
      <c r="AA63" s="27">
        <v>1.0</v>
      </c>
      <c r="AB63" s="5" t="s">
        <v>117</v>
      </c>
      <c r="AC63" s="27"/>
      <c r="AD63" s="5"/>
      <c r="AE63" s="5" t="s">
        <v>81</v>
      </c>
      <c r="AF63" s="5" t="s">
        <v>81</v>
      </c>
      <c r="AG63" s="5"/>
      <c r="AH63" s="5">
        <v>3.0</v>
      </c>
      <c r="AI63" s="5" t="s">
        <v>712</v>
      </c>
      <c r="AJ63" s="5" t="s">
        <v>0</v>
      </c>
      <c r="AK63" s="30"/>
      <c r="AL63" s="28">
        <v>0.0</v>
      </c>
      <c r="AM63" s="28">
        <v>0.0</v>
      </c>
      <c r="AN63" s="28">
        <v>2893.0</v>
      </c>
      <c r="AO63" s="28">
        <v>2603.0</v>
      </c>
      <c r="AP63" s="28">
        <v>0.0</v>
      </c>
      <c r="AQ63" s="28">
        <v>0.0</v>
      </c>
      <c r="AR63" s="28">
        <v>2230771.0</v>
      </c>
      <c r="AS63" s="28">
        <v>0.0</v>
      </c>
      <c r="AT63" s="28">
        <v>2230771.0</v>
      </c>
      <c r="AU63" s="28">
        <v>0.0</v>
      </c>
      <c r="AV63" s="28">
        <v>0.0</v>
      </c>
      <c r="AW63" s="28">
        <v>0.0</v>
      </c>
      <c r="AX63" s="28">
        <v>1977191.9213732004</v>
      </c>
      <c r="AY63" s="28">
        <v>1772745.2172240003</v>
      </c>
      <c r="AZ63" s="5" t="s">
        <v>124</v>
      </c>
      <c r="BA63" s="5" t="s">
        <v>125</v>
      </c>
      <c r="BB63" s="5" t="s">
        <v>174</v>
      </c>
      <c r="BC63" s="5" t="s">
        <v>237</v>
      </c>
      <c r="BD63" s="5" t="s">
        <v>276</v>
      </c>
      <c r="BE63" s="5" t="s">
        <v>161</v>
      </c>
      <c r="BF63" s="5" t="s">
        <v>714</v>
      </c>
      <c r="BG63" s="5" t="s">
        <v>131</v>
      </c>
    </row>
    <row r="64" ht="16.5" hidden="1" customHeight="1">
      <c r="A64" s="5" t="s">
        <v>100</v>
      </c>
      <c r="B64" s="5" t="s">
        <v>137</v>
      </c>
      <c r="C64" s="5" t="b">
        <v>0</v>
      </c>
      <c r="D64" s="5" t="s">
        <v>717</v>
      </c>
      <c r="E64" s="5" t="s">
        <v>718</v>
      </c>
      <c r="F64" s="5"/>
      <c r="G64" s="5" t="s">
        <v>65</v>
      </c>
      <c r="H64" s="5" t="s">
        <v>76</v>
      </c>
      <c r="I64" s="5" t="s">
        <v>218</v>
      </c>
      <c r="J64" s="25" t="s">
        <v>707</v>
      </c>
      <c r="K64" s="25"/>
      <c r="L64" s="25"/>
      <c r="M64" s="5" t="s">
        <v>247</v>
      </c>
      <c r="N64" s="5" t="s">
        <v>270</v>
      </c>
      <c r="O64" s="5" t="s">
        <v>69</v>
      </c>
      <c r="P64" s="5" t="s">
        <v>107</v>
      </c>
      <c r="Q64" s="5" t="s">
        <v>282</v>
      </c>
      <c r="R64" s="5" t="s">
        <v>110</v>
      </c>
      <c r="S64" s="5"/>
      <c r="T64" s="5"/>
      <c r="U64" s="5"/>
      <c r="V64" s="5">
        <v>1800.0</v>
      </c>
      <c r="W64" s="26">
        <v>2.1</v>
      </c>
      <c r="X64" s="5">
        <v>857.0</v>
      </c>
      <c r="Y64" s="27">
        <v>0.0</v>
      </c>
      <c r="Z64" s="28">
        <v>857.0</v>
      </c>
      <c r="AA64" s="27">
        <v>1.0</v>
      </c>
      <c r="AB64" s="5" t="s">
        <v>117</v>
      </c>
      <c r="AC64" s="27"/>
      <c r="AD64" s="5"/>
      <c r="AE64" s="5" t="s">
        <v>81</v>
      </c>
      <c r="AF64" s="5" t="s">
        <v>81</v>
      </c>
      <c r="AG64" s="5"/>
      <c r="AH64" s="5">
        <v>3.0</v>
      </c>
      <c r="AI64" s="5" t="s">
        <v>722</v>
      </c>
      <c r="AJ64" s="5" t="s">
        <v>0</v>
      </c>
      <c r="AK64" s="30"/>
      <c r="AL64" s="28">
        <v>0.0</v>
      </c>
      <c r="AM64" s="28">
        <v>0.0</v>
      </c>
      <c r="AN64" s="28">
        <v>3214.0</v>
      </c>
      <c r="AO64" s="28">
        <v>2954.0</v>
      </c>
      <c r="AP64" s="28">
        <v>0.0</v>
      </c>
      <c r="AQ64" s="28">
        <v>0.0</v>
      </c>
      <c r="AR64" s="28">
        <v>2531578.0</v>
      </c>
      <c r="AS64" s="28">
        <v>0.0</v>
      </c>
      <c r="AT64" s="28">
        <v>2531578.0</v>
      </c>
      <c r="AU64" s="28">
        <v>0.0</v>
      </c>
      <c r="AV64" s="28">
        <v>0.0</v>
      </c>
      <c r="AW64" s="28">
        <v>0.0</v>
      </c>
      <c r="AX64" s="28">
        <v>2175289.696456257</v>
      </c>
      <c r="AY64" s="28">
        <v>2023673.5636240004</v>
      </c>
      <c r="AZ64" s="5" t="s">
        <v>124</v>
      </c>
      <c r="BA64" s="5" t="s">
        <v>125</v>
      </c>
      <c r="BB64" s="5" t="s">
        <v>174</v>
      </c>
      <c r="BC64" s="5" t="s">
        <v>237</v>
      </c>
      <c r="BD64" s="5" t="s">
        <v>276</v>
      </c>
      <c r="BE64" s="5" t="s">
        <v>161</v>
      </c>
      <c r="BF64" s="5" t="s">
        <v>714</v>
      </c>
      <c r="BG64" s="5" t="s">
        <v>131</v>
      </c>
    </row>
    <row r="65" ht="16.5" hidden="1" customHeight="1">
      <c r="A65" s="5" t="s">
        <v>100</v>
      </c>
      <c r="B65" s="5" t="s">
        <v>137</v>
      </c>
      <c r="C65" s="5" t="b">
        <v>0</v>
      </c>
      <c r="D65" s="5" t="s">
        <v>310</v>
      </c>
      <c r="E65" s="5" t="s">
        <v>311</v>
      </c>
      <c r="F65" s="5"/>
      <c r="G65" s="5" t="s">
        <v>65</v>
      </c>
      <c r="H65" s="5" t="s">
        <v>74</v>
      </c>
      <c r="I65" s="5" t="s">
        <v>106</v>
      </c>
      <c r="J65" s="25" t="s">
        <v>267</v>
      </c>
      <c r="K65" s="25"/>
      <c r="L65" s="25" t="s">
        <v>156</v>
      </c>
      <c r="M65" s="5" t="s">
        <v>66</v>
      </c>
      <c r="N65" s="5" t="s">
        <v>126</v>
      </c>
      <c r="O65" s="5" t="s">
        <v>141</v>
      </c>
      <c r="P65" s="5" t="s">
        <v>70</v>
      </c>
      <c r="Q65" s="5" t="s">
        <v>180</v>
      </c>
      <c r="R65" s="5" t="s">
        <v>181</v>
      </c>
      <c r="S65" s="5"/>
      <c r="T65" s="5"/>
      <c r="U65" s="5"/>
      <c r="V65" s="5">
        <v>2200.0</v>
      </c>
      <c r="W65" s="26">
        <v>2.1</v>
      </c>
      <c r="X65" s="5">
        <v>1048.0</v>
      </c>
      <c r="Y65" s="27">
        <v>0.0</v>
      </c>
      <c r="Z65" s="28">
        <v>1048.0</v>
      </c>
      <c r="AA65" s="27">
        <v>1.0</v>
      </c>
      <c r="AB65" s="5" t="s">
        <v>117</v>
      </c>
      <c r="AC65" s="27"/>
      <c r="AD65" s="26"/>
      <c r="AE65" s="5" t="s">
        <v>81</v>
      </c>
      <c r="AF65" s="5" t="s">
        <v>81</v>
      </c>
      <c r="AG65" s="5"/>
      <c r="AH65" s="5">
        <v>1.0</v>
      </c>
      <c r="AI65" s="5" t="s">
        <v>0</v>
      </c>
      <c r="AJ65" s="5" t="s">
        <v>156</v>
      </c>
      <c r="AK65" s="30"/>
      <c r="AL65" s="28">
        <v>0.0</v>
      </c>
      <c r="AM65" s="28">
        <v>0.0</v>
      </c>
      <c r="AN65" s="28">
        <v>0.0</v>
      </c>
      <c r="AO65" s="28">
        <v>0.0</v>
      </c>
      <c r="AP65" s="28">
        <v>0.0</v>
      </c>
      <c r="AQ65" s="28">
        <v>0.0</v>
      </c>
      <c r="AR65" s="28">
        <v>0.0</v>
      </c>
      <c r="AS65" s="28">
        <v>0.0</v>
      </c>
      <c r="AT65" s="28">
        <v>0.0</v>
      </c>
      <c r="AU65" s="28">
        <v>0.0</v>
      </c>
      <c r="AV65" s="28">
        <v>0.0</v>
      </c>
      <c r="AW65" s="28">
        <v>0.0</v>
      </c>
      <c r="AX65" s="28">
        <v>0.0</v>
      </c>
      <c r="AY65" s="28">
        <v>0.0</v>
      </c>
      <c r="AZ65" s="5" t="s">
        <v>124</v>
      </c>
      <c r="BA65" s="5" t="s">
        <v>125</v>
      </c>
      <c r="BB65" s="5" t="s">
        <v>127</v>
      </c>
      <c r="BD65" s="5" t="s">
        <v>126</v>
      </c>
      <c r="BE65" s="5" t="s">
        <v>128</v>
      </c>
      <c r="BF65" s="5" t="s">
        <v>130</v>
      </c>
      <c r="BG65" s="5" t="s">
        <v>131</v>
      </c>
      <c r="BH65" s="5" t="s">
        <v>281</v>
      </c>
    </row>
    <row r="66" ht="16.5" hidden="1" customHeight="1">
      <c r="A66" s="5" t="s">
        <v>100</v>
      </c>
      <c r="B66" s="5" t="s">
        <v>137</v>
      </c>
      <c r="C66" s="5" t="b">
        <v>0</v>
      </c>
      <c r="D66" s="5" t="s">
        <v>314</v>
      </c>
      <c r="E66" s="5" t="s">
        <v>315</v>
      </c>
      <c r="F66" s="5"/>
      <c r="G66" s="5" t="s">
        <v>65</v>
      </c>
      <c r="H66" s="5" t="s">
        <v>74</v>
      </c>
      <c r="I66" s="5" t="s">
        <v>106</v>
      </c>
      <c r="J66" s="25" t="s">
        <v>267</v>
      </c>
      <c r="K66" s="25"/>
      <c r="L66" s="25" t="s">
        <v>156</v>
      </c>
      <c r="M66" s="5" t="s">
        <v>66</v>
      </c>
      <c r="N66" s="5" t="s">
        <v>126</v>
      </c>
      <c r="O66" s="5" t="s">
        <v>141</v>
      </c>
      <c r="P66" s="5" t="s">
        <v>107</v>
      </c>
      <c r="Q66" s="5" t="s">
        <v>180</v>
      </c>
      <c r="R66" s="5" t="s">
        <v>181</v>
      </c>
      <c r="S66" s="5"/>
      <c r="T66" s="5"/>
      <c r="U66" s="5"/>
      <c r="V66" s="5">
        <v>2200.0</v>
      </c>
      <c r="W66" s="26">
        <v>2.1</v>
      </c>
      <c r="X66" s="5">
        <v>1048.0</v>
      </c>
      <c r="Y66" s="27">
        <v>0.0</v>
      </c>
      <c r="Z66" s="28">
        <v>1048.0</v>
      </c>
      <c r="AA66" s="27">
        <v>1.0</v>
      </c>
      <c r="AB66" s="5" t="s">
        <v>117</v>
      </c>
      <c r="AC66" s="27"/>
      <c r="AD66" s="26"/>
      <c r="AE66" s="5" t="s">
        <v>81</v>
      </c>
      <c r="AF66" s="5" t="s">
        <v>81</v>
      </c>
      <c r="AG66" s="5"/>
      <c r="AH66" s="5">
        <v>1.0</v>
      </c>
      <c r="AI66" s="5" t="s">
        <v>0</v>
      </c>
      <c r="AJ66" s="5" t="s">
        <v>156</v>
      </c>
      <c r="AK66" s="30"/>
      <c r="AL66" s="28">
        <v>0.0</v>
      </c>
      <c r="AM66" s="28">
        <v>0.0</v>
      </c>
      <c r="AN66" s="28">
        <v>0.0</v>
      </c>
      <c r="AO66" s="28">
        <v>0.0</v>
      </c>
      <c r="AP66" s="28">
        <v>0.0</v>
      </c>
      <c r="AQ66" s="28">
        <v>0.0</v>
      </c>
      <c r="AR66" s="28">
        <v>0.0</v>
      </c>
      <c r="AS66" s="28">
        <v>0.0</v>
      </c>
      <c r="AT66" s="28">
        <v>0.0</v>
      </c>
      <c r="AU66" s="28">
        <v>0.0</v>
      </c>
      <c r="AV66" s="28">
        <v>0.0</v>
      </c>
      <c r="AW66" s="28">
        <v>0.0</v>
      </c>
      <c r="AX66" s="28">
        <v>0.0</v>
      </c>
      <c r="AY66" s="28">
        <v>0.0</v>
      </c>
      <c r="AZ66" s="5" t="s">
        <v>124</v>
      </c>
      <c r="BA66" s="5" t="s">
        <v>125</v>
      </c>
      <c r="BB66" s="5" t="s">
        <v>127</v>
      </c>
      <c r="BD66" s="5" t="s">
        <v>126</v>
      </c>
      <c r="BE66" s="5" t="s">
        <v>128</v>
      </c>
      <c r="BF66" s="5" t="s">
        <v>130</v>
      </c>
      <c r="BG66" s="5" t="s">
        <v>131</v>
      </c>
      <c r="BH66" s="5" t="s">
        <v>281</v>
      </c>
    </row>
    <row r="67" ht="16.5" hidden="1" customHeight="1">
      <c r="A67" s="5" t="s">
        <v>100</v>
      </c>
      <c r="B67" s="5" t="s">
        <v>0</v>
      </c>
      <c r="C67" s="5" t="b">
        <v>0</v>
      </c>
      <c r="D67" s="5" t="s">
        <v>743</v>
      </c>
      <c r="E67" s="5" t="s">
        <v>744</v>
      </c>
      <c r="F67" s="5"/>
      <c r="G67" s="5" t="s">
        <v>65</v>
      </c>
      <c r="H67" s="5" t="s">
        <v>76</v>
      </c>
      <c r="I67" s="5" t="s">
        <v>106</v>
      </c>
      <c r="J67" s="25" t="s">
        <v>108</v>
      </c>
      <c r="K67" s="25"/>
      <c r="L67" s="25"/>
      <c r="M67" s="5" t="s">
        <v>247</v>
      </c>
      <c r="N67" s="5" t="s">
        <v>334</v>
      </c>
      <c r="O67" s="5" t="s">
        <v>96</v>
      </c>
      <c r="P67" s="5" t="s">
        <v>70</v>
      </c>
      <c r="Q67" s="5" t="s">
        <v>746</v>
      </c>
      <c r="R67" s="5" t="s">
        <v>110</v>
      </c>
      <c r="S67" s="5"/>
      <c r="T67" s="5"/>
      <c r="U67" s="5"/>
      <c r="V67" s="5">
        <v>0.0</v>
      </c>
      <c r="W67" s="26">
        <v>2.1</v>
      </c>
      <c r="X67" s="5">
        <v>0.0</v>
      </c>
      <c r="Y67" s="27">
        <v>0.0</v>
      </c>
      <c r="Z67" s="28">
        <v>0.0</v>
      </c>
      <c r="AA67" s="27">
        <v>0.0</v>
      </c>
      <c r="AB67" s="5" t="s">
        <v>0</v>
      </c>
      <c r="AC67" s="27"/>
      <c r="AD67" s="5"/>
      <c r="AE67" s="5" t="s">
        <v>273</v>
      </c>
      <c r="AF67" s="5" t="s">
        <v>0</v>
      </c>
      <c r="AG67" s="5"/>
      <c r="AH67" s="5">
        <v>1.0</v>
      </c>
      <c r="AI67" s="5" t="s">
        <v>0</v>
      </c>
      <c r="AJ67" s="5" t="s">
        <v>116</v>
      </c>
      <c r="AK67" s="52"/>
      <c r="AL67" s="28">
        <v>0.0</v>
      </c>
      <c r="AM67" s="28">
        <v>0.0</v>
      </c>
      <c r="AN67" s="28">
        <v>0.0</v>
      </c>
      <c r="AO67" s="28">
        <v>0.0</v>
      </c>
      <c r="AP67" s="28">
        <v>0.0</v>
      </c>
      <c r="AQ67" s="28">
        <v>0.0</v>
      </c>
      <c r="AR67" s="28">
        <v>0.0</v>
      </c>
      <c r="AS67" s="28">
        <v>0.0</v>
      </c>
      <c r="AT67" s="28">
        <v>0.0</v>
      </c>
      <c r="AU67" s="28">
        <v>0.0</v>
      </c>
      <c r="AV67" s="28">
        <v>0.0</v>
      </c>
      <c r="AW67" s="28">
        <v>0.0</v>
      </c>
      <c r="AX67" s="28">
        <v>0.0</v>
      </c>
      <c r="AY67" s="28">
        <v>0.0</v>
      </c>
      <c r="AZ67" s="5" t="s">
        <v>124</v>
      </c>
      <c r="BA67" s="5" t="s">
        <v>125</v>
      </c>
      <c r="BB67" s="5" t="s">
        <v>174</v>
      </c>
      <c r="BD67" s="5" t="s">
        <v>276</v>
      </c>
      <c r="BE67" s="5" t="s">
        <v>751</v>
      </c>
      <c r="BF67" s="5" t="s">
        <v>501</v>
      </c>
      <c r="BG67" s="5" t="s">
        <v>131</v>
      </c>
      <c r="BH67" s="5" t="s">
        <v>752</v>
      </c>
    </row>
    <row r="68" ht="16.5" hidden="1" customHeight="1">
      <c r="A68" s="5" t="s">
        <v>100</v>
      </c>
      <c r="B68" s="5" t="s">
        <v>200</v>
      </c>
      <c r="C68" s="5" t="b">
        <v>1</v>
      </c>
      <c r="D68" s="5" t="s">
        <v>320</v>
      </c>
      <c r="E68" s="5" t="s">
        <v>321</v>
      </c>
      <c r="F68" s="5"/>
      <c r="G68" s="5" t="s">
        <v>65</v>
      </c>
      <c r="H68" s="5" t="s">
        <v>74</v>
      </c>
      <c r="I68" s="5" t="s">
        <v>82</v>
      </c>
      <c r="J68" s="25"/>
      <c r="K68" s="25"/>
      <c r="L68" s="25"/>
      <c r="M68" s="5" t="s">
        <v>247</v>
      </c>
      <c r="N68" s="5" t="s">
        <v>248</v>
      </c>
      <c r="O68" s="5" t="s">
        <v>69</v>
      </c>
      <c r="P68" s="5" t="s">
        <v>249</v>
      </c>
      <c r="Q68" s="5" t="s">
        <v>755</v>
      </c>
      <c r="R68" s="5" t="s">
        <v>23</v>
      </c>
      <c r="S68" s="5"/>
      <c r="T68" s="5"/>
      <c r="U68" s="5"/>
      <c r="V68" s="5">
        <v>400.0</v>
      </c>
      <c r="W68" s="26">
        <v>2.1</v>
      </c>
      <c r="X68" s="5">
        <v>190.0</v>
      </c>
      <c r="Y68" s="27">
        <v>0.2</v>
      </c>
      <c r="Z68" s="28">
        <v>152.0</v>
      </c>
      <c r="AA68" s="27">
        <v>1.0</v>
      </c>
      <c r="AB68" s="5" t="s">
        <v>117</v>
      </c>
      <c r="AC68" s="27">
        <v>0.6</v>
      </c>
      <c r="AD68" s="26"/>
      <c r="AE68" s="5" t="s">
        <v>81</v>
      </c>
      <c r="AF68" s="5" t="s">
        <v>81</v>
      </c>
      <c r="AG68" s="5">
        <v>3.0</v>
      </c>
      <c r="AH68" s="5">
        <v>3.0</v>
      </c>
      <c r="AI68" s="5" t="s">
        <v>0</v>
      </c>
      <c r="AJ68" s="5" t="s">
        <v>0</v>
      </c>
      <c r="AK68" s="30">
        <v>900.0</v>
      </c>
      <c r="AL68" s="28">
        <v>907.0</v>
      </c>
      <c r="AM68" s="28">
        <v>957.0</v>
      </c>
      <c r="AN68" s="28">
        <v>0.0</v>
      </c>
      <c r="AO68" s="28">
        <v>0.0</v>
      </c>
      <c r="AP68" s="28">
        <v>171000.0</v>
      </c>
      <c r="AQ68" s="28">
        <v>172765.36</v>
      </c>
      <c r="AR68" s="28">
        <v>0.0</v>
      </c>
      <c r="AS68" s="28">
        <v>0.0</v>
      </c>
      <c r="AT68" s="28">
        <v>0.0</v>
      </c>
      <c r="AU68" s="28">
        <v>136800.0</v>
      </c>
      <c r="AV68" s="28">
        <v>162997.75526024366</v>
      </c>
      <c r="AW68" s="28">
        <v>168644.28000000003</v>
      </c>
      <c r="AX68" s="28">
        <v>0.0</v>
      </c>
      <c r="AY68" s="28">
        <v>0.0</v>
      </c>
      <c r="AZ68" s="5"/>
      <c r="BA68" s="5" t="s">
        <v>125</v>
      </c>
      <c r="BB68" s="5" t="s">
        <v>174</v>
      </c>
      <c r="BD68" s="5" t="s">
        <v>248</v>
      </c>
      <c r="BE68" s="5" t="s">
        <v>253</v>
      </c>
      <c r="BF68" s="5" t="s">
        <v>324</v>
      </c>
      <c r="BG68" s="5" t="s">
        <v>131</v>
      </c>
    </row>
    <row r="69" ht="16.5" hidden="1" customHeight="1">
      <c r="A69" s="5" t="s">
        <v>100</v>
      </c>
      <c r="B69" s="5" t="s">
        <v>200</v>
      </c>
      <c r="C69" s="5" t="b">
        <v>1</v>
      </c>
      <c r="D69" s="5" t="s">
        <v>325</v>
      </c>
      <c r="E69" s="5" t="s">
        <v>326</v>
      </c>
      <c r="F69" s="5"/>
      <c r="G69" s="5" t="s">
        <v>65</v>
      </c>
      <c r="H69" s="5" t="s">
        <v>74</v>
      </c>
      <c r="I69" s="5" t="s">
        <v>82</v>
      </c>
      <c r="J69" s="25"/>
      <c r="K69" s="25"/>
      <c r="L69" s="25"/>
      <c r="M69" s="5" t="s">
        <v>247</v>
      </c>
      <c r="N69" s="5" t="s">
        <v>248</v>
      </c>
      <c r="O69" s="5" t="s">
        <v>69</v>
      </c>
      <c r="P69" s="5" t="s">
        <v>249</v>
      </c>
      <c r="Q69" s="5" t="s">
        <v>254</v>
      </c>
      <c r="R69" s="5" t="s">
        <v>23</v>
      </c>
      <c r="S69" s="5"/>
      <c r="T69" s="5"/>
      <c r="U69" s="5"/>
      <c r="V69" s="5">
        <v>400.0</v>
      </c>
      <c r="W69" s="26">
        <v>2.1</v>
      </c>
      <c r="X69" s="5">
        <v>190.0</v>
      </c>
      <c r="Y69" s="27">
        <v>0.2</v>
      </c>
      <c r="Z69" s="28">
        <v>152.0</v>
      </c>
      <c r="AA69" s="27">
        <v>1.0</v>
      </c>
      <c r="AB69" s="5" t="s">
        <v>78</v>
      </c>
      <c r="AC69" s="27">
        <v>0.613</v>
      </c>
      <c r="AD69" s="26"/>
      <c r="AE69" s="5" t="s">
        <v>81</v>
      </c>
      <c r="AF69" s="5" t="s">
        <v>81</v>
      </c>
      <c r="AG69" s="5">
        <v>4.0</v>
      </c>
      <c r="AH69" s="5">
        <v>5.0</v>
      </c>
      <c r="AI69" s="5" t="s">
        <v>0</v>
      </c>
      <c r="AJ69" s="5" t="s">
        <v>0</v>
      </c>
      <c r="AK69" s="30">
        <v>3000.0</v>
      </c>
      <c r="AL69" s="28">
        <v>2951.0</v>
      </c>
      <c r="AM69" s="28">
        <v>2398.0</v>
      </c>
      <c r="AN69" s="28">
        <v>0.0</v>
      </c>
      <c r="AO69" s="28">
        <v>16.0</v>
      </c>
      <c r="AP69" s="28">
        <v>570000.0</v>
      </c>
      <c r="AQ69" s="28">
        <v>562106.4799999997</v>
      </c>
      <c r="AR69" s="28">
        <v>3040.0</v>
      </c>
      <c r="AS69" s="28">
        <v>0.0</v>
      </c>
      <c r="AT69" s="28">
        <v>3040.0</v>
      </c>
      <c r="AU69" s="28">
        <v>456000.0</v>
      </c>
      <c r="AV69" s="28">
        <v>451023.8186046513</v>
      </c>
      <c r="AW69" s="28">
        <v>415798.1901600001</v>
      </c>
      <c r="AX69" s="28">
        <v>0.0</v>
      </c>
      <c r="AY69" s="28">
        <v>2506.56</v>
      </c>
      <c r="AZ69" s="5"/>
      <c r="BA69" s="5" t="s">
        <v>125</v>
      </c>
      <c r="BB69" s="5" t="s">
        <v>174</v>
      </c>
      <c r="BD69" s="5" t="s">
        <v>248</v>
      </c>
      <c r="BE69" s="5" t="s">
        <v>253</v>
      </c>
      <c r="BF69" s="5" t="s">
        <v>254</v>
      </c>
      <c r="BG69" s="5" t="s">
        <v>131</v>
      </c>
    </row>
    <row r="70" ht="16.5" hidden="1" customHeight="1">
      <c r="A70" s="5" t="s">
        <v>100</v>
      </c>
      <c r="B70" s="5" t="s">
        <v>137</v>
      </c>
      <c r="C70" s="5" t="b">
        <v>1</v>
      </c>
      <c r="D70" s="5" t="s">
        <v>327</v>
      </c>
      <c r="E70" s="5" t="s">
        <v>328</v>
      </c>
      <c r="F70" s="5"/>
      <c r="G70" s="5" t="s">
        <v>65</v>
      </c>
      <c r="H70" s="5" t="s">
        <v>76</v>
      </c>
      <c r="I70" s="5" t="s">
        <v>82</v>
      </c>
      <c r="J70" s="25"/>
      <c r="K70" s="25"/>
      <c r="L70" s="25"/>
      <c r="M70" s="5" t="s">
        <v>247</v>
      </c>
      <c r="N70" s="5" t="s">
        <v>270</v>
      </c>
      <c r="O70" s="5" t="s">
        <v>69</v>
      </c>
      <c r="P70" s="5" t="s">
        <v>70</v>
      </c>
      <c r="Q70" s="5" t="s">
        <v>502</v>
      </c>
      <c r="R70" s="5" t="s">
        <v>110</v>
      </c>
      <c r="S70" s="5"/>
      <c r="T70" s="5"/>
      <c r="U70" s="5"/>
      <c r="V70" s="5">
        <v>1500.0</v>
      </c>
      <c r="W70" s="26">
        <v>2.1</v>
      </c>
      <c r="X70" s="5">
        <v>714.0</v>
      </c>
      <c r="Y70" s="27">
        <v>0.2</v>
      </c>
      <c r="Z70" s="28">
        <v>571.2</v>
      </c>
      <c r="AA70" s="27">
        <v>1.0</v>
      </c>
      <c r="AB70" s="5" t="s">
        <v>117</v>
      </c>
      <c r="AC70" s="27">
        <v>0.58</v>
      </c>
      <c r="AD70" s="26"/>
      <c r="AE70" s="5" t="s">
        <v>81</v>
      </c>
      <c r="AF70" s="5" t="s">
        <v>81</v>
      </c>
      <c r="AG70" s="5">
        <v>3.0</v>
      </c>
      <c r="AH70" s="5">
        <v>3.0</v>
      </c>
      <c r="AI70" s="5" t="s">
        <v>768</v>
      </c>
      <c r="AJ70" s="5" t="s">
        <v>0</v>
      </c>
      <c r="AK70" s="30">
        <v>1200.0</v>
      </c>
      <c r="AL70" s="28">
        <v>1214.0</v>
      </c>
      <c r="AM70" s="28">
        <v>0.0</v>
      </c>
      <c r="AN70" s="28">
        <v>813.0</v>
      </c>
      <c r="AO70" s="28">
        <v>1677.0</v>
      </c>
      <c r="AP70" s="28">
        <v>856800.0</v>
      </c>
      <c r="AQ70" s="28">
        <v>867148.0600000002</v>
      </c>
      <c r="AR70" s="28">
        <v>1197378.0</v>
      </c>
      <c r="AS70" s="28">
        <v>0.0</v>
      </c>
      <c r="AT70" s="28">
        <v>1197378.0</v>
      </c>
      <c r="AU70" s="28">
        <v>685440.0</v>
      </c>
      <c r="AV70" s="28">
        <v>747496.2569213733</v>
      </c>
      <c r="AW70" s="28">
        <v>0.0</v>
      </c>
      <c r="AX70" s="28">
        <v>476975.7178294573</v>
      </c>
      <c r="AY70" s="28">
        <v>724897.2940949999</v>
      </c>
      <c r="AZ70" s="5"/>
      <c r="BA70" s="5" t="s">
        <v>125</v>
      </c>
      <c r="BB70" s="5" t="s">
        <v>174</v>
      </c>
      <c r="BC70" s="5" t="s">
        <v>237</v>
      </c>
      <c r="BD70" s="5" t="s">
        <v>276</v>
      </c>
      <c r="BE70" s="5" t="s">
        <v>161</v>
      </c>
      <c r="BF70" s="5" t="s">
        <v>277</v>
      </c>
      <c r="BG70" s="5" t="s">
        <v>131</v>
      </c>
    </row>
    <row r="71" ht="16.5" hidden="1" customHeight="1">
      <c r="A71" s="5" t="s">
        <v>100</v>
      </c>
      <c r="B71" s="5" t="s">
        <v>137</v>
      </c>
      <c r="C71" s="5" t="b">
        <v>1</v>
      </c>
      <c r="D71" s="5" t="s">
        <v>330</v>
      </c>
      <c r="E71" s="5" t="s">
        <v>331</v>
      </c>
      <c r="F71" s="5"/>
      <c r="G71" s="5" t="s">
        <v>65</v>
      </c>
      <c r="H71" s="5" t="s">
        <v>76</v>
      </c>
      <c r="I71" s="5" t="s">
        <v>82</v>
      </c>
      <c r="J71" s="25"/>
      <c r="K71" s="25"/>
      <c r="L71" s="25"/>
      <c r="M71" s="5" t="s">
        <v>247</v>
      </c>
      <c r="N71" s="5" t="s">
        <v>270</v>
      </c>
      <c r="O71" s="5" t="s">
        <v>69</v>
      </c>
      <c r="P71" s="5" t="s">
        <v>107</v>
      </c>
      <c r="Q71" s="5" t="s">
        <v>502</v>
      </c>
      <c r="R71" s="5" t="s">
        <v>110</v>
      </c>
      <c r="S71" s="5"/>
      <c r="T71" s="5"/>
      <c r="U71" s="5"/>
      <c r="V71" s="5">
        <v>1500.0</v>
      </c>
      <c r="W71" s="26">
        <v>2.1</v>
      </c>
      <c r="X71" s="5">
        <v>714.0</v>
      </c>
      <c r="Y71" s="27">
        <v>0.2</v>
      </c>
      <c r="Z71" s="28">
        <v>571.2</v>
      </c>
      <c r="AA71" s="27">
        <v>1.0</v>
      </c>
      <c r="AB71" s="5" t="s">
        <v>117</v>
      </c>
      <c r="AC71" s="27">
        <v>0.6</v>
      </c>
      <c r="AD71" s="26"/>
      <c r="AE71" s="5" t="s">
        <v>81</v>
      </c>
      <c r="AF71" s="5" t="s">
        <v>81</v>
      </c>
      <c r="AG71" s="5">
        <v>3.0</v>
      </c>
      <c r="AH71" s="5">
        <v>3.0</v>
      </c>
      <c r="AI71" s="5" t="s">
        <v>773</v>
      </c>
      <c r="AJ71" s="5" t="s">
        <v>0</v>
      </c>
      <c r="AK71" s="30">
        <v>900.0</v>
      </c>
      <c r="AL71" s="28">
        <v>934.0</v>
      </c>
      <c r="AM71" s="28">
        <v>0.0</v>
      </c>
      <c r="AN71" s="28">
        <v>657.0</v>
      </c>
      <c r="AO71" s="28">
        <v>968.0</v>
      </c>
      <c r="AP71" s="28">
        <v>642600.0</v>
      </c>
      <c r="AQ71" s="28">
        <v>667146.86</v>
      </c>
      <c r="AR71" s="28">
        <v>691152.0</v>
      </c>
      <c r="AS71" s="28">
        <v>0.0</v>
      </c>
      <c r="AT71" s="28">
        <v>691152.0</v>
      </c>
      <c r="AU71" s="28">
        <v>514080.00000000006</v>
      </c>
      <c r="AV71" s="28">
        <v>574493.092358804</v>
      </c>
      <c r="AW71" s="28">
        <v>0.0</v>
      </c>
      <c r="AX71" s="28">
        <v>400345.06157253595</v>
      </c>
      <c r="AY71" s="28">
        <v>464200.02411</v>
      </c>
      <c r="AZ71" s="5"/>
      <c r="BA71" s="5" t="s">
        <v>125</v>
      </c>
      <c r="BB71" s="5" t="s">
        <v>174</v>
      </c>
      <c r="BC71" s="5" t="s">
        <v>237</v>
      </c>
      <c r="BD71" s="5" t="s">
        <v>276</v>
      </c>
      <c r="BE71" s="5" t="s">
        <v>161</v>
      </c>
      <c r="BF71" s="5" t="s">
        <v>277</v>
      </c>
      <c r="BG71" s="5" t="s">
        <v>131</v>
      </c>
    </row>
    <row r="72" ht="16.5" hidden="1" customHeight="1">
      <c r="A72" s="5" t="s">
        <v>100</v>
      </c>
      <c r="B72" s="5" t="s">
        <v>137</v>
      </c>
      <c r="C72" s="5" t="b">
        <v>1</v>
      </c>
      <c r="D72" s="5" t="s">
        <v>332</v>
      </c>
      <c r="E72" s="5" t="s">
        <v>333</v>
      </c>
      <c r="F72" s="5"/>
      <c r="G72" s="5" t="s">
        <v>65</v>
      </c>
      <c r="H72" s="5" t="s">
        <v>76</v>
      </c>
      <c r="I72" s="5" t="s">
        <v>82</v>
      </c>
      <c r="J72" s="25"/>
      <c r="K72" s="25"/>
      <c r="L72" s="25"/>
      <c r="M72" s="5" t="s">
        <v>247</v>
      </c>
      <c r="N72" s="5" t="s">
        <v>334</v>
      </c>
      <c r="O72" s="5" t="s">
        <v>69</v>
      </c>
      <c r="P72" s="5" t="s">
        <v>70</v>
      </c>
      <c r="Q72" s="5" t="s">
        <v>778</v>
      </c>
      <c r="R72" s="5" t="s">
        <v>110</v>
      </c>
      <c r="S72" s="5"/>
      <c r="T72" s="5"/>
      <c r="U72" s="5"/>
      <c r="V72" s="5">
        <v>800.0</v>
      </c>
      <c r="W72" s="26">
        <v>2.1</v>
      </c>
      <c r="X72" s="5">
        <v>381.0</v>
      </c>
      <c r="Y72" s="27">
        <v>0.2</v>
      </c>
      <c r="Z72" s="28">
        <v>304.8</v>
      </c>
      <c r="AA72" s="27">
        <v>1.0</v>
      </c>
      <c r="AB72" s="5" t="s">
        <v>117</v>
      </c>
      <c r="AC72" s="27">
        <v>0.611</v>
      </c>
      <c r="AD72" s="5"/>
      <c r="AE72" s="5" t="s">
        <v>81</v>
      </c>
      <c r="AF72" s="5" t="s">
        <v>81</v>
      </c>
      <c r="AG72" s="5">
        <v>4.0</v>
      </c>
      <c r="AH72" s="5">
        <v>4.0</v>
      </c>
      <c r="AI72" s="5" t="s">
        <v>780</v>
      </c>
      <c r="AJ72" s="5" t="s">
        <v>0</v>
      </c>
      <c r="AK72" s="30">
        <v>2300.0</v>
      </c>
      <c r="AL72" s="28">
        <v>2261.0</v>
      </c>
      <c r="AM72" s="28">
        <v>1559.0</v>
      </c>
      <c r="AN72" s="28">
        <v>2377.0</v>
      </c>
      <c r="AO72" s="28">
        <v>2036.0</v>
      </c>
      <c r="AP72" s="28">
        <v>876300.0</v>
      </c>
      <c r="AQ72" s="28">
        <v>861327.95</v>
      </c>
      <c r="AR72" s="28">
        <v>775716.0</v>
      </c>
      <c r="AS72" s="28">
        <v>0.0</v>
      </c>
      <c r="AT72" s="28">
        <v>775716.0</v>
      </c>
      <c r="AU72" s="28">
        <v>701040.0</v>
      </c>
      <c r="AV72" s="28">
        <v>669569.5017718718</v>
      </c>
      <c r="AW72" s="28">
        <v>524915.31042</v>
      </c>
      <c r="AX72" s="28">
        <v>656716.9377630121</v>
      </c>
      <c r="AY72" s="28">
        <v>651356.0876</v>
      </c>
      <c r="AZ72" s="5"/>
      <c r="BA72" s="5" t="s">
        <v>125</v>
      </c>
      <c r="BB72" s="5" t="s">
        <v>174</v>
      </c>
      <c r="BC72" s="5" t="s">
        <v>237</v>
      </c>
      <c r="BD72" s="5" t="s">
        <v>334</v>
      </c>
      <c r="BE72" s="5" t="s">
        <v>337</v>
      </c>
      <c r="BF72" s="5" t="s">
        <v>338</v>
      </c>
      <c r="BG72" s="5" t="s">
        <v>131</v>
      </c>
    </row>
    <row r="73" ht="16.5" hidden="1" customHeight="1">
      <c r="A73" s="5" t="s">
        <v>100</v>
      </c>
      <c r="B73" s="5" t="s">
        <v>137</v>
      </c>
      <c r="C73" s="5" t="b">
        <v>1</v>
      </c>
      <c r="D73" s="5" t="s">
        <v>339</v>
      </c>
      <c r="E73" s="5" t="s">
        <v>340</v>
      </c>
      <c r="F73" s="5"/>
      <c r="G73" s="5" t="s">
        <v>65</v>
      </c>
      <c r="H73" s="5" t="s">
        <v>76</v>
      </c>
      <c r="I73" s="5" t="s">
        <v>82</v>
      </c>
      <c r="J73" s="25"/>
      <c r="K73" s="25"/>
      <c r="L73" s="25"/>
      <c r="M73" s="5" t="s">
        <v>247</v>
      </c>
      <c r="N73" s="5" t="s">
        <v>334</v>
      </c>
      <c r="O73" s="5" t="s">
        <v>69</v>
      </c>
      <c r="P73" s="5" t="s">
        <v>107</v>
      </c>
      <c r="Q73" s="5" t="s">
        <v>778</v>
      </c>
      <c r="R73" s="5" t="s">
        <v>110</v>
      </c>
      <c r="S73" s="5"/>
      <c r="T73" s="5"/>
      <c r="U73" s="5"/>
      <c r="V73" s="5">
        <v>800.0</v>
      </c>
      <c r="W73" s="26">
        <v>2.1</v>
      </c>
      <c r="X73" s="5">
        <v>381.0</v>
      </c>
      <c r="Y73" s="27">
        <v>0.2</v>
      </c>
      <c r="Z73" s="28">
        <v>304.8</v>
      </c>
      <c r="AA73" s="27">
        <v>1.0</v>
      </c>
      <c r="AB73" s="5" t="s">
        <v>242</v>
      </c>
      <c r="AC73" s="27">
        <v>0.63</v>
      </c>
      <c r="AD73" s="5"/>
      <c r="AE73" s="5" t="s">
        <v>81</v>
      </c>
      <c r="AF73" s="5" t="s">
        <v>81</v>
      </c>
      <c r="AG73" s="5">
        <v>4.0</v>
      </c>
      <c r="AH73" s="5">
        <v>4.0</v>
      </c>
      <c r="AI73" s="5" t="s">
        <v>784</v>
      </c>
      <c r="AJ73" s="5" t="s">
        <v>0</v>
      </c>
      <c r="AK73" s="52">
        <v>1700.0</v>
      </c>
      <c r="AL73" s="28">
        <v>1743.0</v>
      </c>
      <c r="AM73" s="28">
        <v>1336.0</v>
      </c>
      <c r="AN73" s="28">
        <v>1833.0</v>
      </c>
      <c r="AO73" s="28">
        <v>1329.0</v>
      </c>
      <c r="AP73" s="28">
        <v>647700.0</v>
      </c>
      <c r="AQ73" s="28">
        <v>663995.85</v>
      </c>
      <c r="AR73" s="28">
        <v>506349.0</v>
      </c>
      <c r="AS73" s="28">
        <v>0.0</v>
      </c>
      <c r="AT73" s="28">
        <v>506349.0</v>
      </c>
      <c r="AU73" s="28">
        <v>518160.0</v>
      </c>
      <c r="AV73" s="28">
        <v>531457.3589147287</v>
      </c>
      <c r="AW73" s="28">
        <v>472976.6976749999</v>
      </c>
      <c r="AX73" s="28">
        <v>520875.95282392023</v>
      </c>
      <c r="AY73" s="28">
        <v>440180.56921000005</v>
      </c>
      <c r="AZ73" s="5"/>
      <c r="BA73" s="5" t="s">
        <v>125</v>
      </c>
      <c r="BB73" s="5" t="s">
        <v>174</v>
      </c>
      <c r="BC73" s="5" t="s">
        <v>237</v>
      </c>
      <c r="BD73" s="5" t="s">
        <v>334</v>
      </c>
      <c r="BE73" s="5" t="s">
        <v>337</v>
      </c>
      <c r="BF73" s="5" t="s">
        <v>338</v>
      </c>
      <c r="BG73" s="5" t="s">
        <v>131</v>
      </c>
    </row>
    <row r="74" ht="16.5" hidden="1" customHeight="1">
      <c r="A74" s="5" t="s">
        <v>100</v>
      </c>
      <c r="B74" s="5" t="s">
        <v>200</v>
      </c>
      <c r="C74" s="5" t="b">
        <v>1</v>
      </c>
      <c r="D74" s="5" t="s">
        <v>342</v>
      </c>
      <c r="E74" s="5" t="s">
        <v>343</v>
      </c>
      <c r="F74" s="5"/>
      <c r="G74" s="5" t="s">
        <v>65</v>
      </c>
      <c r="H74" s="5" t="s">
        <v>74</v>
      </c>
      <c r="I74" s="5" t="s">
        <v>82</v>
      </c>
      <c r="J74" s="25"/>
      <c r="K74" s="25"/>
      <c r="L74" s="25"/>
      <c r="M74" s="5" t="s">
        <v>247</v>
      </c>
      <c r="N74" s="5" t="s">
        <v>248</v>
      </c>
      <c r="O74" s="5" t="s">
        <v>69</v>
      </c>
      <c r="P74" s="5" t="s">
        <v>249</v>
      </c>
      <c r="Q74" s="5" t="s">
        <v>793</v>
      </c>
      <c r="R74" s="5" t="s">
        <v>23</v>
      </c>
      <c r="S74" s="5"/>
      <c r="T74" s="5"/>
      <c r="U74" s="5"/>
      <c r="V74" s="5">
        <v>500.0</v>
      </c>
      <c r="W74" s="26">
        <v>2.1</v>
      </c>
      <c r="X74" s="5">
        <v>238.0</v>
      </c>
      <c r="Y74" s="27">
        <v>0.2</v>
      </c>
      <c r="Z74" s="28">
        <v>190.4</v>
      </c>
      <c r="AA74" s="27">
        <v>1.0</v>
      </c>
      <c r="AB74" s="5" t="s">
        <v>117</v>
      </c>
      <c r="AC74" s="27">
        <v>0.524</v>
      </c>
      <c r="AD74" s="5"/>
      <c r="AE74" s="5" t="s">
        <v>81</v>
      </c>
      <c r="AF74" s="5" t="s">
        <v>81</v>
      </c>
      <c r="AG74" s="5">
        <v>4.0</v>
      </c>
      <c r="AH74" s="5">
        <v>4.0</v>
      </c>
      <c r="AI74" s="5" t="s">
        <v>0</v>
      </c>
      <c r="AJ74" s="5" t="s">
        <v>0</v>
      </c>
      <c r="AK74" s="30">
        <v>3800.0</v>
      </c>
      <c r="AL74" s="28">
        <v>3793.0</v>
      </c>
      <c r="AM74" s="28">
        <v>2949.0</v>
      </c>
      <c r="AN74" s="28">
        <v>0.0</v>
      </c>
      <c r="AO74" s="28">
        <v>51.0</v>
      </c>
      <c r="AP74" s="28">
        <v>904400.0</v>
      </c>
      <c r="AQ74" s="28">
        <v>903113.3</v>
      </c>
      <c r="AR74" s="28">
        <v>12138.0</v>
      </c>
      <c r="AS74" s="28">
        <v>0.0</v>
      </c>
      <c r="AT74" s="28">
        <v>12138.0</v>
      </c>
      <c r="AU74" s="28">
        <v>723520.0</v>
      </c>
      <c r="AV74" s="28">
        <v>690099.7259136209</v>
      </c>
      <c r="AW74" s="28">
        <v>555660.5423360001</v>
      </c>
      <c r="AX74" s="28">
        <v>0.0</v>
      </c>
      <c r="AY74" s="28">
        <v>10007.73</v>
      </c>
      <c r="AZ74" s="5"/>
      <c r="BA74" s="5" t="s">
        <v>125</v>
      </c>
      <c r="BB74" s="5" t="s">
        <v>174</v>
      </c>
      <c r="BD74" s="5" t="s">
        <v>248</v>
      </c>
      <c r="BE74" s="5" t="s">
        <v>253</v>
      </c>
      <c r="BF74" s="5" t="s">
        <v>254</v>
      </c>
      <c r="BG74" s="5" t="s">
        <v>131</v>
      </c>
    </row>
    <row r="75" ht="16.5" hidden="1" customHeight="1">
      <c r="A75" s="5" t="s">
        <v>100</v>
      </c>
      <c r="B75" s="5" t="s">
        <v>215</v>
      </c>
      <c r="C75" s="5" t="b">
        <v>0</v>
      </c>
      <c r="D75" s="5" t="s">
        <v>709</v>
      </c>
      <c r="E75" s="5" t="s">
        <v>798</v>
      </c>
      <c r="F75" s="5"/>
      <c r="G75" s="5" t="s">
        <v>65</v>
      </c>
      <c r="H75" s="5" t="s">
        <v>76</v>
      </c>
      <c r="I75" s="5" t="s">
        <v>218</v>
      </c>
      <c r="J75" s="25" t="s">
        <v>219</v>
      </c>
      <c r="K75" s="25"/>
      <c r="L75" s="25"/>
      <c r="M75" s="5" t="s">
        <v>66</v>
      </c>
      <c r="N75" s="5" t="s">
        <v>248</v>
      </c>
      <c r="O75" s="5" t="s">
        <v>96</v>
      </c>
      <c r="P75" s="5" t="s">
        <v>249</v>
      </c>
      <c r="Q75" s="5" t="s">
        <v>800</v>
      </c>
      <c r="R75" s="5" t="s">
        <v>23</v>
      </c>
      <c r="S75" s="5"/>
      <c r="T75" s="5"/>
      <c r="U75" s="5"/>
      <c r="V75" s="5">
        <v>800.0</v>
      </c>
      <c r="W75" s="26">
        <v>2.1</v>
      </c>
      <c r="X75" s="5">
        <v>381.0</v>
      </c>
      <c r="Y75" s="27">
        <v>0.0</v>
      </c>
      <c r="Z75" s="28">
        <v>381.0</v>
      </c>
      <c r="AA75" s="27">
        <v>1.0</v>
      </c>
      <c r="AB75" s="5" t="s">
        <v>0</v>
      </c>
      <c r="AC75" s="27"/>
      <c r="AD75" s="5"/>
      <c r="AE75" s="5" t="s">
        <v>713</v>
      </c>
      <c r="AF75" s="5" t="s">
        <v>511</v>
      </c>
      <c r="AG75" s="5"/>
      <c r="AH75" s="5">
        <v>3.0</v>
      </c>
      <c r="AI75" s="5" t="s">
        <v>0</v>
      </c>
      <c r="AJ75" s="5" t="s">
        <v>386</v>
      </c>
      <c r="AK75" s="30"/>
      <c r="AL75" s="28">
        <v>0.0</v>
      </c>
      <c r="AM75" s="28">
        <v>0.0</v>
      </c>
      <c r="AN75" s="28">
        <v>0.0</v>
      </c>
      <c r="AO75" s="28">
        <v>0.0</v>
      </c>
      <c r="AP75" s="28">
        <v>0.0</v>
      </c>
      <c r="AQ75" s="28">
        <v>0.0</v>
      </c>
      <c r="AR75" s="28">
        <v>0.0</v>
      </c>
      <c r="AS75" s="28">
        <v>0.0</v>
      </c>
      <c r="AT75" s="28">
        <v>0.0</v>
      </c>
      <c r="AU75" s="28">
        <v>0.0</v>
      </c>
      <c r="AV75" s="28">
        <v>0.0</v>
      </c>
      <c r="AW75" s="28">
        <v>0.0</v>
      </c>
      <c r="AX75" s="28">
        <v>0.0</v>
      </c>
      <c r="AY75" s="28">
        <v>0.0</v>
      </c>
      <c r="AZ75" s="5" t="s">
        <v>124</v>
      </c>
      <c r="BA75" s="5" t="s">
        <v>125</v>
      </c>
      <c r="BB75" s="5" t="s">
        <v>127</v>
      </c>
      <c r="BD75" s="5" t="s">
        <v>248</v>
      </c>
      <c r="BE75" s="5" t="s">
        <v>723</v>
      </c>
      <c r="BG75" s="5" t="s">
        <v>131</v>
      </c>
      <c r="BH75" s="5" t="s">
        <v>803</v>
      </c>
    </row>
    <row r="76" ht="16.5" hidden="1" customHeight="1">
      <c r="A76" s="5" t="s">
        <v>100</v>
      </c>
      <c r="B76" s="5" t="s">
        <v>137</v>
      </c>
      <c r="C76" s="5" t="b">
        <v>1</v>
      </c>
      <c r="D76" s="5" t="s">
        <v>345</v>
      </c>
      <c r="E76" s="5" t="s">
        <v>346</v>
      </c>
      <c r="F76" s="5"/>
      <c r="G76" s="5" t="s">
        <v>65</v>
      </c>
      <c r="H76" s="5" t="s">
        <v>76</v>
      </c>
      <c r="I76" s="5" t="s">
        <v>82</v>
      </c>
      <c r="J76" s="25"/>
      <c r="K76" s="25"/>
      <c r="L76" s="25"/>
      <c r="M76" s="5" t="s">
        <v>247</v>
      </c>
      <c r="N76" s="5" t="s">
        <v>334</v>
      </c>
      <c r="O76" s="5" t="s">
        <v>69</v>
      </c>
      <c r="P76" s="5" t="s">
        <v>70</v>
      </c>
      <c r="Q76" s="5" t="s">
        <v>805</v>
      </c>
      <c r="R76" s="5" t="s">
        <v>110</v>
      </c>
      <c r="S76" s="5"/>
      <c r="T76" s="5"/>
      <c r="U76" s="5"/>
      <c r="V76" s="5">
        <v>700.0</v>
      </c>
      <c r="W76" s="26">
        <v>2.1</v>
      </c>
      <c r="X76" s="5">
        <v>333.0</v>
      </c>
      <c r="Y76" s="27">
        <v>0.2</v>
      </c>
      <c r="Z76" s="28">
        <v>266.40000000000003</v>
      </c>
      <c r="AA76" s="27">
        <v>1.0</v>
      </c>
      <c r="AB76" s="5" t="s">
        <v>242</v>
      </c>
      <c r="AC76" s="27">
        <v>0.6</v>
      </c>
      <c r="AD76" s="26"/>
      <c r="AE76" s="5" t="s">
        <v>81</v>
      </c>
      <c r="AF76" s="5" t="s">
        <v>81</v>
      </c>
      <c r="AG76" s="5">
        <v>4.0</v>
      </c>
      <c r="AH76" s="5">
        <v>4.0</v>
      </c>
      <c r="AI76" s="5" t="s">
        <v>809</v>
      </c>
      <c r="AJ76" s="5" t="s">
        <v>0</v>
      </c>
      <c r="AK76" s="30">
        <v>3700.0</v>
      </c>
      <c r="AL76" s="28">
        <v>3720.0</v>
      </c>
      <c r="AM76" s="28">
        <v>3260.0</v>
      </c>
      <c r="AN76" s="28">
        <v>1194.0</v>
      </c>
      <c r="AO76" s="28">
        <v>1149.0</v>
      </c>
      <c r="AP76" s="28">
        <v>1232100.0</v>
      </c>
      <c r="AQ76" s="28">
        <v>1239987.5999999999</v>
      </c>
      <c r="AR76" s="28">
        <v>382617.0</v>
      </c>
      <c r="AS76" s="28">
        <v>0.0</v>
      </c>
      <c r="AT76" s="28">
        <v>382617.0</v>
      </c>
      <c r="AU76" s="28">
        <v>985680.0000000001</v>
      </c>
      <c r="AV76" s="28">
        <v>1018063.2114064231</v>
      </c>
      <c r="AW76" s="28">
        <v>862147.2249100001</v>
      </c>
      <c r="AX76" s="28">
        <v>333056.1470099668</v>
      </c>
      <c r="AY76" s="28">
        <v>329235.98675999994</v>
      </c>
      <c r="AZ76" s="5"/>
      <c r="BA76" s="5" t="s">
        <v>125</v>
      </c>
      <c r="BB76" s="5" t="s">
        <v>174</v>
      </c>
      <c r="BC76" s="5" t="s">
        <v>237</v>
      </c>
      <c r="BD76" s="5" t="s">
        <v>334</v>
      </c>
      <c r="BE76" s="5" t="s">
        <v>348</v>
      </c>
      <c r="BF76" s="5" t="s">
        <v>338</v>
      </c>
      <c r="BG76" s="5" t="s">
        <v>131</v>
      </c>
    </row>
    <row r="77" ht="16.5" hidden="1" customHeight="1">
      <c r="A77" s="5" t="s">
        <v>100</v>
      </c>
      <c r="B77" s="5" t="s">
        <v>137</v>
      </c>
      <c r="C77" s="5" t="b">
        <v>1</v>
      </c>
      <c r="D77" s="5" t="s">
        <v>349</v>
      </c>
      <c r="E77" s="5" t="s">
        <v>350</v>
      </c>
      <c r="F77" s="5"/>
      <c r="G77" s="5" t="s">
        <v>65</v>
      </c>
      <c r="H77" s="5" t="s">
        <v>76</v>
      </c>
      <c r="I77" s="5" t="s">
        <v>82</v>
      </c>
      <c r="J77" s="25"/>
      <c r="K77" s="25"/>
      <c r="L77" s="25"/>
      <c r="M77" s="5" t="s">
        <v>247</v>
      </c>
      <c r="N77" s="5" t="s">
        <v>334</v>
      </c>
      <c r="O77" s="5" t="s">
        <v>69</v>
      </c>
      <c r="P77" s="5" t="s">
        <v>107</v>
      </c>
      <c r="Q77" s="5" t="s">
        <v>805</v>
      </c>
      <c r="R77" s="5" t="s">
        <v>110</v>
      </c>
      <c r="S77" s="5"/>
      <c r="T77" s="5"/>
      <c r="U77" s="5"/>
      <c r="V77" s="5">
        <v>700.0</v>
      </c>
      <c r="W77" s="26">
        <v>2.1</v>
      </c>
      <c r="X77" s="5">
        <v>333.0</v>
      </c>
      <c r="Y77" s="27">
        <v>0.2</v>
      </c>
      <c r="Z77" s="28">
        <v>266.40000000000003</v>
      </c>
      <c r="AA77" s="27">
        <v>1.0</v>
      </c>
      <c r="AB77" s="5" t="s">
        <v>242</v>
      </c>
      <c r="AC77" s="27">
        <v>0.61</v>
      </c>
      <c r="AD77" s="5"/>
      <c r="AE77" s="5" t="s">
        <v>81</v>
      </c>
      <c r="AF77" s="5" t="s">
        <v>81</v>
      </c>
      <c r="AG77" s="5">
        <v>4.0</v>
      </c>
      <c r="AH77" s="5">
        <v>4.0</v>
      </c>
      <c r="AI77" s="5" t="s">
        <v>815</v>
      </c>
      <c r="AJ77" s="5" t="s">
        <v>0</v>
      </c>
      <c r="AK77" s="30">
        <v>2200.0</v>
      </c>
      <c r="AL77" s="28">
        <v>2204.0</v>
      </c>
      <c r="AM77" s="28">
        <v>2604.0</v>
      </c>
      <c r="AN77" s="28">
        <v>877.0</v>
      </c>
      <c r="AO77" s="28">
        <v>874.0</v>
      </c>
      <c r="AP77" s="28">
        <v>732600.0</v>
      </c>
      <c r="AQ77" s="28">
        <v>734659.3200000001</v>
      </c>
      <c r="AR77" s="28">
        <v>291042.0</v>
      </c>
      <c r="AS77" s="28">
        <v>0.0</v>
      </c>
      <c r="AT77" s="28">
        <v>291042.0</v>
      </c>
      <c r="AU77" s="28">
        <v>586080.0000000001</v>
      </c>
      <c r="AV77" s="28">
        <v>620704.2065337762</v>
      </c>
      <c r="AW77" s="28">
        <v>744981.0917900001</v>
      </c>
      <c r="AX77" s="28">
        <v>262221.1589147287</v>
      </c>
      <c r="AY77" s="28">
        <v>264892.745685</v>
      </c>
      <c r="AZ77" s="5"/>
      <c r="BA77" s="5" t="s">
        <v>125</v>
      </c>
      <c r="BB77" s="5" t="s">
        <v>174</v>
      </c>
      <c r="BC77" s="5" t="s">
        <v>237</v>
      </c>
      <c r="BD77" s="5" t="s">
        <v>334</v>
      </c>
      <c r="BE77" s="5" t="s">
        <v>348</v>
      </c>
      <c r="BF77" s="5" t="s">
        <v>338</v>
      </c>
      <c r="BG77" s="5" t="s">
        <v>131</v>
      </c>
    </row>
    <row r="78" ht="16.5" hidden="1" customHeight="1">
      <c r="A78" s="5" t="s">
        <v>100</v>
      </c>
      <c r="B78" s="5" t="s">
        <v>200</v>
      </c>
      <c r="C78" s="5" t="b">
        <v>1</v>
      </c>
      <c r="D78" s="5" t="s">
        <v>351</v>
      </c>
      <c r="E78" s="5" t="s">
        <v>352</v>
      </c>
      <c r="F78" s="5"/>
      <c r="G78" s="5" t="s">
        <v>65</v>
      </c>
      <c r="H78" s="5" t="s">
        <v>74</v>
      </c>
      <c r="I78" s="5" t="s">
        <v>82</v>
      </c>
      <c r="J78" s="25"/>
      <c r="K78" s="25"/>
      <c r="L78" s="25"/>
      <c r="M78" s="5" t="s">
        <v>247</v>
      </c>
      <c r="N78" s="5" t="s">
        <v>248</v>
      </c>
      <c r="O78" s="5" t="s">
        <v>69</v>
      </c>
      <c r="P78" s="5" t="s">
        <v>249</v>
      </c>
      <c r="Q78" s="5" t="s">
        <v>254</v>
      </c>
      <c r="R78" s="5" t="s">
        <v>23</v>
      </c>
      <c r="S78" s="5"/>
      <c r="T78" s="5"/>
      <c r="U78" s="5"/>
      <c r="V78" s="5">
        <v>400.0</v>
      </c>
      <c r="W78" s="26">
        <v>2.1</v>
      </c>
      <c r="X78" s="5">
        <v>190.0</v>
      </c>
      <c r="Y78" s="27">
        <v>0.2</v>
      </c>
      <c r="Z78" s="28">
        <v>152.0</v>
      </c>
      <c r="AA78" s="27">
        <v>1.0</v>
      </c>
      <c r="AB78" s="5" t="s">
        <v>117</v>
      </c>
      <c r="AC78" s="27">
        <v>0.61</v>
      </c>
      <c r="AD78" s="5"/>
      <c r="AE78" s="5" t="s">
        <v>81</v>
      </c>
      <c r="AF78" s="5" t="s">
        <v>81</v>
      </c>
      <c r="AG78" s="5">
        <v>3.0</v>
      </c>
      <c r="AH78" s="5">
        <v>2.0</v>
      </c>
      <c r="AI78" s="5" t="s">
        <v>0</v>
      </c>
      <c r="AJ78" s="5" t="s">
        <v>156</v>
      </c>
      <c r="AK78" s="30">
        <v>1500.0</v>
      </c>
      <c r="AL78" s="28">
        <v>1495.0</v>
      </c>
      <c r="AM78" s="28">
        <v>1355.0</v>
      </c>
      <c r="AN78" s="28">
        <v>0.0</v>
      </c>
      <c r="AO78" s="28">
        <v>22.0</v>
      </c>
      <c r="AP78" s="28">
        <v>285000.0</v>
      </c>
      <c r="AQ78" s="28">
        <v>284767.6</v>
      </c>
      <c r="AR78" s="28">
        <v>4180.0</v>
      </c>
      <c r="AS78" s="28">
        <v>0.0</v>
      </c>
      <c r="AT78" s="28">
        <v>4180.0</v>
      </c>
      <c r="AU78" s="28">
        <v>228000.0</v>
      </c>
      <c r="AV78" s="28">
        <v>242382.8646733111</v>
      </c>
      <c r="AW78" s="28">
        <v>237912.4122795</v>
      </c>
      <c r="AX78" s="28">
        <v>0.0</v>
      </c>
      <c r="AY78" s="28">
        <v>3446.52</v>
      </c>
      <c r="AZ78" s="5"/>
      <c r="BA78" s="5" t="s">
        <v>125</v>
      </c>
      <c r="BB78" s="5" t="s">
        <v>174</v>
      </c>
      <c r="BD78" s="5" t="s">
        <v>248</v>
      </c>
      <c r="BE78" s="5" t="s">
        <v>253</v>
      </c>
      <c r="BF78" s="5" t="s">
        <v>254</v>
      </c>
      <c r="BG78" s="5" t="s">
        <v>131</v>
      </c>
    </row>
    <row r="79" ht="16.5" hidden="1" customHeight="1">
      <c r="A79" s="5" t="s">
        <v>100</v>
      </c>
      <c r="B79" s="5" t="s">
        <v>215</v>
      </c>
      <c r="C79" s="5" t="b">
        <v>0</v>
      </c>
      <c r="D79" s="5" t="s">
        <v>830</v>
      </c>
      <c r="E79" s="5" t="s">
        <v>831</v>
      </c>
      <c r="F79" s="5"/>
      <c r="G79" s="5" t="s">
        <v>65</v>
      </c>
      <c r="H79" s="5" t="s">
        <v>76</v>
      </c>
      <c r="I79" s="5" t="s">
        <v>218</v>
      </c>
      <c r="J79" s="25" t="s">
        <v>219</v>
      </c>
      <c r="K79" s="25"/>
      <c r="L79" s="25"/>
      <c r="M79" s="5" t="s">
        <v>247</v>
      </c>
      <c r="N79" s="5" t="s">
        <v>355</v>
      </c>
      <c r="O79" s="5" t="s">
        <v>69</v>
      </c>
      <c r="P79" s="5" t="s">
        <v>107</v>
      </c>
      <c r="Q79" s="5" t="s">
        <v>175</v>
      </c>
      <c r="R79" s="5" t="s">
        <v>110</v>
      </c>
      <c r="S79" s="5"/>
      <c r="T79" s="5"/>
      <c r="U79" s="5"/>
      <c r="V79" s="5">
        <v>3500.0</v>
      </c>
      <c r="W79" s="26">
        <v>2.1</v>
      </c>
      <c r="X79" s="5">
        <v>1667.0</v>
      </c>
      <c r="Y79" s="27">
        <v>0.0</v>
      </c>
      <c r="Z79" s="28">
        <v>1667.0</v>
      </c>
      <c r="AA79" s="27">
        <v>1.0</v>
      </c>
      <c r="AB79" s="5" t="s">
        <v>117</v>
      </c>
      <c r="AC79" s="27"/>
      <c r="AD79" s="5"/>
      <c r="AE79" s="5" t="s">
        <v>359</v>
      </c>
      <c r="AF79" s="5" t="s">
        <v>511</v>
      </c>
      <c r="AG79" s="5"/>
      <c r="AH79" s="5">
        <v>2.0</v>
      </c>
      <c r="AI79" s="5" t="s">
        <v>834</v>
      </c>
      <c r="AJ79" s="5" t="s">
        <v>0</v>
      </c>
      <c r="AK79" s="30"/>
      <c r="AL79" s="28">
        <v>0.0</v>
      </c>
      <c r="AM79" s="28">
        <v>0.0</v>
      </c>
      <c r="AN79" s="28">
        <v>567.0</v>
      </c>
      <c r="AO79" s="28">
        <v>572.0</v>
      </c>
      <c r="AP79" s="28">
        <v>0.0</v>
      </c>
      <c r="AQ79" s="28">
        <v>0.0</v>
      </c>
      <c r="AR79" s="28">
        <v>953524.0</v>
      </c>
      <c r="AS79" s="28">
        <v>0.0</v>
      </c>
      <c r="AT79" s="28">
        <v>953524.0</v>
      </c>
      <c r="AU79" s="28">
        <v>0.0</v>
      </c>
      <c r="AV79" s="28">
        <v>0.0</v>
      </c>
      <c r="AW79" s="28">
        <v>0.0</v>
      </c>
      <c r="AX79" s="28">
        <v>900138.1672203764</v>
      </c>
      <c r="AY79" s="28">
        <v>880933.7889700001</v>
      </c>
      <c r="AZ79" s="5" t="s">
        <v>124</v>
      </c>
      <c r="BA79" s="5" t="s">
        <v>125</v>
      </c>
      <c r="BB79" s="5" t="s">
        <v>174</v>
      </c>
      <c r="BC79" s="5" t="s">
        <v>237</v>
      </c>
      <c r="BD79" s="5" t="s">
        <v>355</v>
      </c>
      <c r="BE79" s="5" t="s">
        <v>841</v>
      </c>
      <c r="BF79" s="5" t="s">
        <v>842</v>
      </c>
      <c r="BG79" s="5" t="s">
        <v>131</v>
      </c>
    </row>
    <row r="80" ht="16.5" hidden="1" customHeight="1">
      <c r="A80" s="5" t="s">
        <v>100</v>
      </c>
      <c r="B80" s="5" t="s">
        <v>137</v>
      </c>
      <c r="C80" s="5" t="b">
        <v>1</v>
      </c>
      <c r="D80" s="5" t="s">
        <v>356</v>
      </c>
      <c r="E80" s="5" t="s">
        <v>357</v>
      </c>
      <c r="F80" s="5"/>
      <c r="G80" s="5" t="s">
        <v>65</v>
      </c>
      <c r="H80" s="5" t="s">
        <v>76</v>
      </c>
      <c r="I80" s="5" t="s">
        <v>82</v>
      </c>
      <c r="J80" s="25"/>
      <c r="K80" s="25"/>
      <c r="L80" s="25"/>
      <c r="M80" s="5" t="s">
        <v>247</v>
      </c>
      <c r="N80" s="5" t="s">
        <v>355</v>
      </c>
      <c r="O80" s="5" t="s">
        <v>69</v>
      </c>
      <c r="P80" s="5" t="s">
        <v>70</v>
      </c>
      <c r="Q80" s="5" t="s">
        <v>282</v>
      </c>
      <c r="R80" s="5" t="s">
        <v>110</v>
      </c>
      <c r="S80" s="5"/>
      <c r="T80" s="5"/>
      <c r="U80" s="5"/>
      <c r="V80" s="5">
        <v>2800.0</v>
      </c>
      <c r="W80" s="26">
        <v>2.1</v>
      </c>
      <c r="X80" s="5">
        <v>1333.0</v>
      </c>
      <c r="Y80" s="27">
        <v>0.2</v>
      </c>
      <c r="Z80" s="28">
        <v>1066.4</v>
      </c>
      <c r="AA80" s="27">
        <v>1.0</v>
      </c>
      <c r="AB80" s="5" t="s">
        <v>117</v>
      </c>
      <c r="AC80" s="27">
        <v>0.6</v>
      </c>
      <c r="AD80" s="5"/>
      <c r="AE80" s="5" t="s">
        <v>359</v>
      </c>
      <c r="AF80" s="5" t="s">
        <v>81</v>
      </c>
      <c r="AG80" s="5">
        <v>3.0</v>
      </c>
      <c r="AH80" s="5">
        <v>3.0</v>
      </c>
      <c r="AI80" s="5" t="s">
        <v>849</v>
      </c>
      <c r="AJ80" s="5" t="s">
        <v>0</v>
      </c>
      <c r="AK80" s="30">
        <v>600.0</v>
      </c>
      <c r="AL80" s="28">
        <v>603.0</v>
      </c>
      <c r="AM80" s="28">
        <v>652.0</v>
      </c>
      <c r="AN80" s="28">
        <v>1408.0</v>
      </c>
      <c r="AO80" s="28">
        <v>1343.0</v>
      </c>
      <c r="AP80" s="28">
        <v>799800.0</v>
      </c>
      <c r="AQ80" s="28">
        <v>803997.99</v>
      </c>
      <c r="AR80" s="28">
        <v>1790219.0</v>
      </c>
      <c r="AS80" s="28">
        <v>0.0</v>
      </c>
      <c r="AT80" s="28">
        <v>1790219.0</v>
      </c>
      <c r="AU80" s="28">
        <v>639840.0</v>
      </c>
      <c r="AV80" s="28">
        <v>693122.7906976744</v>
      </c>
      <c r="AW80" s="28">
        <v>847217.5181199999</v>
      </c>
      <c r="AX80" s="28">
        <v>1597010.1436323363</v>
      </c>
      <c r="AY80" s="28">
        <v>1386947.5702999998</v>
      </c>
      <c r="AZ80" s="5"/>
      <c r="BA80" s="5" t="s">
        <v>125</v>
      </c>
      <c r="BB80" s="5" t="s">
        <v>127</v>
      </c>
      <c r="BC80" s="5" t="s">
        <v>237</v>
      </c>
      <c r="BD80" s="5" t="s">
        <v>355</v>
      </c>
      <c r="BE80" s="5" t="s">
        <v>161</v>
      </c>
      <c r="BF80" s="5" t="s">
        <v>360</v>
      </c>
      <c r="BG80" s="5" t="s">
        <v>131</v>
      </c>
    </row>
    <row r="81" ht="16.5" hidden="1" customHeight="1">
      <c r="A81" s="5" t="s">
        <v>100</v>
      </c>
      <c r="B81" s="5" t="s">
        <v>137</v>
      </c>
      <c r="C81" s="5" t="b">
        <v>1</v>
      </c>
      <c r="D81" s="5" t="s">
        <v>361</v>
      </c>
      <c r="E81" s="5" t="s">
        <v>362</v>
      </c>
      <c r="F81" s="5"/>
      <c r="G81" s="5" t="s">
        <v>65</v>
      </c>
      <c r="H81" s="5" t="s">
        <v>76</v>
      </c>
      <c r="I81" s="5" t="s">
        <v>82</v>
      </c>
      <c r="J81" s="25"/>
      <c r="K81" s="25"/>
      <c r="L81" s="25"/>
      <c r="M81" s="5" t="s">
        <v>247</v>
      </c>
      <c r="N81" s="5" t="s">
        <v>355</v>
      </c>
      <c r="O81" s="5" t="s">
        <v>69</v>
      </c>
      <c r="P81" s="5" t="s">
        <v>107</v>
      </c>
      <c r="Q81" s="5" t="s">
        <v>282</v>
      </c>
      <c r="R81" s="5" t="s">
        <v>110</v>
      </c>
      <c r="S81" s="5"/>
      <c r="T81" s="5"/>
      <c r="U81" s="5"/>
      <c r="V81" s="5">
        <v>2800.0</v>
      </c>
      <c r="W81" s="26">
        <v>2.1</v>
      </c>
      <c r="X81" s="5">
        <v>1333.0</v>
      </c>
      <c r="Y81" s="27">
        <v>0.2</v>
      </c>
      <c r="Z81" s="28">
        <v>1066.4</v>
      </c>
      <c r="AA81" s="27">
        <v>1.0</v>
      </c>
      <c r="AB81" s="5" t="s">
        <v>117</v>
      </c>
      <c r="AC81" s="27">
        <v>0.62</v>
      </c>
      <c r="AD81" s="5"/>
      <c r="AE81" s="5" t="s">
        <v>359</v>
      </c>
      <c r="AF81" s="5" t="s">
        <v>81</v>
      </c>
      <c r="AG81" s="5">
        <v>3.0</v>
      </c>
      <c r="AH81" s="5">
        <v>3.0</v>
      </c>
      <c r="AI81" s="5" t="s">
        <v>860</v>
      </c>
      <c r="AJ81" s="5" t="s">
        <v>0</v>
      </c>
      <c r="AK81" s="30">
        <v>700.0</v>
      </c>
      <c r="AL81" s="28">
        <v>652.0</v>
      </c>
      <c r="AM81" s="28">
        <v>919.0</v>
      </c>
      <c r="AN81" s="28">
        <v>1485.0</v>
      </c>
      <c r="AO81" s="28">
        <v>1337.0</v>
      </c>
      <c r="AP81" s="28">
        <v>933100.0</v>
      </c>
      <c r="AQ81" s="28">
        <v>869331.1600000001</v>
      </c>
      <c r="AR81" s="28">
        <v>1782221.0</v>
      </c>
      <c r="AS81" s="28">
        <v>0.0</v>
      </c>
      <c r="AT81" s="28">
        <v>1782221.0</v>
      </c>
      <c r="AU81" s="28">
        <v>746480.0000000001</v>
      </c>
      <c r="AV81" s="28">
        <v>754466.7906976744</v>
      </c>
      <c r="AW81" s="28">
        <v>1027118.2579905002</v>
      </c>
      <c r="AX81" s="28">
        <v>1686781.82248062</v>
      </c>
      <c r="AY81" s="28">
        <v>1455404.3262099999</v>
      </c>
      <c r="AZ81" s="5"/>
      <c r="BA81" s="5" t="s">
        <v>125</v>
      </c>
      <c r="BB81" s="5" t="s">
        <v>127</v>
      </c>
      <c r="BC81" s="5" t="s">
        <v>237</v>
      </c>
      <c r="BD81" s="5" t="s">
        <v>355</v>
      </c>
      <c r="BE81" s="5" t="s">
        <v>161</v>
      </c>
      <c r="BF81" s="5" t="s">
        <v>360</v>
      </c>
      <c r="BG81" s="5" t="s">
        <v>131</v>
      </c>
    </row>
    <row r="82" ht="16.5" hidden="1" customHeight="1">
      <c r="A82" s="5" t="s">
        <v>100</v>
      </c>
      <c r="B82" s="5" t="s">
        <v>0</v>
      </c>
      <c r="C82" s="5" t="b">
        <v>0</v>
      </c>
      <c r="D82" s="5" t="s">
        <v>769</v>
      </c>
      <c r="E82" s="5" t="s">
        <v>770</v>
      </c>
      <c r="F82" s="5"/>
      <c r="G82" s="5" t="s">
        <v>65</v>
      </c>
      <c r="H82" s="5" t="s">
        <v>76</v>
      </c>
      <c r="I82" s="5" t="s">
        <v>106</v>
      </c>
      <c r="J82" s="25" t="s">
        <v>108</v>
      </c>
      <c r="K82" s="25"/>
      <c r="L82" s="25"/>
      <c r="M82" s="5" t="s">
        <v>247</v>
      </c>
      <c r="N82" s="5" t="s">
        <v>355</v>
      </c>
      <c r="O82" s="5" t="s">
        <v>96</v>
      </c>
      <c r="P82" s="5" t="s">
        <v>70</v>
      </c>
      <c r="Q82" s="5" t="s">
        <v>282</v>
      </c>
      <c r="R82" s="5" t="s">
        <v>110</v>
      </c>
      <c r="S82" s="5"/>
      <c r="T82" s="5"/>
      <c r="U82" s="5"/>
      <c r="V82" s="5">
        <v>0.0</v>
      </c>
      <c r="W82" s="26">
        <v>2.1</v>
      </c>
      <c r="X82" s="5">
        <v>0.0</v>
      </c>
      <c r="Y82" s="27">
        <v>0.0</v>
      </c>
      <c r="Z82" s="28">
        <v>0.0</v>
      </c>
      <c r="AA82" s="27">
        <v>0.0</v>
      </c>
      <c r="AB82" s="5" t="s">
        <v>0</v>
      </c>
      <c r="AC82" s="27"/>
      <c r="AD82" s="5"/>
      <c r="AE82" s="5" t="s">
        <v>359</v>
      </c>
      <c r="AF82" s="5" t="s">
        <v>0</v>
      </c>
      <c r="AG82" s="5"/>
      <c r="AH82" s="5">
        <v>1.0</v>
      </c>
      <c r="AI82" s="5" t="s">
        <v>0</v>
      </c>
      <c r="AJ82" s="5" t="s">
        <v>116</v>
      </c>
      <c r="AK82" s="30"/>
      <c r="AL82" s="28">
        <v>0.0</v>
      </c>
      <c r="AM82" s="28">
        <v>0.0</v>
      </c>
      <c r="AN82" s="28">
        <v>0.0</v>
      </c>
      <c r="AO82" s="28">
        <v>0.0</v>
      </c>
      <c r="AP82" s="28">
        <v>0.0</v>
      </c>
      <c r="AQ82" s="28">
        <v>0.0</v>
      </c>
      <c r="AR82" s="28">
        <v>0.0</v>
      </c>
      <c r="AS82" s="28">
        <v>0.0</v>
      </c>
      <c r="AT82" s="28">
        <v>0.0</v>
      </c>
      <c r="AU82" s="28">
        <v>0.0</v>
      </c>
      <c r="AV82" s="28">
        <v>0.0</v>
      </c>
      <c r="AW82" s="28">
        <v>0.0</v>
      </c>
      <c r="AX82" s="28">
        <v>0.0</v>
      </c>
      <c r="AY82" s="28">
        <v>0.0</v>
      </c>
      <c r="AZ82" s="5" t="s">
        <v>124</v>
      </c>
      <c r="BA82" s="5" t="s">
        <v>125</v>
      </c>
      <c r="BB82" s="5" t="s">
        <v>127</v>
      </c>
      <c r="BC82" s="5" t="s">
        <v>237</v>
      </c>
      <c r="BD82" s="5" t="s">
        <v>355</v>
      </c>
      <c r="BE82" s="5" t="s">
        <v>161</v>
      </c>
      <c r="BF82" s="5" t="s">
        <v>360</v>
      </c>
      <c r="BG82" s="5" t="s">
        <v>131</v>
      </c>
    </row>
    <row r="83" ht="16.5" hidden="1" customHeight="1">
      <c r="A83" s="5" t="s">
        <v>100</v>
      </c>
      <c r="B83" s="5" t="s">
        <v>137</v>
      </c>
      <c r="C83" s="5" t="b">
        <v>1</v>
      </c>
      <c r="D83" s="5" t="s">
        <v>368</v>
      </c>
      <c r="E83" s="5" t="s">
        <v>369</v>
      </c>
      <c r="F83" s="5"/>
      <c r="G83" s="5" t="s">
        <v>65</v>
      </c>
      <c r="H83" s="5" t="s">
        <v>76</v>
      </c>
      <c r="I83" s="5" t="s">
        <v>82</v>
      </c>
      <c r="J83" s="25"/>
      <c r="K83" s="25"/>
      <c r="L83" s="25"/>
      <c r="M83" s="5" t="s">
        <v>247</v>
      </c>
      <c r="N83" s="5" t="s">
        <v>355</v>
      </c>
      <c r="O83" s="5" t="s">
        <v>69</v>
      </c>
      <c r="P83" s="5" t="s">
        <v>70</v>
      </c>
      <c r="Q83" s="5" t="s">
        <v>373</v>
      </c>
      <c r="R83" s="5" t="s">
        <v>110</v>
      </c>
      <c r="S83" s="5"/>
      <c r="T83" s="5"/>
      <c r="U83" s="5"/>
      <c r="V83" s="5">
        <v>2000.0</v>
      </c>
      <c r="W83" s="26">
        <v>2.1</v>
      </c>
      <c r="X83" s="5">
        <v>952.0</v>
      </c>
      <c r="Y83" s="27">
        <v>0.2</v>
      </c>
      <c r="Z83" s="28">
        <v>761.6</v>
      </c>
      <c r="AA83" s="27">
        <v>1.0</v>
      </c>
      <c r="AB83" s="5" t="s">
        <v>117</v>
      </c>
      <c r="AC83" s="27">
        <v>0.6</v>
      </c>
      <c r="AD83" s="5"/>
      <c r="AE83" s="5" t="s">
        <v>359</v>
      </c>
      <c r="AF83" s="5" t="s">
        <v>81</v>
      </c>
      <c r="AG83" s="5">
        <v>2.0</v>
      </c>
      <c r="AH83" s="5">
        <v>2.0</v>
      </c>
      <c r="AI83" s="5" t="s">
        <v>876</v>
      </c>
      <c r="AJ83" s="5" t="s">
        <v>0</v>
      </c>
      <c r="AK83" s="30">
        <v>400.0</v>
      </c>
      <c r="AL83" s="28">
        <v>421.0</v>
      </c>
      <c r="AM83" s="28">
        <v>0.0</v>
      </c>
      <c r="AN83" s="28">
        <v>836.0</v>
      </c>
      <c r="AO83" s="28">
        <v>0.0</v>
      </c>
      <c r="AP83" s="28">
        <v>380800.0</v>
      </c>
      <c r="AQ83" s="28">
        <v>400951.98</v>
      </c>
      <c r="AR83" s="28">
        <v>0.0</v>
      </c>
      <c r="AS83" s="28">
        <v>0.0</v>
      </c>
      <c r="AT83" s="28">
        <v>0.0</v>
      </c>
      <c r="AU83" s="28">
        <v>304640.0</v>
      </c>
      <c r="AV83" s="28">
        <v>372920.54374307854</v>
      </c>
      <c r="AW83" s="28">
        <v>0.0</v>
      </c>
      <c r="AX83" s="28">
        <v>740814.7107419712</v>
      </c>
      <c r="AY83" s="28">
        <v>0.0</v>
      </c>
      <c r="AZ83" s="5"/>
      <c r="BA83" s="5" t="s">
        <v>125</v>
      </c>
      <c r="BB83" s="5" t="s">
        <v>127</v>
      </c>
      <c r="BC83" s="5" t="s">
        <v>237</v>
      </c>
      <c r="BD83" s="5" t="s">
        <v>355</v>
      </c>
      <c r="BE83" s="5" t="s">
        <v>373</v>
      </c>
      <c r="BF83" s="5" t="s">
        <v>360</v>
      </c>
      <c r="BG83" s="5" t="s">
        <v>131</v>
      </c>
    </row>
    <row r="84" ht="16.5" hidden="1" customHeight="1">
      <c r="A84" s="5" t="s">
        <v>100</v>
      </c>
      <c r="B84" s="5" t="s">
        <v>137</v>
      </c>
      <c r="C84" s="5" t="b">
        <v>1</v>
      </c>
      <c r="D84" s="5" t="s">
        <v>374</v>
      </c>
      <c r="E84" s="5" t="s">
        <v>375</v>
      </c>
      <c r="F84" s="5"/>
      <c r="G84" s="5" t="s">
        <v>65</v>
      </c>
      <c r="H84" s="5" t="s">
        <v>76</v>
      </c>
      <c r="I84" s="5" t="s">
        <v>82</v>
      </c>
      <c r="J84" s="25"/>
      <c r="K84" s="25"/>
      <c r="L84" s="25"/>
      <c r="M84" s="5" t="s">
        <v>247</v>
      </c>
      <c r="N84" s="5" t="s">
        <v>355</v>
      </c>
      <c r="O84" s="5" t="s">
        <v>69</v>
      </c>
      <c r="P84" s="5" t="s">
        <v>107</v>
      </c>
      <c r="Q84" s="5" t="s">
        <v>373</v>
      </c>
      <c r="R84" s="5" t="s">
        <v>110</v>
      </c>
      <c r="S84" s="5"/>
      <c r="T84" s="5"/>
      <c r="U84" s="5"/>
      <c r="V84" s="5">
        <v>2000.0</v>
      </c>
      <c r="W84" s="26">
        <v>2.1</v>
      </c>
      <c r="X84" s="5">
        <v>952.0</v>
      </c>
      <c r="Y84" s="27">
        <v>0.2</v>
      </c>
      <c r="Z84" s="28">
        <v>761.6</v>
      </c>
      <c r="AA84" s="27">
        <v>1.0</v>
      </c>
      <c r="AB84" s="5" t="s">
        <v>117</v>
      </c>
      <c r="AC84" s="27">
        <v>0.62</v>
      </c>
      <c r="AD84" s="5"/>
      <c r="AE84" s="5" t="s">
        <v>359</v>
      </c>
      <c r="AF84" s="5" t="s">
        <v>81</v>
      </c>
      <c r="AG84" s="5">
        <v>2.0</v>
      </c>
      <c r="AH84" s="5">
        <v>2.0</v>
      </c>
      <c r="AI84" s="5" t="s">
        <v>876</v>
      </c>
      <c r="AJ84" s="5" t="s">
        <v>0</v>
      </c>
      <c r="AK84" s="30">
        <v>300.0</v>
      </c>
      <c r="AL84" s="28">
        <v>347.0</v>
      </c>
      <c r="AM84" s="28">
        <v>0.0</v>
      </c>
      <c r="AN84" s="28">
        <v>768.0</v>
      </c>
      <c r="AO84" s="28">
        <v>0.0</v>
      </c>
      <c r="AP84" s="28">
        <v>285600.0</v>
      </c>
      <c r="AQ84" s="28">
        <v>330475.86000000004</v>
      </c>
      <c r="AR84" s="28">
        <v>0.0</v>
      </c>
      <c r="AS84" s="28">
        <v>0.0</v>
      </c>
      <c r="AT84" s="28">
        <v>0.0</v>
      </c>
      <c r="AU84" s="28">
        <v>228480.0</v>
      </c>
      <c r="AV84" s="28">
        <v>310779.8571428571</v>
      </c>
      <c r="AW84" s="28">
        <v>0.0</v>
      </c>
      <c r="AX84" s="28">
        <v>676108.5202657806</v>
      </c>
      <c r="AY84" s="28">
        <v>0.0</v>
      </c>
      <c r="AZ84" s="5"/>
      <c r="BA84" s="5" t="s">
        <v>125</v>
      </c>
      <c r="BB84" s="5" t="s">
        <v>127</v>
      </c>
      <c r="BC84" s="5" t="s">
        <v>237</v>
      </c>
      <c r="BD84" s="5" t="s">
        <v>355</v>
      </c>
      <c r="BE84" s="5" t="s">
        <v>373</v>
      </c>
      <c r="BF84" s="5" t="s">
        <v>360</v>
      </c>
      <c r="BG84" s="5" t="s">
        <v>131</v>
      </c>
    </row>
    <row r="85" ht="16.5" hidden="1" customHeight="1">
      <c r="A85" s="5" t="s">
        <v>100</v>
      </c>
      <c r="B85" s="5" t="s">
        <v>137</v>
      </c>
      <c r="C85" s="5" t="b">
        <v>1</v>
      </c>
      <c r="D85" s="5" t="s">
        <v>376</v>
      </c>
      <c r="E85" s="5" t="s">
        <v>377</v>
      </c>
      <c r="F85" s="5"/>
      <c r="G85" s="5" t="s">
        <v>65</v>
      </c>
      <c r="H85" s="5" t="s">
        <v>76</v>
      </c>
      <c r="I85" s="5" t="s">
        <v>82</v>
      </c>
      <c r="J85" s="25"/>
      <c r="K85" s="25"/>
      <c r="L85" s="25"/>
      <c r="M85" s="5" t="s">
        <v>66</v>
      </c>
      <c r="N85" s="5" t="s">
        <v>68</v>
      </c>
      <c r="O85" s="5" t="s">
        <v>69</v>
      </c>
      <c r="P85" s="5" t="s">
        <v>70</v>
      </c>
      <c r="Q85" s="5" t="s">
        <v>180</v>
      </c>
      <c r="R85" s="5" t="s">
        <v>181</v>
      </c>
      <c r="S85" s="5"/>
      <c r="T85" s="5"/>
      <c r="U85" s="5"/>
      <c r="V85" s="5">
        <v>2800.0</v>
      </c>
      <c r="W85" s="26">
        <v>2.1</v>
      </c>
      <c r="X85" s="5">
        <v>1333.0</v>
      </c>
      <c r="Y85" s="27">
        <v>0.2</v>
      </c>
      <c r="Z85" s="28">
        <v>1066.4</v>
      </c>
      <c r="AA85" s="27">
        <v>1.0</v>
      </c>
      <c r="AB85" s="5" t="s">
        <v>117</v>
      </c>
      <c r="AC85" s="27">
        <v>0.55</v>
      </c>
      <c r="AD85" s="5"/>
      <c r="AE85" s="5" t="s">
        <v>80</v>
      </c>
      <c r="AF85" s="5" t="s">
        <v>81</v>
      </c>
      <c r="AG85" s="5">
        <v>1.0</v>
      </c>
      <c r="AH85" s="5">
        <v>1.0</v>
      </c>
      <c r="AI85" s="5" t="s">
        <v>885</v>
      </c>
      <c r="AJ85" s="5" t="s">
        <v>0</v>
      </c>
      <c r="AK85" s="30">
        <v>2800.0</v>
      </c>
      <c r="AL85" s="28">
        <v>3084.0</v>
      </c>
      <c r="AM85" s="28">
        <v>0.0</v>
      </c>
      <c r="AN85" s="28">
        <v>3117.0</v>
      </c>
      <c r="AO85" s="28">
        <v>0.0</v>
      </c>
      <c r="AP85" s="28">
        <v>3732400.0</v>
      </c>
      <c r="AQ85" s="28">
        <v>3671440.32</v>
      </c>
      <c r="AR85" s="28">
        <v>0.0</v>
      </c>
      <c r="AS85" s="28">
        <v>0.0</v>
      </c>
      <c r="AT85" s="28">
        <v>0.0</v>
      </c>
      <c r="AU85" s="28">
        <v>2985920.0000000005</v>
      </c>
      <c r="AV85" s="28">
        <v>2970371.3363787374</v>
      </c>
      <c r="AW85" s="28">
        <v>0.0</v>
      </c>
      <c r="AX85" s="28">
        <v>3068148.4363233666</v>
      </c>
      <c r="AY85" s="28">
        <v>0.0</v>
      </c>
      <c r="AZ85" s="5"/>
      <c r="BA85" s="5" t="s">
        <v>86</v>
      </c>
      <c r="BB85" s="5" t="s">
        <v>87</v>
      </c>
      <c r="BC85" s="32" t="s">
        <v>379</v>
      </c>
      <c r="BD85" s="5" t="s">
        <v>68</v>
      </c>
      <c r="BE85" s="5" t="s">
        <v>128</v>
      </c>
      <c r="BF85" s="5" t="s">
        <v>90</v>
      </c>
      <c r="BG85" s="5" t="s">
        <v>91</v>
      </c>
    </row>
    <row r="86" ht="16.5" hidden="1" customHeight="1">
      <c r="A86" s="5" t="s">
        <v>100</v>
      </c>
      <c r="B86" s="5" t="s">
        <v>137</v>
      </c>
      <c r="C86" s="5" t="b">
        <v>1</v>
      </c>
      <c r="D86" s="5" t="s">
        <v>380</v>
      </c>
      <c r="E86" s="5" t="s">
        <v>381</v>
      </c>
      <c r="F86" s="5"/>
      <c r="G86" s="5" t="s">
        <v>65</v>
      </c>
      <c r="H86" s="5" t="s">
        <v>76</v>
      </c>
      <c r="I86" s="5" t="s">
        <v>82</v>
      </c>
      <c r="J86" s="25"/>
      <c r="K86" s="25"/>
      <c r="L86" s="25"/>
      <c r="M86" s="5" t="s">
        <v>66</v>
      </c>
      <c r="N86" s="5" t="s">
        <v>68</v>
      </c>
      <c r="O86" s="5" t="s">
        <v>69</v>
      </c>
      <c r="P86" s="5" t="s">
        <v>107</v>
      </c>
      <c r="Q86" s="5" t="s">
        <v>180</v>
      </c>
      <c r="R86" s="5" t="s">
        <v>181</v>
      </c>
      <c r="S86" s="5"/>
      <c r="T86" s="5"/>
      <c r="U86" s="5"/>
      <c r="V86" s="5">
        <v>2800.0</v>
      </c>
      <c r="W86" s="26">
        <v>2.1</v>
      </c>
      <c r="X86" s="5">
        <v>1333.0</v>
      </c>
      <c r="Y86" s="27">
        <v>0.2</v>
      </c>
      <c r="Z86" s="28">
        <v>1066.4</v>
      </c>
      <c r="AA86" s="27">
        <v>1.0</v>
      </c>
      <c r="AB86" s="5" t="s">
        <v>117</v>
      </c>
      <c r="AC86" s="27">
        <v>0.56</v>
      </c>
      <c r="AD86" s="5"/>
      <c r="AE86" s="5" t="s">
        <v>80</v>
      </c>
      <c r="AF86" s="5" t="s">
        <v>81</v>
      </c>
      <c r="AG86" s="5">
        <v>1.0</v>
      </c>
      <c r="AH86" s="5">
        <v>1.0</v>
      </c>
      <c r="AI86" s="5" t="s">
        <v>885</v>
      </c>
      <c r="AJ86" s="5" t="s">
        <v>0</v>
      </c>
      <c r="AK86" s="30">
        <v>2300.0</v>
      </c>
      <c r="AL86" s="28">
        <v>2694.0</v>
      </c>
      <c r="AM86" s="28">
        <v>0.0</v>
      </c>
      <c r="AN86" s="28">
        <v>2611.0</v>
      </c>
      <c r="AO86" s="28">
        <v>0.0</v>
      </c>
      <c r="AP86" s="28">
        <v>3065900.0</v>
      </c>
      <c r="AQ86" s="28">
        <v>3207153.12</v>
      </c>
      <c r="AR86" s="28">
        <v>0.0</v>
      </c>
      <c r="AS86" s="28">
        <v>0.0</v>
      </c>
      <c r="AT86" s="28">
        <v>0.0</v>
      </c>
      <c r="AU86" s="28">
        <v>2452720.0</v>
      </c>
      <c r="AV86" s="28">
        <v>2584141.356312292</v>
      </c>
      <c r="AW86" s="28">
        <v>0.0</v>
      </c>
      <c r="AX86" s="28">
        <v>2557636.3529900336</v>
      </c>
      <c r="AY86" s="28">
        <v>0.0</v>
      </c>
      <c r="AZ86" s="5"/>
      <c r="BA86" s="5" t="s">
        <v>86</v>
      </c>
      <c r="BB86" s="5" t="s">
        <v>87</v>
      </c>
      <c r="BC86" s="32" t="s">
        <v>379</v>
      </c>
      <c r="BD86" s="5" t="s">
        <v>68</v>
      </c>
      <c r="BE86" s="5" t="s">
        <v>128</v>
      </c>
      <c r="BF86" s="5" t="s">
        <v>90</v>
      </c>
      <c r="BG86" s="5" t="s">
        <v>91</v>
      </c>
    </row>
    <row r="87" ht="16.5" hidden="1" customHeight="1">
      <c r="A87" s="5" t="s">
        <v>100</v>
      </c>
      <c r="B87" s="5" t="s">
        <v>137</v>
      </c>
      <c r="C87" s="5" t="b">
        <v>0</v>
      </c>
      <c r="D87" s="5" t="s">
        <v>384</v>
      </c>
      <c r="E87" s="5" t="s">
        <v>385</v>
      </c>
      <c r="F87" s="5"/>
      <c r="G87" s="5" t="s">
        <v>65</v>
      </c>
      <c r="H87" s="5" t="s">
        <v>74</v>
      </c>
      <c r="I87" s="5" t="s">
        <v>106</v>
      </c>
      <c r="J87" s="25" t="s">
        <v>896</v>
      </c>
      <c r="K87" s="25"/>
      <c r="L87" s="25"/>
      <c r="M87" s="5" t="s">
        <v>66</v>
      </c>
      <c r="N87" s="5" t="s">
        <v>334</v>
      </c>
      <c r="O87" s="5" t="s">
        <v>69</v>
      </c>
      <c r="P87" s="5" t="s">
        <v>70</v>
      </c>
      <c r="Q87" s="5" t="s">
        <v>778</v>
      </c>
      <c r="R87" s="5" t="s">
        <v>110</v>
      </c>
      <c r="S87" s="5"/>
      <c r="T87" s="5"/>
      <c r="U87" s="5"/>
      <c r="V87" s="5">
        <v>900.0</v>
      </c>
      <c r="W87" s="26">
        <v>2.1</v>
      </c>
      <c r="X87" s="5">
        <v>429.0</v>
      </c>
      <c r="Y87" s="27">
        <v>0.0</v>
      </c>
      <c r="Z87" s="28">
        <v>429.0</v>
      </c>
      <c r="AA87" s="27">
        <v>1.0</v>
      </c>
      <c r="AB87" s="5" t="s">
        <v>117</v>
      </c>
      <c r="AC87" s="27"/>
      <c r="AD87" s="5"/>
      <c r="AE87" s="5" t="s">
        <v>81</v>
      </c>
      <c r="AF87" s="5" t="s">
        <v>81</v>
      </c>
      <c r="AG87" s="5"/>
      <c r="AH87" s="5">
        <v>3.0</v>
      </c>
      <c r="AI87" s="5" t="s">
        <v>0</v>
      </c>
      <c r="AJ87" s="5" t="s">
        <v>386</v>
      </c>
      <c r="AK87" s="30"/>
      <c r="AL87" s="28">
        <v>352.0</v>
      </c>
      <c r="AM87" s="28">
        <v>630.0</v>
      </c>
      <c r="AN87" s="28">
        <v>0.0</v>
      </c>
      <c r="AO87" s="28">
        <v>0.0</v>
      </c>
      <c r="AP87" s="28">
        <v>0.0</v>
      </c>
      <c r="AQ87" s="28">
        <v>150856.64</v>
      </c>
      <c r="AR87" s="28">
        <v>0.0</v>
      </c>
      <c r="AS87" s="28">
        <v>0.0</v>
      </c>
      <c r="AT87" s="28">
        <v>0.0</v>
      </c>
      <c r="AU87" s="28">
        <v>0.0</v>
      </c>
      <c r="AV87" s="28">
        <v>150857.14285714284</v>
      </c>
      <c r="AW87" s="28">
        <v>255160.59089850003</v>
      </c>
      <c r="AX87" s="28">
        <v>0.0</v>
      </c>
      <c r="AY87" s="28">
        <v>0.0</v>
      </c>
      <c r="AZ87" s="5" t="s">
        <v>124</v>
      </c>
      <c r="BA87" s="5" t="s">
        <v>125</v>
      </c>
      <c r="BB87" s="5" t="s">
        <v>127</v>
      </c>
      <c r="BC87" s="5" t="s">
        <v>237</v>
      </c>
      <c r="BD87" s="5" t="s">
        <v>334</v>
      </c>
      <c r="BE87" s="5" t="s">
        <v>337</v>
      </c>
      <c r="BF87" s="5" t="s">
        <v>387</v>
      </c>
      <c r="BG87" s="5" t="s">
        <v>131</v>
      </c>
      <c r="BH87" s="5" t="s">
        <v>902</v>
      </c>
    </row>
    <row r="88" ht="16.5" hidden="1" customHeight="1">
      <c r="A88" s="5" t="s">
        <v>100</v>
      </c>
      <c r="B88" s="5" t="s">
        <v>137</v>
      </c>
      <c r="C88" s="5" t="b">
        <v>0</v>
      </c>
      <c r="D88" s="5" t="s">
        <v>388</v>
      </c>
      <c r="E88" s="5" t="s">
        <v>389</v>
      </c>
      <c r="F88" s="5"/>
      <c r="G88" s="5" t="s">
        <v>65</v>
      </c>
      <c r="H88" s="5" t="s">
        <v>74</v>
      </c>
      <c r="I88" s="5" t="s">
        <v>106</v>
      </c>
      <c r="J88" s="25" t="s">
        <v>896</v>
      </c>
      <c r="K88" s="25"/>
      <c r="L88" s="25"/>
      <c r="M88" s="5" t="s">
        <v>66</v>
      </c>
      <c r="N88" s="5" t="s">
        <v>334</v>
      </c>
      <c r="O88" s="5" t="s">
        <v>69</v>
      </c>
      <c r="P88" s="5" t="s">
        <v>107</v>
      </c>
      <c r="Q88" s="5" t="s">
        <v>778</v>
      </c>
      <c r="R88" s="5" t="s">
        <v>110</v>
      </c>
      <c r="S88" s="5"/>
      <c r="T88" s="5"/>
      <c r="U88" s="5"/>
      <c r="V88" s="5">
        <v>900.0</v>
      </c>
      <c r="W88" s="26">
        <v>2.1</v>
      </c>
      <c r="X88" s="5">
        <v>429.0</v>
      </c>
      <c r="Y88" s="27">
        <v>0.0</v>
      </c>
      <c r="Z88" s="28">
        <v>429.0</v>
      </c>
      <c r="AA88" s="27">
        <v>1.0</v>
      </c>
      <c r="AB88" s="5" t="s">
        <v>117</v>
      </c>
      <c r="AC88" s="27"/>
      <c r="AD88" s="5"/>
      <c r="AE88" s="5" t="s">
        <v>81</v>
      </c>
      <c r="AF88" s="5" t="s">
        <v>81</v>
      </c>
      <c r="AG88" s="5"/>
      <c r="AH88" s="5">
        <v>3.0</v>
      </c>
      <c r="AI88" s="5" t="s">
        <v>0</v>
      </c>
      <c r="AJ88" s="5" t="s">
        <v>386</v>
      </c>
      <c r="AK88" s="30"/>
      <c r="AL88" s="28">
        <v>300.0</v>
      </c>
      <c r="AM88" s="28">
        <v>650.0</v>
      </c>
      <c r="AN88" s="28">
        <v>0.0</v>
      </c>
      <c r="AO88" s="28">
        <v>0.0</v>
      </c>
      <c r="AP88" s="28">
        <v>0.0</v>
      </c>
      <c r="AQ88" s="28">
        <v>128571.0</v>
      </c>
      <c r="AR88" s="28">
        <v>0.0</v>
      </c>
      <c r="AS88" s="28">
        <v>0.0</v>
      </c>
      <c r="AT88" s="28">
        <v>0.0</v>
      </c>
      <c r="AU88" s="28">
        <v>0.0</v>
      </c>
      <c r="AV88" s="28">
        <v>128571.42857142855</v>
      </c>
      <c r="AW88" s="28">
        <v>263218.375529</v>
      </c>
      <c r="AX88" s="28">
        <v>0.0</v>
      </c>
      <c r="AY88" s="28">
        <v>0.0</v>
      </c>
      <c r="AZ88" s="5" t="s">
        <v>124</v>
      </c>
      <c r="BA88" s="5" t="s">
        <v>125</v>
      </c>
      <c r="BB88" s="5" t="s">
        <v>127</v>
      </c>
      <c r="BC88" s="5" t="s">
        <v>237</v>
      </c>
      <c r="BD88" s="5" t="s">
        <v>334</v>
      </c>
      <c r="BE88" s="5" t="s">
        <v>337</v>
      </c>
      <c r="BF88" s="5" t="s">
        <v>387</v>
      </c>
      <c r="BG88" s="5" t="s">
        <v>131</v>
      </c>
      <c r="BH88" s="5" t="s">
        <v>902</v>
      </c>
    </row>
    <row r="89" ht="16.5" hidden="1" customHeight="1">
      <c r="A89" s="5" t="s">
        <v>100</v>
      </c>
      <c r="B89" s="5" t="s">
        <v>137</v>
      </c>
      <c r="C89" s="5" t="b">
        <v>0</v>
      </c>
      <c r="D89" s="5" t="s">
        <v>392</v>
      </c>
      <c r="E89" s="5" t="s">
        <v>393</v>
      </c>
      <c r="F89" s="5"/>
      <c r="G89" s="5" t="s">
        <v>65</v>
      </c>
      <c r="H89" s="5" t="s">
        <v>74</v>
      </c>
      <c r="I89" s="5" t="s">
        <v>106</v>
      </c>
      <c r="J89" s="25" t="s">
        <v>896</v>
      </c>
      <c r="K89" s="25"/>
      <c r="L89" s="25"/>
      <c r="M89" s="5" t="s">
        <v>66</v>
      </c>
      <c r="N89" s="5" t="s">
        <v>334</v>
      </c>
      <c r="O89" s="5" t="s">
        <v>69</v>
      </c>
      <c r="P89" s="5" t="s">
        <v>70</v>
      </c>
      <c r="Q89" s="5" t="s">
        <v>805</v>
      </c>
      <c r="R89" s="5" t="s">
        <v>110</v>
      </c>
      <c r="S89" s="5"/>
      <c r="T89" s="5"/>
      <c r="U89" s="5"/>
      <c r="V89" s="5">
        <v>750.0</v>
      </c>
      <c r="W89" s="26">
        <v>2.1</v>
      </c>
      <c r="X89" s="5">
        <v>357.0</v>
      </c>
      <c r="Y89" s="27">
        <v>0.0</v>
      </c>
      <c r="Z89" s="28">
        <v>357.0</v>
      </c>
      <c r="AA89" s="27">
        <v>1.0</v>
      </c>
      <c r="AB89" s="5" t="s">
        <v>117</v>
      </c>
      <c r="AC89" s="27"/>
      <c r="AD89" s="5"/>
      <c r="AE89" s="5" t="s">
        <v>81</v>
      </c>
      <c r="AF89" s="5" t="s">
        <v>81</v>
      </c>
      <c r="AG89" s="5"/>
      <c r="AH89" s="5">
        <v>3.0</v>
      </c>
      <c r="AI89" s="5" t="s">
        <v>0</v>
      </c>
      <c r="AJ89" s="5" t="s">
        <v>386</v>
      </c>
      <c r="AK89" s="30"/>
      <c r="AL89" s="28">
        <v>321.0</v>
      </c>
      <c r="AM89" s="28">
        <v>1224.0</v>
      </c>
      <c r="AN89" s="28">
        <v>0.0</v>
      </c>
      <c r="AO89" s="28">
        <v>0.0</v>
      </c>
      <c r="AP89" s="28">
        <v>0.0</v>
      </c>
      <c r="AQ89" s="28">
        <v>114641.93999999999</v>
      </c>
      <c r="AR89" s="28">
        <v>0.0</v>
      </c>
      <c r="AS89" s="28">
        <v>0.0</v>
      </c>
      <c r="AT89" s="28">
        <v>0.0</v>
      </c>
      <c r="AU89" s="28">
        <v>0.0</v>
      </c>
      <c r="AV89" s="28">
        <v>114642.85714285713</v>
      </c>
      <c r="AW89" s="28">
        <v>410016.548392</v>
      </c>
      <c r="AX89" s="28">
        <v>0.0</v>
      </c>
      <c r="AY89" s="28">
        <v>0.0</v>
      </c>
      <c r="AZ89" s="5" t="s">
        <v>124</v>
      </c>
      <c r="BA89" s="5" t="s">
        <v>125</v>
      </c>
      <c r="BB89" s="5" t="s">
        <v>127</v>
      </c>
      <c r="BC89" s="5" t="s">
        <v>237</v>
      </c>
      <c r="BD89" s="5" t="s">
        <v>334</v>
      </c>
      <c r="BE89" s="5" t="s">
        <v>348</v>
      </c>
      <c r="BF89" s="5" t="s">
        <v>338</v>
      </c>
      <c r="BG89" s="5" t="s">
        <v>131</v>
      </c>
      <c r="BH89" s="5" t="s">
        <v>910</v>
      </c>
    </row>
    <row r="90" ht="16.5" hidden="1" customHeight="1">
      <c r="A90" s="5" t="s">
        <v>100</v>
      </c>
      <c r="B90" s="5" t="s">
        <v>137</v>
      </c>
      <c r="C90" s="5" t="b">
        <v>0</v>
      </c>
      <c r="D90" s="5" t="s">
        <v>396</v>
      </c>
      <c r="E90" s="5" t="s">
        <v>397</v>
      </c>
      <c r="F90" s="5"/>
      <c r="G90" s="5" t="s">
        <v>65</v>
      </c>
      <c r="H90" s="5" t="s">
        <v>74</v>
      </c>
      <c r="I90" s="5" t="s">
        <v>106</v>
      </c>
      <c r="J90" s="25" t="s">
        <v>896</v>
      </c>
      <c r="K90" s="25"/>
      <c r="L90" s="25"/>
      <c r="M90" s="5" t="s">
        <v>66</v>
      </c>
      <c r="N90" s="5" t="s">
        <v>334</v>
      </c>
      <c r="O90" s="5" t="s">
        <v>69</v>
      </c>
      <c r="P90" s="5" t="s">
        <v>107</v>
      </c>
      <c r="Q90" s="5" t="s">
        <v>805</v>
      </c>
      <c r="R90" s="5" t="s">
        <v>110</v>
      </c>
      <c r="S90" s="5"/>
      <c r="T90" s="5"/>
      <c r="U90" s="5"/>
      <c r="V90" s="5">
        <v>750.0</v>
      </c>
      <c r="W90" s="26">
        <v>2.1</v>
      </c>
      <c r="X90" s="5">
        <v>357.0</v>
      </c>
      <c r="Y90" s="27">
        <v>0.0</v>
      </c>
      <c r="Z90" s="28">
        <v>357.0</v>
      </c>
      <c r="AA90" s="27">
        <v>1.0</v>
      </c>
      <c r="AB90" s="5" t="s">
        <v>117</v>
      </c>
      <c r="AC90" s="27"/>
      <c r="AD90" s="5"/>
      <c r="AE90" s="5" t="s">
        <v>81</v>
      </c>
      <c r="AF90" s="5" t="s">
        <v>81</v>
      </c>
      <c r="AG90" s="5"/>
      <c r="AH90" s="5">
        <v>3.0</v>
      </c>
      <c r="AI90" s="5" t="s">
        <v>0</v>
      </c>
      <c r="AJ90" s="5" t="s">
        <v>386</v>
      </c>
      <c r="AK90" s="30"/>
      <c r="AL90" s="28">
        <v>270.0</v>
      </c>
      <c r="AM90" s="28">
        <v>858.0</v>
      </c>
      <c r="AN90" s="28">
        <v>0.0</v>
      </c>
      <c r="AO90" s="28">
        <v>0.0</v>
      </c>
      <c r="AP90" s="28">
        <v>0.0</v>
      </c>
      <c r="AQ90" s="28">
        <v>96427.79999999999</v>
      </c>
      <c r="AR90" s="28">
        <v>0.0</v>
      </c>
      <c r="AS90" s="28">
        <v>0.0</v>
      </c>
      <c r="AT90" s="28">
        <v>0.0</v>
      </c>
      <c r="AU90" s="28">
        <v>0.0</v>
      </c>
      <c r="AV90" s="28">
        <v>96428.57142857142</v>
      </c>
      <c r="AW90" s="28">
        <v>288889.57715699996</v>
      </c>
      <c r="AX90" s="28">
        <v>0.0</v>
      </c>
      <c r="AY90" s="28">
        <v>0.0</v>
      </c>
      <c r="AZ90" s="5" t="s">
        <v>124</v>
      </c>
      <c r="BA90" s="5" t="s">
        <v>125</v>
      </c>
      <c r="BB90" s="5" t="s">
        <v>127</v>
      </c>
      <c r="BC90" s="5" t="s">
        <v>237</v>
      </c>
      <c r="BD90" s="5" t="s">
        <v>334</v>
      </c>
      <c r="BE90" s="5" t="s">
        <v>348</v>
      </c>
      <c r="BF90" s="5" t="s">
        <v>338</v>
      </c>
      <c r="BG90" s="5" t="s">
        <v>131</v>
      </c>
      <c r="BH90" s="5" t="s">
        <v>910</v>
      </c>
    </row>
    <row r="91" ht="16.5" hidden="1" customHeight="1">
      <c r="A91" s="5" t="s">
        <v>100</v>
      </c>
      <c r="B91" s="5" t="s">
        <v>137</v>
      </c>
      <c r="C91" s="5" t="b">
        <v>0</v>
      </c>
      <c r="D91" s="5" t="s">
        <v>398</v>
      </c>
      <c r="E91" s="5" t="s">
        <v>918</v>
      </c>
      <c r="F91" s="5"/>
      <c r="G91" s="5" t="s">
        <v>65</v>
      </c>
      <c r="H91" s="5" t="s">
        <v>74</v>
      </c>
      <c r="I91" s="5" t="s">
        <v>106</v>
      </c>
      <c r="J91" s="25" t="s">
        <v>267</v>
      </c>
      <c r="K91" s="25" t="s">
        <v>921</v>
      </c>
      <c r="L91" s="25" t="s">
        <v>156</v>
      </c>
      <c r="M91" s="5" t="s">
        <v>66</v>
      </c>
      <c r="N91" s="5" t="s">
        <v>68</v>
      </c>
      <c r="O91" s="5" t="s">
        <v>69</v>
      </c>
      <c r="P91" s="5" t="s">
        <v>70</v>
      </c>
      <c r="Q91" s="5" t="s">
        <v>89</v>
      </c>
      <c r="R91" s="5" t="s">
        <v>110</v>
      </c>
      <c r="S91" s="5"/>
      <c r="T91" s="5"/>
      <c r="U91" s="5"/>
      <c r="V91" s="5">
        <v>2500.0</v>
      </c>
      <c r="W91" s="26">
        <v>2.1</v>
      </c>
      <c r="X91" s="5">
        <v>1190.0</v>
      </c>
      <c r="Y91" s="27">
        <v>0.0</v>
      </c>
      <c r="Z91" s="28">
        <v>1190.0</v>
      </c>
      <c r="AA91" s="27">
        <v>1.0</v>
      </c>
      <c r="AB91" s="5" t="s">
        <v>78</v>
      </c>
      <c r="AC91" s="27"/>
      <c r="AD91" s="5"/>
      <c r="AE91" s="5" t="s">
        <v>166</v>
      </c>
      <c r="AF91" s="5" t="s">
        <v>81</v>
      </c>
      <c r="AG91" s="5"/>
      <c r="AH91" s="5">
        <v>3.0</v>
      </c>
      <c r="AI91" s="5" t="s">
        <v>0</v>
      </c>
      <c r="AJ91" s="5" t="s">
        <v>156</v>
      </c>
      <c r="AK91" s="30"/>
      <c r="AL91" s="28">
        <v>0.0</v>
      </c>
      <c r="AM91" s="28">
        <v>1703.0</v>
      </c>
      <c r="AN91" s="28">
        <v>0.0</v>
      </c>
      <c r="AO91" s="28">
        <v>0.0</v>
      </c>
      <c r="AP91" s="28">
        <v>0.0</v>
      </c>
      <c r="AQ91" s="28">
        <v>0.0</v>
      </c>
      <c r="AR91" s="28">
        <v>0.0</v>
      </c>
      <c r="AS91" s="28">
        <v>0.0</v>
      </c>
      <c r="AT91" s="28">
        <v>0.0</v>
      </c>
      <c r="AU91" s="28">
        <v>0.0</v>
      </c>
      <c r="AV91" s="28">
        <v>0.0</v>
      </c>
      <c r="AW91" s="28">
        <v>1414363.3244</v>
      </c>
      <c r="AX91" s="28">
        <v>0.0</v>
      </c>
      <c r="AY91" s="28">
        <v>0.0</v>
      </c>
      <c r="AZ91" s="5" t="s">
        <v>124</v>
      </c>
      <c r="BA91" s="5" t="s">
        <v>125</v>
      </c>
      <c r="BB91" s="5" t="s">
        <v>127</v>
      </c>
      <c r="BD91" s="5" t="s">
        <v>68</v>
      </c>
      <c r="BE91" s="5" t="s">
        <v>89</v>
      </c>
      <c r="BF91" s="5" t="s">
        <v>178</v>
      </c>
      <c r="BG91" s="5" t="s">
        <v>91</v>
      </c>
      <c r="BH91" s="5" t="s">
        <v>927</v>
      </c>
    </row>
    <row r="92" ht="16.5" hidden="1" customHeight="1">
      <c r="A92" s="5" t="s">
        <v>100</v>
      </c>
      <c r="B92" s="5" t="s">
        <v>137</v>
      </c>
      <c r="C92" s="5" t="b">
        <v>0</v>
      </c>
      <c r="D92" s="5" t="s">
        <v>405</v>
      </c>
      <c r="E92" s="5" t="s">
        <v>928</v>
      </c>
      <c r="F92" s="5"/>
      <c r="G92" s="5" t="s">
        <v>65</v>
      </c>
      <c r="H92" s="5" t="s">
        <v>74</v>
      </c>
      <c r="I92" s="5" t="s">
        <v>106</v>
      </c>
      <c r="J92" s="25" t="s">
        <v>267</v>
      </c>
      <c r="K92" s="25" t="s">
        <v>921</v>
      </c>
      <c r="L92" s="25" t="s">
        <v>156</v>
      </c>
      <c r="M92" s="5" t="s">
        <v>66</v>
      </c>
      <c r="N92" s="5" t="s">
        <v>68</v>
      </c>
      <c r="O92" s="5" t="s">
        <v>69</v>
      </c>
      <c r="P92" s="5" t="s">
        <v>107</v>
      </c>
      <c r="Q92" s="5" t="s">
        <v>89</v>
      </c>
      <c r="R92" s="5" t="s">
        <v>110</v>
      </c>
      <c r="S92" s="5"/>
      <c r="T92" s="5"/>
      <c r="U92" s="5"/>
      <c r="V92" s="5">
        <v>2500.0</v>
      </c>
      <c r="W92" s="26">
        <v>2.1</v>
      </c>
      <c r="X92" s="5">
        <v>1190.0</v>
      </c>
      <c r="Y92" s="27">
        <v>0.0</v>
      </c>
      <c r="Z92" s="28">
        <v>1190.0</v>
      </c>
      <c r="AA92" s="27">
        <v>1.0</v>
      </c>
      <c r="AB92" s="5" t="s">
        <v>78</v>
      </c>
      <c r="AC92" s="27"/>
      <c r="AD92" s="5"/>
      <c r="AE92" s="5" t="s">
        <v>166</v>
      </c>
      <c r="AF92" s="5" t="s">
        <v>81</v>
      </c>
      <c r="AG92" s="5"/>
      <c r="AH92" s="5">
        <v>3.0</v>
      </c>
      <c r="AI92" s="5" t="s">
        <v>0</v>
      </c>
      <c r="AJ92" s="5" t="s">
        <v>156</v>
      </c>
      <c r="AK92" s="30"/>
      <c r="AL92" s="28">
        <v>0.0</v>
      </c>
      <c r="AM92" s="28">
        <v>1159.0</v>
      </c>
      <c r="AN92" s="28">
        <v>0.0</v>
      </c>
      <c r="AO92" s="28">
        <v>0.0</v>
      </c>
      <c r="AP92" s="28">
        <v>0.0</v>
      </c>
      <c r="AQ92" s="28">
        <v>0.0</v>
      </c>
      <c r="AR92" s="28">
        <v>0.0</v>
      </c>
      <c r="AS92" s="28">
        <v>0.0</v>
      </c>
      <c r="AT92" s="28">
        <v>0.0</v>
      </c>
      <c r="AU92" s="28">
        <v>0.0</v>
      </c>
      <c r="AV92" s="28">
        <v>0.0</v>
      </c>
      <c r="AW92" s="28">
        <v>962908.3504</v>
      </c>
      <c r="AX92" s="28">
        <v>0.0</v>
      </c>
      <c r="AY92" s="28">
        <v>0.0</v>
      </c>
      <c r="AZ92" s="5" t="s">
        <v>124</v>
      </c>
      <c r="BA92" s="5" t="s">
        <v>125</v>
      </c>
      <c r="BB92" s="5" t="s">
        <v>127</v>
      </c>
      <c r="BD92" s="5" t="s">
        <v>68</v>
      </c>
      <c r="BE92" s="5" t="s">
        <v>89</v>
      </c>
      <c r="BF92" s="5" t="s">
        <v>178</v>
      </c>
      <c r="BG92" s="5" t="s">
        <v>91</v>
      </c>
      <c r="BH92" s="5" t="s">
        <v>927</v>
      </c>
    </row>
    <row r="93" ht="16.5" hidden="1" customHeight="1">
      <c r="A93" s="5" t="s">
        <v>100</v>
      </c>
      <c r="B93" s="5" t="s">
        <v>137</v>
      </c>
      <c r="C93" s="5" t="b">
        <v>1</v>
      </c>
      <c r="D93" s="5" t="s">
        <v>407</v>
      </c>
      <c r="E93" s="5" t="s">
        <v>408</v>
      </c>
      <c r="F93" s="5"/>
      <c r="G93" s="5" t="s">
        <v>65</v>
      </c>
      <c r="H93" s="5" t="s">
        <v>76</v>
      </c>
      <c r="I93" s="5" t="s">
        <v>82</v>
      </c>
      <c r="J93" s="25" t="s">
        <v>938</v>
      </c>
      <c r="K93" s="25"/>
      <c r="L93" s="25" t="s">
        <v>156</v>
      </c>
      <c r="M93" s="5" t="s">
        <v>66</v>
      </c>
      <c r="N93" s="5" t="s">
        <v>68</v>
      </c>
      <c r="O93" s="5" t="s">
        <v>69</v>
      </c>
      <c r="P93" s="5" t="s">
        <v>70</v>
      </c>
      <c r="Q93" s="5" t="s">
        <v>89</v>
      </c>
      <c r="R93" s="5" t="s">
        <v>110</v>
      </c>
      <c r="S93" s="5"/>
      <c r="T93" s="5"/>
      <c r="U93" s="5"/>
      <c r="V93" s="5">
        <v>3500.0</v>
      </c>
      <c r="W93" s="26">
        <v>2.1</v>
      </c>
      <c r="X93" s="5">
        <v>1667.0</v>
      </c>
      <c r="Y93" s="27">
        <v>0.2</v>
      </c>
      <c r="Z93" s="28">
        <v>1333.6000000000001</v>
      </c>
      <c r="AA93" s="27">
        <v>1.0</v>
      </c>
      <c r="AB93" s="5" t="s">
        <v>78</v>
      </c>
      <c r="AC93" s="27">
        <v>0.5920000000000001</v>
      </c>
      <c r="AD93" s="5"/>
      <c r="AE93" s="5" t="s">
        <v>80</v>
      </c>
      <c r="AF93" s="5" t="s">
        <v>81</v>
      </c>
      <c r="AG93" s="5">
        <v>0.0</v>
      </c>
      <c r="AH93" s="5">
        <v>2.0</v>
      </c>
      <c r="AI93" s="5" t="s">
        <v>943</v>
      </c>
      <c r="AJ93" s="5" t="s">
        <v>156</v>
      </c>
      <c r="AK93" s="30">
        <v>1500.0</v>
      </c>
      <c r="AL93" s="28">
        <v>520.0</v>
      </c>
      <c r="AM93" s="28">
        <v>1634.0</v>
      </c>
      <c r="AN93" s="28">
        <v>200.0</v>
      </c>
      <c r="AO93" s="28">
        <v>1001.0</v>
      </c>
      <c r="AP93" s="28">
        <v>2500500.0</v>
      </c>
      <c r="AQ93" s="28">
        <v>792381.2</v>
      </c>
      <c r="AR93" s="28">
        <v>1525524.0</v>
      </c>
      <c r="AS93" s="28">
        <v>0.0</v>
      </c>
      <c r="AT93" s="28">
        <v>1525524.0</v>
      </c>
      <c r="AU93" s="28">
        <v>2000400.0000000002</v>
      </c>
      <c r="AV93" s="28">
        <v>297755.16279069765</v>
      </c>
      <c r="AW93" s="28">
        <v>1740432.4000000001</v>
      </c>
      <c r="AX93" s="28">
        <v>111278.4</v>
      </c>
      <c r="AY93" s="28">
        <v>1172840.9000000001</v>
      </c>
      <c r="AZ93" s="5"/>
      <c r="BA93" s="5" t="s">
        <v>125</v>
      </c>
      <c r="BB93" s="5" t="s">
        <v>127</v>
      </c>
      <c r="BC93" s="5" t="s">
        <v>410</v>
      </c>
      <c r="BD93" s="5" t="s">
        <v>68</v>
      </c>
      <c r="BE93" s="5" t="s">
        <v>161</v>
      </c>
      <c r="BF93" s="5" t="s">
        <v>90</v>
      </c>
      <c r="BG93" s="5" t="s">
        <v>91</v>
      </c>
    </row>
    <row r="94" ht="16.5" hidden="1" customHeight="1">
      <c r="A94" s="5" t="s">
        <v>100</v>
      </c>
      <c r="B94" s="5" t="s">
        <v>137</v>
      </c>
      <c r="C94" s="5" t="b">
        <v>1</v>
      </c>
      <c r="D94" s="5" t="s">
        <v>411</v>
      </c>
      <c r="E94" s="5" t="s">
        <v>412</v>
      </c>
      <c r="F94" s="5"/>
      <c r="G94" s="5" t="s">
        <v>65</v>
      </c>
      <c r="H94" s="5" t="s">
        <v>76</v>
      </c>
      <c r="I94" s="5" t="s">
        <v>82</v>
      </c>
      <c r="J94" s="25" t="s">
        <v>938</v>
      </c>
      <c r="K94" s="25"/>
      <c r="L94" s="25" t="s">
        <v>156</v>
      </c>
      <c r="M94" s="5" t="s">
        <v>66</v>
      </c>
      <c r="N94" s="5" t="s">
        <v>68</v>
      </c>
      <c r="O94" s="5" t="s">
        <v>69</v>
      </c>
      <c r="P94" s="5" t="s">
        <v>107</v>
      </c>
      <c r="Q94" s="5" t="s">
        <v>89</v>
      </c>
      <c r="R94" s="5" t="s">
        <v>110</v>
      </c>
      <c r="S94" s="5"/>
      <c r="T94" s="5"/>
      <c r="U94" s="5"/>
      <c r="V94" s="5">
        <v>3500.0</v>
      </c>
      <c r="W94" s="26">
        <v>2.1</v>
      </c>
      <c r="X94" s="5">
        <v>1667.0</v>
      </c>
      <c r="Y94" s="27">
        <v>0.2</v>
      </c>
      <c r="Z94" s="28">
        <v>1333.6000000000001</v>
      </c>
      <c r="AA94" s="27">
        <v>1.0</v>
      </c>
      <c r="AB94" s="5" t="s">
        <v>78</v>
      </c>
      <c r="AC94" s="27">
        <v>0.575</v>
      </c>
      <c r="AD94" s="5"/>
      <c r="AE94" s="5" t="s">
        <v>80</v>
      </c>
      <c r="AF94" s="5" t="s">
        <v>81</v>
      </c>
      <c r="AG94" s="5">
        <v>0.0</v>
      </c>
      <c r="AH94" s="5">
        <v>3.0</v>
      </c>
      <c r="AI94" s="5" t="s">
        <v>950</v>
      </c>
      <c r="AJ94" s="5" t="s">
        <v>156</v>
      </c>
      <c r="AK94" s="30">
        <v>1000.0</v>
      </c>
      <c r="AL94" s="28">
        <v>220.0</v>
      </c>
      <c r="AM94" s="28">
        <v>1000.0</v>
      </c>
      <c r="AN94" s="28">
        <v>100.0</v>
      </c>
      <c r="AO94" s="28">
        <v>1002.0</v>
      </c>
      <c r="AP94" s="28">
        <v>1667000.0</v>
      </c>
      <c r="AQ94" s="28">
        <v>335238.2</v>
      </c>
      <c r="AR94" s="28">
        <v>1527048.0</v>
      </c>
      <c r="AS94" s="28">
        <v>0.0</v>
      </c>
      <c r="AT94" s="28">
        <v>1527048.0</v>
      </c>
      <c r="AU94" s="28">
        <v>1333600.0000000002</v>
      </c>
      <c r="AV94" s="28">
        <v>118654.36279069766</v>
      </c>
      <c r="AW94" s="28">
        <v>1065176.0</v>
      </c>
      <c r="AX94" s="28">
        <v>49547.59999999999</v>
      </c>
      <c r="AY94" s="28">
        <v>1174011.3</v>
      </c>
      <c r="AZ94" s="5"/>
      <c r="BA94" s="5" t="s">
        <v>125</v>
      </c>
      <c r="BB94" s="5" t="s">
        <v>127</v>
      </c>
      <c r="BC94" s="5" t="s">
        <v>410</v>
      </c>
      <c r="BD94" s="5" t="s">
        <v>68</v>
      </c>
      <c r="BE94" s="5" t="s">
        <v>161</v>
      </c>
      <c r="BF94" s="5" t="s">
        <v>90</v>
      </c>
      <c r="BG94" s="5" t="s">
        <v>91</v>
      </c>
    </row>
    <row r="95" ht="16.5" hidden="1" customHeight="1">
      <c r="A95" s="5" t="s">
        <v>100</v>
      </c>
      <c r="B95" s="5" t="s">
        <v>137</v>
      </c>
      <c r="C95" s="5" t="b">
        <v>0</v>
      </c>
      <c r="D95" s="5" t="s">
        <v>415</v>
      </c>
      <c r="E95" s="5" t="s">
        <v>416</v>
      </c>
      <c r="F95" s="5"/>
      <c r="G95" s="5" t="s">
        <v>65</v>
      </c>
      <c r="H95" s="5" t="s">
        <v>74</v>
      </c>
      <c r="I95" s="5" t="s">
        <v>106</v>
      </c>
      <c r="J95" s="25" t="s">
        <v>267</v>
      </c>
      <c r="K95" s="25"/>
      <c r="L95" s="25" t="s">
        <v>156</v>
      </c>
      <c r="M95" s="5" t="s">
        <v>66</v>
      </c>
      <c r="N95" s="5" t="s">
        <v>68</v>
      </c>
      <c r="O95" s="5" t="s">
        <v>141</v>
      </c>
      <c r="P95" s="5" t="s">
        <v>70</v>
      </c>
      <c r="Q95" s="5" t="s">
        <v>180</v>
      </c>
      <c r="R95" s="5" t="s">
        <v>181</v>
      </c>
      <c r="S95" s="5"/>
      <c r="T95" s="5"/>
      <c r="U95" s="5"/>
      <c r="V95" s="5">
        <v>2800.0</v>
      </c>
      <c r="W95" s="26">
        <v>2.1</v>
      </c>
      <c r="X95" s="5">
        <v>1333.0</v>
      </c>
      <c r="Y95" s="27">
        <v>0.0</v>
      </c>
      <c r="Z95" s="28">
        <v>1333.0</v>
      </c>
      <c r="AA95" s="27">
        <v>1.0</v>
      </c>
      <c r="AB95" s="5" t="s">
        <v>117</v>
      </c>
      <c r="AC95" s="27"/>
      <c r="AD95" s="5"/>
      <c r="AE95" s="5" t="s">
        <v>80</v>
      </c>
      <c r="AF95" s="5" t="s">
        <v>81</v>
      </c>
      <c r="AG95" s="5"/>
      <c r="AH95" s="5">
        <v>1.0</v>
      </c>
      <c r="AI95" s="5" t="s">
        <v>419</v>
      </c>
      <c r="AJ95" s="5" t="s">
        <v>156</v>
      </c>
      <c r="AK95" s="30"/>
      <c r="AL95" s="28">
        <v>15.0</v>
      </c>
      <c r="AM95" s="28">
        <v>0.0</v>
      </c>
      <c r="AN95" s="28">
        <v>0.0</v>
      </c>
      <c r="AO95" s="28">
        <v>0.0</v>
      </c>
      <c r="AP95" s="28">
        <v>0.0</v>
      </c>
      <c r="AQ95" s="28">
        <v>17857.2</v>
      </c>
      <c r="AR95" s="28">
        <v>0.0</v>
      </c>
      <c r="AS95" s="28">
        <v>0.0</v>
      </c>
      <c r="AT95" s="28">
        <v>0.0</v>
      </c>
      <c r="AU95" s="28">
        <v>0.0</v>
      </c>
      <c r="AV95" s="28">
        <v>11735.497674418606</v>
      </c>
      <c r="AW95" s="28">
        <v>0.0</v>
      </c>
      <c r="AX95" s="28">
        <v>0.0</v>
      </c>
      <c r="AY95" s="28">
        <v>0.0</v>
      </c>
      <c r="AZ95" s="5" t="s">
        <v>124</v>
      </c>
      <c r="BA95" s="5" t="s">
        <v>125</v>
      </c>
      <c r="BB95" s="5" t="s">
        <v>127</v>
      </c>
      <c r="BD95" s="5" t="s">
        <v>68</v>
      </c>
      <c r="BE95" s="5" t="s">
        <v>128</v>
      </c>
      <c r="BF95" s="5" t="s">
        <v>90</v>
      </c>
      <c r="BG95" s="5" t="s">
        <v>91</v>
      </c>
      <c r="BH95" s="5" t="s">
        <v>959</v>
      </c>
    </row>
    <row r="96" ht="16.5" hidden="1" customHeight="1">
      <c r="A96" s="5" t="s">
        <v>100</v>
      </c>
      <c r="B96" s="5" t="s">
        <v>137</v>
      </c>
      <c r="C96" s="5" t="b">
        <v>0</v>
      </c>
      <c r="D96" s="5" t="s">
        <v>422</v>
      </c>
      <c r="E96" s="5" t="s">
        <v>423</v>
      </c>
      <c r="F96" s="5"/>
      <c r="G96" s="5" t="s">
        <v>65</v>
      </c>
      <c r="H96" s="5" t="s">
        <v>74</v>
      </c>
      <c r="I96" s="5" t="s">
        <v>106</v>
      </c>
      <c r="J96" s="25" t="s">
        <v>267</v>
      </c>
      <c r="K96" s="25"/>
      <c r="L96" s="25" t="s">
        <v>156</v>
      </c>
      <c r="M96" s="5" t="s">
        <v>66</v>
      </c>
      <c r="N96" s="5" t="s">
        <v>68</v>
      </c>
      <c r="O96" s="5" t="s">
        <v>141</v>
      </c>
      <c r="P96" s="5" t="s">
        <v>107</v>
      </c>
      <c r="Q96" s="5" t="s">
        <v>180</v>
      </c>
      <c r="R96" s="5" t="s">
        <v>181</v>
      </c>
      <c r="S96" s="5"/>
      <c r="T96" s="5"/>
      <c r="U96" s="5"/>
      <c r="V96" s="5">
        <v>2800.0</v>
      </c>
      <c r="W96" s="26">
        <v>2.1</v>
      </c>
      <c r="X96" s="5">
        <v>1333.0</v>
      </c>
      <c r="Y96" s="27">
        <v>0.0</v>
      </c>
      <c r="Z96" s="28">
        <v>1333.0</v>
      </c>
      <c r="AA96" s="27">
        <v>1.0</v>
      </c>
      <c r="AB96" s="5" t="s">
        <v>117</v>
      </c>
      <c r="AC96" s="27"/>
      <c r="AD96" s="5"/>
      <c r="AE96" s="5" t="s">
        <v>80</v>
      </c>
      <c r="AF96" s="5" t="s">
        <v>81</v>
      </c>
      <c r="AG96" s="5"/>
      <c r="AH96" s="5">
        <v>1.0</v>
      </c>
      <c r="AI96" s="5" t="s">
        <v>424</v>
      </c>
      <c r="AJ96" s="5" t="s">
        <v>156</v>
      </c>
      <c r="AK96" s="30"/>
      <c r="AL96" s="28">
        <v>15.0</v>
      </c>
      <c r="AM96" s="28">
        <v>0.0</v>
      </c>
      <c r="AN96" s="28">
        <v>0.0</v>
      </c>
      <c r="AO96" s="28">
        <v>0.0</v>
      </c>
      <c r="AP96" s="28">
        <v>0.0</v>
      </c>
      <c r="AQ96" s="28">
        <v>17857.2</v>
      </c>
      <c r="AR96" s="28">
        <v>0.0</v>
      </c>
      <c r="AS96" s="28">
        <v>0.0</v>
      </c>
      <c r="AT96" s="28">
        <v>0.0</v>
      </c>
      <c r="AU96" s="28">
        <v>0.0</v>
      </c>
      <c r="AV96" s="28">
        <v>11735.497674418606</v>
      </c>
      <c r="AW96" s="28">
        <v>0.0</v>
      </c>
      <c r="AX96" s="28">
        <v>0.0</v>
      </c>
      <c r="AY96" s="28">
        <v>0.0</v>
      </c>
      <c r="AZ96" s="5" t="s">
        <v>124</v>
      </c>
      <c r="BA96" s="5" t="s">
        <v>125</v>
      </c>
      <c r="BB96" s="5" t="s">
        <v>127</v>
      </c>
      <c r="BD96" s="5" t="s">
        <v>68</v>
      </c>
      <c r="BE96" s="5" t="s">
        <v>128</v>
      </c>
      <c r="BF96" s="5" t="s">
        <v>90</v>
      </c>
      <c r="BG96" s="5" t="s">
        <v>91</v>
      </c>
      <c r="BH96" s="5" t="s">
        <v>959</v>
      </c>
    </row>
    <row r="97" ht="16.5" hidden="1" customHeight="1">
      <c r="A97" s="5" t="s">
        <v>100</v>
      </c>
      <c r="B97" s="5" t="s">
        <v>137</v>
      </c>
      <c r="C97" s="5" t="b">
        <v>1</v>
      </c>
      <c r="D97" s="5" t="s">
        <v>426</v>
      </c>
      <c r="E97" s="5" t="s">
        <v>427</v>
      </c>
      <c r="F97" s="5"/>
      <c r="G97" s="5" t="s">
        <v>65</v>
      </c>
      <c r="H97" s="5" t="s">
        <v>74</v>
      </c>
      <c r="I97" s="5" t="s">
        <v>82</v>
      </c>
      <c r="J97" s="25"/>
      <c r="K97" s="25"/>
      <c r="L97" s="25"/>
      <c r="M97" s="5" t="s">
        <v>66</v>
      </c>
      <c r="N97" s="5" t="s">
        <v>113</v>
      </c>
      <c r="O97" s="5" t="s">
        <v>69</v>
      </c>
      <c r="P97" s="5" t="s">
        <v>70</v>
      </c>
      <c r="Q97" s="5" t="s">
        <v>180</v>
      </c>
      <c r="R97" s="5" t="s">
        <v>181</v>
      </c>
      <c r="S97" s="5"/>
      <c r="T97" s="5"/>
      <c r="U97" s="5"/>
      <c r="V97" s="5">
        <v>1300.0</v>
      </c>
      <c r="W97" s="26">
        <v>2.1</v>
      </c>
      <c r="X97" s="5">
        <v>619.0</v>
      </c>
      <c r="Y97" s="27">
        <v>0.2</v>
      </c>
      <c r="Z97" s="28">
        <v>495.20000000000005</v>
      </c>
      <c r="AA97" s="27">
        <v>1.0</v>
      </c>
      <c r="AB97" s="5" t="s">
        <v>78</v>
      </c>
      <c r="AC97" s="27">
        <v>0.63</v>
      </c>
      <c r="AD97" s="5"/>
      <c r="AE97" s="5" t="s">
        <v>81</v>
      </c>
      <c r="AF97" s="5" t="s">
        <v>81</v>
      </c>
      <c r="AG97" s="5">
        <v>4.0</v>
      </c>
      <c r="AH97" s="5">
        <v>4.0</v>
      </c>
      <c r="AI97" s="5" t="s">
        <v>0</v>
      </c>
      <c r="AJ97" s="5" t="s">
        <v>0</v>
      </c>
      <c r="AK97" s="30">
        <v>3000.0</v>
      </c>
      <c r="AL97" s="28">
        <v>3024.0</v>
      </c>
      <c r="AM97" s="28">
        <v>2866.0</v>
      </c>
      <c r="AN97" s="28">
        <v>0.0</v>
      </c>
      <c r="AO97" s="28">
        <v>0.0</v>
      </c>
      <c r="AP97" s="28">
        <v>1857000.0</v>
      </c>
      <c r="AQ97" s="28">
        <v>1872007.2</v>
      </c>
      <c r="AR97" s="28">
        <v>0.0</v>
      </c>
      <c r="AS97" s="28">
        <v>0.0</v>
      </c>
      <c r="AT97" s="28">
        <v>0.0</v>
      </c>
      <c r="AU97" s="28">
        <v>1485600.0000000002</v>
      </c>
      <c r="AV97" s="28">
        <v>1482735.1275747512</v>
      </c>
      <c r="AW97" s="28">
        <v>1481432.7521434997</v>
      </c>
      <c r="AX97" s="28">
        <v>0.0</v>
      </c>
      <c r="AY97" s="28">
        <v>0.0</v>
      </c>
      <c r="AZ97" s="5"/>
      <c r="BA97" s="5" t="s">
        <v>86</v>
      </c>
      <c r="BB97" s="5" t="s">
        <v>87</v>
      </c>
      <c r="BC97" s="32" t="s">
        <v>429</v>
      </c>
      <c r="BD97" s="5" t="s">
        <v>126</v>
      </c>
      <c r="BE97" s="5" t="s">
        <v>128</v>
      </c>
      <c r="BF97" s="5" t="s">
        <v>130</v>
      </c>
      <c r="BG97" s="5" t="s">
        <v>131</v>
      </c>
    </row>
    <row r="98" ht="16.5" hidden="1" customHeight="1">
      <c r="A98" s="5" t="s">
        <v>100</v>
      </c>
      <c r="B98" s="35" t="s">
        <v>137</v>
      </c>
      <c r="C98" s="35" t="b">
        <v>1</v>
      </c>
      <c r="D98" s="35" t="s">
        <v>430</v>
      </c>
      <c r="E98" s="35" t="s">
        <v>431</v>
      </c>
      <c r="F98" s="35"/>
      <c r="G98" s="35" t="s">
        <v>65</v>
      </c>
      <c r="H98" s="35" t="s">
        <v>76</v>
      </c>
      <c r="I98" s="35" t="s">
        <v>82</v>
      </c>
      <c r="J98" s="36" t="s">
        <v>150</v>
      </c>
      <c r="K98" s="25"/>
      <c r="L98" s="5"/>
      <c r="M98" s="5" t="s">
        <v>66</v>
      </c>
      <c r="N98" s="5" t="s">
        <v>113</v>
      </c>
      <c r="O98" s="5" t="s">
        <v>96</v>
      </c>
      <c r="P98" s="5" t="s">
        <v>70</v>
      </c>
      <c r="Q98" s="5" t="s">
        <v>180</v>
      </c>
      <c r="R98" s="5" t="s">
        <v>181</v>
      </c>
      <c r="S98" s="5"/>
      <c r="T98" s="5"/>
      <c r="U98" s="5"/>
      <c r="V98" s="5">
        <v>1300.0</v>
      </c>
      <c r="W98" s="26">
        <v>2.1</v>
      </c>
      <c r="X98" s="5">
        <v>619.0</v>
      </c>
      <c r="Y98" s="27">
        <v>0.2</v>
      </c>
      <c r="Z98" s="28">
        <v>495.20000000000005</v>
      </c>
      <c r="AA98" s="27">
        <v>1.0</v>
      </c>
      <c r="AB98" s="5" t="s">
        <v>78</v>
      </c>
      <c r="AC98" s="27"/>
      <c r="AD98" s="5"/>
      <c r="AE98" s="5" t="s">
        <v>81</v>
      </c>
      <c r="AF98" s="5" t="s">
        <v>81</v>
      </c>
      <c r="AG98" s="5"/>
      <c r="AH98" s="5">
        <v>0.0</v>
      </c>
      <c r="AI98" s="5" t="s">
        <v>966</v>
      </c>
      <c r="AJ98" s="5" t="s">
        <v>97</v>
      </c>
      <c r="AK98" s="30">
        <v>1100.0</v>
      </c>
      <c r="AL98" s="5">
        <v>1060.0</v>
      </c>
      <c r="AM98" s="5">
        <v>2200.0</v>
      </c>
      <c r="AN98" s="5">
        <v>0.0</v>
      </c>
      <c r="AO98" s="5">
        <v>0.0</v>
      </c>
      <c r="AP98" s="28">
        <v>680900.0</v>
      </c>
      <c r="AQ98" s="28">
        <v>656192.9999999999</v>
      </c>
      <c r="AR98" s="28">
        <v>0.0</v>
      </c>
      <c r="AS98" s="28">
        <v>0.0</v>
      </c>
      <c r="AT98" s="28">
        <v>0.0</v>
      </c>
      <c r="AU98" s="28">
        <v>544720.0</v>
      </c>
      <c r="AV98" s="28">
        <v>231073.39999999997</v>
      </c>
      <c r="AW98" s="28">
        <v>726460.0</v>
      </c>
      <c r="AX98" s="28">
        <v>0.0</v>
      </c>
      <c r="AY98" s="28">
        <v>0.0</v>
      </c>
      <c r="AZ98" s="5" t="s">
        <v>124</v>
      </c>
      <c r="BA98" s="5" t="s">
        <v>86</v>
      </c>
      <c r="BB98" s="5" t="s">
        <v>87</v>
      </c>
      <c r="BC98" s="32" t="s">
        <v>429</v>
      </c>
      <c r="BD98" s="5" t="s">
        <v>126</v>
      </c>
      <c r="BE98" s="5" t="s">
        <v>128</v>
      </c>
      <c r="BF98" s="5" t="s">
        <v>130</v>
      </c>
      <c r="BG98" s="5" t="s">
        <v>131</v>
      </c>
    </row>
    <row r="99" ht="16.5" hidden="1" customHeight="1">
      <c r="A99" s="5" t="s">
        <v>100</v>
      </c>
      <c r="B99" s="5" t="s">
        <v>137</v>
      </c>
      <c r="C99" s="5" t="b">
        <v>1</v>
      </c>
      <c r="D99" s="5" t="s">
        <v>438</v>
      </c>
      <c r="E99" s="5" t="s">
        <v>439</v>
      </c>
      <c r="F99" s="5"/>
      <c r="G99" s="5" t="s">
        <v>65</v>
      </c>
      <c r="H99" s="5" t="s">
        <v>74</v>
      </c>
      <c r="I99" s="5" t="s">
        <v>82</v>
      </c>
      <c r="J99" s="25"/>
      <c r="K99" s="25"/>
      <c r="L99" s="25"/>
      <c r="M99" s="5" t="s">
        <v>66</v>
      </c>
      <c r="N99" s="5" t="s">
        <v>113</v>
      </c>
      <c r="O99" s="5" t="s">
        <v>69</v>
      </c>
      <c r="P99" s="5" t="s">
        <v>107</v>
      </c>
      <c r="Q99" s="5" t="s">
        <v>180</v>
      </c>
      <c r="R99" s="5" t="s">
        <v>181</v>
      </c>
      <c r="S99" s="5"/>
      <c r="T99" s="5"/>
      <c r="U99" s="5"/>
      <c r="V99" s="5">
        <v>1300.0</v>
      </c>
      <c r="W99" s="26">
        <v>2.1</v>
      </c>
      <c r="X99" s="5">
        <v>619.0</v>
      </c>
      <c r="Y99" s="27">
        <v>0.2</v>
      </c>
      <c r="Z99" s="28">
        <v>495.20000000000005</v>
      </c>
      <c r="AA99" s="27">
        <v>1.0</v>
      </c>
      <c r="AB99" s="5" t="s">
        <v>78</v>
      </c>
      <c r="AC99" s="27">
        <v>0.61</v>
      </c>
      <c r="AD99" s="5"/>
      <c r="AE99" s="5" t="s">
        <v>81</v>
      </c>
      <c r="AF99" s="5" t="s">
        <v>81</v>
      </c>
      <c r="AG99" s="5">
        <v>5.0</v>
      </c>
      <c r="AH99" s="5">
        <v>5.0</v>
      </c>
      <c r="AI99" s="5" t="s">
        <v>0</v>
      </c>
      <c r="AJ99" s="5" t="s">
        <v>0</v>
      </c>
      <c r="AK99" s="30">
        <v>3700.0</v>
      </c>
      <c r="AL99" s="28">
        <v>3665.0</v>
      </c>
      <c r="AM99" s="28">
        <v>3069.0</v>
      </c>
      <c r="AN99" s="28">
        <v>0.0</v>
      </c>
      <c r="AO99" s="28">
        <v>0.0</v>
      </c>
      <c r="AP99" s="28">
        <v>2290300.0</v>
      </c>
      <c r="AQ99" s="28">
        <v>2268818.25</v>
      </c>
      <c r="AR99" s="28">
        <v>0.0</v>
      </c>
      <c r="AS99" s="28">
        <v>0.0</v>
      </c>
      <c r="AT99" s="28">
        <v>0.0</v>
      </c>
      <c r="AU99" s="28">
        <v>1832240.0000000002</v>
      </c>
      <c r="AV99" s="28">
        <v>1607670.429678848</v>
      </c>
      <c r="AW99" s="28">
        <v>1401584.2794116002</v>
      </c>
      <c r="AX99" s="28">
        <v>0.0</v>
      </c>
      <c r="AY99" s="28">
        <v>0.0</v>
      </c>
      <c r="AZ99" s="5"/>
      <c r="BA99" s="5" t="s">
        <v>86</v>
      </c>
      <c r="BB99" s="5" t="s">
        <v>87</v>
      </c>
      <c r="BC99" s="32" t="s">
        <v>429</v>
      </c>
      <c r="BD99" s="5" t="s">
        <v>126</v>
      </c>
      <c r="BE99" s="5" t="s">
        <v>128</v>
      </c>
      <c r="BF99" s="5" t="s">
        <v>130</v>
      </c>
      <c r="BG99" s="5" t="s">
        <v>131</v>
      </c>
    </row>
    <row r="100" ht="16.5" hidden="1" customHeight="1">
      <c r="A100" s="5" t="s">
        <v>100</v>
      </c>
      <c r="B100" s="5" t="s">
        <v>200</v>
      </c>
      <c r="C100" s="5" t="b">
        <v>1</v>
      </c>
      <c r="D100" s="5" t="s">
        <v>440</v>
      </c>
      <c r="E100" s="5" t="s">
        <v>441</v>
      </c>
      <c r="F100" s="5"/>
      <c r="G100" s="5" t="s">
        <v>65</v>
      </c>
      <c r="H100" s="5" t="s">
        <v>74</v>
      </c>
      <c r="I100" s="5" t="s">
        <v>82</v>
      </c>
      <c r="J100" s="25"/>
      <c r="K100" s="25"/>
      <c r="L100" s="25"/>
      <c r="M100" s="5" t="s">
        <v>66</v>
      </c>
      <c r="N100" s="5" t="s">
        <v>113</v>
      </c>
      <c r="O100" s="5" t="s">
        <v>69</v>
      </c>
      <c r="P100" s="5" t="s">
        <v>70</v>
      </c>
      <c r="Q100" s="5" t="s">
        <v>147</v>
      </c>
      <c r="R100" s="5" t="s">
        <v>181</v>
      </c>
      <c r="S100" s="5"/>
      <c r="T100" s="5"/>
      <c r="U100" s="5"/>
      <c r="V100" s="5">
        <v>1000.0</v>
      </c>
      <c r="W100" s="26">
        <v>2.1</v>
      </c>
      <c r="X100" s="5">
        <v>476.0</v>
      </c>
      <c r="Y100" s="27">
        <v>0.2</v>
      </c>
      <c r="Z100" s="28">
        <v>380.8</v>
      </c>
      <c r="AA100" s="27">
        <v>1.0</v>
      </c>
      <c r="AB100" s="5" t="s">
        <v>117</v>
      </c>
      <c r="AC100" s="27">
        <v>0.6</v>
      </c>
      <c r="AD100" s="5"/>
      <c r="AE100" s="5" t="s">
        <v>81</v>
      </c>
      <c r="AF100" s="5" t="s">
        <v>81</v>
      </c>
      <c r="AG100" s="5">
        <v>5.0</v>
      </c>
      <c r="AH100" s="5">
        <v>5.0</v>
      </c>
      <c r="AI100" s="5" t="s">
        <v>0</v>
      </c>
      <c r="AJ100" s="5" t="s">
        <v>0</v>
      </c>
      <c r="AK100" s="30">
        <v>4400.0</v>
      </c>
      <c r="AL100" s="28">
        <v>4433.0</v>
      </c>
      <c r="AM100" s="28">
        <v>4434.0</v>
      </c>
      <c r="AN100" s="28">
        <v>0.0</v>
      </c>
      <c r="AO100" s="28">
        <v>0.0</v>
      </c>
      <c r="AP100" s="28">
        <v>2094400.0</v>
      </c>
      <c r="AQ100" s="28">
        <v>2110950.27</v>
      </c>
      <c r="AR100" s="28">
        <v>0.0</v>
      </c>
      <c r="AS100" s="28">
        <v>0.0</v>
      </c>
      <c r="AT100" s="28">
        <v>0.0</v>
      </c>
      <c r="AU100" s="28">
        <v>1675520.0</v>
      </c>
      <c r="AV100" s="28">
        <v>1556236.7023255809</v>
      </c>
      <c r="AW100" s="28">
        <v>1600944.6048116002</v>
      </c>
      <c r="AX100" s="28">
        <v>0.0</v>
      </c>
      <c r="AY100" s="28">
        <v>0.0</v>
      </c>
      <c r="AZ100" s="5"/>
      <c r="BA100" s="5" t="s">
        <v>86</v>
      </c>
      <c r="BB100" s="5" t="s">
        <v>87</v>
      </c>
      <c r="BC100" s="5" t="s">
        <v>88</v>
      </c>
      <c r="BD100" s="5" t="s">
        <v>126</v>
      </c>
      <c r="BE100" s="5" t="s">
        <v>147</v>
      </c>
      <c r="BF100" s="5" t="s">
        <v>130</v>
      </c>
      <c r="BG100" s="5" t="s">
        <v>131</v>
      </c>
    </row>
    <row r="101" ht="16.5" hidden="1" customHeight="1">
      <c r="A101" s="5" t="s">
        <v>100</v>
      </c>
      <c r="B101" s="5" t="s">
        <v>200</v>
      </c>
      <c r="C101" s="5" t="b">
        <v>1</v>
      </c>
      <c r="D101" s="5" t="s">
        <v>446</v>
      </c>
      <c r="E101" s="5" t="s">
        <v>447</v>
      </c>
      <c r="F101" s="5"/>
      <c r="G101" s="5" t="s">
        <v>65</v>
      </c>
      <c r="H101" s="5" t="s">
        <v>74</v>
      </c>
      <c r="I101" s="5" t="s">
        <v>82</v>
      </c>
      <c r="J101" s="25"/>
      <c r="K101" s="25"/>
      <c r="L101" s="25"/>
      <c r="M101" s="5" t="s">
        <v>66</v>
      </c>
      <c r="N101" s="5" t="s">
        <v>113</v>
      </c>
      <c r="O101" s="5" t="s">
        <v>69</v>
      </c>
      <c r="P101" s="5" t="s">
        <v>107</v>
      </c>
      <c r="Q101" s="5" t="s">
        <v>147</v>
      </c>
      <c r="R101" s="5" t="s">
        <v>181</v>
      </c>
      <c r="S101" s="5"/>
      <c r="T101" s="5"/>
      <c r="U101" s="5"/>
      <c r="V101" s="5">
        <v>1000.0</v>
      </c>
      <c r="W101" s="26">
        <v>2.1</v>
      </c>
      <c r="X101" s="5">
        <v>476.0</v>
      </c>
      <c r="Y101" s="27">
        <v>0.2</v>
      </c>
      <c r="Z101" s="28">
        <v>380.8</v>
      </c>
      <c r="AA101" s="27">
        <v>1.0</v>
      </c>
      <c r="AB101" s="5" t="s">
        <v>117</v>
      </c>
      <c r="AC101" s="27">
        <v>0.62</v>
      </c>
      <c r="AD101" s="5"/>
      <c r="AE101" s="5" t="s">
        <v>81</v>
      </c>
      <c r="AF101" s="5" t="s">
        <v>81</v>
      </c>
      <c r="AG101" s="5">
        <v>5.0</v>
      </c>
      <c r="AH101" s="5">
        <v>5.0</v>
      </c>
      <c r="AI101" s="5" t="s">
        <v>0</v>
      </c>
      <c r="AJ101" s="5" t="s">
        <v>0</v>
      </c>
      <c r="AK101" s="30">
        <v>4100.0</v>
      </c>
      <c r="AL101" s="28">
        <v>4118.0</v>
      </c>
      <c r="AM101" s="28">
        <v>3969.0</v>
      </c>
      <c r="AN101" s="28">
        <v>0.0</v>
      </c>
      <c r="AO101" s="28">
        <v>0.0</v>
      </c>
      <c r="AP101" s="28">
        <v>1951600.0</v>
      </c>
      <c r="AQ101" s="28">
        <v>1960950.42</v>
      </c>
      <c r="AR101" s="28">
        <v>0.0</v>
      </c>
      <c r="AS101" s="28">
        <v>0.0</v>
      </c>
      <c r="AT101" s="28">
        <v>0.0</v>
      </c>
      <c r="AU101" s="28">
        <v>1561280.0</v>
      </c>
      <c r="AV101" s="28">
        <v>1506313.3568106312</v>
      </c>
      <c r="AW101" s="28">
        <v>1440327.2420710996</v>
      </c>
      <c r="AX101" s="28">
        <v>0.0</v>
      </c>
      <c r="AY101" s="28">
        <v>0.0</v>
      </c>
      <c r="AZ101" s="5"/>
      <c r="BA101" s="5" t="s">
        <v>86</v>
      </c>
      <c r="BB101" s="5" t="s">
        <v>87</v>
      </c>
      <c r="BC101" s="5" t="s">
        <v>88</v>
      </c>
      <c r="BD101" s="5" t="s">
        <v>126</v>
      </c>
      <c r="BE101" s="5" t="s">
        <v>147</v>
      </c>
      <c r="BF101" s="5" t="s">
        <v>130</v>
      </c>
      <c r="BG101" s="5" t="s">
        <v>131</v>
      </c>
    </row>
    <row r="102" ht="16.5" hidden="1" customHeight="1">
      <c r="A102" s="5" t="s">
        <v>100</v>
      </c>
      <c r="B102" s="5" t="s">
        <v>137</v>
      </c>
      <c r="C102" s="5" t="b">
        <v>1</v>
      </c>
      <c r="D102" s="5" t="s">
        <v>452</v>
      </c>
      <c r="E102" s="5" t="s">
        <v>453</v>
      </c>
      <c r="F102" s="5"/>
      <c r="G102" s="5" t="s">
        <v>65</v>
      </c>
      <c r="H102" s="5" t="s">
        <v>76</v>
      </c>
      <c r="I102" s="5" t="s">
        <v>82</v>
      </c>
      <c r="J102" s="25" t="s">
        <v>980</v>
      </c>
      <c r="K102" s="25"/>
      <c r="L102" s="25"/>
      <c r="M102" s="5" t="s">
        <v>66</v>
      </c>
      <c r="N102" s="5" t="s">
        <v>270</v>
      </c>
      <c r="O102" s="5" t="s">
        <v>69</v>
      </c>
      <c r="P102" s="5" t="s">
        <v>70</v>
      </c>
      <c r="Q102" s="5" t="s">
        <v>981</v>
      </c>
      <c r="R102" s="5" t="s">
        <v>110</v>
      </c>
      <c r="S102" s="5"/>
      <c r="T102" s="5"/>
      <c r="U102" s="5"/>
      <c r="V102" s="5">
        <v>800.0</v>
      </c>
      <c r="W102" s="26">
        <v>2.1</v>
      </c>
      <c r="X102" s="5">
        <v>381.0</v>
      </c>
      <c r="Y102" s="27">
        <v>0.2</v>
      </c>
      <c r="Z102" s="28">
        <v>304.8</v>
      </c>
      <c r="AA102" s="27">
        <v>1.0</v>
      </c>
      <c r="AB102" s="5" t="s">
        <v>78</v>
      </c>
      <c r="AC102" s="27">
        <v>0.62</v>
      </c>
      <c r="AD102" s="5"/>
      <c r="AE102" s="5" t="s">
        <v>81</v>
      </c>
      <c r="AF102" s="5" t="s">
        <v>81</v>
      </c>
      <c r="AG102" s="5">
        <v>3.0</v>
      </c>
      <c r="AH102" s="5">
        <v>3.0</v>
      </c>
      <c r="AI102" s="5" t="s">
        <v>983</v>
      </c>
      <c r="AJ102" s="5" t="s">
        <v>0</v>
      </c>
      <c r="AK102" s="30">
        <v>1000.0</v>
      </c>
      <c r="AL102" s="28">
        <v>891.0</v>
      </c>
      <c r="AM102" s="28">
        <v>2033.0</v>
      </c>
      <c r="AN102" s="28">
        <v>1358.0</v>
      </c>
      <c r="AO102" s="28">
        <v>1562.0</v>
      </c>
      <c r="AP102" s="28">
        <v>381000.0</v>
      </c>
      <c r="AQ102" s="28">
        <v>339426.45</v>
      </c>
      <c r="AR102" s="28">
        <v>595122.0</v>
      </c>
      <c r="AS102" s="28">
        <v>0.0</v>
      </c>
      <c r="AT102" s="28">
        <v>595122.0</v>
      </c>
      <c r="AU102" s="28">
        <v>304800.0</v>
      </c>
      <c r="AV102" s="28">
        <v>275190.8527131783</v>
      </c>
      <c r="AW102" s="28">
        <v>623171.9783999999</v>
      </c>
      <c r="AX102" s="28">
        <v>390723.7466777409</v>
      </c>
      <c r="AY102" s="28">
        <v>452460.446354</v>
      </c>
      <c r="AZ102" s="5"/>
      <c r="BA102" s="5" t="s">
        <v>125</v>
      </c>
      <c r="BB102" s="5" t="s">
        <v>127</v>
      </c>
      <c r="BC102" s="32" t="s">
        <v>264</v>
      </c>
      <c r="BD102" s="5" t="s">
        <v>276</v>
      </c>
      <c r="BE102" s="5" t="s">
        <v>457</v>
      </c>
      <c r="BF102" s="5" t="s">
        <v>277</v>
      </c>
      <c r="BG102" s="5" t="s">
        <v>131</v>
      </c>
    </row>
    <row r="103" ht="16.5" hidden="1" customHeight="1">
      <c r="A103" s="5" t="s">
        <v>100</v>
      </c>
      <c r="B103" s="5" t="s">
        <v>137</v>
      </c>
      <c r="C103" s="5" t="b">
        <v>1</v>
      </c>
      <c r="D103" s="5" t="s">
        <v>458</v>
      </c>
      <c r="E103" s="5" t="s">
        <v>459</v>
      </c>
      <c r="F103" s="5"/>
      <c r="G103" s="5" t="s">
        <v>65</v>
      </c>
      <c r="H103" s="5" t="s">
        <v>76</v>
      </c>
      <c r="I103" s="5" t="s">
        <v>82</v>
      </c>
      <c r="J103" s="25" t="s">
        <v>980</v>
      </c>
      <c r="K103" s="25"/>
      <c r="L103" s="25"/>
      <c r="M103" s="5" t="s">
        <v>66</v>
      </c>
      <c r="N103" s="5" t="s">
        <v>270</v>
      </c>
      <c r="O103" s="5" t="s">
        <v>69</v>
      </c>
      <c r="P103" s="5" t="s">
        <v>107</v>
      </c>
      <c r="Q103" s="5" t="s">
        <v>981</v>
      </c>
      <c r="R103" s="5" t="s">
        <v>110</v>
      </c>
      <c r="S103" s="5"/>
      <c r="T103" s="5"/>
      <c r="U103" s="5"/>
      <c r="V103" s="5">
        <v>800.0</v>
      </c>
      <c r="W103" s="26">
        <v>2.1</v>
      </c>
      <c r="X103" s="5">
        <v>381.0</v>
      </c>
      <c r="Y103" s="27">
        <v>0.2</v>
      </c>
      <c r="Z103" s="28">
        <v>304.8</v>
      </c>
      <c r="AA103" s="27">
        <v>1.0</v>
      </c>
      <c r="AB103" s="5" t="s">
        <v>78</v>
      </c>
      <c r="AC103" s="27">
        <v>0.65</v>
      </c>
      <c r="AD103" s="5"/>
      <c r="AE103" s="5" t="s">
        <v>81</v>
      </c>
      <c r="AF103" s="5" t="s">
        <v>81</v>
      </c>
      <c r="AG103" s="5">
        <v>2.0</v>
      </c>
      <c r="AH103" s="5">
        <v>2.0</v>
      </c>
      <c r="AI103" s="5" t="s">
        <v>986</v>
      </c>
      <c r="AJ103" s="5" t="s">
        <v>0</v>
      </c>
      <c r="AK103" s="30">
        <v>800.0</v>
      </c>
      <c r="AL103" s="28">
        <v>561.0</v>
      </c>
      <c r="AM103" s="28">
        <v>1402.0</v>
      </c>
      <c r="AN103" s="28">
        <v>828.0</v>
      </c>
      <c r="AO103" s="28">
        <v>1140.0</v>
      </c>
      <c r="AP103" s="28">
        <v>304800.0</v>
      </c>
      <c r="AQ103" s="28">
        <v>213712.95</v>
      </c>
      <c r="AR103" s="28">
        <v>434340.0</v>
      </c>
      <c r="AS103" s="28">
        <v>0.0</v>
      </c>
      <c r="AT103" s="28">
        <v>434340.0</v>
      </c>
      <c r="AU103" s="28">
        <v>243840.0</v>
      </c>
      <c r="AV103" s="28">
        <v>174455.70985603545</v>
      </c>
      <c r="AW103" s="28">
        <v>429780.4085099999</v>
      </c>
      <c r="AX103" s="28">
        <v>234603.6580841639</v>
      </c>
      <c r="AY103" s="28">
        <v>330269.8176700001</v>
      </c>
      <c r="AZ103" s="5"/>
      <c r="BA103" s="5" t="s">
        <v>125</v>
      </c>
      <c r="BB103" s="5" t="s">
        <v>127</v>
      </c>
      <c r="BC103" s="32" t="s">
        <v>264</v>
      </c>
      <c r="BD103" s="5" t="s">
        <v>276</v>
      </c>
      <c r="BE103" s="5" t="s">
        <v>457</v>
      </c>
      <c r="BF103" s="5" t="s">
        <v>277</v>
      </c>
      <c r="BG103" s="5" t="s">
        <v>131</v>
      </c>
    </row>
    <row r="104" ht="16.5" hidden="1" customHeight="1">
      <c r="A104" s="5" t="s">
        <v>100</v>
      </c>
      <c r="B104" s="5" t="s">
        <v>137</v>
      </c>
      <c r="C104" s="5" t="b">
        <v>1</v>
      </c>
      <c r="D104" s="5" t="s">
        <v>462</v>
      </c>
      <c r="E104" s="5" t="s">
        <v>463</v>
      </c>
      <c r="F104" s="5"/>
      <c r="G104" s="5" t="s">
        <v>65</v>
      </c>
      <c r="H104" s="5" t="s">
        <v>76</v>
      </c>
      <c r="I104" s="5" t="s">
        <v>82</v>
      </c>
      <c r="J104" s="25"/>
      <c r="K104" s="25"/>
      <c r="L104" s="25"/>
      <c r="M104" s="5" t="s">
        <v>66</v>
      </c>
      <c r="N104" s="5" t="s">
        <v>270</v>
      </c>
      <c r="O104" s="5" t="s">
        <v>69</v>
      </c>
      <c r="P104" s="5" t="s">
        <v>70</v>
      </c>
      <c r="Q104" s="5" t="s">
        <v>502</v>
      </c>
      <c r="R104" s="5" t="s">
        <v>110</v>
      </c>
      <c r="S104" s="5"/>
      <c r="T104" s="5"/>
      <c r="U104" s="5"/>
      <c r="V104" s="5">
        <v>1000.0</v>
      </c>
      <c r="W104" s="26">
        <v>2.1</v>
      </c>
      <c r="X104" s="5">
        <v>476.0</v>
      </c>
      <c r="Y104" s="27">
        <v>0.2</v>
      </c>
      <c r="Z104" s="28">
        <v>380.8</v>
      </c>
      <c r="AA104" s="27">
        <v>1.0</v>
      </c>
      <c r="AB104" s="5" t="s">
        <v>78</v>
      </c>
      <c r="AC104" s="27">
        <v>0.6</v>
      </c>
      <c r="AD104" s="5"/>
      <c r="AE104" s="5" t="s">
        <v>81</v>
      </c>
      <c r="AF104" s="5" t="s">
        <v>81</v>
      </c>
      <c r="AG104" s="5">
        <v>5.0</v>
      </c>
      <c r="AH104" s="5">
        <v>5.0</v>
      </c>
      <c r="AI104" s="5" t="s">
        <v>990</v>
      </c>
      <c r="AJ104" s="5" t="s">
        <v>0</v>
      </c>
      <c r="AK104" s="30">
        <v>2100.0</v>
      </c>
      <c r="AL104" s="28">
        <v>2085.0</v>
      </c>
      <c r="AM104" s="28">
        <v>2648.0</v>
      </c>
      <c r="AN104" s="28">
        <v>2246.0</v>
      </c>
      <c r="AO104" s="28">
        <v>2456.0</v>
      </c>
      <c r="AP104" s="28">
        <v>999600.0</v>
      </c>
      <c r="AQ104" s="28">
        <v>992856.1500000003</v>
      </c>
      <c r="AR104" s="28">
        <v>1169056.0</v>
      </c>
      <c r="AS104" s="28">
        <v>0.0</v>
      </c>
      <c r="AT104" s="28">
        <v>1169056.0</v>
      </c>
      <c r="AU104" s="28">
        <v>799680.0</v>
      </c>
      <c r="AV104" s="28">
        <v>778478.6733111851</v>
      </c>
      <c r="AW104" s="28">
        <v>987225.7614920003</v>
      </c>
      <c r="AX104" s="28">
        <v>862620.5057585824</v>
      </c>
      <c r="AY104" s="28">
        <v>914647.7273200002</v>
      </c>
      <c r="AZ104" s="5"/>
      <c r="BA104" s="5" t="s">
        <v>125</v>
      </c>
      <c r="BB104" s="5" t="s">
        <v>127</v>
      </c>
      <c r="BC104" s="32" t="s">
        <v>264</v>
      </c>
      <c r="BD104" s="5" t="s">
        <v>276</v>
      </c>
      <c r="BE104" s="5" t="s">
        <v>161</v>
      </c>
      <c r="BF104" s="5" t="s">
        <v>277</v>
      </c>
      <c r="BG104" s="5" t="s">
        <v>131</v>
      </c>
    </row>
    <row r="105" ht="16.5" hidden="1" customHeight="1">
      <c r="A105" s="5" t="s">
        <v>100</v>
      </c>
      <c r="B105" s="5" t="s">
        <v>137</v>
      </c>
      <c r="C105" s="5" t="b">
        <v>1</v>
      </c>
      <c r="D105" s="5" t="s">
        <v>465</v>
      </c>
      <c r="E105" s="5" t="s">
        <v>466</v>
      </c>
      <c r="F105" s="5"/>
      <c r="G105" s="5" t="s">
        <v>65</v>
      </c>
      <c r="H105" s="5" t="s">
        <v>76</v>
      </c>
      <c r="I105" s="5" t="s">
        <v>82</v>
      </c>
      <c r="J105" s="25"/>
      <c r="K105" s="25"/>
      <c r="L105" s="25"/>
      <c r="M105" s="5" t="s">
        <v>66</v>
      </c>
      <c r="N105" s="5" t="s">
        <v>270</v>
      </c>
      <c r="O105" s="5" t="s">
        <v>69</v>
      </c>
      <c r="P105" s="5" t="s">
        <v>107</v>
      </c>
      <c r="Q105" s="5" t="s">
        <v>502</v>
      </c>
      <c r="R105" s="5" t="s">
        <v>110</v>
      </c>
      <c r="S105" s="5"/>
      <c r="T105" s="5"/>
      <c r="U105" s="5"/>
      <c r="V105" s="5">
        <v>1000.0</v>
      </c>
      <c r="W105" s="26">
        <v>2.1</v>
      </c>
      <c r="X105" s="5">
        <v>476.0</v>
      </c>
      <c r="Y105" s="27">
        <v>0.2</v>
      </c>
      <c r="Z105" s="28">
        <v>380.8</v>
      </c>
      <c r="AA105" s="27">
        <v>1.0</v>
      </c>
      <c r="AB105" s="5" t="s">
        <v>78</v>
      </c>
      <c r="AC105" s="27">
        <v>0.63</v>
      </c>
      <c r="AD105" s="5"/>
      <c r="AE105" s="5" t="s">
        <v>81</v>
      </c>
      <c r="AF105" s="5" t="s">
        <v>81</v>
      </c>
      <c r="AG105" s="5">
        <v>5.0</v>
      </c>
      <c r="AH105" s="5">
        <v>5.0</v>
      </c>
      <c r="AI105" s="5" t="s">
        <v>995</v>
      </c>
      <c r="AJ105" s="5" t="s">
        <v>0</v>
      </c>
      <c r="AK105" s="30">
        <v>2200.0</v>
      </c>
      <c r="AL105" s="28">
        <v>2115.0</v>
      </c>
      <c r="AM105" s="28">
        <v>2991.0</v>
      </c>
      <c r="AN105" s="28">
        <v>1447.0</v>
      </c>
      <c r="AO105" s="28">
        <v>1162.0</v>
      </c>
      <c r="AP105" s="28">
        <v>1047200.0</v>
      </c>
      <c r="AQ105" s="28">
        <v>1007141.8500000001</v>
      </c>
      <c r="AR105" s="28">
        <v>553112.0</v>
      </c>
      <c r="AS105" s="28">
        <v>0.0</v>
      </c>
      <c r="AT105" s="28">
        <v>553112.0</v>
      </c>
      <c r="AU105" s="28">
        <v>837760.0</v>
      </c>
      <c r="AV105" s="28">
        <v>804960.3255813953</v>
      </c>
      <c r="AW105" s="28">
        <v>1126366.3280900002</v>
      </c>
      <c r="AX105" s="28">
        <v>541141.753599114</v>
      </c>
      <c r="AY105" s="28">
        <v>415219.2146199998</v>
      </c>
      <c r="AZ105" s="5"/>
      <c r="BA105" s="5" t="s">
        <v>125</v>
      </c>
      <c r="BB105" s="5" t="s">
        <v>127</v>
      </c>
      <c r="BC105" s="32" t="s">
        <v>264</v>
      </c>
      <c r="BD105" s="5" t="s">
        <v>276</v>
      </c>
      <c r="BE105" s="5" t="s">
        <v>161</v>
      </c>
      <c r="BF105" s="5" t="s">
        <v>277</v>
      </c>
      <c r="BG105" s="5" t="s">
        <v>131</v>
      </c>
    </row>
    <row r="106" ht="16.5" hidden="1" customHeight="1">
      <c r="A106" s="5" t="s">
        <v>100</v>
      </c>
      <c r="B106" s="5" t="s">
        <v>137</v>
      </c>
      <c r="C106" s="5" t="b">
        <v>1</v>
      </c>
      <c r="D106" s="5" t="s">
        <v>469</v>
      </c>
      <c r="E106" s="5" t="s">
        <v>470</v>
      </c>
      <c r="F106" s="5"/>
      <c r="G106" s="5" t="s">
        <v>65</v>
      </c>
      <c r="H106" s="5" t="s">
        <v>76</v>
      </c>
      <c r="I106" s="5" t="s">
        <v>82</v>
      </c>
      <c r="J106" s="25"/>
      <c r="K106" s="25"/>
      <c r="L106" s="25"/>
      <c r="M106" s="5" t="s">
        <v>66</v>
      </c>
      <c r="N106" s="5" t="s">
        <v>270</v>
      </c>
      <c r="O106" s="5" t="s">
        <v>69</v>
      </c>
      <c r="P106" s="5" t="s">
        <v>70</v>
      </c>
      <c r="Q106" s="5" t="s">
        <v>526</v>
      </c>
      <c r="R106" s="5" t="s">
        <v>110</v>
      </c>
      <c r="S106" s="5"/>
      <c r="T106" s="5"/>
      <c r="U106" s="5"/>
      <c r="V106" s="5">
        <v>900.0</v>
      </c>
      <c r="W106" s="26">
        <v>2.1</v>
      </c>
      <c r="X106" s="5">
        <v>429.0</v>
      </c>
      <c r="Y106" s="27">
        <v>0.2</v>
      </c>
      <c r="Z106" s="28">
        <v>343.20000000000005</v>
      </c>
      <c r="AA106" s="27">
        <v>1.0</v>
      </c>
      <c r="AB106" s="5" t="s">
        <v>78</v>
      </c>
      <c r="AC106" s="27">
        <v>0.62</v>
      </c>
      <c r="AD106" s="5"/>
      <c r="AE106" s="5" t="s">
        <v>81</v>
      </c>
      <c r="AF106" s="5" t="s">
        <v>81</v>
      </c>
      <c r="AG106" s="5">
        <v>4.0</v>
      </c>
      <c r="AH106" s="5">
        <v>4.0</v>
      </c>
      <c r="AI106" s="5" t="s">
        <v>1009</v>
      </c>
      <c r="AJ106" s="5" t="s">
        <v>0</v>
      </c>
      <c r="AK106" s="30">
        <v>1800.0</v>
      </c>
      <c r="AL106" s="28">
        <v>1469.0</v>
      </c>
      <c r="AM106" s="28">
        <v>2769.0</v>
      </c>
      <c r="AN106" s="28">
        <v>1662.0</v>
      </c>
      <c r="AO106" s="28">
        <v>1422.0</v>
      </c>
      <c r="AP106" s="28">
        <v>772200.0</v>
      </c>
      <c r="AQ106" s="28">
        <v>629569.3300000001</v>
      </c>
      <c r="AR106" s="28">
        <v>610038.0</v>
      </c>
      <c r="AS106" s="28">
        <v>0.0</v>
      </c>
      <c r="AT106" s="28">
        <v>610038.0</v>
      </c>
      <c r="AU106" s="28">
        <v>617760.0000000001</v>
      </c>
      <c r="AV106" s="28">
        <v>531338.2122923587</v>
      </c>
      <c r="AW106" s="28">
        <v>862959.5961249998</v>
      </c>
      <c r="AX106" s="28">
        <v>559335.9400885936</v>
      </c>
      <c r="AY106" s="28">
        <v>486190.11220099987</v>
      </c>
      <c r="AZ106" s="5"/>
      <c r="BA106" s="5" t="s">
        <v>125</v>
      </c>
      <c r="BB106" s="5" t="s">
        <v>127</v>
      </c>
      <c r="BC106" s="32" t="s">
        <v>264</v>
      </c>
      <c r="BD106" s="5" t="s">
        <v>276</v>
      </c>
      <c r="BE106" s="5" t="s">
        <v>89</v>
      </c>
      <c r="BF106" s="5" t="s">
        <v>277</v>
      </c>
      <c r="BG106" s="5" t="s">
        <v>131</v>
      </c>
    </row>
    <row r="107" ht="16.5" hidden="1" customHeight="1">
      <c r="A107" s="5" t="s">
        <v>100</v>
      </c>
      <c r="B107" s="5" t="s">
        <v>137</v>
      </c>
      <c r="C107" s="5" t="b">
        <v>1</v>
      </c>
      <c r="D107" s="5" t="s">
        <v>472</v>
      </c>
      <c r="E107" s="5" t="s">
        <v>473</v>
      </c>
      <c r="F107" s="5"/>
      <c r="G107" s="5" t="s">
        <v>65</v>
      </c>
      <c r="H107" s="5" t="s">
        <v>76</v>
      </c>
      <c r="I107" s="5" t="s">
        <v>82</v>
      </c>
      <c r="J107" s="25"/>
      <c r="K107" s="25"/>
      <c r="L107" s="25"/>
      <c r="M107" s="5" t="s">
        <v>66</v>
      </c>
      <c r="N107" s="5" t="s">
        <v>270</v>
      </c>
      <c r="O107" s="5" t="s">
        <v>69</v>
      </c>
      <c r="P107" s="5" t="s">
        <v>107</v>
      </c>
      <c r="Q107" s="5" t="s">
        <v>526</v>
      </c>
      <c r="R107" s="5" t="s">
        <v>110</v>
      </c>
      <c r="S107" s="5"/>
      <c r="T107" s="5"/>
      <c r="U107" s="5"/>
      <c r="V107" s="5">
        <v>900.0</v>
      </c>
      <c r="W107" s="26">
        <v>2.1</v>
      </c>
      <c r="X107" s="5">
        <v>429.0</v>
      </c>
      <c r="Y107" s="27">
        <v>0.2</v>
      </c>
      <c r="Z107" s="28">
        <v>343.20000000000005</v>
      </c>
      <c r="AA107" s="27">
        <v>1.0</v>
      </c>
      <c r="AB107" s="5" t="s">
        <v>78</v>
      </c>
      <c r="AC107" s="27">
        <v>0.65</v>
      </c>
      <c r="AD107" s="5"/>
      <c r="AE107" s="5" t="s">
        <v>81</v>
      </c>
      <c r="AF107" s="5" t="s">
        <v>81</v>
      </c>
      <c r="AG107" s="5">
        <v>3.0</v>
      </c>
      <c r="AH107" s="5">
        <v>3.0</v>
      </c>
      <c r="AI107" s="5" t="s">
        <v>1014</v>
      </c>
      <c r="AJ107" s="5" t="s">
        <v>0</v>
      </c>
      <c r="AK107" s="30">
        <v>1200.0</v>
      </c>
      <c r="AL107" s="28">
        <v>951.0</v>
      </c>
      <c r="AM107" s="28">
        <v>2566.0</v>
      </c>
      <c r="AN107" s="28">
        <v>1138.0</v>
      </c>
      <c r="AO107" s="28">
        <v>1092.0</v>
      </c>
      <c r="AP107" s="28">
        <v>514800.0</v>
      </c>
      <c r="AQ107" s="28">
        <v>407570.07000000007</v>
      </c>
      <c r="AR107" s="28">
        <v>468468.0</v>
      </c>
      <c r="AS107" s="28">
        <v>0.0</v>
      </c>
      <c r="AT107" s="28">
        <v>468468.0</v>
      </c>
      <c r="AU107" s="28">
        <v>411840.00000000006</v>
      </c>
      <c r="AV107" s="28">
        <v>338651.7217054264</v>
      </c>
      <c r="AW107" s="28">
        <v>810388.5348315001</v>
      </c>
      <c r="AX107" s="28">
        <v>404625.3758582503</v>
      </c>
      <c r="AY107" s="28">
        <v>384093.13945</v>
      </c>
      <c r="AZ107" s="5"/>
      <c r="BA107" s="5" t="s">
        <v>125</v>
      </c>
      <c r="BB107" s="5" t="s">
        <v>127</v>
      </c>
      <c r="BC107" s="32" t="s">
        <v>264</v>
      </c>
      <c r="BD107" s="5" t="s">
        <v>276</v>
      </c>
      <c r="BE107" s="5" t="s">
        <v>89</v>
      </c>
      <c r="BF107" s="5" t="s">
        <v>277</v>
      </c>
      <c r="BG107" s="5" t="s">
        <v>131</v>
      </c>
    </row>
    <row r="108" ht="16.5" hidden="1" customHeight="1">
      <c r="A108" s="5" t="s">
        <v>100</v>
      </c>
      <c r="B108" s="5" t="s">
        <v>137</v>
      </c>
      <c r="C108" s="5" t="b">
        <v>1</v>
      </c>
      <c r="D108" s="5" t="s">
        <v>476</v>
      </c>
      <c r="E108" s="5" t="s">
        <v>477</v>
      </c>
      <c r="F108" s="5"/>
      <c r="G108" s="5" t="s">
        <v>65</v>
      </c>
      <c r="H108" s="5" t="s">
        <v>76</v>
      </c>
      <c r="I108" s="5" t="s">
        <v>82</v>
      </c>
      <c r="J108" s="25"/>
      <c r="K108" s="25"/>
      <c r="L108" s="25"/>
      <c r="M108" s="5" t="s">
        <v>66</v>
      </c>
      <c r="N108" s="5" t="s">
        <v>68</v>
      </c>
      <c r="O108" s="5" t="s">
        <v>69</v>
      </c>
      <c r="P108" s="5" t="s">
        <v>70</v>
      </c>
      <c r="Q108" s="5" t="s">
        <v>180</v>
      </c>
      <c r="R108" s="5" t="s">
        <v>181</v>
      </c>
      <c r="S108" s="5"/>
      <c r="T108" s="5"/>
      <c r="U108" s="5"/>
      <c r="V108" s="5">
        <v>1300.0</v>
      </c>
      <c r="W108" s="26">
        <v>2.1</v>
      </c>
      <c r="X108" s="5">
        <v>619.0</v>
      </c>
      <c r="Y108" s="27">
        <v>0.2</v>
      </c>
      <c r="Z108" s="28">
        <v>495.20000000000005</v>
      </c>
      <c r="AA108" s="27">
        <v>1.0</v>
      </c>
      <c r="AB108" s="5" t="s">
        <v>78</v>
      </c>
      <c r="AC108" s="27">
        <v>0.58</v>
      </c>
      <c r="AD108" s="5"/>
      <c r="AE108" s="5" t="s">
        <v>166</v>
      </c>
      <c r="AF108" s="5" t="s">
        <v>81</v>
      </c>
      <c r="AG108" s="5">
        <v>1.0</v>
      </c>
      <c r="AH108" s="5">
        <v>1.0</v>
      </c>
      <c r="AI108" s="5" t="s">
        <v>885</v>
      </c>
      <c r="AJ108" s="5" t="s">
        <v>0</v>
      </c>
      <c r="AK108" s="30">
        <v>1700.0</v>
      </c>
      <c r="AL108" s="28">
        <v>1660.0</v>
      </c>
      <c r="AM108" s="28">
        <v>1186.0</v>
      </c>
      <c r="AN108" s="28">
        <v>2026.0</v>
      </c>
      <c r="AO108" s="28">
        <v>1612.0</v>
      </c>
      <c r="AP108" s="28">
        <v>1052300.0</v>
      </c>
      <c r="AQ108" s="28">
        <v>1027622.9999999999</v>
      </c>
      <c r="AR108" s="28">
        <v>997828.0</v>
      </c>
      <c r="AS108" s="28">
        <v>0.0</v>
      </c>
      <c r="AT108" s="28">
        <v>997828.0</v>
      </c>
      <c r="AU108" s="28">
        <v>841840.0000000001</v>
      </c>
      <c r="AV108" s="28">
        <v>840074.8474529346</v>
      </c>
      <c r="AW108" s="28">
        <v>521987.0323294</v>
      </c>
      <c r="AX108" s="28">
        <v>1026110.0</v>
      </c>
      <c r="AY108" s="28">
        <v>767191.016784</v>
      </c>
      <c r="AZ108" s="5"/>
      <c r="BA108" s="5" t="s">
        <v>125</v>
      </c>
      <c r="BB108" s="5" t="s">
        <v>127</v>
      </c>
      <c r="BC108" s="5" t="s">
        <v>237</v>
      </c>
      <c r="BD108" s="5" t="s">
        <v>68</v>
      </c>
      <c r="BE108" s="5" t="s">
        <v>128</v>
      </c>
      <c r="BF108" s="5" t="s">
        <v>90</v>
      </c>
      <c r="BG108" s="5" t="s">
        <v>91</v>
      </c>
    </row>
    <row r="109" ht="16.5" hidden="1" customHeight="1">
      <c r="A109" s="5" t="s">
        <v>100</v>
      </c>
      <c r="B109" s="5" t="s">
        <v>137</v>
      </c>
      <c r="C109" s="5" t="b">
        <v>1</v>
      </c>
      <c r="D109" s="5" t="s">
        <v>480</v>
      </c>
      <c r="E109" s="5" t="s">
        <v>482</v>
      </c>
      <c r="F109" s="5"/>
      <c r="G109" s="5" t="s">
        <v>65</v>
      </c>
      <c r="H109" s="5" t="s">
        <v>76</v>
      </c>
      <c r="I109" s="5" t="s">
        <v>82</v>
      </c>
      <c r="J109" s="25"/>
      <c r="K109" s="25"/>
      <c r="L109" s="25"/>
      <c r="M109" s="5" t="s">
        <v>66</v>
      </c>
      <c r="N109" s="5" t="s">
        <v>68</v>
      </c>
      <c r="O109" s="5" t="s">
        <v>69</v>
      </c>
      <c r="P109" s="5" t="s">
        <v>107</v>
      </c>
      <c r="Q109" s="5" t="s">
        <v>180</v>
      </c>
      <c r="R109" s="5" t="s">
        <v>181</v>
      </c>
      <c r="S109" s="5"/>
      <c r="T109" s="5"/>
      <c r="U109" s="5"/>
      <c r="V109" s="5">
        <v>1300.0</v>
      </c>
      <c r="W109" s="26">
        <v>2.1</v>
      </c>
      <c r="X109" s="5">
        <v>619.0</v>
      </c>
      <c r="Y109" s="27">
        <v>0.2</v>
      </c>
      <c r="Z109" s="28">
        <v>495.20000000000005</v>
      </c>
      <c r="AA109" s="27">
        <v>1.0</v>
      </c>
      <c r="AB109" s="5" t="s">
        <v>78</v>
      </c>
      <c r="AC109" s="27">
        <v>0.58</v>
      </c>
      <c r="AD109" s="5"/>
      <c r="AE109" s="5" t="s">
        <v>166</v>
      </c>
      <c r="AF109" s="5" t="s">
        <v>81</v>
      </c>
      <c r="AG109" s="5">
        <v>1.0</v>
      </c>
      <c r="AH109" s="5">
        <v>1.0</v>
      </c>
      <c r="AI109" s="5" t="s">
        <v>885</v>
      </c>
      <c r="AJ109" s="5" t="s">
        <v>0</v>
      </c>
      <c r="AK109" s="52">
        <v>1500.0</v>
      </c>
      <c r="AL109" s="28">
        <v>1462.0</v>
      </c>
      <c r="AM109" s="28">
        <v>908.0</v>
      </c>
      <c r="AN109" s="28">
        <v>1739.0</v>
      </c>
      <c r="AO109" s="28">
        <v>1362.0</v>
      </c>
      <c r="AP109" s="28">
        <v>928500.0</v>
      </c>
      <c r="AQ109" s="28">
        <v>905051.1</v>
      </c>
      <c r="AR109" s="28">
        <v>843078.0</v>
      </c>
      <c r="AS109" s="28">
        <v>0.0</v>
      </c>
      <c r="AT109" s="28">
        <v>843078.0</v>
      </c>
      <c r="AU109" s="28">
        <v>742800.0000000001</v>
      </c>
      <c r="AV109" s="28">
        <v>740282.5487264674</v>
      </c>
      <c r="AW109" s="28">
        <v>405830.9585476</v>
      </c>
      <c r="AX109" s="28">
        <v>876540.0595238095</v>
      </c>
      <c r="AY109" s="28">
        <v>654087.2519639998</v>
      </c>
      <c r="AZ109" s="5"/>
      <c r="BA109" s="5" t="s">
        <v>125</v>
      </c>
      <c r="BB109" s="5" t="s">
        <v>127</v>
      </c>
      <c r="BC109" s="5" t="s">
        <v>237</v>
      </c>
      <c r="BD109" s="5" t="s">
        <v>68</v>
      </c>
      <c r="BE109" s="5" t="s">
        <v>128</v>
      </c>
      <c r="BF109" s="5" t="s">
        <v>90</v>
      </c>
      <c r="BG109" s="5" t="s">
        <v>91</v>
      </c>
    </row>
    <row r="110" ht="16.5" hidden="1" customHeight="1">
      <c r="A110" s="5" t="s">
        <v>100</v>
      </c>
      <c r="B110" s="5" t="s">
        <v>137</v>
      </c>
      <c r="C110" s="5" t="b">
        <v>1</v>
      </c>
      <c r="D110" s="5" t="s">
        <v>483</v>
      </c>
      <c r="E110" s="5" t="s">
        <v>484</v>
      </c>
      <c r="F110" s="5"/>
      <c r="G110" s="5" t="s">
        <v>65</v>
      </c>
      <c r="H110" s="5" t="s">
        <v>76</v>
      </c>
      <c r="I110" s="5" t="s">
        <v>82</v>
      </c>
      <c r="J110" s="25"/>
      <c r="K110" s="25"/>
      <c r="L110" s="25"/>
      <c r="M110" s="5" t="s">
        <v>66</v>
      </c>
      <c r="N110" s="5" t="s">
        <v>68</v>
      </c>
      <c r="O110" s="5" t="s">
        <v>69</v>
      </c>
      <c r="P110" s="5" t="s">
        <v>70</v>
      </c>
      <c r="Q110" s="5" t="s">
        <v>89</v>
      </c>
      <c r="R110" s="5" t="s">
        <v>110</v>
      </c>
      <c r="S110" s="5"/>
      <c r="T110" s="5"/>
      <c r="U110" s="5"/>
      <c r="V110" s="5">
        <v>1800.0</v>
      </c>
      <c r="W110" s="26">
        <v>2.1</v>
      </c>
      <c r="X110" s="5">
        <v>857.0</v>
      </c>
      <c r="Y110" s="27">
        <v>0.2</v>
      </c>
      <c r="Z110" s="28">
        <v>685.6</v>
      </c>
      <c r="AA110" s="27">
        <v>1.0</v>
      </c>
      <c r="AB110" s="5" t="s">
        <v>78</v>
      </c>
      <c r="AC110" s="27">
        <v>0.64</v>
      </c>
      <c r="AD110" s="5"/>
      <c r="AE110" s="5" t="s">
        <v>166</v>
      </c>
      <c r="AF110" s="5" t="s">
        <v>81</v>
      </c>
      <c r="AG110" s="5">
        <v>3.0</v>
      </c>
      <c r="AH110" s="5">
        <v>3.0</v>
      </c>
      <c r="AI110" s="5" t="s">
        <v>1035</v>
      </c>
      <c r="AJ110" s="5" t="s">
        <v>0</v>
      </c>
      <c r="AK110" s="52">
        <v>4600.0</v>
      </c>
      <c r="AL110" s="28">
        <v>4961.0</v>
      </c>
      <c r="AM110" s="28">
        <v>4705.0</v>
      </c>
      <c r="AN110" s="28">
        <v>4119.0</v>
      </c>
      <c r="AO110" s="28">
        <v>3336.0</v>
      </c>
      <c r="AP110" s="28">
        <v>3942200.0</v>
      </c>
      <c r="AQ110" s="28">
        <v>4252271.540000001</v>
      </c>
      <c r="AR110" s="28">
        <v>2858952.0</v>
      </c>
      <c r="AS110" s="28">
        <v>0.0</v>
      </c>
      <c r="AT110" s="28">
        <v>2858952.0</v>
      </c>
      <c r="AU110" s="28">
        <v>3153760.0</v>
      </c>
      <c r="AV110" s="28">
        <v>3064548.866002215</v>
      </c>
      <c r="AW110" s="28">
        <v>2178347.104159</v>
      </c>
      <c r="AX110" s="28">
        <v>2888981.3444075305</v>
      </c>
      <c r="AY110" s="28">
        <v>2126238.32988</v>
      </c>
      <c r="AZ110" s="5"/>
      <c r="BA110" s="5" t="s">
        <v>125</v>
      </c>
      <c r="BB110" s="5" t="s">
        <v>127</v>
      </c>
      <c r="BC110" s="5" t="s">
        <v>237</v>
      </c>
      <c r="BD110" s="5" t="s">
        <v>68</v>
      </c>
      <c r="BE110" s="5" t="s">
        <v>89</v>
      </c>
      <c r="BF110" s="5" t="s">
        <v>90</v>
      </c>
      <c r="BG110" s="5" t="s">
        <v>91</v>
      </c>
    </row>
    <row r="111" ht="16.5" hidden="1" customHeight="1">
      <c r="A111" s="5" t="s">
        <v>100</v>
      </c>
      <c r="B111" s="35" t="s">
        <v>137</v>
      </c>
      <c r="C111" s="35" t="b">
        <v>1</v>
      </c>
      <c r="D111" s="35" t="s">
        <v>1038</v>
      </c>
      <c r="E111" s="35" t="s">
        <v>1039</v>
      </c>
      <c r="F111" s="35"/>
      <c r="G111" s="35" t="s">
        <v>65</v>
      </c>
      <c r="H111" s="35" t="s">
        <v>74</v>
      </c>
      <c r="I111" s="35" t="s">
        <v>82</v>
      </c>
      <c r="J111" s="36" t="s">
        <v>150</v>
      </c>
      <c r="K111" s="25"/>
      <c r="L111" s="5"/>
      <c r="M111" s="5" t="s">
        <v>66</v>
      </c>
      <c r="N111" s="5" t="s">
        <v>68</v>
      </c>
      <c r="O111" s="5" t="s">
        <v>96</v>
      </c>
      <c r="P111" s="5" t="s">
        <v>70</v>
      </c>
      <c r="Q111" s="5" t="s">
        <v>89</v>
      </c>
      <c r="R111" s="5" t="s">
        <v>110</v>
      </c>
      <c r="S111" s="5"/>
      <c r="T111" s="5"/>
      <c r="U111" s="5"/>
      <c r="V111" s="5">
        <v>1800.0</v>
      </c>
      <c r="W111" s="26">
        <v>2.1</v>
      </c>
      <c r="X111" s="5">
        <v>857.0</v>
      </c>
      <c r="Y111" s="27">
        <v>0.2</v>
      </c>
      <c r="Z111" s="28">
        <v>685.6</v>
      </c>
      <c r="AA111" s="27">
        <v>1.0</v>
      </c>
      <c r="AB111" s="5" t="s">
        <v>78</v>
      </c>
      <c r="AC111" s="27"/>
      <c r="AD111" s="5"/>
      <c r="AE111" s="5" t="s">
        <v>166</v>
      </c>
      <c r="AF111" s="5" t="s">
        <v>81</v>
      </c>
      <c r="AG111" s="5"/>
      <c r="AH111" s="5">
        <v>0.0</v>
      </c>
      <c r="AI111" s="5" t="s">
        <v>0</v>
      </c>
      <c r="AJ111" s="5" t="s">
        <v>471</v>
      </c>
      <c r="AK111" s="30">
        <v>0.0</v>
      </c>
      <c r="AL111" s="5">
        <v>0.0</v>
      </c>
      <c r="AM111" s="5">
        <v>0.0</v>
      </c>
      <c r="AN111" s="5">
        <v>0.0</v>
      </c>
      <c r="AO111" s="5">
        <v>0.0</v>
      </c>
      <c r="AP111" s="28">
        <v>0.0</v>
      </c>
      <c r="AQ111" s="28">
        <v>0.0</v>
      </c>
      <c r="AR111" s="28">
        <v>0.0</v>
      </c>
      <c r="AS111" s="28">
        <v>0.0</v>
      </c>
      <c r="AT111" s="28">
        <v>0.0</v>
      </c>
      <c r="AU111" s="28">
        <v>0.0</v>
      </c>
      <c r="AV111" s="28">
        <v>0.0</v>
      </c>
      <c r="AW111" s="28">
        <v>0.0</v>
      </c>
      <c r="AX111" s="28">
        <v>0.0</v>
      </c>
      <c r="AY111" s="28">
        <v>0.0</v>
      </c>
      <c r="AZ111" s="5" t="s">
        <v>124</v>
      </c>
      <c r="BA111" s="5" t="s">
        <v>125</v>
      </c>
      <c r="BB111" s="5" t="s">
        <v>127</v>
      </c>
      <c r="BC111" s="5" t="s">
        <v>237</v>
      </c>
      <c r="BD111" s="5" t="s">
        <v>68</v>
      </c>
      <c r="BE111" s="5" t="s">
        <v>89</v>
      </c>
      <c r="BF111" s="5" t="s">
        <v>90</v>
      </c>
      <c r="BG111" s="5" t="s">
        <v>91</v>
      </c>
    </row>
    <row r="112" ht="16.5" hidden="1" customHeight="1">
      <c r="A112" s="5" t="s">
        <v>100</v>
      </c>
      <c r="B112" s="5" t="s">
        <v>137</v>
      </c>
      <c r="C112" s="5" t="b">
        <v>1</v>
      </c>
      <c r="D112" s="5" t="s">
        <v>486</v>
      </c>
      <c r="E112" s="5" t="s">
        <v>487</v>
      </c>
      <c r="F112" s="5"/>
      <c r="G112" s="5" t="s">
        <v>65</v>
      </c>
      <c r="H112" s="5" t="s">
        <v>76</v>
      </c>
      <c r="I112" s="5" t="s">
        <v>82</v>
      </c>
      <c r="J112" s="25"/>
      <c r="K112" s="25"/>
      <c r="L112" s="25"/>
      <c r="M112" s="5" t="s">
        <v>66</v>
      </c>
      <c r="N112" s="5" t="s">
        <v>68</v>
      </c>
      <c r="O112" s="5" t="s">
        <v>69</v>
      </c>
      <c r="P112" s="5" t="s">
        <v>107</v>
      </c>
      <c r="Q112" s="5" t="s">
        <v>89</v>
      </c>
      <c r="R112" s="5" t="s">
        <v>110</v>
      </c>
      <c r="S112" s="5"/>
      <c r="T112" s="5"/>
      <c r="U112" s="5"/>
      <c r="V112" s="5">
        <v>1800.0</v>
      </c>
      <c r="W112" s="26">
        <v>2.1</v>
      </c>
      <c r="X112" s="5">
        <v>857.0</v>
      </c>
      <c r="Y112" s="27">
        <v>0.2</v>
      </c>
      <c r="Z112" s="28">
        <v>685.6</v>
      </c>
      <c r="AA112" s="27">
        <v>1.0</v>
      </c>
      <c r="AB112" s="5" t="s">
        <v>78</v>
      </c>
      <c r="AC112" s="27">
        <v>0.6559999999999999</v>
      </c>
      <c r="AD112" s="5"/>
      <c r="AE112" s="5" t="s">
        <v>166</v>
      </c>
      <c r="AF112" s="5" t="s">
        <v>81</v>
      </c>
      <c r="AG112" s="5">
        <v>3.0</v>
      </c>
      <c r="AH112" s="5">
        <v>3.0</v>
      </c>
      <c r="AI112" s="5" t="s">
        <v>1035</v>
      </c>
      <c r="AJ112" s="5" t="s">
        <v>0</v>
      </c>
      <c r="AK112" s="30">
        <v>3000.0</v>
      </c>
      <c r="AL112" s="28">
        <v>2846.0</v>
      </c>
      <c r="AM112" s="28">
        <v>2598.0</v>
      </c>
      <c r="AN112" s="28">
        <v>2131.0</v>
      </c>
      <c r="AO112" s="28">
        <v>1353.0</v>
      </c>
      <c r="AP112" s="28">
        <v>2571000.0</v>
      </c>
      <c r="AQ112" s="28">
        <v>2439420.44</v>
      </c>
      <c r="AR112" s="28">
        <v>1159521.0</v>
      </c>
      <c r="AS112" s="28">
        <v>0.0</v>
      </c>
      <c r="AT112" s="28">
        <v>1159521.0</v>
      </c>
      <c r="AU112" s="28">
        <v>2056800.0</v>
      </c>
      <c r="AV112" s="28">
        <v>1753384.6124031008</v>
      </c>
      <c r="AW112" s="28">
        <v>1159200.051376</v>
      </c>
      <c r="AX112" s="28">
        <v>1478195.2159468438</v>
      </c>
      <c r="AY112" s="28">
        <v>933614.57375</v>
      </c>
      <c r="AZ112" s="5"/>
      <c r="BA112" s="5" t="s">
        <v>125</v>
      </c>
      <c r="BB112" s="5" t="s">
        <v>127</v>
      </c>
      <c r="BC112" s="5" t="s">
        <v>237</v>
      </c>
      <c r="BD112" s="5" t="s">
        <v>68</v>
      </c>
      <c r="BE112" s="5" t="s">
        <v>89</v>
      </c>
      <c r="BF112" s="5" t="s">
        <v>90</v>
      </c>
      <c r="BG112" s="5" t="s">
        <v>91</v>
      </c>
    </row>
    <row r="113" ht="16.5" hidden="1" customHeight="1">
      <c r="A113" s="5" t="s">
        <v>100</v>
      </c>
      <c r="B113" s="35" t="s">
        <v>137</v>
      </c>
      <c r="C113" s="35" t="b">
        <v>1</v>
      </c>
      <c r="D113" s="35" t="s">
        <v>1048</v>
      </c>
      <c r="E113" s="35" t="s">
        <v>1049</v>
      </c>
      <c r="F113" s="35"/>
      <c r="G113" s="35" t="s">
        <v>65</v>
      </c>
      <c r="H113" s="35" t="s">
        <v>74</v>
      </c>
      <c r="I113" s="35" t="s">
        <v>82</v>
      </c>
      <c r="J113" s="36" t="s">
        <v>150</v>
      </c>
      <c r="K113" s="25"/>
      <c r="L113" s="5"/>
      <c r="M113" s="5" t="s">
        <v>66</v>
      </c>
      <c r="N113" s="5" t="s">
        <v>68</v>
      </c>
      <c r="O113" s="5" t="s">
        <v>96</v>
      </c>
      <c r="P113" s="5" t="s">
        <v>107</v>
      </c>
      <c r="Q113" s="5" t="s">
        <v>89</v>
      </c>
      <c r="R113" s="5" t="s">
        <v>110</v>
      </c>
      <c r="S113" s="5"/>
      <c r="T113" s="5"/>
      <c r="U113" s="5"/>
      <c r="V113" s="5">
        <v>1800.0</v>
      </c>
      <c r="W113" s="26">
        <v>2.1</v>
      </c>
      <c r="X113" s="5">
        <v>857.0</v>
      </c>
      <c r="Y113" s="27">
        <v>0.2</v>
      </c>
      <c r="Z113" s="28">
        <v>685.6</v>
      </c>
      <c r="AA113" s="27">
        <v>1.0</v>
      </c>
      <c r="AB113" s="5" t="s">
        <v>78</v>
      </c>
      <c r="AC113" s="27"/>
      <c r="AD113" s="5"/>
      <c r="AE113" s="5" t="s">
        <v>166</v>
      </c>
      <c r="AF113" s="5" t="s">
        <v>81</v>
      </c>
      <c r="AG113" s="5"/>
      <c r="AH113" s="5">
        <v>0.0</v>
      </c>
      <c r="AI113" s="5" t="s">
        <v>0</v>
      </c>
      <c r="AJ113" s="5" t="s">
        <v>471</v>
      </c>
      <c r="AK113" s="30">
        <v>0.0</v>
      </c>
      <c r="AL113" s="5">
        <v>0.0</v>
      </c>
      <c r="AM113" s="5">
        <v>0.0</v>
      </c>
      <c r="AN113" s="5">
        <v>0.0</v>
      </c>
      <c r="AO113" s="5">
        <v>0.0</v>
      </c>
      <c r="AP113" s="28">
        <v>0.0</v>
      </c>
      <c r="AQ113" s="28">
        <v>0.0</v>
      </c>
      <c r="AR113" s="28">
        <v>0.0</v>
      </c>
      <c r="AS113" s="28">
        <v>0.0</v>
      </c>
      <c r="AT113" s="28">
        <v>0.0</v>
      </c>
      <c r="AU113" s="28">
        <v>0.0</v>
      </c>
      <c r="AV113" s="28">
        <v>0.0</v>
      </c>
      <c r="AW113" s="28">
        <v>0.0</v>
      </c>
      <c r="AX113" s="28">
        <v>0.0</v>
      </c>
      <c r="AY113" s="28">
        <v>0.0</v>
      </c>
      <c r="AZ113" s="5" t="s">
        <v>124</v>
      </c>
      <c r="BA113" s="5" t="s">
        <v>125</v>
      </c>
      <c r="BB113" s="5" t="s">
        <v>127</v>
      </c>
      <c r="BC113" s="5" t="s">
        <v>237</v>
      </c>
      <c r="BD113" s="5" t="s">
        <v>68</v>
      </c>
      <c r="BE113" s="5" t="s">
        <v>89</v>
      </c>
      <c r="BF113" s="5" t="s">
        <v>90</v>
      </c>
      <c r="BG113" s="5" t="s">
        <v>91</v>
      </c>
    </row>
    <row r="114" ht="16.5" hidden="1" customHeight="1">
      <c r="A114" s="5" t="s">
        <v>100</v>
      </c>
      <c r="B114" s="5" t="s">
        <v>137</v>
      </c>
      <c r="C114" s="5" t="b">
        <v>1</v>
      </c>
      <c r="D114" s="5" t="s">
        <v>490</v>
      </c>
      <c r="E114" s="5" t="s">
        <v>491</v>
      </c>
      <c r="F114" s="5"/>
      <c r="G114" s="5" t="s">
        <v>65</v>
      </c>
      <c r="H114" s="5" t="s">
        <v>76</v>
      </c>
      <c r="I114" s="5" t="s">
        <v>82</v>
      </c>
      <c r="J114" s="25"/>
      <c r="K114" s="25"/>
      <c r="L114" s="25"/>
      <c r="M114" s="5" t="s">
        <v>66</v>
      </c>
      <c r="N114" s="5" t="s">
        <v>126</v>
      </c>
      <c r="O114" s="5" t="s">
        <v>69</v>
      </c>
      <c r="P114" s="5" t="s">
        <v>70</v>
      </c>
      <c r="Q114" s="5" t="s">
        <v>89</v>
      </c>
      <c r="R114" s="5" t="s">
        <v>110</v>
      </c>
      <c r="S114" s="5"/>
      <c r="T114" s="5"/>
      <c r="U114" s="5"/>
      <c r="V114" s="5">
        <v>1800.0</v>
      </c>
      <c r="W114" s="26">
        <v>2.1</v>
      </c>
      <c r="X114" s="5">
        <v>857.0</v>
      </c>
      <c r="Y114" s="27">
        <v>0.2</v>
      </c>
      <c r="Z114" s="28">
        <v>685.6</v>
      </c>
      <c r="AA114" s="27">
        <v>1.0</v>
      </c>
      <c r="AB114" s="5" t="s">
        <v>78</v>
      </c>
      <c r="AC114" s="27">
        <v>0.62</v>
      </c>
      <c r="AD114" s="5"/>
      <c r="AE114" s="5" t="s">
        <v>81</v>
      </c>
      <c r="AF114" s="5" t="s">
        <v>81</v>
      </c>
      <c r="AG114" s="5">
        <v>4.0</v>
      </c>
      <c r="AH114" s="5">
        <v>4.0</v>
      </c>
      <c r="AI114" s="5" t="s">
        <v>1057</v>
      </c>
      <c r="AJ114" s="5" t="s">
        <v>0</v>
      </c>
      <c r="AK114" s="52">
        <v>3600.0</v>
      </c>
      <c r="AL114" s="28">
        <v>3617.0</v>
      </c>
      <c r="AM114" s="28">
        <v>0.0</v>
      </c>
      <c r="AN114" s="28">
        <v>988.0</v>
      </c>
      <c r="AO114" s="28">
        <v>0.0</v>
      </c>
      <c r="AP114" s="28">
        <v>3085200.0</v>
      </c>
      <c r="AQ114" s="28">
        <v>3100275.38</v>
      </c>
      <c r="AR114" s="28">
        <v>0.0</v>
      </c>
      <c r="AS114" s="28">
        <v>0.0</v>
      </c>
      <c r="AT114" s="28">
        <v>0.0</v>
      </c>
      <c r="AU114" s="28">
        <v>2468160.0</v>
      </c>
      <c r="AV114" s="28">
        <v>2331646.75116279</v>
      </c>
      <c r="AW114" s="28">
        <v>0.0</v>
      </c>
      <c r="AX114" s="28">
        <v>754803.1904761905</v>
      </c>
      <c r="AY114" s="28">
        <v>0.0</v>
      </c>
      <c r="AZ114" s="5"/>
      <c r="BA114" s="5" t="s">
        <v>86</v>
      </c>
      <c r="BB114" s="5" t="s">
        <v>87</v>
      </c>
      <c r="BC114" s="5" t="s">
        <v>88</v>
      </c>
      <c r="BD114" s="5" t="s">
        <v>126</v>
      </c>
      <c r="BE114" s="5" t="s">
        <v>161</v>
      </c>
      <c r="BF114" s="5" t="s">
        <v>130</v>
      </c>
      <c r="BG114" s="5" t="s">
        <v>131</v>
      </c>
    </row>
    <row r="115" ht="16.5" hidden="1" customHeight="1">
      <c r="A115" s="5" t="s">
        <v>100</v>
      </c>
      <c r="B115" s="35" t="s">
        <v>137</v>
      </c>
      <c r="C115" s="35" t="b">
        <v>1</v>
      </c>
      <c r="D115" s="35" t="s">
        <v>1060</v>
      </c>
      <c r="E115" s="35" t="s">
        <v>1061</v>
      </c>
      <c r="F115" s="35"/>
      <c r="G115" s="35" t="s">
        <v>65</v>
      </c>
      <c r="H115" s="35" t="s">
        <v>74</v>
      </c>
      <c r="I115" s="35" t="s">
        <v>82</v>
      </c>
      <c r="J115" s="36" t="s">
        <v>150</v>
      </c>
      <c r="K115" s="25"/>
      <c r="L115" s="25"/>
      <c r="M115" s="5" t="s">
        <v>66</v>
      </c>
      <c r="N115" s="5" t="s">
        <v>126</v>
      </c>
      <c r="O115" s="5" t="s">
        <v>96</v>
      </c>
      <c r="P115" s="5" t="s">
        <v>70</v>
      </c>
      <c r="Q115" s="5" t="s">
        <v>89</v>
      </c>
      <c r="R115" s="5" t="s">
        <v>110</v>
      </c>
      <c r="S115" s="5"/>
      <c r="T115" s="5"/>
      <c r="U115" s="5"/>
      <c r="V115" s="5">
        <v>1800.0</v>
      </c>
      <c r="W115" s="26">
        <v>2.1</v>
      </c>
      <c r="X115" s="5">
        <v>857.0</v>
      </c>
      <c r="Y115" s="27">
        <v>0.2</v>
      </c>
      <c r="Z115" s="28">
        <v>685.6</v>
      </c>
      <c r="AA115" s="27">
        <v>1.0</v>
      </c>
      <c r="AB115" s="5" t="s">
        <v>78</v>
      </c>
      <c r="AC115" s="27"/>
      <c r="AD115" s="5"/>
      <c r="AE115" s="5" t="s">
        <v>81</v>
      </c>
      <c r="AF115" s="5" t="s">
        <v>81</v>
      </c>
      <c r="AG115" s="5"/>
      <c r="AH115" s="5">
        <v>0.0</v>
      </c>
      <c r="AI115" s="5" t="s">
        <v>0</v>
      </c>
      <c r="AJ115" s="5" t="s">
        <v>471</v>
      </c>
      <c r="AK115" s="30">
        <v>0.0</v>
      </c>
      <c r="AL115" s="28">
        <v>0.0</v>
      </c>
      <c r="AM115" s="28">
        <v>0.0</v>
      </c>
      <c r="AN115" s="28">
        <v>0.0</v>
      </c>
      <c r="AO115" s="28">
        <v>0.0</v>
      </c>
      <c r="AP115" s="28">
        <v>0.0</v>
      </c>
      <c r="AQ115" s="28">
        <v>0.0</v>
      </c>
      <c r="AR115" s="28">
        <v>0.0</v>
      </c>
      <c r="AS115" s="28">
        <v>0.0</v>
      </c>
      <c r="AT115" s="28">
        <v>0.0</v>
      </c>
      <c r="AU115" s="28">
        <v>0.0</v>
      </c>
      <c r="AV115" s="28">
        <v>0.0</v>
      </c>
      <c r="AW115" s="28">
        <v>0.0</v>
      </c>
      <c r="AX115" s="28">
        <v>0.0</v>
      </c>
      <c r="AY115" s="28">
        <v>0.0</v>
      </c>
      <c r="AZ115" s="5" t="s">
        <v>124</v>
      </c>
      <c r="BA115" s="5" t="s">
        <v>86</v>
      </c>
      <c r="BB115" s="5" t="s">
        <v>87</v>
      </c>
      <c r="BC115" s="5" t="s">
        <v>88</v>
      </c>
      <c r="BD115" s="5" t="s">
        <v>126</v>
      </c>
      <c r="BE115" s="5" t="s">
        <v>161</v>
      </c>
      <c r="BF115" s="5" t="s">
        <v>130</v>
      </c>
      <c r="BG115" s="5" t="s">
        <v>131</v>
      </c>
    </row>
    <row r="116" ht="16.5" hidden="1" customHeight="1">
      <c r="A116" s="5" t="s">
        <v>100</v>
      </c>
      <c r="B116" s="5" t="s">
        <v>137</v>
      </c>
      <c r="C116" s="5" t="b">
        <v>1</v>
      </c>
      <c r="D116" s="5" t="s">
        <v>492</v>
      </c>
      <c r="E116" s="5" t="s">
        <v>493</v>
      </c>
      <c r="F116" s="5"/>
      <c r="G116" s="5" t="s">
        <v>65</v>
      </c>
      <c r="H116" s="5" t="s">
        <v>76</v>
      </c>
      <c r="I116" s="5" t="s">
        <v>82</v>
      </c>
      <c r="J116" s="25"/>
      <c r="K116" s="25"/>
      <c r="L116" s="25"/>
      <c r="M116" s="5" t="s">
        <v>66</v>
      </c>
      <c r="N116" s="5" t="s">
        <v>126</v>
      </c>
      <c r="O116" s="5" t="s">
        <v>69</v>
      </c>
      <c r="P116" s="5" t="s">
        <v>107</v>
      </c>
      <c r="Q116" s="5" t="s">
        <v>89</v>
      </c>
      <c r="R116" s="5" t="s">
        <v>110</v>
      </c>
      <c r="S116" s="5"/>
      <c r="T116" s="5"/>
      <c r="U116" s="5"/>
      <c r="V116" s="5">
        <v>1800.0</v>
      </c>
      <c r="W116" s="26">
        <v>2.1</v>
      </c>
      <c r="X116" s="5">
        <v>857.0</v>
      </c>
      <c r="Y116" s="27">
        <v>0.2</v>
      </c>
      <c r="Z116" s="28">
        <v>685.6</v>
      </c>
      <c r="AA116" s="27">
        <v>1.0</v>
      </c>
      <c r="AB116" s="5" t="s">
        <v>78</v>
      </c>
      <c r="AC116" s="27">
        <v>0.64</v>
      </c>
      <c r="AD116" s="5"/>
      <c r="AE116" s="5" t="s">
        <v>81</v>
      </c>
      <c r="AF116" s="5" t="s">
        <v>81</v>
      </c>
      <c r="AG116" s="5">
        <v>4.0</v>
      </c>
      <c r="AH116" s="5">
        <v>4.0</v>
      </c>
      <c r="AI116" s="5" t="s">
        <v>1057</v>
      </c>
      <c r="AJ116" s="5" t="s">
        <v>0</v>
      </c>
      <c r="AK116" s="52">
        <v>2700.0</v>
      </c>
      <c r="AL116" s="28">
        <v>2743.0</v>
      </c>
      <c r="AM116" s="28">
        <v>0.0</v>
      </c>
      <c r="AN116" s="28">
        <v>797.0</v>
      </c>
      <c r="AO116" s="28">
        <v>0.0</v>
      </c>
      <c r="AP116" s="28">
        <v>2313900.0</v>
      </c>
      <c r="AQ116" s="28">
        <v>2351135.0199999996</v>
      </c>
      <c r="AR116" s="28">
        <v>0.0</v>
      </c>
      <c r="AS116" s="28">
        <v>0.0</v>
      </c>
      <c r="AT116" s="28">
        <v>0.0</v>
      </c>
      <c r="AU116" s="28">
        <v>1851120.0</v>
      </c>
      <c r="AV116" s="28">
        <v>1812936.3130675524</v>
      </c>
      <c r="AW116" s="28">
        <v>0.0</v>
      </c>
      <c r="AX116" s="28">
        <v>607682.7142857143</v>
      </c>
      <c r="AY116" s="28">
        <v>0.0</v>
      </c>
      <c r="AZ116" s="5"/>
      <c r="BA116" s="5" t="s">
        <v>86</v>
      </c>
      <c r="BB116" s="5" t="s">
        <v>87</v>
      </c>
      <c r="BC116" s="5" t="s">
        <v>88</v>
      </c>
      <c r="BD116" s="5" t="s">
        <v>126</v>
      </c>
      <c r="BE116" s="5" t="s">
        <v>161</v>
      </c>
      <c r="BF116" s="5" t="s">
        <v>130</v>
      </c>
      <c r="BG116" s="5" t="s">
        <v>131</v>
      </c>
    </row>
    <row r="117" ht="16.5" hidden="1" customHeight="1">
      <c r="A117" s="5" t="s">
        <v>100</v>
      </c>
      <c r="B117" s="35" t="s">
        <v>137</v>
      </c>
      <c r="C117" s="35" t="b">
        <v>1</v>
      </c>
      <c r="D117" s="35" t="s">
        <v>1069</v>
      </c>
      <c r="E117" s="35" t="s">
        <v>1071</v>
      </c>
      <c r="F117" s="35"/>
      <c r="G117" s="35" t="s">
        <v>65</v>
      </c>
      <c r="H117" s="35" t="s">
        <v>74</v>
      </c>
      <c r="I117" s="35" t="s">
        <v>82</v>
      </c>
      <c r="J117" s="36" t="s">
        <v>150</v>
      </c>
      <c r="K117" s="25"/>
      <c r="L117" s="25"/>
      <c r="M117" s="5" t="s">
        <v>66</v>
      </c>
      <c r="N117" s="5" t="s">
        <v>126</v>
      </c>
      <c r="O117" s="5" t="s">
        <v>96</v>
      </c>
      <c r="P117" s="5" t="s">
        <v>107</v>
      </c>
      <c r="Q117" s="5" t="s">
        <v>89</v>
      </c>
      <c r="R117" s="5" t="s">
        <v>110</v>
      </c>
      <c r="S117" s="5"/>
      <c r="T117" s="5"/>
      <c r="U117" s="5"/>
      <c r="V117" s="5">
        <v>1800.0</v>
      </c>
      <c r="W117" s="26">
        <v>2.1</v>
      </c>
      <c r="X117" s="5">
        <v>857.0</v>
      </c>
      <c r="Y117" s="27">
        <v>0.2</v>
      </c>
      <c r="Z117" s="28">
        <v>685.6</v>
      </c>
      <c r="AA117" s="27">
        <v>1.0</v>
      </c>
      <c r="AB117" s="5" t="s">
        <v>78</v>
      </c>
      <c r="AC117" s="27"/>
      <c r="AD117" s="5"/>
      <c r="AE117" s="5" t="s">
        <v>81</v>
      </c>
      <c r="AF117" s="5" t="s">
        <v>81</v>
      </c>
      <c r="AG117" s="5"/>
      <c r="AH117" s="5">
        <v>0.0</v>
      </c>
      <c r="AI117" s="5" t="s">
        <v>0</v>
      </c>
      <c r="AJ117" s="5" t="s">
        <v>471</v>
      </c>
      <c r="AK117" s="30">
        <v>0.0</v>
      </c>
      <c r="AL117" s="28">
        <v>0.0</v>
      </c>
      <c r="AM117" s="28">
        <v>0.0</v>
      </c>
      <c r="AN117" s="28">
        <v>0.0</v>
      </c>
      <c r="AO117" s="28">
        <v>0.0</v>
      </c>
      <c r="AP117" s="28">
        <v>0.0</v>
      </c>
      <c r="AQ117" s="28">
        <v>0.0</v>
      </c>
      <c r="AR117" s="28">
        <v>0.0</v>
      </c>
      <c r="AS117" s="28">
        <v>0.0</v>
      </c>
      <c r="AT117" s="28">
        <v>0.0</v>
      </c>
      <c r="AU117" s="28">
        <v>0.0</v>
      </c>
      <c r="AV117" s="28">
        <v>0.0</v>
      </c>
      <c r="AW117" s="28">
        <v>0.0</v>
      </c>
      <c r="AX117" s="28">
        <v>0.0</v>
      </c>
      <c r="AY117" s="28">
        <v>0.0</v>
      </c>
      <c r="AZ117" s="5" t="s">
        <v>124</v>
      </c>
      <c r="BA117" s="5" t="s">
        <v>86</v>
      </c>
      <c r="BB117" s="5" t="s">
        <v>87</v>
      </c>
      <c r="BC117" s="5" t="s">
        <v>88</v>
      </c>
      <c r="BD117" s="5" t="s">
        <v>126</v>
      </c>
      <c r="BE117" s="5" t="s">
        <v>161</v>
      </c>
      <c r="BF117" s="5" t="s">
        <v>130</v>
      </c>
      <c r="BG117" s="5" t="s">
        <v>131</v>
      </c>
    </row>
    <row r="118" ht="16.5" hidden="1" customHeight="1">
      <c r="A118" s="5" t="s">
        <v>100</v>
      </c>
      <c r="B118" s="5" t="s">
        <v>137</v>
      </c>
      <c r="C118" s="5" t="b">
        <v>1</v>
      </c>
      <c r="D118" s="5" t="s">
        <v>498</v>
      </c>
      <c r="E118" s="5" t="s">
        <v>499</v>
      </c>
      <c r="F118" s="5"/>
      <c r="G118" s="5" t="s">
        <v>65</v>
      </c>
      <c r="H118" s="5" t="s">
        <v>76</v>
      </c>
      <c r="I118" s="5" t="s">
        <v>82</v>
      </c>
      <c r="J118" s="25"/>
      <c r="K118" s="25"/>
      <c r="L118" s="25"/>
      <c r="M118" s="5" t="s">
        <v>66</v>
      </c>
      <c r="N118" s="5" t="s">
        <v>126</v>
      </c>
      <c r="O118" s="5" t="s">
        <v>69</v>
      </c>
      <c r="P118" s="5" t="s">
        <v>70</v>
      </c>
      <c r="Q118" s="5" t="s">
        <v>180</v>
      </c>
      <c r="R118" s="5" t="s">
        <v>181</v>
      </c>
      <c r="S118" s="5"/>
      <c r="T118" s="5"/>
      <c r="U118" s="5"/>
      <c r="V118" s="5">
        <v>1400.0</v>
      </c>
      <c r="W118" s="26">
        <v>2.1</v>
      </c>
      <c r="X118" s="5">
        <v>667.0</v>
      </c>
      <c r="Y118" s="27">
        <v>0.2</v>
      </c>
      <c r="Z118" s="28">
        <v>533.6</v>
      </c>
      <c r="AA118" s="27">
        <v>1.0</v>
      </c>
      <c r="AB118" s="5" t="s">
        <v>78</v>
      </c>
      <c r="AC118" s="27">
        <v>0.65</v>
      </c>
      <c r="AD118" s="5"/>
      <c r="AE118" s="5" t="s">
        <v>81</v>
      </c>
      <c r="AF118" s="5" t="s">
        <v>81</v>
      </c>
      <c r="AG118" s="5">
        <v>2.0</v>
      </c>
      <c r="AH118" s="5">
        <v>2.0</v>
      </c>
      <c r="AI118" s="5" t="s">
        <v>1057</v>
      </c>
      <c r="AJ118" s="5" t="s">
        <v>0</v>
      </c>
      <c r="AK118" s="30">
        <v>2500.0</v>
      </c>
      <c r="AL118" s="28">
        <v>2527.0</v>
      </c>
      <c r="AM118" s="28">
        <v>0.0</v>
      </c>
      <c r="AN118" s="28">
        <v>869.0</v>
      </c>
      <c r="AO118" s="28">
        <v>0.0</v>
      </c>
      <c r="AP118" s="28">
        <v>1667500.0</v>
      </c>
      <c r="AQ118" s="28">
        <v>1684675.0899999999</v>
      </c>
      <c r="AR118" s="28">
        <v>0.0</v>
      </c>
      <c r="AS118" s="28">
        <v>0.0</v>
      </c>
      <c r="AT118" s="28">
        <v>0.0</v>
      </c>
      <c r="AU118" s="28">
        <v>1334000.0</v>
      </c>
      <c r="AV118" s="28">
        <v>1253803.4589147288</v>
      </c>
      <c r="AW118" s="28">
        <v>0.0</v>
      </c>
      <c r="AX118" s="28">
        <v>481106.33333333326</v>
      </c>
      <c r="AY118" s="28">
        <v>0.0</v>
      </c>
      <c r="AZ118" s="5"/>
      <c r="BA118" s="5" t="s">
        <v>86</v>
      </c>
      <c r="BB118" s="5" t="s">
        <v>87</v>
      </c>
      <c r="BC118" s="32" t="s">
        <v>379</v>
      </c>
      <c r="BD118" s="5" t="s">
        <v>126</v>
      </c>
      <c r="BE118" s="5" t="s">
        <v>128</v>
      </c>
      <c r="BF118" s="5" t="s">
        <v>130</v>
      </c>
      <c r="BG118" s="5" t="s">
        <v>131</v>
      </c>
    </row>
    <row r="119" ht="16.5" hidden="1" customHeight="1">
      <c r="A119" s="5" t="s">
        <v>100</v>
      </c>
      <c r="B119" s="5" t="s">
        <v>137</v>
      </c>
      <c r="C119" s="5" t="b">
        <v>1</v>
      </c>
      <c r="D119" s="5" t="s">
        <v>505</v>
      </c>
      <c r="E119" s="5" t="s">
        <v>506</v>
      </c>
      <c r="F119" s="5"/>
      <c r="G119" s="5" t="s">
        <v>65</v>
      </c>
      <c r="H119" s="5" t="s">
        <v>76</v>
      </c>
      <c r="I119" s="5" t="s">
        <v>82</v>
      </c>
      <c r="J119" s="25"/>
      <c r="K119" s="25"/>
      <c r="L119" s="25"/>
      <c r="M119" s="5" t="s">
        <v>66</v>
      </c>
      <c r="N119" s="5" t="s">
        <v>126</v>
      </c>
      <c r="O119" s="5" t="s">
        <v>69</v>
      </c>
      <c r="P119" s="5" t="s">
        <v>107</v>
      </c>
      <c r="Q119" s="5" t="s">
        <v>180</v>
      </c>
      <c r="R119" s="5" t="s">
        <v>181</v>
      </c>
      <c r="S119" s="5"/>
      <c r="T119" s="5"/>
      <c r="U119" s="5"/>
      <c r="V119" s="5">
        <v>1400.0</v>
      </c>
      <c r="W119" s="26">
        <v>2.1</v>
      </c>
      <c r="X119" s="5">
        <v>667.0</v>
      </c>
      <c r="Y119" s="27">
        <v>0.2</v>
      </c>
      <c r="Z119" s="28">
        <v>533.6</v>
      </c>
      <c r="AA119" s="27">
        <v>1.0</v>
      </c>
      <c r="AB119" s="5" t="s">
        <v>78</v>
      </c>
      <c r="AC119" s="27">
        <v>0.65</v>
      </c>
      <c r="AD119" s="5"/>
      <c r="AE119" s="5" t="s">
        <v>81</v>
      </c>
      <c r="AF119" s="5" t="s">
        <v>81</v>
      </c>
      <c r="AG119" s="5">
        <v>2.0</v>
      </c>
      <c r="AH119" s="5">
        <v>2.0</v>
      </c>
      <c r="AI119" s="5" t="s">
        <v>1057</v>
      </c>
      <c r="AJ119" s="5" t="s">
        <v>0</v>
      </c>
      <c r="AK119" s="30">
        <v>1900.0</v>
      </c>
      <c r="AL119" s="28">
        <v>1865.0</v>
      </c>
      <c r="AM119" s="28">
        <v>0.0</v>
      </c>
      <c r="AN119" s="28">
        <v>687.0</v>
      </c>
      <c r="AO119" s="28">
        <v>0.0</v>
      </c>
      <c r="AP119" s="28">
        <v>1267300.0</v>
      </c>
      <c r="AQ119" s="28">
        <v>1243339.5499999998</v>
      </c>
      <c r="AR119" s="28">
        <v>0.0</v>
      </c>
      <c r="AS119" s="28">
        <v>0.0</v>
      </c>
      <c r="AT119" s="28">
        <v>0.0</v>
      </c>
      <c r="AU119" s="28">
        <v>1013840.0</v>
      </c>
      <c r="AV119" s="28">
        <v>942584.7581395346</v>
      </c>
      <c r="AW119" s="28">
        <v>0.0</v>
      </c>
      <c r="AX119" s="28">
        <v>382424.1904761905</v>
      </c>
      <c r="AY119" s="28">
        <v>0.0</v>
      </c>
      <c r="AZ119" s="5"/>
      <c r="BA119" s="5" t="s">
        <v>86</v>
      </c>
      <c r="BB119" s="5" t="s">
        <v>87</v>
      </c>
      <c r="BC119" s="32" t="s">
        <v>379</v>
      </c>
      <c r="BD119" s="5" t="s">
        <v>126</v>
      </c>
      <c r="BE119" s="5" t="s">
        <v>128</v>
      </c>
      <c r="BF119" s="5" t="s">
        <v>130</v>
      </c>
      <c r="BG119" s="5" t="s">
        <v>131</v>
      </c>
    </row>
    <row r="120" ht="16.5" hidden="1" customHeight="1">
      <c r="A120" s="5" t="s">
        <v>100</v>
      </c>
      <c r="B120" s="5" t="s">
        <v>137</v>
      </c>
      <c r="C120" s="5" t="b">
        <v>0</v>
      </c>
      <c r="D120" s="5" t="s">
        <v>508</v>
      </c>
      <c r="E120" s="5" t="s">
        <v>509</v>
      </c>
      <c r="F120" s="5"/>
      <c r="G120" s="5" t="s">
        <v>65</v>
      </c>
      <c r="H120" s="5" t="s">
        <v>76</v>
      </c>
      <c r="I120" s="5" t="s">
        <v>106</v>
      </c>
      <c r="J120" s="25" t="s">
        <v>1083</v>
      </c>
      <c r="K120" s="25"/>
      <c r="L120" s="25"/>
      <c r="M120" s="5" t="s">
        <v>109</v>
      </c>
      <c r="N120" s="5" t="s">
        <v>68</v>
      </c>
      <c r="O120" s="5" t="s">
        <v>69</v>
      </c>
      <c r="P120" s="5" t="s">
        <v>70</v>
      </c>
      <c r="Q120" s="5" t="s">
        <v>89</v>
      </c>
      <c r="R120" s="5" t="s">
        <v>110</v>
      </c>
      <c r="S120" s="5"/>
      <c r="T120" s="5"/>
      <c r="U120" s="5"/>
      <c r="V120" s="5">
        <v>3000.0</v>
      </c>
      <c r="W120" s="26">
        <v>2.1</v>
      </c>
      <c r="X120" s="5">
        <v>1429.0</v>
      </c>
      <c r="Y120" s="27">
        <v>0.0</v>
      </c>
      <c r="Z120" s="28">
        <v>1429.0</v>
      </c>
      <c r="AA120" s="27">
        <v>1.0</v>
      </c>
      <c r="AB120" s="5" t="s">
        <v>117</v>
      </c>
      <c r="AC120" s="27"/>
      <c r="AD120" s="5"/>
      <c r="AE120" s="5" t="s">
        <v>23</v>
      </c>
      <c r="AF120" s="5" t="s">
        <v>81</v>
      </c>
      <c r="AG120" s="5"/>
      <c r="AH120" s="5">
        <v>3.0</v>
      </c>
      <c r="AI120" s="5" t="s">
        <v>1087</v>
      </c>
      <c r="AJ120" s="5" t="s">
        <v>0</v>
      </c>
      <c r="AK120" s="30"/>
      <c r="AL120" s="28">
        <v>2237.0</v>
      </c>
      <c r="AM120" s="28">
        <v>2563.0</v>
      </c>
      <c r="AN120" s="28">
        <v>1310.0</v>
      </c>
      <c r="AO120" s="28">
        <v>1070.0</v>
      </c>
      <c r="AP120" s="28">
        <v>0.0</v>
      </c>
      <c r="AQ120" s="28">
        <v>3195711.0900000003</v>
      </c>
      <c r="AR120" s="28">
        <v>1529030.0</v>
      </c>
      <c r="AS120" s="28">
        <v>0.0</v>
      </c>
      <c r="AT120" s="28">
        <v>1529030.0</v>
      </c>
      <c r="AU120" s="28">
        <v>0.0</v>
      </c>
      <c r="AV120" s="28">
        <v>2435038.783499447</v>
      </c>
      <c r="AW120" s="28">
        <v>2996908.604905899</v>
      </c>
      <c r="AX120" s="28">
        <v>1426166.234772979</v>
      </c>
      <c r="AY120" s="28">
        <v>1197069.8487989998</v>
      </c>
      <c r="AZ120" s="5" t="s">
        <v>124</v>
      </c>
      <c r="BA120" s="5" t="s">
        <v>86</v>
      </c>
      <c r="BB120" s="5" t="s">
        <v>512</v>
      </c>
      <c r="BC120" s="32" t="s">
        <v>379</v>
      </c>
      <c r="BD120" s="5" t="s">
        <v>68</v>
      </c>
      <c r="BE120" s="5" t="s">
        <v>89</v>
      </c>
      <c r="BF120" s="5" t="s">
        <v>178</v>
      </c>
      <c r="BG120" s="5" t="s">
        <v>91</v>
      </c>
    </row>
    <row r="121" ht="16.5" hidden="1" customHeight="1">
      <c r="A121" s="5" t="s">
        <v>100</v>
      </c>
      <c r="B121" s="5" t="s">
        <v>137</v>
      </c>
      <c r="C121" s="5" t="b">
        <v>0</v>
      </c>
      <c r="D121" s="5" t="s">
        <v>515</v>
      </c>
      <c r="E121" s="5" t="s">
        <v>516</v>
      </c>
      <c r="F121" s="5"/>
      <c r="G121" s="5" t="s">
        <v>65</v>
      </c>
      <c r="H121" s="5" t="s">
        <v>76</v>
      </c>
      <c r="I121" s="5" t="s">
        <v>106</v>
      </c>
      <c r="J121" s="25" t="s">
        <v>1083</v>
      </c>
      <c r="K121" s="25"/>
      <c r="L121" s="25"/>
      <c r="M121" s="5" t="s">
        <v>109</v>
      </c>
      <c r="N121" s="5" t="s">
        <v>68</v>
      </c>
      <c r="O121" s="5" t="s">
        <v>69</v>
      </c>
      <c r="P121" s="5" t="s">
        <v>107</v>
      </c>
      <c r="Q121" s="5" t="s">
        <v>89</v>
      </c>
      <c r="R121" s="5" t="s">
        <v>110</v>
      </c>
      <c r="S121" s="5"/>
      <c r="T121" s="5"/>
      <c r="U121" s="5"/>
      <c r="V121" s="5">
        <v>3000.0</v>
      </c>
      <c r="W121" s="26">
        <v>2.1</v>
      </c>
      <c r="X121" s="5">
        <v>1429.0</v>
      </c>
      <c r="Y121" s="27">
        <v>0.0</v>
      </c>
      <c r="Z121" s="28">
        <v>1429.0</v>
      </c>
      <c r="AA121" s="27">
        <v>1.0</v>
      </c>
      <c r="AB121" s="5" t="s">
        <v>117</v>
      </c>
      <c r="AC121" s="27"/>
      <c r="AD121" s="5"/>
      <c r="AE121" s="5" t="s">
        <v>23</v>
      </c>
      <c r="AF121" s="5" t="s">
        <v>81</v>
      </c>
      <c r="AG121" s="5"/>
      <c r="AH121" s="5">
        <v>4.0</v>
      </c>
      <c r="AI121" s="5" t="s">
        <v>1087</v>
      </c>
      <c r="AJ121" s="5" t="s">
        <v>0</v>
      </c>
      <c r="AK121" s="30"/>
      <c r="AL121" s="28">
        <v>1750.0</v>
      </c>
      <c r="AM121" s="28">
        <v>1709.0</v>
      </c>
      <c r="AN121" s="28">
        <v>1231.0</v>
      </c>
      <c r="AO121" s="28">
        <v>1006.0</v>
      </c>
      <c r="AP121" s="28">
        <v>0.0</v>
      </c>
      <c r="AQ121" s="28">
        <v>2499997.5000000005</v>
      </c>
      <c r="AR121" s="28">
        <v>1437574.0</v>
      </c>
      <c r="AS121" s="28">
        <v>0.0</v>
      </c>
      <c r="AT121" s="28">
        <v>1437574.0</v>
      </c>
      <c r="AU121" s="28">
        <v>0.0</v>
      </c>
      <c r="AV121" s="28">
        <v>1935111.8449612402</v>
      </c>
      <c r="AW121" s="28">
        <v>2023985.3991428998</v>
      </c>
      <c r="AX121" s="28">
        <v>1364638.1789590253</v>
      </c>
      <c r="AY121" s="28">
        <v>1121741.8091019997</v>
      </c>
      <c r="AZ121" s="5" t="s">
        <v>124</v>
      </c>
      <c r="BA121" s="5" t="s">
        <v>86</v>
      </c>
      <c r="BB121" s="5" t="s">
        <v>512</v>
      </c>
      <c r="BC121" s="32" t="s">
        <v>379</v>
      </c>
      <c r="BD121" s="5" t="s">
        <v>68</v>
      </c>
      <c r="BE121" s="5" t="s">
        <v>89</v>
      </c>
      <c r="BF121" s="5" t="s">
        <v>178</v>
      </c>
      <c r="BG121" s="5" t="s">
        <v>91</v>
      </c>
    </row>
    <row r="122" ht="16.5" hidden="1" customHeight="1">
      <c r="A122" s="5" t="s">
        <v>100</v>
      </c>
      <c r="B122" s="5" t="s">
        <v>137</v>
      </c>
      <c r="C122" s="5" t="b">
        <v>0</v>
      </c>
      <c r="D122" s="5" t="s">
        <v>519</v>
      </c>
      <c r="E122" s="5" t="s">
        <v>520</v>
      </c>
      <c r="F122" s="5"/>
      <c r="G122" s="5" t="s">
        <v>65</v>
      </c>
      <c r="H122" s="5" t="s">
        <v>76</v>
      </c>
      <c r="I122" s="5" t="s">
        <v>106</v>
      </c>
      <c r="J122" s="25" t="s">
        <v>1083</v>
      </c>
      <c r="K122" s="25"/>
      <c r="L122" s="25"/>
      <c r="M122" s="5" t="s">
        <v>109</v>
      </c>
      <c r="N122" s="5" t="s">
        <v>68</v>
      </c>
      <c r="O122" s="5" t="s">
        <v>69</v>
      </c>
      <c r="P122" s="5" t="s">
        <v>70</v>
      </c>
      <c r="Q122" s="5" t="s">
        <v>180</v>
      </c>
      <c r="R122" s="5" t="s">
        <v>181</v>
      </c>
      <c r="S122" s="5"/>
      <c r="T122" s="5"/>
      <c r="U122" s="5"/>
      <c r="V122" s="5">
        <v>1700.0</v>
      </c>
      <c r="W122" s="26">
        <v>2.1</v>
      </c>
      <c r="X122" s="5">
        <v>810.0</v>
      </c>
      <c r="Y122" s="27">
        <v>0.0</v>
      </c>
      <c r="Z122" s="28">
        <v>810.0</v>
      </c>
      <c r="AA122" s="27">
        <v>1.0</v>
      </c>
      <c r="AB122" s="5" t="s">
        <v>117</v>
      </c>
      <c r="AC122" s="27"/>
      <c r="AD122" s="5"/>
      <c r="AE122" s="5" t="s">
        <v>23</v>
      </c>
      <c r="AF122" s="5" t="s">
        <v>81</v>
      </c>
      <c r="AG122" s="5"/>
      <c r="AH122" s="5">
        <v>1.0</v>
      </c>
      <c r="AI122" s="5" t="s">
        <v>1097</v>
      </c>
      <c r="AJ122" s="5" t="s">
        <v>0</v>
      </c>
      <c r="AK122" s="30"/>
      <c r="AL122" s="28">
        <v>777.0</v>
      </c>
      <c r="AM122" s="28">
        <v>756.0</v>
      </c>
      <c r="AN122" s="28">
        <v>770.0</v>
      </c>
      <c r="AO122" s="28">
        <v>630.0</v>
      </c>
      <c r="AP122" s="28">
        <v>0.0</v>
      </c>
      <c r="AQ122" s="28">
        <v>628997.0399999999</v>
      </c>
      <c r="AR122" s="28">
        <v>510300.0</v>
      </c>
      <c r="AS122" s="28">
        <v>0.0</v>
      </c>
      <c r="AT122" s="28">
        <v>510300.0</v>
      </c>
      <c r="AU122" s="28">
        <v>0.0</v>
      </c>
      <c r="AV122" s="28">
        <v>493428.0805647841</v>
      </c>
      <c r="AW122" s="28">
        <v>501585.06421960006</v>
      </c>
      <c r="AX122" s="28">
        <v>501622.83942414174</v>
      </c>
      <c r="AY122" s="28">
        <v>430948.794028</v>
      </c>
      <c r="AZ122" s="5" t="s">
        <v>124</v>
      </c>
      <c r="BA122" s="5" t="s">
        <v>86</v>
      </c>
      <c r="BB122" s="5" t="s">
        <v>512</v>
      </c>
      <c r="BC122" s="32" t="s">
        <v>379</v>
      </c>
      <c r="BD122" s="5" t="s">
        <v>68</v>
      </c>
      <c r="BE122" s="5" t="s">
        <v>128</v>
      </c>
      <c r="BF122" s="5" t="s">
        <v>178</v>
      </c>
      <c r="BG122" s="5" t="s">
        <v>91</v>
      </c>
    </row>
    <row r="123" ht="16.5" hidden="1" customHeight="1">
      <c r="A123" s="5" t="s">
        <v>100</v>
      </c>
      <c r="B123" s="5" t="s">
        <v>137</v>
      </c>
      <c r="C123" s="5" t="b">
        <v>0</v>
      </c>
      <c r="D123" s="5" t="s">
        <v>521</v>
      </c>
      <c r="E123" s="5" t="s">
        <v>522</v>
      </c>
      <c r="F123" s="5"/>
      <c r="G123" s="5" t="s">
        <v>65</v>
      </c>
      <c r="H123" s="5" t="s">
        <v>76</v>
      </c>
      <c r="I123" s="5" t="s">
        <v>106</v>
      </c>
      <c r="J123" s="25" t="s">
        <v>1083</v>
      </c>
      <c r="K123" s="25"/>
      <c r="L123" s="25"/>
      <c r="M123" s="5" t="s">
        <v>109</v>
      </c>
      <c r="N123" s="5" t="s">
        <v>68</v>
      </c>
      <c r="O123" s="5" t="s">
        <v>69</v>
      </c>
      <c r="P123" s="5" t="s">
        <v>107</v>
      </c>
      <c r="Q123" s="5" t="s">
        <v>180</v>
      </c>
      <c r="R123" s="5" t="s">
        <v>181</v>
      </c>
      <c r="S123" s="5"/>
      <c r="T123" s="5"/>
      <c r="U123" s="5"/>
      <c r="V123" s="5">
        <v>1700.0</v>
      </c>
      <c r="W123" s="26">
        <v>2.1</v>
      </c>
      <c r="X123" s="5">
        <v>810.0</v>
      </c>
      <c r="Y123" s="27">
        <v>0.0</v>
      </c>
      <c r="Z123" s="28">
        <v>810.0</v>
      </c>
      <c r="AA123" s="27">
        <v>1.0</v>
      </c>
      <c r="AB123" s="5" t="s">
        <v>117</v>
      </c>
      <c r="AC123" s="27"/>
      <c r="AD123" s="5"/>
      <c r="AE123" s="5" t="s">
        <v>23</v>
      </c>
      <c r="AF123" s="5" t="s">
        <v>81</v>
      </c>
      <c r="AG123" s="5"/>
      <c r="AH123" s="5">
        <v>1.0</v>
      </c>
      <c r="AI123" s="5" t="s">
        <v>1097</v>
      </c>
      <c r="AJ123" s="5" t="s">
        <v>0</v>
      </c>
      <c r="AK123" s="30"/>
      <c r="AL123" s="28">
        <v>734.0</v>
      </c>
      <c r="AM123" s="28">
        <v>649.0</v>
      </c>
      <c r="AN123" s="28">
        <v>702.0</v>
      </c>
      <c r="AO123" s="28">
        <v>552.0</v>
      </c>
      <c r="AP123" s="28">
        <v>0.0</v>
      </c>
      <c r="AQ123" s="28">
        <v>594187.68</v>
      </c>
      <c r="AR123" s="28">
        <v>447120.0</v>
      </c>
      <c r="AS123" s="28">
        <v>0.0</v>
      </c>
      <c r="AT123" s="28">
        <v>447120.0</v>
      </c>
      <c r="AU123" s="28">
        <v>0.0</v>
      </c>
      <c r="AV123" s="28">
        <v>477324.0964008861</v>
      </c>
      <c r="AW123" s="28">
        <v>441634.9619428</v>
      </c>
      <c r="AX123" s="28">
        <v>457293.7156146179</v>
      </c>
      <c r="AY123" s="28">
        <v>376127.90473999997</v>
      </c>
      <c r="AZ123" s="5" t="s">
        <v>124</v>
      </c>
      <c r="BA123" s="5" t="s">
        <v>86</v>
      </c>
      <c r="BB123" s="5" t="s">
        <v>512</v>
      </c>
      <c r="BC123" s="32" t="s">
        <v>379</v>
      </c>
      <c r="BD123" s="5" t="s">
        <v>68</v>
      </c>
      <c r="BE123" s="5" t="s">
        <v>128</v>
      </c>
      <c r="BF123" s="5" t="s">
        <v>178</v>
      </c>
      <c r="BG123" s="5" t="s">
        <v>91</v>
      </c>
    </row>
    <row r="124" ht="16.5" hidden="1" customHeight="1">
      <c r="A124" s="5" t="s">
        <v>100</v>
      </c>
      <c r="B124" s="5" t="s">
        <v>137</v>
      </c>
      <c r="C124" s="5" t="b">
        <v>0</v>
      </c>
      <c r="D124" s="5" t="s">
        <v>524</v>
      </c>
      <c r="E124" s="5" t="s">
        <v>525</v>
      </c>
      <c r="F124" s="5"/>
      <c r="G124" s="5" t="s">
        <v>65</v>
      </c>
      <c r="H124" s="5" t="s">
        <v>76</v>
      </c>
      <c r="I124" s="5" t="s">
        <v>106</v>
      </c>
      <c r="J124" s="25" t="s">
        <v>267</v>
      </c>
      <c r="K124" s="25"/>
      <c r="L124" s="25"/>
      <c r="M124" s="5" t="s">
        <v>109</v>
      </c>
      <c r="N124" s="5" t="s">
        <v>68</v>
      </c>
      <c r="O124" s="5" t="s">
        <v>69</v>
      </c>
      <c r="P124" s="5" t="s">
        <v>70</v>
      </c>
      <c r="Q124" s="5" t="s">
        <v>89</v>
      </c>
      <c r="R124" s="5" t="s">
        <v>110</v>
      </c>
      <c r="S124" s="5"/>
      <c r="T124" s="5"/>
      <c r="U124" s="5"/>
      <c r="V124" s="5">
        <v>5000.0</v>
      </c>
      <c r="W124" s="26">
        <v>2.1</v>
      </c>
      <c r="X124" s="5">
        <v>2381.0</v>
      </c>
      <c r="Y124" s="27">
        <v>0.0</v>
      </c>
      <c r="Z124" s="28">
        <v>2381.0</v>
      </c>
      <c r="AA124" s="27">
        <v>1.0</v>
      </c>
      <c r="AB124" s="5" t="s">
        <v>242</v>
      </c>
      <c r="AC124" s="27"/>
      <c r="AD124" s="5"/>
      <c r="AE124" s="5" t="s">
        <v>80</v>
      </c>
      <c r="AF124" s="5" t="s">
        <v>81</v>
      </c>
      <c r="AG124" s="5"/>
      <c r="AH124" s="5">
        <v>4.0</v>
      </c>
      <c r="AI124" s="5" t="s">
        <v>1105</v>
      </c>
      <c r="AJ124" s="5" t="s">
        <v>0</v>
      </c>
      <c r="AK124" s="30"/>
      <c r="AL124" s="28">
        <v>1916.0</v>
      </c>
      <c r="AM124" s="28">
        <v>1968.0</v>
      </c>
      <c r="AN124" s="28">
        <v>1343.0</v>
      </c>
      <c r="AO124" s="28">
        <v>1702.0</v>
      </c>
      <c r="AP124" s="28">
        <v>0.0</v>
      </c>
      <c r="AQ124" s="28">
        <v>4561900.2</v>
      </c>
      <c r="AR124" s="28">
        <v>4052462.0</v>
      </c>
      <c r="AS124" s="28">
        <v>0.0</v>
      </c>
      <c r="AT124" s="28">
        <v>4052462.0</v>
      </c>
      <c r="AU124" s="28">
        <v>0.0</v>
      </c>
      <c r="AV124" s="28">
        <v>3371918.909302325</v>
      </c>
      <c r="AW124" s="28">
        <v>3885365.8993186</v>
      </c>
      <c r="AX124" s="28">
        <v>2706396.006090808</v>
      </c>
      <c r="AY124" s="28">
        <v>3064350.0907779993</v>
      </c>
      <c r="AZ124" s="5" t="s">
        <v>124</v>
      </c>
      <c r="BA124" s="5" t="s">
        <v>86</v>
      </c>
      <c r="BB124" s="5" t="s">
        <v>512</v>
      </c>
      <c r="BC124" s="32" t="s">
        <v>379</v>
      </c>
      <c r="BD124" s="5" t="s">
        <v>68</v>
      </c>
      <c r="BE124" s="5" t="s">
        <v>89</v>
      </c>
      <c r="BF124" s="5" t="s">
        <v>132</v>
      </c>
      <c r="BG124" s="5" t="s">
        <v>91</v>
      </c>
    </row>
    <row r="125" ht="16.5" hidden="1" customHeight="1">
      <c r="A125" s="5" t="s">
        <v>100</v>
      </c>
      <c r="B125" s="5" t="s">
        <v>137</v>
      </c>
      <c r="C125" s="5" t="b">
        <v>0</v>
      </c>
      <c r="D125" s="5" t="s">
        <v>531</v>
      </c>
      <c r="E125" s="5" t="s">
        <v>532</v>
      </c>
      <c r="F125" s="5"/>
      <c r="G125" s="5" t="s">
        <v>65</v>
      </c>
      <c r="H125" s="5" t="s">
        <v>76</v>
      </c>
      <c r="I125" s="5" t="s">
        <v>106</v>
      </c>
      <c r="J125" s="25" t="s">
        <v>267</v>
      </c>
      <c r="K125" s="25"/>
      <c r="L125" s="25"/>
      <c r="M125" s="5" t="s">
        <v>109</v>
      </c>
      <c r="N125" s="5" t="s">
        <v>68</v>
      </c>
      <c r="O125" s="5" t="s">
        <v>69</v>
      </c>
      <c r="P125" s="5" t="s">
        <v>107</v>
      </c>
      <c r="Q125" s="5" t="s">
        <v>89</v>
      </c>
      <c r="R125" s="5" t="s">
        <v>110</v>
      </c>
      <c r="S125" s="5"/>
      <c r="T125" s="5"/>
      <c r="U125" s="5"/>
      <c r="V125" s="5">
        <v>5000.0</v>
      </c>
      <c r="W125" s="26">
        <v>2.1</v>
      </c>
      <c r="X125" s="5">
        <v>2381.0</v>
      </c>
      <c r="Y125" s="27">
        <v>0.0</v>
      </c>
      <c r="Z125" s="28">
        <v>2381.0</v>
      </c>
      <c r="AA125" s="27">
        <v>1.0</v>
      </c>
      <c r="AB125" s="5" t="s">
        <v>242</v>
      </c>
      <c r="AC125" s="27"/>
      <c r="AD125" s="5"/>
      <c r="AE125" s="5" t="s">
        <v>80</v>
      </c>
      <c r="AF125" s="5" t="s">
        <v>81</v>
      </c>
      <c r="AG125" s="5"/>
      <c r="AH125" s="5">
        <v>4.0</v>
      </c>
      <c r="AI125" s="5" t="s">
        <v>1116</v>
      </c>
      <c r="AJ125" s="5" t="s">
        <v>0</v>
      </c>
      <c r="AK125" s="30"/>
      <c r="AL125" s="28">
        <v>1354.0</v>
      </c>
      <c r="AM125" s="28">
        <v>1617.0</v>
      </c>
      <c r="AN125" s="28">
        <v>939.0</v>
      </c>
      <c r="AO125" s="28">
        <v>1098.0</v>
      </c>
      <c r="AP125" s="28">
        <v>0.0</v>
      </c>
      <c r="AQ125" s="28">
        <v>3223806.3</v>
      </c>
      <c r="AR125" s="28">
        <v>2614338.0</v>
      </c>
      <c r="AS125" s="28">
        <v>0.0</v>
      </c>
      <c r="AT125" s="28">
        <v>2614338.0</v>
      </c>
      <c r="AU125" s="28">
        <v>0.0</v>
      </c>
      <c r="AV125" s="28">
        <v>2448067.6442967886</v>
      </c>
      <c r="AW125" s="28">
        <v>2943098.8799216</v>
      </c>
      <c r="AX125" s="28">
        <v>1894257.4612403102</v>
      </c>
      <c r="AY125" s="28">
        <v>2076572.1034519996</v>
      </c>
      <c r="AZ125" s="5" t="s">
        <v>124</v>
      </c>
      <c r="BA125" s="5" t="s">
        <v>86</v>
      </c>
      <c r="BB125" s="5" t="s">
        <v>512</v>
      </c>
      <c r="BC125" s="32" t="s">
        <v>379</v>
      </c>
      <c r="BD125" s="5" t="s">
        <v>68</v>
      </c>
      <c r="BE125" s="5" t="s">
        <v>89</v>
      </c>
      <c r="BF125" s="5" t="s">
        <v>132</v>
      </c>
      <c r="BG125" s="5" t="s">
        <v>91</v>
      </c>
    </row>
    <row r="126" ht="16.5" customHeight="1">
      <c r="A126" s="5" t="s">
        <v>100</v>
      </c>
      <c r="B126" s="5" t="s">
        <v>200</v>
      </c>
      <c r="C126" s="5" t="b">
        <v>1</v>
      </c>
      <c r="D126" s="5" t="s">
        <v>534</v>
      </c>
      <c r="E126" s="5" t="s">
        <v>535</v>
      </c>
      <c r="F126" s="5"/>
      <c r="G126" s="5" t="s">
        <v>65</v>
      </c>
      <c r="H126" s="5" t="s">
        <v>74</v>
      </c>
      <c r="I126" s="5" t="s">
        <v>82</v>
      </c>
      <c r="J126" s="25"/>
      <c r="K126" s="25"/>
      <c r="L126" s="25"/>
      <c r="M126" s="5" t="s">
        <v>109</v>
      </c>
      <c r="N126" s="5" t="s">
        <v>334</v>
      </c>
      <c r="O126" s="5" t="s">
        <v>69</v>
      </c>
      <c r="P126" s="5" t="s">
        <v>107</v>
      </c>
      <c r="Q126" s="5" t="s">
        <v>805</v>
      </c>
      <c r="R126" s="5" t="s">
        <v>110</v>
      </c>
      <c r="S126" s="5"/>
      <c r="T126" s="5"/>
      <c r="U126" s="5"/>
      <c r="V126" s="5">
        <v>700.0</v>
      </c>
      <c r="W126" s="26">
        <v>2.1</v>
      </c>
      <c r="X126" s="5">
        <v>333.0</v>
      </c>
      <c r="Y126" s="27">
        <v>0.2</v>
      </c>
      <c r="Z126" s="28">
        <v>266.40000000000003</v>
      </c>
      <c r="AA126" s="27">
        <v>1.0</v>
      </c>
      <c r="AB126" s="5" t="s">
        <v>117</v>
      </c>
      <c r="AC126" s="27">
        <v>0.63</v>
      </c>
      <c r="AD126" s="5"/>
      <c r="AE126" s="5" t="s">
        <v>273</v>
      </c>
      <c r="AF126" s="5" t="s">
        <v>81</v>
      </c>
      <c r="AG126" s="5">
        <v>4.0</v>
      </c>
      <c r="AH126" s="5">
        <v>4.0</v>
      </c>
      <c r="AI126" s="5" t="s">
        <v>0</v>
      </c>
      <c r="AJ126" s="5" t="s">
        <v>0</v>
      </c>
      <c r="AK126" s="30">
        <v>2000.0</v>
      </c>
      <c r="AL126" s="28">
        <v>2172.0</v>
      </c>
      <c r="AM126" s="28">
        <v>3254.0</v>
      </c>
      <c r="AN126" s="28">
        <v>0.0</v>
      </c>
      <c r="AO126" s="28">
        <v>0.0</v>
      </c>
      <c r="AP126" s="28">
        <v>666000.0</v>
      </c>
      <c r="AQ126" s="28">
        <v>723992.76</v>
      </c>
      <c r="AR126" s="28">
        <v>0.0</v>
      </c>
      <c r="AS126" s="28">
        <v>0.0</v>
      </c>
      <c r="AT126" s="28">
        <v>0.0</v>
      </c>
      <c r="AU126" s="28">
        <v>532800.0000000001</v>
      </c>
      <c r="AV126" s="28">
        <v>535493.1738648948</v>
      </c>
      <c r="AW126" s="28">
        <v>676495.8281489998</v>
      </c>
      <c r="AX126" s="28">
        <v>0.0</v>
      </c>
      <c r="AY126" s="28">
        <v>0.0</v>
      </c>
      <c r="AZ126" s="5"/>
      <c r="BA126" s="5" t="s">
        <v>86</v>
      </c>
      <c r="BB126" s="5" t="s">
        <v>512</v>
      </c>
      <c r="BC126" s="5" t="s">
        <v>88</v>
      </c>
      <c r="BD126" s="5" t="s">
        <v>334</v>
      </c>
      <c r="BE126" s="5" t="s">
        <v>348</v>
      </c>
      <c r="BF126" s="5" t="s">
        <v>539</v>
      </c>
      <c r="BG126" s="5" t="s">
        <v>131</v>
      </c>
    </row>
    <row r="127" ht="16.5" customHeight="1">
      <c r="A127" s="5" t="s">
        <v>100</v>
      </c>
      <c r="B127" s="5" t="s">
        <v>200</v>
      </c>
      <c r="C127" s="5" t="b">
        <v>1</v>
      </c>
      <c r="D127" s="5" t="s">
        <v>540</v>
      </c>
      <c r="E127" s="5" t="s">
        <v>541</v>
      </c>
      <c r="F127" s="5"/>
      <c r="G127" s="5" t="s">
        <v>65</v>
      </c>
      <c r="H127" s="5" t="s">
        <v>74</v>
      </c>
      <c r="I127" s="5" t="s">
        <v>82</v>
      </c>
      <c r="J127" s="25"/>
      <c r="K127" s="25"/>
      <c r="L127" s="5"/>
      <c r="M127" s="5" t="s">
        <v>109</v>
      </c>
      <c r="N127" s="5" t="s">
        <v>334</v>
      </c>
      <c r="O127" s="5" t="s">
        <v>69</v>
      </c>
      <c r="P127" s="5" t="s">
        <v>70</v>
      </c>
      <c r="Q127" s="5" t="s">
        <v>805</v>
      </c>
      <c r="R127" s="5" t="s">
        <v>110</v>
      </c>
      <c r="S127" s="5"/>
      <c r="T127" s="5"/>
      <c r="U127" s="5"/>
      <c r="V127" s="5">
        <v>700.0</v>
      </c>
      <c r="W127" s="26">
        <v>2.1</v>
      </c>
      <c r="X127" s="5">
        <v>333.0</v>
      </c>
      <c r="Y127" s="27">
        <v>0.2</v>
      </c>
      <c r="Z127" s="28">
        <v>266.40000000000003</v>
      </c>
      <c r="AA127" s="27">
        <v>1.0</v>
      </c>
      <c r="AB127" s="5" t="s">
        <v>117</v>
      </c>
      <c r="AC127" s="27">
        <v>0.61</v>
      </c>
      <c r="AD127" s="5"/>
      <c r="AE127" s="5" t="s">
        <v>273</v>
      </c>
      <c r="AF127" s="5" t="s">
        <v>81</v>
      </c>
      <c r="AG127" s="5">
        <v>4.0</v>
      </c>
      <c r="AH127" s="5">
        <v>4.0</v>
      </c>
      <c r="AI127" s="5" t="s">
        <v>0</v>
      </c>
      <c r="AJ127" s="5" t="s">
        <v>0</v>
      </c>
      <c r="AK127" s="30">
        <v>2500.0</v>
      </c>
      <c r="AL127" s="5">
        <v>2652.0</v>
      </c>
      <c r="AM127" s="5">
        <v>2962.0</v>
      </c>
      <c r="AN127" s="5">
        <v>0.0</v>
      </c>
      <c r="AO127" s="5">
        <v>80.0</v>
      </c>
      <c r="AP127" s="28">
        <v>832500.0</v>
      </c>
      <c r="AQ127" s="28">
        <v>883991.16</v>
      </c>
      <c r="AR127" s="28">
        <v>26640.0</v>
      </c>
      <c r="AS127" s="28">
        <v>0.0</v>
      </c>
      <c r="AT127" s="28">
        <v>26640.0</v>
      </c>
      <c r="AU127" s="28">
        <v>666000.0000000001</v>
      </c>
      <c r="AV127" s="28">
        <v>637875.234994463</v>
      </c>
      <c r="AW127" s="28">
        <v>618824.4341010001</v>
      </c>
      <c r="AX127" s="28">
        <v>0.0</v>
      </c>
      <c r="AY127" s="28">
        <v>23048.928</v>
      </c>
      <c r="AZ127" s="5"/>
      <c r="BA127" s="5" t="s">
        <v>86</v>
      </c>
      <c r="BB127" s="5" t="s">
        <v>512</v>
      </c>
      <c r="BC127" s="5" t="s">
        <v>88</v>
      </c>
      <c r="BD127" s="5" t="s">
        <v>334</v>
      </c>
      <c r="BE127" s="5" t="s">
        <v>348</v>
      </c>
      <c r="BF127" s="5" t="s">
        <v>539</v>
      </c>
      <c r="BG127" s="5" t="s">
        <v>131</v>
      </c>
    </row>
    <row r="128" ht="16.5" hidden="1" customHeight="1">
      <c r="A128" s="5" t="s">
        <v>100</v>
      </c>
      <c r="B128" s="5" t="s">
        <v>137</v>
      </c>
      <c r="C128" s="5" t="b">
        <v>0</v>
      </c>
      <c r="D128" s="5" t="s">
        <v>1135</v>
      </c>
      <c r="E128" s="5" t="s">
        <v>1136</v>
      </c>
      <c r="F128" s="5"/>
      <c r="G128" s="5" t="s">
        <v>65</v>
      </c>
      <c r="H128" s="5" t="s">
        <v>76</v>
      </c>
      <c r="I128" s="5" t="s">
        <v>106</v>
      </c>
      <c r="J128" s="25" t="s">
        <v>1083</v>
      </c>
      <c r="K128" s="25"/>
      <c r="L128" s="25"/>
      <c r="M128" s="5" t="s">
        <v>109</v>
      </c>
      <c r="N128" s="5" t="s">
        <v>355</v>
      </c>
      <c r="O128" s="5" t="s">
        <v>69</v>
      </c>
      <c r="P128" s="5" t="s">
        <v>70</v>
      </c>
      <c r="Q128" s="5" t="s">
        <v>282</v>
      </c>
      <c r="R128" s="5" t="s">
        <v>110</v>
      </c>
      <c r="S128" s="5"/>
      <c r="T128" s="5"/>
      <c r="U128" s="5"/>
      <c r="V128" s="5">
        <v>3500.0</v>
      </c>
      <c r="W128" s="26">
        <v>2.1</v>
      </c>
      <c r="X128" s="5">
        <v>1667.0</v>
      </c>
      <c r="Y128" s="27">
        <v>0.0</v>
      </c>
      <c r="Z128" s="28">
        <v>1667.0</v>
      </c>
      <c r="AA128" s="27">
        <v>1.0</v>
      </c>
      <c r="AB128" s="5" t="s">
        <v>242</v>
      </c>
      <c r="AC128" s="27"/>
      <c r="AD128" s="5"/>
      <c r="AE128" s="5" t="s">
        <v>359</v>
      </c>
      <c r="AF128" s="5" t="s">
        <v>81</v>
      </c>
      <c r="AG128" s="5"/>
      <c r="AH128" s="5">
        <v>3.0</v>
      </c>
      <c r="AI128" s="5" t="s">
        <v>1140</v>
      </c>
      <c r="AJ128" s="5" t="s">
        <v>0</v>
      </c>
      <c r="AK128" s="30"/>
      <c r="AL128" s="28">
        <v>0.0</v>
      </c>
      <c r="AM128" s="28">
        <v>0.0</v>
      </c>
      <c r="AN128" s="28">
        <v>1331.0</v>
      </c>
      <c r="AO128" s="28">
        <v>1151.0</v>
      </c>
      <c r="AP128" s="28">
        <v>0.0</v>
      </c>
      <c r="AQ128" s="28">
        <v>0.0</v>
      </c>
      <c r="AR128" s="28">
        <v>1918717.0</v>
      </c>
      <c r="AS128" s="28">
        <v>0.0</v>
      </c>
      <c r="AT128" s="28">
        <v>1918717.0</v>
      </c>
      <c r="AU128" s="28">
        <v>0.0</v>
      </c>
      <c r="AV128" s="28">
        <v>0.0</v>
      </c>
      <c r="AW128" s="28">
        <v>0.0</v>
      </c>
      <c r="AX128" s="28">
        <v>1715152.4120708748</v>
      </c>
      <c r="AY128" s="28">
        <v>1490636.9160929997</v>
      </c>
      <c r="AZ128" s="5" t="s">
        <v>124</v>
      </c>
      <c r="BA128" s="5" t="s">
        <v>86</v>
      </c>
      <c r="BB128" s="5" t="s">
        <v>512</v>
      </c>
      <c r="BC128" s="5" t="s">
        <v>88</v>
      </c>
      <c r="BD128" s="5" t="s">
        <v>355</v>
      </c>
      <c r="BE128" s="5" t="s">
        <v>161</v>
      </c>
      <c r="BF128" s="5" t="s">
        <v>360</v>
      </c>
      <c r="BG128" s="5" t="s">
        <v>131</v>
      </c>
    </row>
    <row r="129" ht="16.5" hidden="1" customHeight="1">
      <c r="A129" s="5" t="s">
        <v>100</v>
      </c>
      <c r="B129" s="5" t="s">
        <v>137</v>
      </c>
      <c r="C129" s="5" t="b">
        <v>0</v>
      </c>
      <c r="D129" s="5" t="s">
        <v>1143</v>
      </c>
      <c r="E129" s="5" t="s">
        <v>1144</v>
      </c>
      <c r="F129" s="5"/>
      <c r="G129" s="5" t="s">
        <v>65</v>
      </c>
      <c r="H129" s="5" t="s">
        <v>76</v>
      </c>
      <c r="I129" s="5" t="s">
        <v>106</v>
      </c>
      <c r="J129" s="25" t="s">
        <v>1083</v>
      </c>
      <c r="K129" s="25"/>
      <c r="L129" s="25"/>
      <c r="M129" s="5" t="s">
        <v>109</v>
      </c>
      <c r="N129" s="5" t="s">
        <v>355</v>
      </c>
      <c r="O129" s="5" t="s">
        <v>69</v>
      </c>
      <c r="P129" s="5" t="s">
        <v>107</v>
      </c>
      <c r="Q129" s="5" t="s">
        <v>282</v>
      </c>
      <c r="R129" s="5" t="s">
        <v>110</v>
      </c>
      <c r="S129" s="5"/>
      <c r="T129" s="5"/>
      <c r="U129" s="5"/>
      <c r="V129" s="5">
        <v>3500.0</v>
      </c>
      <c r="W129" s="26">
        <v>2.1</v>
      </c>
      <c r="X129" s="5">
        <v>1667.0</v>
      </c>
      <c r="Y129" s="27">
        <v>0.0</v>
      </c>
      <c r="Z129" s="28">
        <v>1667.0</v>
      </c>
      <c r="AA129" s="27">
        <v>1.0</v>
      </c>
      <c r="AB129" s="5" t="s">
        <v>242</v>
      </c>
      <c r="AC129" s="27"/>
      <c r="AD129" s="5"/>
      <c r="AE129" s="5" t="s">
        <v>359</v>
      </c>
      <c r="AF129" s="5" t="s">
        <v>81</v>
      </c>
      <c r="AG129" s="5"/>
      <c r="AH129" s="5">
        <v>3.0</v>
      </c>
      <c r="AI129" s="5" t="s">
        <v>1150</v>
      </c>
      <c r="AJ129" s="5" t="s">
        <v>0</v>
      </c>
      <c r="AK129" s="30"/>
      <c r="AL129" s="28">
        <v>0.0</v>
      </c>
      <c r="AM129" s="28">
        <v>0.0</v>
      </c>
      <c r="AN129" s="28">
        <v>1083.0</v>
      </c>
      <c r="AO129" s="28">
        <v>896.0</v>
      </c>
      <c r="AP129" s="28">
        <v>0.0</v>
      </c>
      <c r="AQ129" s="28">
        <v>0.0</v>
      </c>
      <c r="AR129" s="28">
        <v>1493632.0</v>
      </c>
      <c r="AS129" s="28">
        <v>0.0</v>
      </c>
      <c r="AT129" s="28">
        <v>1493632.0</v>
      </c>
      <c r="AU129" s="28">
        <v>0.0</v>
      </c>
      <c r="AV129" s="28">
        <v>0.0</v>
      </c>
      <c r="AW129" s="28">
        <v>0.0</v>
      </c>
      <c r="AX129" s="28">
        <v>1434327.4230343301</v>
      </c>
      <c r="AY129" s="28">
        <v>1167758.1903149998</v>
      </c>
      <c r="AZ129" s="5" t="s">
        <v>124</v>
      </c>
      <c r="BA129" s="5" t="s">
        <v>86</v>
      </c>
      <c r="BB129" s="5" t="s">
        <v>512</v>
      </c>
      <c r="BC129" s="5" t="s">
        <v>88</v>
      </c>
      <c r="BD129" s="5" t="s">
        <v>355</v>
      </c>
      <c r="BE129" s="5" t="s">
        <v>161</v>
      </c>
      <c r="BF129" s="5" t="s">
        <v>360</v>
      </c>
      <c r="BG129" s="5" t="s">
        <v>131</v>
      </c>
    </row>
    <row r="130" ht="16.5" hidden="1" customHeight="1">
      <c r="A130" s="5" t="s">
        <v>100</v>
      </c>
      <c r="B130" s="5" t="s">
        <v>200</v>
      </c>
      <c r="C130" s="5" t="b">
        <v>0</v>
      </c>
      <c r="D130" s="5" t="s">
        <v>544</v>
      </c>
      <c r="E130" s="5" t="s">
        <v>545</v>
      </c>
      <c r="F130" s="5"/>
      <c r="G130" s="5" t="s">
        <v>65</v>
      </c>
      <c r="H130" s="5" t="s">
        <v>74</v>
      </c>
      <c r="I130" s="5" t="s">
        <v>106</v>
      </c>
      <c r="J130" s="25" t="s">
        <v>1154</v>
      </c>
      <c r="K130" s="25"/>
      <c r="L130" s="25"/>
      <c r="M130" s="5" t="s">
        <v>109</v>
      </c>
      <c r="N130" s="5" t="s">
        <v>113</v>
      </c>
      <c r="O130" s="5" t="s">
        <v>69</v>
      </c>
      <c r="P130" s="5" t="s">
        <v>70</v>
      </c>
      <c r="Q130" s="5" t="s">
        <v>180</v>
      </c>
      <c r="R130" s="5" t="s">
        <v>181</v>
      </c>
      <c r="S130" s="5"/>
      <c r="T130" s="5"/>
      <c r="U130" s="5"/>
      <c r="V130" s="5">
        <v>1200.0</v>
      </c>
      <c r="W130" s="26">
        <v>2.1</v>
      </c>
      <c r="X130" s="5">
        <v>571.0</v>
      </c>
      <c r="Y130" s="27">
        <v>0.0</v>
      </c>
      <c r="Z130" s="28">
        <v>571.0</v>
      </c>
      <c r="AA130" s="27">
        <v>1.0</v>
      </c>
      <c r="AB130" s="5" t="s">
        <v>78</v>
      </c>
      <c r="AC130" s="27"/>
      <c r="AD130" s="5"/>
      <c r="AE130" s="5" t="s">
        <v>546</v>
      </c>
      <c r="AF130" s="5" t="s">
        <v>81</v>
      </c>
      <c r="AG130" s="5"/>
      <c r="AH130" s="5">
        <v>4.0</v>
      </c>
      <c r="AI130" s="5" t="s">
        <v>0</v>
      </c>
      <c r="AJ130" s="5" t="s">
        <v>0</v>
      </c>
      <c r="AK130" s="30"/>
      <c r="AL130" s="28">
        <v>3673.0</v>
      </c>
      <c r="AM130" s="28">
        <v>4703.0</v>
      </c>
      <c r="AN130" s="28">
        <v>0.0</v>
      </c>
      <c r="AO130" s="28">
        <v>0.0</v>
      </c>
      <c r="AP130" s="28">
        <v>0.0</v>
      </c>
      <c r="AQ130" s="28">
        <v>2098862.39</v>
      </c>
      <c r="AR130" s="28">
        <v>0.0</v>
      </c>
      <c r="AS130" s="28">
        <v>0.0</v>
      </c>
      <c r="AT130" s="28">
        <v>0.0</v>
      </c>
      <c r="AU130" s="28">
        <v>0.0</v>
      </c>
      <c r="AV130" s="28">
        <v>1300498.034883721</v>
      </c>
      <c r="AW130" s="28">
        <v>1803071.7073477998</v>
      </c>
      <c r="AX130" s="28">
        <v>0.0</v>
      </c>
      <c r="AY130" s="28">
        <v>0.0</v>
      </c>
      <c r="AZ130" s="5" t="s">
        <v>124</v>
      </c>
      <c r="BA130" s="5" t="s">
        <v>86</v>
      </c>
      <c r="BB130" s="5" t="s">
        <v>512</v>
      </c>
      <c r="BD130" s="5" t="s">
        <v>126</v>
      </c>
      <c r="BE130" s="5" t="s">
        <v>128</v>
      </c>
      <c r="BF130" s="5" t="s">
        <v>130</v>
      </c>
      <c r="BG130" s="5" t="s">
        <v>131</v>
      </c>
      <c r="BH130" s="5" t="s">
        <v>910</v>
      </c>
    </row>
    <row r="131" ht="16.5" hidden="1" customHeight="1">
      <c r="A131" s="5" t="s">
        <v>100</v>
      </c>
      <c r="B131" s="35" t="s">
        <v>200</v>
      </c>
      <c r="C131" s="35" t="b">
        <v>0</v>
      </c>
      <c r="D131" s="35" t="s">
        <v>1158</v>
      </c>
      <c r="E131" s="35" t="s">
        <v>1161</v>
      </c>
      <c r="F131" s="35"/>
      <c r="G131" s="35" t="s">
        <v>65</v>
      </c>
      <c r="H131" s="35" t="s">
        <v>74</v>
      </c>
      <c r="I131" s="35" t="s">
        <v>106</v>
      </c>
      <c r="J131" s="36" t="s">
        <v>150</v>
      </c>
      <c r="K131" s="25"/>
      <c r="L131" s="25"/>
      <c r="M131" s="5" t="s">
        <v>109</v>
      </c>
      <c r="N131" s="5" t="s">
        <v>113</v>
      </c>
      <c r="O131" s="5" t="s">
        <v>96</v>
      </c>
      <c r="P131" s="5" t="s">
        <v>70</v>
      </c>
      <c r="Q131" s="5" t="s">
        <v>180</v>
      </c>
      <c r="R131" s="5" t="s">
        <v>181</v>
      </c>
      <c r="S131" s="5"/>
      <c r="T131" s="5"/>
      <c r="U131" s="5"/>
      <c r="V131" s="5">
        <v>1200.0</v>
      </c>
      <c r="W131" s="26">
        <v>2.1</v>
      </c>
      <c r="X131" s="5">
        <v>571.0</v>
      </c>
      <c r="Y131" s="27">
        <v>0.0</v>
      </c>
      <c r="Z131" s="28">
        <v>571.0</v>
      </c>
      <c r="AA131" s="27">
        <v>1.0</v>
      </c>
      <c r="AB131" s="5" t="s">
        <v>78</v>
      </c>
      <c r="AC131" s="27"/>
      <c r="AD131" s="5"/>
      <c r="AE131" s="5" t="s">
        <v>546</v>
      </c>
      <c r="AF131" s="5" t="s">
        <v>81</v>
      </c>
      <c r="AG131" s="5"/>
      <c r="AH131" s="5">
        <v>4.0</v>
      </c>
      <c r="AI131" s="5" t="s">
        <v>0</v>
      </c>
      <c r="AJ131" s="5" t="s">
        <v>471</v>
      </c>
      <c r="AK131" s="30"/>
      <c r="AL131" s="28">
        <v>0.0</v>
      </c>
      <c r="AM131" s="28">
        <v>0.0</v>
      </c>
      <c r="AN131" s="28">
        <v>0.0</v>
      </c>
      <c r="AO131" s="28">
        <v>0.0</v>
      </c>
      <c r="AP131" s="28">
        <v>0.0</v>
      </c>
      <c r="AQ131" s="28">
        <v>0.0</v>
      </c>
      <c r="AR131" s="28">
        <v>0.0</v>
      </c>
      <c r="AS131" s="28">
        <v>0.0</v>
      </c>
      <c r="AT131" s="28">
        <v>0.0</v>
      </c>
      <c r="AU131" s="28">
        <v>0.0</v>
      </c>
      <c r="AV131" s="28">
        <v>0.0</v>
      </c>
      <c r="AW131" s="28">
        <v>0.0</v>
      </c>
      <c r="AX131" s="28">
        <v>0.0</v>
      </c>
      <c r="AY131" s="28">
        <v>0.0</v>
      </c>
      <c r="AZ131" s="5" t="s">
        <v>124</v>
      </c>
      <c r="BA131" s="5" t="s">
        <v>86</v>
      </c>
      <c r="BB131" s="5" t="s">
        <v>512</v>
      </c>
      <c r="BD131" s="5" t="s">
        <v>126</v>
      </c>
      <c r="BE131" s="5" t="s">
        <v>128</v>
      </c>
      <c r="BF131" s="5" t="s">
        <v>130</v>
      </c>
      <c r="BG131" s="5" t="s">
        <v>131</v>
      </c>
      <c r="BH131" s="5" t="s">
        <v>910</v>
      </c>
    </row>
    <row r="132" ht="16.5" hidden="1" customHeight="1">
      <c r="A132" s="5" t="s">
        <v>100</v>
      </c>
      <c r="B132" s="5" t="s">
        <v>200</v>
      </c>
      <c r="C132" s="5" t="b">
        <v>0</v>
      </c>
      <c r="D132" s="5" t="s">
        <v>547</v>
      </c>
      <c r="E132" s="5" t="s">
        <v>548</v>
      </c>
      <c r="F132" s="5"/>
      <c r="G132" s="5" t="s">
        <v>65</v>
      </c>
      <c r="H132" s="5" t="s">
        <v>74</v>
      </c>
      <c r="I132" s="5" t="s">
        <v>106</v>
      </c>
      <c r="J132" s="25" t="s">
        <v>1154</v>
      </c>
      <c r="K132" s="25"/>
      <c r="L132" s="25"/>
      <c r="M132" s="5" t="s">
        <v>109</v>
      </c>
      <c r="N132" s="5" t="s">
        <v>113</v>
      </c>
      <c r="O132" s="5" t="s">
        <v>69</v>
      </c>
      <c r="P132" s="5" t="s">
        <v>107</v>
      </c>
      <c r="Q132" s="5" t="s">
        <v>180</v>
      </c>
      <c r="R132" s="5" t="s">
        <v>181</v>
      </c>
      <c r="S132" s="5"/>
      <c r="T132" s="5"/>
      <c r="U132" s="5"/>
      <c r="V132" s="5">
        <v>1200.0</v>
      </c>
      <c r="W132" s="26">
        <v>2.1</v>
      </c>
      <c r="X132" s="5">
        <v>571.0</v>
      </c>
      <c r="Y132" s="27">
        <v>0.0</v>
      </c>
      <c r="Z132" s="28">
        <v>571.0</v>
      </c>
      <c r="AA132" s="27">
        <v>1.0</v>
      </c>
      <c r="AB132" s="5" t="s">
        <v>78</v>
      </c>
      <c r="AC132" s="27"/>
      <c r="AD132" s="5"/>
      <c r="AE132" s="5" t="s">
        <v>546</v>
      </c>
      <c r="AF132" s="5" t="s">
        <v>81</v>
      </c>
      <c r="AG132" s="5"/>
      <c r="AH132" s="5">
        <v>4.0</v>
      </c>
      <c r="AI132" s="5" t="s">
        <v>0</v>
      </c>
      <c r="AJ132" s="5" t="s">
        <v>0</v>
      </c>
      <c r="AK132" s="30"/>
      <c r="AL132" s="28">
        <v>2720.0</v>
      </c>
      <c r="AM132" s="28">
        <v>3271.0</v>
      </c>
      <c r="AN132" s="28">
        <v>0.0</v>
      </c>
      <c r="AO132" s="28">
        <v>0.0</v>
      </c>
      <c r="AP132" s="28">
        <v>0.0</v>
      </c>
      <c r="AQ132" s="28">
        <v>1554289.6</v>
      </c>
      <c r="AR132" s="28">
        <v>0.0</v>
      </c>
      <c r="AS132" s="28">
        <v>0.0</v>
      </c>
      <c r="AT132" s="28">
        <v>0.0</v>
      </c>
      <c r="AU132" s="28">
        <v>0.0</v>
      </c>
      <c r="AV132" s="28">
        <v>1084706.4756367663</v>
      </c>
      <c r="AW132" s="28">
        <v>1350746.6537083997</v>
      </c>
      <c r="AX132" s="28">
        <v>0.0</v>
      </c>
      <c r="AY132" s="28">
        <v>0.0</v>
      </c>
      <c r="AZ132" s="5" t="s">
        <v>124</v>
      </c>
      <c r="BA132" s="5" t="s">
        <v>86</v>
      </c>
      <c r="BB132" s="5" t="s">
        <v>512</v>
      </c>
      <c r="BD132" s="5" t="s">
        <v>126</v>
      </c>
      <c r="BE132" s="5" t="s">
        <v>128</v>
      </c>
      <c r="BF132" s="5" t="s">
        <v>130</v>
      </c>
      <c r="BG132" s="5" t="s">
        <v>131</v>
      </c>
      <c r="BH132" s="5" t="s">
        <v>910</v>
      </c>
    </row>
    <row r="133" ht="16.5" hidden="1" customHeight="1">
      <c r="A133" s="5" t="s">
        <v>100</v>
      </c>
      <c r="B133" s="35" t="s">
        <v>200</v>
      </c>
      <c r="C133" s="35" t="b">
        <v>0</v>
      </c>
      <c r="D133" s="35" t="s">
        <v>1173</v>
      </c>
      <c r="E133" s="35" t="s">
        <v>1176</v>
      </c>
      <c r="F133" s="35"/>
      <c r="G133" s="35" t="s">
        <v>65</v>
      </c>
      <c r="H133" s="35" t="s">
        <v>74</v>
      </c>
      <c r="I133" s="35" t="s">
        <v>106</v>
      </c>
      <c r="J133" s="36" t="s">
        <v>150</v>
      </c>
      <c r="K133" s="25"/>
      <c r="L133" s="25"/>
      <c r="M133" s="5" t="s">
        <v>109</v>
      </c>
      <c r="N133" s="5" t="s">
        <v>113</v>
      </c>
      <c r="O133" s="5" t="s">
        <v>96</v>
      </c>
      <c r="P133" s="5" t="s">
        <v>107</v>
      </c>
      <c r="Q133" s="5" t="s">
        <v>180</v>
      </c>
      <c r="R133" s="5" t="s">
        <v>181</v>
      </c>
      <c r="S133" s="5"/>
      <c r="T133" s="5"/>
      <c r="U133" s="5"/>
      <c r="V133" s="5">
        <v>1200.0</v>
      </c>
      <c r="W133" s="26">
        <v>2.1</v>
      </c>
      <c r="X133" s="5">
        <v>571.0</v>
      </c>
      <c r="Y133" s="27">
        <v>0.0</v>
      </c>
      <c r="Z133" s="28">
        <v>571.0</v>
      </c>
      <c r="AA133" s="27">
        <v>1.0</v>
      </c>
      <c r="AB133" s="5" t="s">
        <v>78</v>
      </c>
      <c r="AC133" s="27"/>
      <c r="AD133" s="5"/>
      <c r="AE133" s="5" t="s">
        <v>546</v>
      </c>
      <c r="AF133" s="5" t="s">
        <v>81</v>
      </c>
      <c r="AG133" s="5"/>
      <c r="AH133" s="5">
        <v>3.0</v>
      </c>
      <c r="AI133" s="5" t="s">
        <v>0</v>
      </c>
      <c r="AJ133" s="5" t="s">
        <v>471</v>
      </c>
      <c r="AK133" s="30"/>
      <c r="AL133" s="28">
        <v>0.0</v>
      </c>
      <c r="AM133" s="28">
        <v>0.0</v>
      </c>
      <c r="AN133" s="28">
        <v>0.0</v>
      </c>
      <c r="AO133" s="28">
        <v>0.0</v>
      </c>
      <c r="AP133" s="28">
        <v>0.0</v>
      </c>
      <c r="AQ133" s="28">
        <v>0.0</v>
      </c>
      <c r="AR133" s="28">
        <v>0.0</v>
      </c>
      <c r="AS133" s="28">
        <v>0.0</v>
      </c>
      <c r="AT133" s="28">
        <v>0.0</v>
      </c>
      <c r="AU133" s="28">
        <v>0.0</v>
      </c>
      <c r="AV133" s="28">
        <v>0.0</v>
      </c>
      <c r="AW133" s="28">
        <v>0.0</v>
      </c>
      <c r="AX133" s="28">
        <v>0.0</v>
      </c>
      <c r="AY133" s="28">
        <v>0.0</v>
      </c>
      <c r="AZ133" s="5" t="s">
        <v>124</v>
      </c>
      <c r="BA133" s="5" t="s">
        <v>86</v>
      </c>
      <c r="BB133" s="5" t="s">
        <v>512</v>
      </c>
      <c r="BD133" s="5" t="s">
        <v>126</v>
      </c>
      <c r="BE133" s="5" t="s">
        <v>128</v>
      </c>
      <c r="BF133" s="5" t="s">
        <v>130</v>
      </c>
      <c r="BG133" s="5" t="s">
        <v>131</v>
      </c>
      <c r="BH133" s="5" t="s">
        <v>910</v>
      </c>
    </row>
    <row r="134" ht="16.5" hidden="1" customHeight="1">
      <c r="A134" s="5" t="s">
        <v>100</v>
      </c>
      <c r="B134" s="5" t="s">
        <v>200</v>
      </c>
      <c r="C134" s="5" t="b">
        <v>0</v>
      </c>
      <c r="D134" s="5" t="s">
        <v>549</v>
      </c>
      <c r="E134" s="5" t="s">
        <v>550</v>
      </c>
      <c r="F134" s="5"/>
      <c r="G134" s="5" t="s">
        <v>65</v>
      </c>
      <c r="H134" s="5" t="s">
        <v>74</v>
      </c>
      <c r="I134" s="5" t="s">
        <v>106</v>
      </c>
      <c r="J134" s="25" t="s">
        <v>1154</v>
      </c>
      <c r="K134" s="25"/>
      <c r="L134" s="25"/>
      <c r="M134" s="5" t="s">
        <v>109</v>
      </c>
      <c r="N134" s="5" t="s">
        <v>113</v>
      </c>
      <c r="O134" s="5" t="s">
        <v>69</v>
      </c>
      <c r="P134" s="5" t="s">
        <v>70</v>
      </c>
      <c r="Q134" s="5" t="s">
        <v>147</v>
      </c>
      <c r="R134" s="5" t="s">
        <v>181</v>
      </c>
      <c r="S134" s="5"/>
      <c r="T134" s="5"/>
      <c r="U134" s="5"/>
      <c r="V134" s="5">
        <v>1000.0</v>
      </c>
      <c r="W134" s="26">
        <v>2.1</v>
      </c>
      <c r="X134" s="5">
        <v>476.0</v>
      </c>
      <c r="Y134" s="27">
        <v>0.0</v>
      </c>
      <c r="Z134" s="28">
        <v>476.0</v>
      </c>
      <c r="AA134" s="27">
        <v>1.0</v>
      </c>
      <c r="AB134" s="5" t="s">
        <v>78</v>
      </c>
      <c r="AC134" s="27"/>
      <c r="AD134" s="5"/>
      <c r="AE134" s="5" t="s">
        <v>546</v>
      </c>
      <c r="AF134" s="5" t="s">
        <v>81</v>
      </c>
      <c r="AG134" s="5"/>
      <c r="AH134" s="5">
        <v>4.0</v>
      </c>
      <c r="AI134" s="5" t="s">
        <v>0</v>
      </c>
      <c r="AJ134" s="5" t="s">
        <v>0</v>
      </c>
      <c r="AK134" s="30"/>
      <c r="AL134" s="28">
        <v>4450.0</v>
      </c>
      <c r="AM134" s="28">
        <v>6085.0</v>
      </c>
      <c r="AN134" s="28">
        <v>0.0</v>
      </c>
      <c r="AO134" s="28">
        <v>0.0</v>
      </c>
      <c r="AP134" s="28">
        <v>0.0</v>
      </c>
      <c r="AQ134" s="28">
        <v>2119045.5</v>
      </c>
      <c r="AR134" s="28">
        <v>0.0</v>
      </c>
      <c r="AS134" s="28">
        <v>0.0</v>
      </c>
      <c r="AT134" s="28">
        <v>0.0</v>
      </c>
      <c r="AU134" s="28">
        <v>0.0</v>
      </c>
      <c r="AV134" s="28">
        <v>1372307.4857142852</v>
      </c>
      <c r="AW134" s="28">
        <v>2179907.551036601</v>
      </c>
      <c r="AX134" s="28">
        <v>0.0</v>
      </c>
      <c r="AY134" s="28">
        <v>0.0</v>
      </c>
      <c r="AZ134" s="5" t="s">
        <v>124</v>
      </c>
      <c r="BA134" s="5" t="s">
        <v>86</v>
      </c>
      <c r="BB134" s="5" t="s">
        <v>512</v>
      </c>
      <c r="BD134" s="5" t="s">
        <v>126</v>
      </c>
      <c r="BE134" s="5" t="s">
        <v>147</v>
      </c>
      <c r="BF134" s="5" t="s">
        <v>130</v>
      </c>
      <c r="BG134" s="5" t="s">
        <v>131</v>
      </c>
      <c r="BH134" s="5" t="s">
        <v>910</v>
      </c>
    </row>
    <row r="135" ht="16.5" hidden="1" customHeight="1">
      <c r="A135" s="5" t="s">
        <v>100</v>
      </c>
      <c r="B135" s="5" t="s">
        <v>200</v>
      </c>
      <c r="C135" s="5" t="b">
        <v>0</v>
      </c>
      <c r="D135" s="5" t="s">
        <v>554</v>
      </c>
      <c r="E135" s="5" t="s">
        <v>555</v>
      </c>
      <c r="F135" s="5"/>
      <c r="G135" s="5" t="s">
        <v>65</v>
      </c>
      <c r="H135" s="5" t="s">
        <v>74</v>
      </c>
      <c r="I135" s="5" t="s">
        <v>106</v>
      </c>
      <c r="J135" s="25" t="s">
        <v>1154</v>
      </c>
      <c r="K135" s="25"/>
      <c r="L135" s="25"/>
      <c r="M135" s="5" t="s">
        <v>109</v>
      </c>
      <c r="N135" s="5" t="s">
        <v>113</v>
      </c>
      <c r="O135" s="5" t="s">
        <v>69</v>
      </c>
      <c r="P135" s="5" t="s">
        <v>107</v>
      </c>
      <c r="Q135" s="5" t="s">
        <v>147</v>
      </c>
      <c r="R135" s="5" t="s">
        <v>181</v>
      </c>
      <c r="S135" s="5"/>
      <c r="T135" s="5"/>
      <c r="U135" s="5"/>
      <c r="V135" s="5">
        <v>1000.0</v>
      </c>
      <c r="W135" s="26">
        <v>2.1</v>
      </c>
      <c r="X135" s="5">
        <v>476.0</v>
      </c>
      <c r="Y135" s="27">
        <v>0.0</v>
      </c>
      <c r="Z135" s="28">
        <v>476.0</v>
      </c>
      <c r="AA135" s="27">
        <v>1.0</v>
      </c>
      <c r="AB135" s="5" t="s">
        <v>78</v>
      </c>
      <c r="AC135" s="27"/>
      <c r="AD135" s="5"/>
      <c r="AE135" s="5" t="s">
        <v>546</v>
      </c>
      <c r="AF135" s="5" t="s">
        <v>81</v>
      </c>
      <c r="AG135" s="5"/>
      <c r="AH135" s="5">
        <v>5.0</v>
      </c>
      <c r="AI135" s="5" t="s">
        <v>0</v>
      </c>
      <c r="AJ135" s="5" t="s">
        <v>0</v>
      </c>
      <c r="AK135" s="30"/>
      <c r="AL135" s="28">
        <v>2967.0</v>
      </c>
      <c r="AM135" s="28">
        <v>3604.0</v>
      </c>
      <c r="AN135" s="28">
        <v>0.0</v>
      </c>
      <c r="AO135" s="28">
        <v>0.0</v>
      </c>
      <c r="AP135" s="28">
        <v>0.0</v>
      </c>
      <c r="AQ135" s="28">
        <v>1412855.7300000002</v>
      </c>
      <c r="AR135" s="28">
        <v>0.0</v>
      </c>
      <c r="AS135" s="28">
        <v>0.0</v>
      </c>
      <c r="AT135" s="28">
        <v>0.0</v>
      </c>
      <c r="AU135" s="28">
        <v>0.0</v>
      </c>
      <c r="AV135" s="28">
        <v>1052692.9985603543</v>
      </c>
      <c r="AW135" s="28">
        <v>1341917.3463646</v>
      </c>
      <c r="AX135" s="28">
        <v>0.0</v>
      </c>
      <c r="AY135" s="28">
        <v>0.0</v>
      </c>
      <c r="AZ135" s="5" t="s">
        <v>124</v>
      </c>
      <c r="BA135" s="5" t="s">
        <v>86</v>
      </c>
      <c r="BB135" s="5" t="s">
        <v>512</v>
      </c>
      <c r="BD135" s="5" t="s">
        <v>126</v>
      </c>
      <c r="BE135" s="5" t="s">
        <v>147</v>
      </c>
      <c r="BF135" s="5" t="s">
        <v>130</v>
      </c>
      <c r="BG135" s="5" t="s">
        <v>131</v>
      </c>
      <c r="BH135" s="5" t="s">
        <v>910</v>
      </c>
    </row>
    <row r="136" ht="16.5" customHeight="1">
      <c r="A136" s="5" t="s">
        <v>100</v>
      </c>
      <c r="B136" s="5" t="s">
        <v>137</v>
      </c>
      <c r="C136" s="5" t="b">
        <v>1</v>
      </c>
      <c r="D136" s="5" t="s">
        <v>1197</v>
      </c>
      <c r="E136" s="5" t="s">
        <v>1199</v>
      </c>
      <c r="F136" s="5"/>
      <c r="G136" s="5" t="s">
        <v>65</v>
      </c>
      <c r="H136" s="5" t="s">
        <v>76</v>
      </c>
      <c r="I136" s="5" t="s">
        <v>82</v>
      </c>
      <c r="J136" s="25" t="s">
        <v>1200</v>
      </c>
      <c r="K136" s="25"/>
      <c r="L136" s="25"/>
      <c r="M136" s="5" t="s">
        <v>109</v>
      </c>
      <c r="N136" s="5" t="s">
        <v>68</v>
      </c>
      <c r="O136" s="5" t="s">
        <v>69</v>
      </c>
      <c r="P136" s="5" t="s">
        <v>70</v>
      </c>
      <c r="Q136" s="5" t="s">
        <v>89</v>
      </c>
      <c r="R136" s="5" t="s">
        <v>110</v>
      </c>
      <c r="S136" s="5"/>
      <c r="T136" s="5"/>
      <c r="U136" s="5"/>
      <c r="V136" s="5">
        <v>3300.0</v>
      </c>
      <c r="W136" s="26">
        <v>2.1</v>
      </c>
      <c r="X136" s="5">
        <v>1571.0</v>
      </c>
      <c r="Y136" s="27">
        <v>0.2</v>
      </c>
      <c r="Z136" s="28">
        <v>1256.8000000000002</v>
      </c>
      <c r="AA136" s="27">
        <v>1.0</v>
      </c>
      <c r="AB136" s="5" t="s">
        <v>117</v>
      </c>
      <c r="AC136" s="27">
        <v>0.5920000000000001</v>
      </c>
      <c r="AD136" s="5"/>
      <c r="AE136" s="5" t="s">
        <v>80</v>
      </c>
      <c r="AF136" s="5" t="s">
        <v>81</v>
      </c>
      <c r="AG136" s="5">
        <v>4.0</v>
      </c>
      <c r="AH136" s="5">
        <v>4.0</v>
      </c>
      <c r="AI136" s="5" t="s">
        <v>0</v>
      </c>
      <c r="AJ136" s="5" t="s">
        <v>0</v>
      </c>
      <c r="AK136" s="30">
        <v>4000.0</v>
      </c>
      <c r="AL136" s="28">
        <v>0.0</v>
      </c>
      <c r="AM136" s="28">
        <v>0.0</v>
      </c>
      <c r="AN136" s="28">
        <v>0.0</v>
      </c>
      <c r="AO136" s="28">
        <v>0.0</v>
      </c>
      <c r="AP136" s="28">
        <v>6284000.0</v>
      </c>
      <c r="AQ136" s="28">
        <v>0.0</v>
      </c>
      <c r="AR136" s="28">
        <v>0.0</v>
      </c>
      <c r="AS136" s="28">
        <v>0.0</v>
      </c>
      <c r="AT136" s="28">
        <v>0.0</v>
      </c>
      <c r="AU136" s="28">
        <v>5027200.000000001</v>
      </c>
      <c r="AV136" s="28">
        <v>0.0</v>
      </c>
      <c r="AW136" s="28">
        <v>0.0</v>
      </c>
      <c r="AX136" s="28">
        <v>0.0</v>
      </c>
      <c r="AY136" s="28">
        <v>0.0</v>
      </c>
      <c r="AZ136" s="5"/>
      <c r="BA136" s="5" t="s">
        <v>86</v>
      </c>
      <c r="BB136" s="5" t="s">
        <v>512</v>
      </c>
      <c r="BC136" s="5" t="s">
        <v>88</v>
      </c>
      <c r="BD136" s="5" t="s">
        <v>68</v>
      </c>
      <c r="BE136" s="5" t="s">
        <v>89</v>
      </c>
      <c r="BF136" s="5" t="s">
        <v>132</v>
      </c>
      <c r="BG136" s="5" t="s">
        <v>91</v>
      </c>
    </row>
    <row r="137" ht="16.5" customHeight="1">
      <c r="A137" s="5" t="s">
        <v>100</v>
      </c>
      <c r="B137" s="5" t="s">
        <v>137</v>
      </c>
      <c r="C137" s="5" t="b">
        <v>1</v>
      </c>
      <c r="D137" s="5" t="s">
        <v>1206</v>
      </c>
      <c r="E137" s="5" t="s">
        <v>1207</v>
      </c>
      <c r="F137" s="5"/>
      <c r="G137" s="5" t="s">
        <v>65</v>
      </c>
      <c r="H137" s="5" t="s">
        <v>76</v>
      </c>
      <c r="I137" s="5" t="s">
        <v>82</v>
      </c>
      <c r="J137" s="25" t="s">
        <v>1200</v>
      </c>
      <c r="K137" s="25"/>
      <c r="L137" s="25"/>
      <c r="M137" s="5" t="s">
        <v>109</v>
      </c>
      <c r="N137" s="5" t="s">
        <v>68</v>
      </c>
      <c r="O137" s="5" t="s">
        <v>69</v>
      </c>
      <c r="P137" s="5" t="s">
        <v>107</v>
      </c>
      <c r="Q137" s="5" t="s">
        <v>89</v>
      </c>
      <c r="R137" s="5" t="s">
        <v>110</v>
      </c>
      <c r="S137" s="5"/>
      <c r="T137" s="5"/>
      <c r="U137" s="5"/>
      <c r="V137" s="5">
        <v>3300.0</v>
      </c>
      <c r="W137" s="26">
        <v>2.1</v>
      </c>
      <c r="X137" s="5">
        <v>1571.0</v>
      </c>
      <c r="Y137" s="27">
        <v>0.2</v>
      </c>
      <c r="Z137" s="28">
        <v>1256.8000000000002</v>
      </c>
      <c r="AA137" s="27">
        <v>1.0</v>
      </c>
      <c r="AB137" s="5" t="s">
        <v>117</v>
      </c>
      <c r="AC137" s="27">
        <v>0.575</v>
      </c>
      <c r="AD137" s="5"/>
      <c r="AE137" s="5" t="s">
        <v>80</v>
      </c>
      <c r="AF137" s="5" t="s">
        <v>81</v>
      </c>
      <c r="AG137" s="5">
        <v>4.0</v>
      </c>
      <c r="AH137" s="5">
        <v>4.0</v>
      </c>
      <c r="AI137" s="5" t="s">
        <v>0</v>
      </c>
      <c r="AJ137" s="5" t="s">
        <v>0</v>
      </c>
      <c r="AK137" s="30">
        <v>3200.0</v>
      </c>
      <c r="AL137" s="28">
        <v>0.0</v>
      </c>
      <c r="AM137" s="28">
        <v>0.0</v>
      </c>
      <c r="AN137" s="28">
        <v>0.0</v>
      </c>
      <c r="AO137" s="28">
        <v>0.0</v>
      </c>
      <c r="AP137" s="28">
        <v>5027200.0</v>
      </c>
      <c r="AQ137" s="28">
        <v>0.0</v>
      </c>
      <c r="AR137" s="28">
        <v>0.0</v>
      </c>
      <c r="AS137" s="28">
        <v>0.0</v>
      </c>
      <c r="AT137" s="28">
        <v>0.0</v>
      </c>
      <c r="AU137" s="28">
        <v>4021760.0000000005</v>
      </c>
      <c r="AV137" s="28">
        <v>0.0</v>
      </c>
      <c r="AW137" s="28">
        <v>0.0</v>
      </c>
      <c r="AX137" s="28">
        <v>0.0</v>
      </c>
      <c r="AY137" s="28">
        <v>0.0</v>
      </c>
      <c r="AZ137" s="5"/>
      <c r="BA137" s="5" t="s">
        <v>86</v>
      </c>
      <c r="BB137" s="5" t="s">
        <v>512</v>
      </c>
      <c r="BC137" s="5" t="s">
        <v>88</v>
      </c>
      <c r="BD137" s="5" t="s">
        <v>68</v>
      </c>
      <c r="BE137" s="5" t="s">
        <v>89</v>
      </c>
      <c r="BF137" s="5" t="s">
        <v>132</v>
      </c>
      <c r="BG137" s="5" t="s">
        <v>91</v>
      </c>
    </row>
    <row r="138" ht="16.5" customHeight="1">
      <c r="A138" s="5" t="s">
        <v>100</v>
      </c>
      <c r="B138" s="5" t="s">
        <v>137</v>
      </c>
      <c r="C138" s="5" t="b">
        <v>1</v>
      </c>
      <c r="D138" s="5" t="s">
        <v>559</v>
      </c>
      <c r="E138" s="5" t="s">
        <v>560</v>
      </c>
      <c r="F138" s="5"/>
      <c r="G138" s="5" t="s">
        <v>65</v>
      </c>
      <c r="H138" s="5" t="s">
        <v>76</v>
      </c>
      <c r="I138" s="5" t="s">
        <v>82</v>
      </c>
      <c r="J138" s="25"/>
      <c r="K138" s="25"/>
      <c r="L138" s="25"/>
      <c r="M138" s="5" t="s">
        <v>109</v>
      </c>
      <c r="N138" s="5" t="s">
        <v>270</v>
      </c>
      <c r="O138" s="5" t="s">
        <v>69</v>
      </c>
      <c r="P138" s="5" t="s">
        <v>70</v>
      </c>
      <c r="Q138" s="5" t="s">
        <v>502</v>
      </c>
      <c r="R138" s="5" t="s">
        <v>110</v>
      </c>
      <c r="S138" s="5"/>
      <c r="T138" s="5"/>
      <c r="U138" s="5"/>
      <c r="V138" s="5">
        <v>1200.0</v>
      </c>
      <c r="W138" s="26">
        <v>2.1</v>
      </c>
      <c r="X138" s="5">
        <v>571.0</v>
      </c>
      <c r="Y138" s="27">
        <v>0.2</v>
      </c>
      <c r="Z138" s="28">
        <v>456.8</v>
      </c>
      <c r="AA138" s="27">
        <v>1.0</v>
      </c>
      <c r="AB138" s="5" t="s">
        <v>117</v>
      </c>
      <c r="AC138" s="27">
        <v>0.6</v>
      </c>
      <c r="AD138" s="5"/>
      <c r="AE138" s="5" t="s">
        <v>81</v>
      </c>
      <c r="AF138" s="5" t="s">
        <v>81</v>
      </c>
      <c r="AG138" s="5">
        <v>3.0</v>
      </c>
      <c r="AH138" s="5">
        <v>3.0</v>
      </c>
      <c r="AI138" s="5" t="s">
        <v>1215</v>
      </c>
      <c r="AJ138" s="5" t="s">
        <v>0</v>
      </c>
      <c r="AK138" s="30">
        <v>1350.0</v>
      </c>
      <c r="AL138" s="28">
        <v>1563.0</v>
      </c>
      <c r="AM138" s="28">
        <v>1698.0</v>
      </c>
      <c r="AN138" s="28">
        <v>941.0</v>
      </c>
      <c r="AO138" s="28">
        <v>857.0</v>
      </c>
      <c r="AP138" s="28">
        <v>770850.0</v>
      </c>
      <c r="AQ138" s="28">
        <v>893145.0899999997</v>
      </c>
      <c r="AR138" s="28">
        <v>489347.0</v>
      </c>
      <c r="AS138" s="28">
        <v>0.0</v>
      </c>
      <c r="AT138" s="28">
        <v>489347.0</v>
      </c>
      <c r="AU138" s="28">
        <v>616680.0</v>
      </c>
      <c r="AV138" s="28">
        <v>735972.6599114063</v>
      </c>
      <c r="AW138" s="28">
        <v>830461.0972355999</v>
      </c>
      <c r="AX138" s="28">
        <v>475614.6990033223</v>
      </c>
      <c r="AY138" s="28">
        <v>405487.243132</v>
      </c>
      <c r="AZ138" s="5"/>
      <c r="BA138" s="5" t="s">
        <v>86</v>
      </c>
      <c r="BB138" s="5" t="s">
        <v>512</v>
      </c>
      <c r="BC138" s="5" t="s">
        <v>88</v>
      </c>
      <c r="BD138" s="5" t="s">
        <v>276</v>
      </c>
      <c r="BE138" s="5" t="s">
        <v>161</v>
      </c>
      <c r="BF138" s="5" t="s">
        <v>277</v>
      </c>
      <c r="BG138" s="5" t="s">
        <v>131</v>
      </c>
    </row>
    <row r="139" ht="16.5" customHeight="1">
      <c r="A139" s="5" t="s">
        <v>100</v>
      </c>
      <c r="B139" s="35" t="s">
        <v>137</v>
      </c>
      <c r="C139" s="35" t="b">
        <v>1</v>
      </c>
      <c r="D139" s="35" t="s">
        <v>1219</v>
      </c>
      <c r="E139" s="35" t="s">
        <v>1220</v>
      </c>
      <c r="F139" s="35"/>
      <c r="G139" s="35" t="s">
        <v>65</v>
      </c>
      <c r="H139" s="35" t="s">
        <v>74</v>
      </c>
      <c r="I139" s="35" t="s">
        <v>82</v>
      </c>
      <c r="J139" s="36" t="s">
        <v>150</v>
      </c>
      <c r="K139" s="25"/>
      <c r="L139" s="25"/>
      <c r="M139" s="5" t="s">
        <v>109</v>
      </c>
      <c r="N139" s="5" t="s">
        <v>270</v>
      </c>
      <c r="O139" s="5" t="s">
        <v>96</v>
      </c>
      <c r="P139" s="5" t="s">
        <v>70</v>
      </c>
      <c r="Q139" s="5" t="s">
        <v>502</v>
      </c>
      <c r="R139" s="5" t="s">
        <v>110</v>
      </c>
      <c r="S139" s="5"/>
      <c r="T139" s="5"/>
      <c r="U139" s="5"/>
      <c r="V139" s="5">
        <v>1200.0</v>
      </c>
      <c r="W139" s="26">
        <v>2.1</v>
      </c>
      <c r="X139" s="5">
        <v>571.0</v>
      </c>
      <c r="Y139" s="27">
        <v>0.2</v>
      </c>
      <c r="Z139" s="28">
        <v>456.8</v>
      </c>
      <c r="AA139" s="27">
        <v>1.0</v>
      </c>
      <c r="AB139" s="5" t="s">
        <v>117</v>
      </c>
      <c r="AC139" s="27"/>
      <c r="AD139" s="5"/>
      <c r="AE139" s="5" t="s">
        <v>81</v>
      </c>
      <c r="AF139" s="5" t="s">
        <v>81</v>
      </c>
      <c r="AG139" s="5"/>
      <c r="AH139" s="5">
        <v>0.0</v>
      </c>
      <c r="AI139" s="5" t="s">
        <v>0</v>
      </c>
      <c r="AJ139" s="5" t="s">
        <v>471</v>
      </c>
      <c r="AK139" s="30">
        <v>0.0</v>
      </c>
      <c r="AL139" s="28">
        <v>0.0</v>
      </c>
      <c r="AM139" s="28">
        <v>0.0</v>
      </c>
      <c r="AN139" s="28">
        <v>0.0</v>
      </c>
      <c r="AO139" s="28">
        <v>0.0</v>
      </c>
      <c r="AP139" s="28">
        <v>0.0</v>
      </c>
      <c r="AQ139" s="28">
        <v>0.0</v>
      </c>
      <c r="AR139" s="28">
        <v>0.0</v>
      </c>
      <c r="AS139" s="28">
        <v>0.0</v>
      </c>
      <c r="AT139" s="28">
        <v>0.0</v>
      </c>
      <c r="AU139" s="28">
        <v>0.0</v>
      </c>
      <c r="AV139" s="28">
        <v>0.0</v>
      </c>
      <c r="AW139" s="28">
        <v>0.0</v>
      </c>
      <c r="AX139" s="28">
        <v>0.0</v>
      </c>
      <c r="AY139" s="28">
        <v>0.0</v>
      </c>
      <c r="AZ139" s="5" t="s">
        <v>124</v>
      </c>
      <c r="BA139" s="5" t="s">
        <v>86</v>
      </c>
      <c r="BB139" s="5" t="s">
        <v>512</v>
      </c>
      <c r="BC139" s="5" t="s">
        <v>88</v>
      </c>
      <c r="BD139" s="5" t="s">
        <v>276</v>
      </c>
      <c r="BE139" s="5" t="s">
        <v>161</v>
      </c>
      <c r="BF139" s="5" t="s">
        <v>277</v>
      </c>
      <c r="BG139" s="5" t="s">
        <v>131</v>
      </c>
    </row>
    <row r="140" ht="16.5" customHeight="1">
      <c r="A140" s="5" t="s">
        <v>100</v>
      </c>
      <c r="B140" s="5" t="s">
        <v>137</v>
      </c>
      <c r="C140" s="5" t="b">
        <v>1</v>
      </c>
      <c r="D140" s="5" t="s">
        <v>563</v>
      </c>
      <c r="E140" s="5" t="s">
        <v>564</v>
      </c>
      <c r="F140" s="5"/>
      <c r="G140" s="5" t="s">
        <v>65</v>
      </c>
      <c r="H140" s="5" t="s">
        <v>76</v>
      </c>
      <c r="I140" s="5" t="s">
        <v>82</v>
      </c>
      <c r="J140" s="25"/>
      <c r="K140" s="25"/>
      <c r="L140" s="25"/>
      <c r="M140" s="5" t="s">
        <v>109</v>
      </c>
      <c r="N140" s="5" t="s">
        <v>270</v>
      </c>
      <c r="O140" s="5" t="s">
        <v>69</v>
      </c>
      <c r="P140" s="5" t="s">
        <v>107</v>
      </c>
      <c r="Q140" s="5" t="s">
        <v>502</v>
      </c>
      <c r="R140" s="5" t="s">
        <v>110</v>
      </c>
      <c r="S140" s="5"/>
      <c r="T140" s="5"/>
      <c r="U140" s="5"/>
      <c r="V140" s="5">
        <v>1200.0</v>
      </c>
      <c r="W140" s="26">
        <v>2.1</v>
      </c>
      <c r="X140" s="5">
        <v>571.0</v>
      </c>
      <c r="Y140" s="27">
        <v>0.2</v>
      </c>
      <c r="Z140" s="28">
        <v>456.8</v>
      </c>
      <c r="AA140" s="27">
        <v>1.0</v>
      </c>
      <c r="AB140" s="5" t="s">
        <v>117</v>
      </c>
      <c r="AC140" s="27">
        <v>0.62</v>
      </c>
      <c r="AD140" s="5"/>
      <c r="AE140" s="5" t="s">
        <v>81</v>
      </c>
      <c r="AF140" s="5" t="s">
        <v>81</v>
      </c>
      <c r="AG140" s="5">
        <v>3.0</v>
      </c>
      <c r="AH140" s="5">
        <v>3.0</v>
      </c>
      <c r="AI140" s="5" t="s">
        <v>1215</v>
      </c>
      <c r="AJ140" s="5" t="s">
        <v>0</v>
      </c>
      <c r="AK140" s="30">
        <v>1200.0</v>
      </c>
      <c r="AL140" s="28">
        <v>1405.0</v>
      </c>
      <c r="AM140" s="28">
        <v>1619.0</v>
      </c>
      <c r="AN140" s="28">
        <v>710.0</v>
      </c>
      <c r="AO140" s="28">
        <v>704.0</v>
      </c>
      <c r="AP140" s="28">
        <v>685200.0</v>
      </c>
      <c r="AQ140" s="28">
        <v>802859.1499999998</v>
      </c>
      <c r="AR140" s="28">
        <v>401984.0</v>
      </c>
      <c r="AS140" s="28">
        <v>0.0</v>
      </c>
      <c r="AT140" s="28">
        <v>401984.0</v>
      </c>
      <c r="AU140" s="28">
        <v>548160.0</v>
      </c>
      <c r="AV140" s="28">
        <v>675667.5401993357</v>
      </c>
      <c r="AW140" s="28">
        <v>815749.6726619999</v>
      </c>
      <c r="AX140" s="28">
        <v>358823.0245847176</v>
      </c>
      <c r="AY140" s="28">
        <v>330109.40228000004</v>
      </c>
      <c r="AZ140" s="5"/>
      <c r="BA140" s="5" t="s">
        <v>86</v>
      </c>
      <c r="BB140" s="5" t="s">
        <v>512</v>
      </c>
      <c r="BC140" s="5" t="s">
        <v>88</v>
      </c>
      <c r="BD140" s="5" t="s">
        <v>276</v>
      </c>
      <c r="BE140" s="5" t="s">
        <v>161</v>
      </c>
      <c r="BF140" s="5" t="s">
        <v>277</v>
      </c>
      <c r="BG140" s="5" t="s">
        <v>131</v>
      </c>
    </row>
    <row r="141" ht="16.5" customHeight="1">
      <c r="A141" s="5" t="s">
        <v>100</v>
      </c>
      <c r="B141" s="35" t="s">
        <v>137</v>
      </c>
      <c r="C141" s="35" t="b">
        <v>1</v>
      </c>
      <c r="D141" s="35" t="s">
        <v>1232</v>
      </c>
      <c r="E141" s="35" t="s">
        <v>1233</v>
      </c>
      <c r="F141" s="35"/>
      <c r="G141" s="35" t="s">
        <v>65</v>
      </c>
      <c r="H141" s="35" t="s">
        <v>74</v>
      </c>
      <c r="I141" s="35" t="s">
        <v>82</v>
      </c>
      <c r="J141" s="36" t="s">
        <v>150</v>
      </c>
      <c r="K141" s="25"/>
      <c r="L141" s="25"/>
      <c r="M141" s="5" t="s">
        <v>109</v>
      </c>
      <c r="N141" s="5" t="s">
        <v>270</v>
      </c>
      <c r="O141" s="5" t="s">
        <v>96</v>
      </c>
      <c r="P141" s="5" t="s">
        <v>107</v>
      </c>
      <c r="Q141" s="5" t="s">
        <v>502</v>
      </c>
      <c r="R141" s="5" t="s">
        <v>110</v>
      </c>
      <c r="S141" s="5"/>
      <c r="T141" s="5"/>
      <c r="U141" s="5"/>
      <c r="V141" s="5">
        <v>1200.0</v>
      </c>
      <c r="W141" s="26">
        <v>2.1</v>
      </c>
      <c r="X141" s="5">
        <v>571.0</v>
      </c>
      <c r="Y141" s="27">
        <v>0.2</v>
      </c>
      <c r="Z141" s="28">
        <v>456.8</v>
      </c>
      <c r="AA141" s="27">
        <v>1.0</v>
      </c>
      <c r="AB141" s="5" t="s">
        <v>117</v>
      </c>
      <c r="AC141" s="27"/>
      <c r="AD141" s="5"/>
      <c r="AE141" s="5" t="s">
        <v>81</v>
      </c>
      <c r="AF141" s="5" t="s">
        <v>81</v>
      </c>
      <c r="AG141" s="5"/>
      <c r="AH141" s="5">
        <v>0.0</v>
      </c>
      <c r="AI141" s="5" t="s">
        <v>0</v>
      </c>
      <c r="AJ141" s="5" t="s">
        <v>471</v>
      </c>
      <c r="AK141" s="30">
        <v>0.0</v>
      </c>
      <c r="AL141" s="28">
        <v>0.0</v>
      </c>
      <c r="AM141" s="28">
        <v>0.0</v>
      </c>
      <c r="AN141" s="28">
        <v>0.0</v>
      </c>
      <c r="AO141" s="28">
        <v>0.0</v>
      </c>
      <c r="AP141" s="28">
        <v>0.0</v>
      </c>
      <c r="AQ141" s="28">
        <v>0.0</v>
      </c>
      <c r="AR141" s="28">
        <v>0.0</v>
      </c>
      <c r="AS141" s="28">
        <v>0.0</v>
      </c>
      <c r="AT141" s="28">
        <v>0.0</v>
      </c>
      <c r="AU141" s="28">
        <v>0.0</v>
      </c>
      <c r="AV141" s="28">
        <v>0.0</v>
      </c>
      <c r="AW141" s="28">
        <v>0.0</v>
      </c>
      <c r="AX141" s="28">
        <v>0.0</v>
      </c>
      <c r="AY141" s="28">
        <v>0.0</v>
      </c>
      <c r="AZ141" s="5" t="s">
        <v>124</v>
      </c>
      <c r="BA141" s="5" t="s">
        <v>86</v>
      </c>
      <c r="BB141" s="5" t="s">
        <v>512</v>
      </c>
      <c r="BC141" s="5" t="s">
        <v>88</v>
      </c>
      <c r="BD141" s="5" t="s">
        <v>276</v>
      </c>
      <c r="BE141" s="5" t="s">
        <v>161</v>
      </c>
      <c r="BF141" s="5" t="s">
        <v>277</v>
      </c>
      <c r="BG141" s="5" t="s">
        <v>131</v>
      </c>
    </row>
    <row r="142" ht="16.5" customHeight="1">
      <c r="A142" s="5" t="s">
        <v>100</v>
      </c>
      <c r="B142" s="5" t="s">
        <v>137</v>
      </c>
      <c r="C142" s="5" t="b">
        <v>1</v>
      </c>
      <c r="D142" s="5" t="s">
        <v>566</v>
      </c>
      <c r="E142" s="5" t="s">
        <v>567</v>
      </c>
      <c r="F142" s="5"/>
      <c r="G142" s="5" t="s">
        <v>65</v>
      </c>
      <c r="H142" s="5" t="s">
        <v>74</v>
      </c>
      <c r="I142" s="5" t="s">
        <v>82</v>
      </c>
      <c r="J142" s="25"/>
      <c r="K142" s="25"/>
      <c r="L142" s="25"/>
      <c r="M142" s="5" t="s">
        <v>109</v>
      </c>
      <c r="N142" s="5" t="s">
        <v>270</v>
      </c>
      <c r="O142" s="5" t="s">
        <v>69</v>
      </c>
      <c r="P142" s="5" t="s">
        <v>70</v>
      </c>
      <c r="Q142" s="5" t="s">
        <v>526</v>
      </c>
      <c r="R142" s="5" t="s">
        <v>110</v>
      </c>
      <c r="S142" s="5"/>
      <c r="T142" s="5"/>
      <c r="U142" s="5"/>
      <c r="V142" s="5">
        <v>1100.0</v>
      </c>
      <c r="W142" s="26">
        <v>2.1</v>
      </c>
      <c r="X142" s="5">
        <v>524.0</v>
      </c>
      <c r="Y142" s="27">
        <v>0.2</v>
      </c>
      <c r="Z142" s="28">
        <v>419.20000000000005</v>
      </c>
      <c r="AA142" s="27">
        <v>1.0</v>
      </c>
      <c r="AB142" s="5" t="s">
        <v>117</v>
      </c>
      <c r="AC142" s="27">
        <v>0.6</v>
      </c>
      <c r="AD142" s="5"/>
      <c r="AE142" s="5" t="s">
        <v>81</v>
      </c>
      <c r="AF142" s="5" t="s">
        <v>81</v>
      </c>
      <c r="AG142" s="5">
        <v>3.0</v>
      </c>
      <c r="AH142" s="5">
        <v>3.0</v>
      </c>
      <c r="AI142" s="5" t="s">
        <v>0</v>
      </c>
      <c r="AJ142" s="5" t="s">
        <v>0</v>
      </c>
      <c r="AK142" s="30">
        <v>1000.0</v>
      </c>
      <c r="AL142" s="28">
        <v>1164.0</v>
      </c>
      <c r="AM142" s="28">
        <v>1433.0</v>
      </c>
      <c r="AN142" s="28">
        <v>0.0</v>
      </c>
      <c r="AO142" s="28">
        <v>0.0</v>
      </c>
      <c r="AP142" s="28">
        <v>524000.0</v>
      </c>
      <c r="AQ142" s="28">
        <v>609714.8400000001</v>
      </c>
      <c r="AR142" s="28">
        <v>0.0</v>
      </c>
      <c r="AS142" s="28">
        <v>0.0</v>
      </c>
      <c r="AT142" s="28">
        <v>0.0</v>
      </c>
      <c r="AU142" s="28">
        <v>419200.00000000006</v>
      </c>
      <c r="AV142" s="28">
        <v>506565.4163898118</v>
      </c>
      <c r="AW142" s="28">
        <v>666879.179776</v>
      </c>
      <c r="AX142" s="28">
        <v>0.0</v>
      </c>
      <c r="AY142" s="28">
        <v>0.0</v>
      </c>
      <c r="AZ142" s="5"/>
      <c r="BA142" s="5" t="s">
        <v>86</v>
      </c>
      <c r="BB142" s="5" t="s">
        <v>512</v>
      </c>
      <c r="BC142" s="5" t="s">
        <v>88</v>
      </c>
      <c r="BD142" s="5" t="s">
        <v>276</v>
      </c>
      <c r="BE142" s="5" t="s">
        <v>89</v>
      </c>
      <c r="BF142" s="5" t="s">
        <v>277</v>
      </c>
      <c r="BG142" s="5" t="s">
        <v>131</v>
      </c>
    </row>
    <row r="143" ht="16.5" customHeight="1">
      <c r="A143" s="5" t="s">
        <v>100</v>
      </c>
      <c r="B143" s="5" t="s">
        <v>137</v>
      </c>
      <c r="C143" s="5" t="b">
        <v>1</v>
      </c>
      <c r="D143" s="5" t="s">
        <v>570</v>
      </c>
      <c r="E143" s="5" t="s">
        <v>571</v>
      </c>
      <c r="F143" s="5"/>
      <c r="G143" s="5" t="s">
        <v>65</v>
      </c>
      <c r="H143" s="5" t="s">
        <v>74</v>
      </c>
      <c r="I143" s="5" t="s">
        <v>82</v>
      </c>
      <c r="J143" s="25"/>
      <c r="K143" s="25"/>
      <c r="L143" s="25"/>
      <c r="M143" s="5" t="s">
        <v>109</v>
      </c>
      <c r="N143" s="5" t="s">
        <v>270</v>
      </c>
      <c r="O143" s="5" t="s">
        <v>69</v>
      </c>
      <c r="P143" s="5" t="s">
        <v>107</v>
      </c>
      <c r="Q143" s="5" t="s">
        <v>526</v>
      </c>
      <c r="R143" s="5" t="s">
        <v>110</v>
      </c>
      <c r="S143" s="5"/>
      <c r="T143" s="5"/>
      <c r="U143" s="5"/>
      <c r="V143" s="5">
        <v>1100.0</v>
      </c>
      <c r="W143" s="26">
        <v>2.1</v>
      </c>
      <c r="X143" s="5">
        <v>524.0</v>
      </c>
      <c r="Y143" s="27">
        <v>0.2</v>
      </c>
      <c r="Z143" s="28">
        <v>419.20000000000005</v>
      </c>
      <c r="AA143" s="27">
        <v>1.0</v>
      </c>
      <c r="AB143" s="5" t="s">
        <v>117</v>
      </c>
      <c r="AC143" s="27">
        <v>0.62</v>
      </c>
      <c r="AD143" s="5"/>
      <c r="AE143" s="5" t="s">
        <v>81</v>
      </c>
      <c r="AF143" s="5" t="s">
        <v>81</v>
      </c>
      <c r="AG143" s="5">
        <v>3.0</v>
      </c>
      <c r="AH143" s="5">
        <v>3.0</v>
      </c>
      <c r="AI143" s="5" t="s">
        <v>0</v>
      </c>
      <c r="AJ143" s="5" t="s">
        <v>0</v>
      </c>
      <c r="AK143" s="30">
        <v>800.0</v>
      </c>
      <c r="AL143" s="28">
        <v>949.0</v>
      </c>
      <c r="AM143" s="28">
        <v>944.0</v>
      </c>
      <c r="AN143" s="28">
        <v>0.0</v>
      </c>
      <c r="AO143" s="28">
        <v>0.0</v>
      </c>
      <c r="AP143" s="28">
        <v>419200.0</v>
      </c>
      <c r="AQ143" s="28">
        <v>497095.69</v>
      </c>
      <c r="AR143" s="28">
        <v>0.0</v>
      </c>
      <c r="AS143" s="28">
        <v>0.0</v>
      </c>
      <c r="AT143" s="28">
        <v>0.0</v>
      </c>
      <c r="AU143" s="28">
        <v>335360.00000000006</v>
      </c>
      <c r="AV143" s="28">
        <v>415209.56168327807</v>
      </c>
      <c r="AW143" s="28">
        <v>426337.20214200014</v>
      </c>
      <c r="AX143" s="28">
        <v>0.0</v>
      </c>
      <c r="AY143" s="28">
        <v>0.0</v>
      </c>
      <c r="AZ143" s="5"/>
      <c r="BA143" s="5" t="s">
        <v>86</v>
      </c>
      <c r="BB143" s="5" t="s">
        <v>512</v>
      </c>
      <c r="BC143" s="5" t="s">
        <v>88</v>
      </c>
      <c r="BD143" s="5" t="s">
        <v>276</v>
      </c>
      <c r="BE143" s="5" t="s">
        <v>89</v>
      </c>
      <c r="BF143" s="5" t="s">
        <v>277</v>
      </c>
      <c r="BG143" s="5" t="s">
        <v>131</v>
      </c>
    </row>
    <row r="144" ht="16.5" customHeight="1">
      <c r="A144" s="5" t="s">
        <v>100</v>
      </c>
      <c r="B144" s="5" t="s">
        <v>137</v>
      </c>
      <c r="C144" s="5" t="b">
        <v>1</v>
      </c>
      <c r="D144" s="5" t="s">
        <v>573</v>
      </c>
      <c r="E144" s="5" t="s">
        <v>574</v>
      </c>
      <c r="F144" s="5"/>
      <c r="G144" s="5" t="s">
        <v>65</v>
      </c>
      <c r="H144" s="5" t="s">
        <v>74</v>
      </c>
      <c r="I144" s="5" t="s">
        <v>82</v>
      </c>
      <c r="J144" s="25"/>
      <c r="K144" s="25"/>
      <c r="L144" s="25"/>
      <c r="M144" s="5" t="s">
        <v>109</v>
      </c>
      <c r="N144" s="5" t="s">
        <v>355</v>
      </c>
      <c r="O144" s="5" t="s">
        <v>69</v>
      </c>
      <c r="P144" s="5" t="s">
        <v>70</v>
      </c>
      <c r="Q144" s="5" t="s">
        <v>282</v>
      </c>
      <c r="R144" s="5" t="s">
        <v>110</v>
      </c>
      <c r="S144" s="5"/>
      <c r="T144" s="5"/>
      <c r="U144" s="5"/>
      <c r="V144" s="5">
        <v>2500.0</v>
      </c>
      <c r="W144" s="26">
        <v>2.1</v>
      </c>
      <c r="X144" s="5">
        <v>1190.0</v>
      </c>
      <c r="Y144" s="27">
        <v>0.2</v>
      </c>
      <c r="Z144" s="28">
        <v>952.0</v>
      </c>
      <c r="AA144" s="27">
        <v>1.0</v>
      </c>
      <c r="AB144" s="5" t="s">
        <v>117</v>
      </c>
      <c r="AC144" s="27">
        <v>0.6</v>
      </c>
      <c r="AD144" s="5"/>
      <c r="AE144" s="5" t="s">
        <v>198</v>
      </c>
      <c r="AF144" s="5" t="s">
        <v>81</v>
      </c>
      <c r="AG144" s="5">
        <v>4.0</v>
      </c>
      <c r="AH144" s="5">
        <v>4.0</v>
      </c>
      <c r="AI144" s="5" t="s">
        <v>0</v>
      </c>
      <c r="AJ144" s="5" t="s">
        <v>0</v>
      </c>
      <c r="AK144" s="30">
        <v>2600.0</v>
      </c>
      <c r="AL144" s="28">
        <v>2570.0</v>
      </c>
      <c r="AM144" s="28">
        <v>2660.0</v>
      </c>
      <c r="AN144" s="28">
        <v>0.0</v>
      </c>
      <c r="AO144" s="28">
        <v>6.0</v>
      </c>
      <c r="AP144" s="28">
        <v>3094000.0</v>
      </c>
      <c r="AQ144" s="28">
        <v>3059533.6</v>
      </c>
      <c r="AR144" s="28">
        <v>7140.0</v>
      </c>
      <c r="AS144" s="28">
        <v>0.0</v>
      </c>
      <c r="AT144" s="28">
        <v>7140.0</v>
      </c>
      <c r="AU144" s="28">
        <v>2475200.0</v>
      </c>
      <c r="AV144" s="28">
        <v>2171820.8673864887</v>
      </c>
      <c r="AW144" s="28">
        <v>2178372.63875925</v>
      </c>
      <c r="AX144" s="28">
        <v>0.0</v>
      </c>
      <c r="AY144" s="28">
        <v>6310.35</v>
      </c>
      <c r="AZ144" s="5"/>
      <c r="BA144" s="5" t="s">
        <v>86</v>
      </c>
      <c r="BB144" s="5" t="s">
        <v>512</v>
      </c>
      <c r="BC144" s="32" t="s">
        <v>122</v>
      </c>
      <c r="BD144" s="5" t="s">
        <v>355</v>
      </c>
      <c r="BE144" s="5" t="s">
        <v>161</v>
      </c>
      <c r="BF144" s="5" t="s">
        <v>539</v>
      </c>
      <c r="BG144" s="5" t="s">
        <v>131</v>
      </c>
    </row>
    <row r="145" ht="16.5" customHeight="1">
      <c r="A145" s="5" t="s">
        <v>100</v>
      </c>
      <c r="B145" s="35" t="s">
        <v>137</v>
      </c>
      <c r="C145" s="35" t="b">
        <v>1</v>
      </c>
      <c r="D145" s="35" t="s">
        <v>1254</v>
      </c>
      <c r="E145" s="35" t="s">
        <v>1257</v>
      </c>
      <c r="F145" s="35"/>
      <c r="G145" s="35" t="s">
        <v>65</v>
      </c>
      <c r="H145" s="35" t="s">
        <v>74</v>
      </c>
      <c r="I145" s="35" t="s">
        <v>82</v>
      </c>
      <c r="J145" s="36" t="s">
        <v>150</v>
      </c>
      <c r="K145" s="25"/>
      <c r="L145" s="25"/>
      <c r="M145" s="5" t="s">
        <v>109</v>
      </c>
      <c r="N145" s="5" t="s">
        <v>355</v>
      </c>
      <c r="O145" s="5" t="s">
        <v>96</v>
      </c>
      <c r="P145" s="5" t="s">
        <v>70</v>
      </c>
      <c r="Q145" s="5" t="s">
        <v>282</v>
      </c>
      <c r="R145" s="5" t="s">
        <v>110</v>
      </c>
      <c r="S145" s="5"/>
      <c r="T145" s="5"/>
      <c r="U145" s="5"/>
      <c r="V145" s="5">
        <v>2500.0</v>
      </c>
      <c r="W145" s="26">
        <v>2.1</v>
      </c>
      <c r="X145" s="5">
        <v>1190.0</v>
      </c>
      <c r="Y145" s="27">
        <v>0.2</v>
      </c>
      <c r="Z145" s="28">
        <v>952.0</v>
      </c>
      <c r="AA145" s="27">
        <v>1.0</v>
      </c>
      <c r="AB145" s="5" t="s">
        <v>117</v>
      </c>
      <c r="AC145" s="27"/>
      <c r="AD145" s="5"/>
      <c r="AE145" s="5" t="s">
        <v>198</v>
      </c>
      <c r="AF145" s="5" t="s">
        <v>81</v>
      </c>
      <c r="AG145" s="5"/>
      <c r="AH145" s="5">
        <v>0.0</v>
      </c>
      <c r="AI145" s="5" t="s">
        <v>0</v>
      </c>
      <c r="AJ145" s="5" t="s">
        <v>471</v>
      </c>
      <c r="AK145" s="30">
        <v>0.0</v>
      </c>
      <c r="AL145" s="28">
        <v>0.0</v>
      </c>
      <c r="AM145" s="28">
        <v>0.0</v>
      </c>
      <c r="AN145" s="28">
        <v>0.0</v>
      </c>
      <c r="AO145" s="28">
        <v>0.0</v>
      </c>
      <c r="AP145" s="28">
        <v>0.0</v>
      </c>
      <c r="AQ145" s="28">
        <v>0.0</v>
      </c>
      <c r="AR145" s="28">
        <v>0.0</v>
      </c>
      <c r="AS145" s="28">
        <v>0.0</v>
      </c>
      <c r="AT145" s="28">
        <v>0.0</v>
      </c>
      <c r="AU145" s="28">
        <v>0.0</v>
      </c>
      <c r="AV145" s="28">
        <v>0.0</v>
      </c>
      <c r="AW145" s="28">
        <v>0.0</v>
      </c>
      <c r="AX145" s="28">
        <v>0.0</v>
      </c>
      <c r="AY145" s="28">
        <v>0.0</v>
      </c>
      <c r="AZ145" s="5" t="s">
        <v>124</v>
      </c>
      <c r="BA145" s="5" t="s">
        <v>86</v>
      </c>
      <c r="BB145" s="5" t="s">
        <v>512</v>
      </c>
      <c r="BC145" s="32" t="s">
        <v>122</v>
      </c>
      <c r="BD145" s="5" t="s">
        <v>355</v>
      </c>
      <c r="BE145" s="5" t="s">
        <v>161</v>
      </c>
      <c r="BF145" s="5" t="s">
        <v>539</v>
      </c>
      <c r="BG145" s="5" t="s">
        <v>131</v>
      </c>
    </row>
    <row r="146" ht="16.5" customHeight="1">
      <c r="A146" s="5" t="s">
        <v>100</v>
      </c>
      <c r="B146" s="5" t="s">
        <v>137</v>
      </c>
      <c r="C146" s="5" t="b">
        <v>1</v>
      </c>
      <c r="D146" s="5" t="s">
        <v>576</v>
      </c>
      <c r="E146" s="5" t="s">
        <v>577</v>
      </c>
      <c r="F146" s="5"/>
      <c r="G146" s="5" t="s">
        <v>65</v>
      </c>
      <c r="H146" s="5" t="s">
        <v>74</v>
      </c>
      <c r="I146" s="5" t="s">
        <v>82</v>
      </c>
      <c r="J146" s="25"/>
      <c r="K146" s="25"/>
      <c r="L146" s="25"/>
      <c r="M146" s="5" t="s">
        <v>109</v>
      </c>
      <c r="N146" s="5" t="s">
        <v>355</v>
      </c>
      <c r="O146" s="5" t="s">
        <v>69</v>
      </c>
      <c r="P146" s="5" t="s">
        <v>107</v>
      </c>
      <c r="Q146" s="5" t="s">
        <v>282</v>
      </c>
      <c r="R146" s="5" t="s">
        <v>110</v>
      </c>
      <c r="S146" s="5"/>
      <c r="T146" s="5"/>
      <c r="U146" s="5"/>
      <c r="V146" s="5">
        <v>2500.0</v>
      </c>
      <c r="W146" s="26">
        <v>2.1</v>
      </c>
      <c r="X146" s="5">
        <v>1190.0</v>
      </c>
      <c r="Y146" s="27">
        <v>0.2</v>
      </c>
      <c r="Z146" s="28">
        <v>952.0</v>
      </c>
      <c r="AA146" s="27">
        <v>1.0</v>
      </c>
      <c r="AB146" s="5" t="s">
        <v>117</v>
      </c>
      <c r="AC146" s="27">
        <v>0.62</v>
      </c>
      <c r="AD146" s="5"/>
      <c r="AE146" s="5" t="s">
        <v>198</v>
      </c>
      <c r="AF146" s="5" t="s">
        <v>81</v>
      </c>
      <c r="AG146" s="5">
        <v>3.0</v>
      </c>
      <c r="AH146" s="5">
        <v>3.0</v>
      </c>
      <c r="AI146" s="5" t="s">
        <v>0</v>
      </c>
      <c r="AJ146" s="5" t="s">
        <v>0</v>
      </c>
      <c r="AK146" s="30">
        <v>2000.0</v>
      </c>
      <c r="AL146" s="28">
        <v>2024.0</v>
      </c>
      <c r="AM146" s="28">
        <v>2022.0</v>
      </c>
      <c r="AN146" s="28">
        <v>0.0</v>
      </c>
      <c r="AO146" s="28">
        <v>6.0</v>
      </c>
      <c r="AP146" s="28">
        <v>2380000.0</v>
      </c>
      <c r="AQ146" s="28">
        <v>2409531.519999999</v>
      </c>
      <c r="AR146" s="28">
        <v>7140.0</v>
      </c>
      <c r="AS146" s="28">
        <v>0.0</v>
      </c>
      <c r="AT146" s="28">
        <v>7140.0</v>
      </c>
      <c r="AU146" s="28">
        <v>1904000.0</v>
      </c>
      <c r="AV146" s="28">
        <v>1764677.075802879</v>
      </c>
      <c r="AW146" s="28">
        <v>1567998.8975995001</v>
      </c>
      <c r="AX146" s="28">
        <v>0.0</v>
      </c>
      <c r="AY146" s="28">
        <v>6310.349999999999</v>
      </c>
      <c r="AZ146" s="5"/>
      <c r="BA146" s="5" t="s">
        <v>86</v>
      </c>
      <c r="BB146" s="5" t="s">
        <v>512</v>
      </c>
      <c r="BC146" s="32" t="s">
        <v>122</v>
      </c>
      <c r="BD146" s="5" t="s">
        <v>355</v>
      </c>
      <c r="BE146" s="5" t="s">
        <v>161</v>
      </c>
      <c r="BF146" s="5" t="s">
        <v>539</v>
      </c>
      <c r="BG146" s="5" t="s">
        <v>131</v>
      </c>
    </row>
    <row r="147" ht="16.5" customHeight="1">
      <c r="A147" s="5" t="s">
        <v>100</v>
      </c>
      <c r="B147" s="35" t="s">
        <v>137</v>
      </c>
      <c r="C147" s="35" t="b">
        <v>1</v>
      </c>
      <c r="D147" s="35" t="s">
        <v>1270</v>
      </c>
      <c r="E147" s="35" t="s">
        <v>1271</v>
      </c>
      <c r="F147" s="35"/>
      <c r="G147" s="35" t="s">
        <v>65</v>
      </c>
      <c r="H147" s="35" t="s">
        <v>74</v>
      </c>
      <c r="I147" s="35" t="s">
        <v>82</v>
      </c>
      <c r="J147" s="36" t="s">
        <v>150</v>
      </c>
      <c r="K147" s="25"/>
      <c r="L147" s="25"/>
      <c r="M147" s="5" t="s">
        <v>109</v>
      </c>
      <c r="N147" s="5" t="s">
        <v>355</v>
      </c>
      <c r="O147" s="5" t="s">
        <v>96</v>
      </c>
      <c r="P147" s="5" t="s">
        <v>107</v>
      </c>
      <c r="Q147" s="5" t="s">
        <v>282</v>
      </c>
      <c r="R147" s="5" t="s">
        <v>110</v>
      </c>
      <c r="S147" s="5"/>
      <c r="T147" s="5"/>
      <c r="U147" s="5"/>
      <c r="V147" s="5">
        <v>2500.0</v>
      </c>
      <c r="W147" s="26">
        <v>2.1</v>
      </c>
      <c r="X147" s="5">
        <v>1190.0</v>
      </c>
      <c r="Y147" s="27">
        <v>0.2</v>
      </c>
      <c r="Z147" s="28">
        <v>952.0</v>
      </c>
      <c r="AA147" s="27">
        <v>1.0</v>
      </c>
      <c r="AB147" s="5" t="s">
        <v>117</v>
      </c>
      <c r="AC147" s="27"/>
      <c r="AD147" s="5"/>
      <c r="AE147" s="5" t="s">
        <v>198</v>
      </c>
      <c r="AF147" s="5" t="s">
        <v>81</v>
      </c>
      <c r="AG147" s="5"/>
      <c r="AH147" s="5">
        <v>0.0</v>
      </c>
      <c r="AI147" s="5" t="s">
        <v>0</v>
      </c>
      <c r="AJ147" s="5" t="s">
        <v>471</v>
      </c>
      <c r="AK147" s="30">
        <v>0.0</v>
      </c>
      <c r="AL147" s="28">
        <v>0.0</v>
      </c>
      <c r="AM147" s="28">
        <v>0.0</v>
      </c>
      <c r="AN147" s="28">
        <v>0.0</v>
      </c>
      <c r="AO147" s="28">
        <v>0.0</v>
      </c>
      <c r="AP147" s="28">
        <v>0.0</v>
      </c>
      <c r="AQ147" s="28">
        <v>0.0</v>
      </c>
      <c r="AR147" s="28">
        <v>0.0</v>
      </c>
      <c r="AS147" s="28">
        <v>0.0</v>
      </c>
      <c r="AT147" s="28">
        <v>0.0</v>
      </c>
      <c r="AU147" s="28">
        <v>0.0</v>
      </c>
      <c r="AV147" s="28">
        <v>0.0</v>
      </c>
      <c r="AW147" s="28">
        <v>0.0</v>
      </c>
      <c r="AX147" s="28">
        <v>0.0</v>
      </c>
      <c r="AY147" s="28">
        <v>0.0</v>
      </c>
      <c r="AZ147" s="5" t="s">
        <v>124</v>
      </c>
      <c r="BA147" s="5" t="s">
        <v>86</v>
      </c>
      <c r="BB147" s="5" t="s">
        <v>512</v>
      </c>
      <c r="BC147" s="32" t="s">
        <v>122</v>
      </c>
      <c r="BD147" s="5" t="s">
        <v>355</v>
      </c>
      <c r="BE147" s="5" t="s">
        <v>161</v>
      </c>
      <c r="BF147" s="5" t="s">
        <v>539</v>
      </c>
      <c r="BG147" s="5" t="s">
        <v>131</v>
      </c>
    </row>
    <row r="148" ht="16.5" customHeight="1">
      <c r="A148" s="5" t="s">
        <v>100</v>
      </c>
      <c r="B148" s="5" t="s">
        <v>137</v>
      </c>
      <c r="C148" s="5" t="b">
        <v>1</v>
      </c>
      <c r="D148" s="5" t="s">
        <v>581</v>
      </c>
      <c r="E148" s="5" t="s">
        <v>582</v>
      </c>
      <c r="F148" s="5"/>
      <c r="G148" s="5" t="s">
        <v>65</v>
      </c>
      <c r="H148" s="5" t="s">
        <v>74</v>
      </c>
      <c r="I148" s="5" t="s">
        <v>82</v>
      </c>
      <c r="J148" s="25"/>
      <c r="K148" s="25"/>
      <c r="L148" s="25"/>
      <c r="M148" s="5" t="s">
        <v>109</v>
      </c>
      <c r="N148" s="5" t="s">
        <v>355</v>
      </c>
      <c r="O148" s="5" t="s">
        <v>69</v>
      </c>
      <c r="P148" s="5" t="s">
        <v>70</v>
      </c>
      <c r="Q148" s="5" t="s">
        <v>373</v>
      </c>
      <c r="R148" s="5" t="s">
        <v>110</v>
      </c>
      <c r="S148" s="5"/>
      <c r="T148" s="5"/>
      <c r="U148" s="5"/>
      <c r="V148" s="5">
        <v>1800.0</v>
      </c>
      <c r="W148" s="26">
        <v>2.1</v>
      </c>
      <c r="X148" s="5">
        <v>857.0</v>
      </c>
      <c r="Y148" s="27">
        <v>0.2</v>
      </c>
      <c r="Z148" s="28">
        <v>685.6</v>
      </c>
      <c r="AA148" s="27">
        <v>1.0</v>
      </c>
      <c r="AB148" s="5" t="s">
        <v>117</v>
      </c>
      <c r="AC148" s="27">
        <v>0.6</v>
      </c>
      <c r="AD148" s="5"/>
      <c r="AE148" s="5" t="s">
        <v>198</v>
      </c>
      <c r="AF148" s="5" t="s">
        <v>81</v>
      </c>
      <c r="AG148" s="5">
        <v>3.0</v>
      </c>
      <c r="AH148" s="5">
        <v>3.0</v>
      </c>
      <c r="AI148" s="5" t="s">
        <v>0</v>
      </c>
      <c r="AJ148" s="5" t="s">
        <v>0</v>
      </c>
      <c r="AK148" s="30">
        <v>1000.0</v>
      </c>
      <c r="AL148" s="28">
        <v>997.0</v>
      </c>
      <c r="AM148" s="28">
        <v>899.0</v>
      </c>
      <c r="AN148" s="28">
        <v>0.0</v>
      </c>
      <c r="AO148" s="28">
        <v>0.0</v>
      </c>
      <c r="AP148" s="28">
        <v>857000.0</v>
      </c>
      <c r="AQ148" s="28">
        <v>854568.5799999998</v>
      </c>
      <c r="AR148" s="28">
        <v>0.0</v>
      </c>
      <c r="AS148" s="28">
        <v>0.0</v>
      </c>
      <c r="AT148" s="28">
        <v>0.0</v>
      </c>
      <c r="AU148" s="28">
        <v>685600.0</v>
      </c>
      <c r="AV148" s="28">
        <v>699324.2410852714</v>
      </c>
      <c r="AW148" s="28">
        <v>607061.0110434999</v>
      </c>
      <c r="AX148" s="28">
        <v>0.0</v>
      </c>
      <c r="AY148" s="28">
        <v>0.0</v>
      </c>
      <c r="AZ148" s="5"/>
      <c r="BA148" s="5" t="s">
        <v>86</v>
      </c>
      <c r="BB148" s="5" t="s">
        <v>512</v>
      </c>
      <c r="BC148" s="32" t="s">
        <v>584</v>
      </c>
      <c r="BD148" s="5" t="s">
        <v>355</v>
      </c>
      <c r="BE148" s="5" t="s">
        <v>373</v>
      </c>
      <c r="BF148" s="5" t="s">
        <v>539</v>
      </c>
      <c r="BG148" s="5" t="s">
        <v>131</v>
      </c>
    </row>
    <row r="149" ht="16.5" customHeight="1">
      <c r="A149" s="5" t="s">
        <v>100</v>
      </c>
      <c r="B149" s="5" t="s">
        <v>137</v>
      </c>
      <c r="C149" s="5" t="b">
        <v>1</v>
      </c>
      <c r="D149" s="5" t="s">
        <v>585</v>
      </c>
      <c r="E149" s="5" t="s">
        <v>586</v>
      </c>
      <c r="F149" s="5"/>
      <c r="G149" s="5" t="s">
        <v>65</v>
      </c>
      <c r="H149" s="5" t="s">
        <v>74</v>
      </c>
      <c r="I149" s="5" t="s">
        <v>82</v>
      </c>
      <c r="J149" s="25"/>
      <c r="K149" s="25"/>
      <c r="L149" s="25"/>
      <c r="M149" s="5" t="s">
        <v>109</v>
      </c>
      <c r="N149" s="5" t="s">
        <v>355</v>
      </c>
      <c r="O149" s="5" t="s">
        <v>69</v>
      </c>
      <c r="P149" s="5" t="s">
        <v>107</v>
      </c>
      <c r="Q149" s="5" t="s">
        <v>373</v>
      </c>
      <c r="R149" s="5" t="s">
        <v>110</v>
      </c>
      <c r="S149" s="5"/>
      <c r="T149" s="5"/>
      <c r="U149" s="5"/>
      <c r="V149" s="5">
        <v>1800.0</v>
      </c>
      <c r="W149" s="26">
        <v>2.1</v>
      </c>
      <c r="X149" s="5">
        <v>857.0</v>
      </c>
      <c r="Y149" s="27">
        <v>0.2</v>
      </c>
      <c r="Z149" s="28">
        <v>685.6</v>
      </c>
      <c r="AA149" s="27">
        <v>1.0</v>
      </c>
      <c r="AB149" s="5" t="s">
        <v>117</v>
      </c>
      <c r="AC149" s="27">
        <v>0.62</v>
      </c>
      <c r="AD149" s="5"/>
      <c r="AE149" s="5" t="s">
        <v>198</v>
      </c>
      <c r="AF149" s="5" t="s">
        <v>81</v>
      </c>
      <c r="AG149" s="5">
        <v>2.0</v>
      </c>
      <c r="AH149" s="5">
        <v>2.0</v>
      </c>
      <c r="AI149" s="5" t="s">
        <v>0</v>
      </c>
      <c r="AJ149" s="5" t="s">
        <v>0</v>
      </c>
      <c r="AK149" s="30">
        <v>800.0</v>
      </c>
      <c r="AL149" s="28">
        <v>836.0</v>
      </c>
      <c r="AM149" s="28">
        <v>915.0</v>
      </c>
      <c r="AN149" s="28">
        <v>0.0</v>
      </c>
      <c r="AO149" s="28">
        <v>0.0</v>
      </c>
      <c r="AP149" s="28">
        <v>685600.0</v>
      </c>
      <c r="AQ149" s="28">
        <v>716569.0399999998</v>
      </c>
      <c r="AR149" s="28">
        <v>0.0</v>
      </c>
      <c r="AS149" s="28">
        <v>0.0</v>
      </c>
      <c r="AT149" s="28">
        <v>0.0</v>
      </c>
      <c r="AU149" s="28">
        <v>548480.0</v>
      </c>
      <c r="AV149" s="28">
        <v>579650.8861572536</v>
      </c>
      <c r="AW149" s="28">
        <v>623824.4977395002</v>
      </c>
      <c r="AX149" s="28">
        <v>0.0</v>
      </c>
      <c r="AY149" s="28">
        <v>0.0</v>
      </c>
      <c r="AZ149" s="5"/>
      <c r="BA149" s="5" t="s">
        <v>86</v>
      </c>
      <c r="BB149" s="5" t="s">
        <v>512</v>
      </c>
      <c r="BC149" s="32" t="s">
        <v>584</v>
      </c>
      <c r="BD149" s="5" t="s">
        <v>355</v>
      </c>
      <c r="BE149" s="5" t="s">
        <v>373</v>
      </c>
      <c r="BF149" s="5" t="s">
        <v>539</v>
      </c>
      <c r="BG149" s="5" t="s">
        <v>131</v>
      </c>
    </row>
    <row r="150" ht="16.5" customHeight="1">
      <c r="A150" s="5" t="s">
        <v>100</v>
      </c>
      <c r="B150" s="5" t="s">
        <v>137</v>
      </c>
      <c r="C150" s="5" t="b">
        <v>1</v>
      </c>
      <c r="D150" s="5" t="s">
        <v>588</v>
      </c>
      <c r="E150" s="5" t="s">
        <v>589</v>
      </c>
      <c r="F150" s="5"/>
      <c r="G150" s="5" t="s">
        <v>65</v>
      </c>
      <c r="H150" s="5" t="s">
        <v>74</v>
      </c>
      <c r="I150" s="5" t="s">
        <v>82</v>
      </c>
      <c r="J150" s="25"/>
      <c r="K150" s="25"/>
      <c r="L150" s="25"/>
      <c r="M150" s="5" t="s">
        <v>109</v>
      </c>
      <c r="N150" s="5" t="s">
        <v>248</v>
      </c>
      <c r="O150" s="5" t="s">
        <v>69</v>
      </c>
      <c r="P150" s="5" t="s">
        <v>249</v>
      </c>
      <c r="Q150" s="5" t="s">
        <v>254</v>
      </c>
      <c r="R150" s="5" t="s">
        <v>23</v>
      </c>
      <c r="S150" s="5"/>
      <c r="T150" s="5"/>
      <c r="U150" s="5"/>
      <c r="V150" s="5">
        <v>500.0</v>
      </c>
      <c r="W150" s="26">
        <v>2.1</v>
      </c>
      <c r="X150" s="5">
        <v>238.0</v>
      </c>
      <c r="Y150" s="27">
        <v>0.2</v>
      </c>
      <c r="Z150" s="28">
        <v>190.4</v>
      </c>
      <c r="AA150" s="27">
        <v>1.0</v>
      </c>
      <c r="AB150" s="5" t="s">
        <v>117</v>
      </c>
      <c r="AC150" s="27">
        <v>0.6</v>
      </c>
      <c r="AD150" s="5"/>
      <c r="AE150" s="5" t="s">
        <v>81</v>
      </c>
      <c r="AF150" s="5" t="s">
        <v>81</v>
      </c>
      <c r="AG150" s="5">
        <v>4.0</v>
      </c>
      <c r="AH150" s="5">
        <v>4.0</v>
      </c>
      <c r="AI150" s="5" t="s">
        <v>0</v>
      </c>
      <c r="AJ150" s="5" t="s">
        <v>0</v>
      </c>
      <c r="AK150" s="30">
        <v>2100.0</v>
      </c>
      <c r="AL150" s="28">
        <v>2142.0</v>
      </c>
      <c r="AM150" s="28">
        <v>1890.0</v>
      </c>
      <c r="AN150" s="28">
        <v>0.0</v>
      </c>
      <c r="AO150" s="28">
        <v>0.0</v>
      </c>
      <c r="AP150" s="28">
        <v>499800.0</v>
      </c>
      <c r="AQ150" s="28">
        <v>510010.19999999995</v>
      </c>
      <c r="AR150" s="28">
        <v>0.0</v>
      </c>
      <c r="AS150" s="28">
        <v>0.0</v>
      </c>
      <c r="AT150" s="28">
        <v>0.0</v>
      </c>
      <c r="AU150" s="28">
        <v>399840.0</v>
      </c>
      <c r="AV150" s="28">
        <v>443378.95359911415</v>
      </c>
      <c r="AW150" s="28">
        <v>330511.38722300006</v>
      </c>
      <c r="AX150" s="28">
        <v>0.0</v>
      </c>
      <c r="AY150" s="28">
        <v>0.0</v>
      </c>
      <c r="AZ150" s="5"/>
      <c r="BA150" s="5" t="s">
        <v>86</v>
      </c>
      <c r="BB150" s="5" t="s">
        <v>512</v>
      </c>
      <c r="BD150" s="5" t="s">
        <v>248</v>
      </c>
      <c r="BE150" s="5" t="s">
        <v>253</v>
      </c>
      <c r="BF150" s="5" t="s">
        <v>254</v>
      </c>
      <c r="BG150" s="5" t="s">
        <v>131</v>
      </c>
    </row>
    <row r="151" ht="16.5" customHeight="1">
      <c r="A151" s="5" t="s">
        <v>100</v>
      </c>
      <c r="B151" s="5" t="s">
        <v>200</v>
      </c>
      <c r="C151" s="5" t="b">
        <v>1</v>
      </c>
      <c r="D151" s="5" t="s">
        <v>592</v>
      </c>
      <c r="E151" s="5" t="s">
        <v>593</v>
      </c>
      <c r="F151" s="5"/>
      <c r="G151" s="5" t="s">
        <v>65</v>
      </c>
      <c r="H151" s="5" t="s">
        <v>74</v>
      </c>
      <c r="I151" s="5" t="s">
        <v>82</v>
      </c>
      <c r="J151" s="25"/>
      <c r="K151" s="25"/>
      <c r="L151" s="25"/>
      <c r="M151" s="5" t="s">
        <v>109</v>
      </c>
      <c r="N151" s="5" t="s">
        <v>113</v>
      </c>
      <c r="O151" s="5" t="s">
        <v>69</v>
      </c>
      <c r="P151" s="5" t="s">
        <v>70</v>
      </c>
      <c r="Q151" s="5" t="s">
        <v>147</v>
      </c>
      <c r="R151" s="5" t="s">
        <v>181</v>
      </c>
      <c r="S151" s="5"/>
      <c r="T151" s="5"/>
      <c r="U151" s="5"/>
      <c r="V151" s="5">
        <v>900.0</v>
      </c>
      <c r="W151" s="26">
        <v>2.1</v>
      </c>
      <c r="X151" s="5">
        <v>429.0</v>
      </c>
      <c r="Y151" s="27">
        <v>0.2</v>
      </c>
      <c r="Z151" s="28">
        <v>343.20000000000005</v>
      </c>
      <c r="AA151" s="27">
        <v>1.0</v>
      </c>
      <c r="AB151" s="5" t="s">
        <v>117</v>
      </c>
      <c r="AC151" s="27">
        <v>0.62</v>
      </c>
      <c r="AD151" s="5"/>
      <c r="AE151" s="5" t="s">
        <v>81</v>
      </c>
      <c r="AF151" s="5" t="s">
        <v>81</v>
      </c>
      <c r="AG151" s="5">
        <v>4.0</v>
      </c>
      <c r="AH151" s="5">
        <v>4.0</v>
      </c>
      <c r="AI151" s="5" t="s">
        <v>0</v>
      </c>
      <c r="AJ151" s="5" t="s">
        <v>0</v>
      </c>
      <c r="AK151" s="30">
        <v>1400.0</v>
      </c>
      <c r="AL151" s="28">
        <v>1552.0</v>
      </c>
      <c r="AM151" s="28">
        <v>2233.0</v>
      </c>
      <c r="AN151" s="28">
        <v>0.0</v>
      </c>
      <c r="AO151" s="28">
        <v>0.0</v>
      </c>
      <c r="AP151" s="28">
        <v>600600.0</v>
      </c>
      <c r="AQ151" s="28">
        <v>665140.6400000002</v>
      </c>
      <c r="AR151" s="28">
        <v>0.0</v>
      </c>
      <c r="AS151" s="28">
        <v>0.0</v>
      </c>
      <c r="AT151" s="28">
        <v>0.0</v>
      </c>
      <c r="AU151" s="28">
        <v>480480.00000000006</v>
      </c>
      <c r="AV151" s="28">
        <v>452221.0873754154</v>
      </c>
      <c r="AW151" s="28">
        <v>674449.915849</v>
      </c>
      <c r="AX151" s="28">
        <v>0.0</v>
      </c>
      <c r="AY151" s="28">
        <v>0.0</v>
      </c>
      <c r="AZ151" s="5"/>
      <c r="BA151" s="5" t="s">
        <v>86</v>
      </c>
      <c r="BB151" s="5" t="s">
        <v>512</v>
      </c>
      <c r="BC151" s="32" t="s">
        <v>379</v>
      </c>
      <c r="BD151" s="5" t="s">
        <v>126</v>
      </c>
      <c r="BE151" s="5" t="s">
        <v>147</v>
      </c>
      <c r="BF151" s="5" t="s">
        <v>539</v>
      </c>
      <c r="BG151" s="5" t="s">
        <v>131</v>
      </c>
    </row>
    <row r="152" ht="16.5" customHeight="1">
      <c r="A152" s="5" t="s">
        <v>100</v>
      </c>
      <c r="B152" s="5" t="s">
        <v>200</v>
      </c>
      <c r="C152" s="5" t="b">
        <v>1</v>
      </c>
      <c r="D152" s="5" t="s">
        <v>595</v>
      </c>
      <c r="E152" s="5" t="s">
        <v>596</v>
      </c>
      <c r="F152" s="5"/>
      <c r="G152" s="5" t="s">
        <v>65</v>
      </c>
      <c r="H152" s="5" t="s">
        <v>74</v>
      </c>
      <c r="I152" s="5" t="s">
        <v>82</v>
      </c>
      <c r="J152" s="25"/>
      <c r="K152" s="25"/>
      <c r="L152" s="25"/>
      <c r="M152" s="5" t="s">
        <v>109</v>
      </c>
      <c r="N152" s="5" t="s">
        <v>113</v>
      </c>
      <c r="O152" s="5" t="s">
        <v>69</v>
      </c>
      <c r="P152" s="5" t="s">
        <v>107</v>
      </c>
      <c r="Q152" s="5" t="s">
        <v>147</v>
      </c>
      <c r="R152" s="5" t="s">
        <v>181</v>
      </c>
      <c r="S152" s="5"/>
      <c r="T152" s="5"/>
      <c r="U152" s="5"/>
      <c r="V152" s="5">
        <v>900.0</v>
      </c>
      <c r="W152" s="26">
        <v>2.1</v>
      </c>
      <c r="X152" s="5">
        <v>429.0</v>
      </c>
      <c r="Y152" s="27">
        <v>0.2</v>
      </c>
      <c r="Z152" s="28">
        <v>343.20000000000005</v>
      </c>
      <c r="AA152" s="27">
        <v>1.0</v>
      </c>
      <c r="AB152" s="5" t="s">
        <v>117</v>
      </c>
      <c r="AC152" s="27">
        <v>0.63</v>
      </c>
      <c r="AD152" s="5"/>
      <c r="AE152" s="5" t="s">
        <v>81</v>
      </c>
      <c r="AF152" s="5" t="s">
        <v>81</v>
      </c>
      <c r="AG152" s="5">
        <v>4.0</v>
      </c>
      <c r="AH152" s="5">
        <v>4.0</v>
      </c>
      <c r="AI152" s="5" t="s">
        <v>0</v>
      </c>
      <c r="AJ152" s="5" t="s">
        <v>0</v>
      </c>
      <c r="AK152" s="30">
        <v>1400.0</v>
      </c>
      <c r="AL152" s="28">
        <v>1588.0</v>
      </c>
      <c r="AM152" s="28">
        <v>1842.0</v>
      </c>
      <c r="AN152" s="28">
        <v>0.0</v>
      </c>
      <c r="AO152" s="28">
        <v>0.0</v>
      </c>
      <c r="AP152" s="28">
        <v>600600.0</v>
      </c>
      <c r="AQ152" s="28">
        <v>680569.1600000001</v>
      </c>
      <c r="AR152" s="28">
        <v>0.0</v>
      </c>
      <c r="AS152" s="28">
        <v>0.0</v>
      </c>
      <c r="AT152" s="28">
        <v>0.0</v>
      </c>
      <c r="AU152" s="28">
        <v>480480.00000000006</v>
      </c>
      <c r="AV152" s="28">
        <v>482062.32801771886</v>
      </c>
      <c r="AW152" s="28">
        <v>596922.9988674998</v>
      </c>
      <c r="AX152" s="28">
        <v>0.0</v>
      </c>
      <c r="AY152" s="28">
        <v>0.0</v>
      </c>
      <c r="AZ152" s="5"/>
      <c r="BA152" s="5" t="s">
        <v>86</v>
      </c>
      <c r="BB152" s="5" t="s">
        <v>512</v>
      </c>
      <c r="BC152" s="32" t="s">
        <v>379</v>
      </c>
      <c r="BD152" s="5" t="s">
        <v>126</v>
      </c>
      <c r="BE152" s="5" t="s">
        <v>147</v>
      </c>
      <c r="BF152" s="5" t="s">
        <v>539</v>
      </c>
      <c r="BG152" s="5" t="s">
        <v>131</v>
      </c>
    </row>
    <row r="153" ht="16.5" customHeight="1">
      <c r="A153" s="5" t="s">
        <v>100</v>
      </c>
      <c r="B153" s="5" t="s">
        <v>200</v>
      </c>
      <c r="C153" s="5" t="b">
        <v>1</v>
      </c>
      <c r="D153" s="5" t="s">
        <v>597</v>
      </c>
      <c r="E153" s="5" t="s">
        <v>598</v>
      </c>
      <c r="F153" s="5"/>
      <c r="G153" s="5" t="s">
        <v>65</v>
      </c>
      <c r="H153" s="5" t="s">
        <v>74</v>
      </c>
      <c r="I153" s="5" t="s">
        <v>82</v>
      </c>
      <c r="J153" s="25"/>
      <c r="K153" s="25"/>
      <c r="L153" s="25"/>
      <c r="M153" s="5" t="s">
        <v>109</v>
      </c>
      <c r="N153" s="5" t="s">
        <v>334</v>
      </c>
      <c r="O153" s="5" t="s">
        <v>69</v>
      </c>
      <c r="P153" s="5" t="s">
        <v>107</v>
      </c>
      <c r="Q153" s="5" t="s">
        <v>600</v>
      </c>
      <c r="R153" s="5" t="s">
        <v>110</v>
      </c>
      <c r="S153" s="5"/>
      <c r="T153" s="5"/>
      <c r="U153" s="5"/>
      <c r="V153" s="5">
        <v>450.0</v>
      </c>
      <c r="W153" s="26">
        <v>2.1</v>
      </c>
      <c r="X153" s="5">
        <v>214.0</v>
      </c>
      <c r="Y153" s="27">
        <v>0.2</v>
      </c>
      <c r="Z153" s="28">
        <v>171.20000000000002</v>
      </c>
      <c r="AA153" s="27">
        <v>1.0</v>
      </c>
      <c r="AB153" s="5" t="s">
        <v>117</v>
      </c>
      <c r="AC153" s="27">
        <v>0.6</v>
      </c>
      <c r="AD153" s="5"/>
      <c r="AE153" s="5" t="s">
        <v>81</v>
      </c>
      <c r="AF153" s="5" t="s">
        <v>81</v>
      </c>
      <c r="AG153" s="5">
        <v>4.0</v>
      </c>
      <c r="AH153" s="5">
        <v>4.0</v>
      </c>
      <c r="AI153" s="5" t="s">
        <v>0</v>
      </c>
      <c r="AJ153" s="5" t="s">
        <v>0</v>
      </c>
      <c r="AK153" s="30">
        <v>1800.0</v>
      </c>
      <c r="AL153" s="28">
        <v>1830.0</v>
      </c>
      <c r="AM153" s="28">
        <v>1975.0</v>
      </c>
      <c r="AN153" s="28">
        <v>0.0</v>
      </c>
      <c r="AO153" s="28">
        <v>0.0</v>
      </c>
      <c r="AP153" s="28">
        <v>385200.0</v>
      </c>
      <c r="AQ153" s="28">
        <v>392150.6999999999</v>
      </c>
      <c r="AR153" s="28">
        <v>0.0</v>
      </c>
      <c r="AS153" s="28">
        <v>0.0</v>
      </c>
      <c r="AT153" s="28">
        <v>0.0</v>
      </c>
      <c r="AU153" s="28">
        <v>308160.00000000006</v>
      </c>
      <c r="AV153" s="28">
        <v>338278.2019933555</v>
      </c>
      <c r="AW153" s="28">
        <v>345233.24406100006</v>
      </c>
      <c r="AX153" s="28">
        <v>0.0</v>
      </c>
      <c r="AY153" s="28">
        <v>0.0</v>
      </c>
      <c r="AZ153" s="5"/>
      <c r="BA153" s="5" t="s">
        <v>86</v>
      </c>
      <c r="BB153" s="5" t="s">
        <v>512</v>
      </c>
      <c r="BC153" s="32" t="s">
        <v>379</v>
      </c>
      <c r="BD153" s="5" t="s">
        <v>334</v>
      </c>
      <c r="BE153" s="5" t="s">
        <v>600</v>
      </c>
      <c r="BF153" s="5" t="s">
        <v>539</v>
      </c>
      <c r="BG153" s="5" t="s">
        <v>131</v>
      </c>
    </row>
    <row r="154" ht="16.5" customHeight="1">
      <c r="A154" s="5" t="s">
        <v>100</v>
      </c>
      <c r="B154" s="5" t="s">
        <v>137</v>
      </c>
      <c r="C154" s="5" t="b">
        <v>1</v>
      </c>
      <c r="D154" s="5" t="s">
        <v>601</v>
      </c>
      <c r="E154" s="5" t="s">
        <v>602</v>
      </c>
      <c r="F154" s="5"/>
      <c r="G154" s="5" t="s">
        <v>65</v>
      </c>
      <c r="H154" s="5" t="s">
        <v>74</v>
      </c>
      <c r="I154" s="5" t="s">
        <v>82</v>
      </c>
      <c r="J154" s="25"/>
      <c r="K154" s="25"/>
      <c r="L154" s="25"/>
      <c r="M154" s="5" t="s">
        <v>109</v>
      </c>
      <c r="N154" s="5" t="s">
        <v>334</v>
      </c>
      <c r="O154" s="5" t="s">
        <v>69</v>
      </c>
      <c r="P154" s="5" t="s">
        <v>70</v>
      </c>
      <c r="Q154" s="5" t="s">
        <v>805</v>
      </c>
      <c r="R154" s="5" t="s">
        <v>110</v>
      </c>
      <c r="S154" s="5"/>
      <c r="T154" s="5"/>
      <c r="U154" s="5"/>
      <c r="V154" s="5">
        <v>500.0</v>
      </c>
      <c r="W154" s="26">
        <v>2.1</v>
      </c>
      <c r="X154" s="5">
        <v>238.0</v>
      </c>
      <c r="Y154" s="27">
        <v>0.2</v>
      </c>
      <c r="Z154" s="28">
        <v>190.4</v>
      </c>
      <c r="AA154" s="27">
        <v>1.0</v>
      </c>
      <c r="AB154" s="5" t="s">
        <v>117</v>
      </c>
      <c r="AC154" s="27">
        <v>0.61</v>
      </c>
      <c r="AD154" s="5"/>
      <c r="AE154" s="5" t="s">
        <v>81</v>
      </c>
      <c r="AF154" s="5" t="s">
        <v>81</v>
      </c>
      <c r="AG154" s="5">
        <v>4.0</v>
      </c>
      <c r="AH154" s="5">
        <v>4.0</v>
      </c>
      <c r="AI154" s="5" t="s">
        <v>0</v>
      </c>
      <c r="AJ154" s="5" t="s">
        <v>0</v>
      </c>
      <c r="AK154" s="30">
        <v>4000.0</v>
      </c>
      <c r="AL154" s="28">
        <v>4610.0</v>
      </c>
      <c r="AM154" s="28">
        <v>5494.0</v>
      </c>
      <c r="AN154" s="28">
        <v>0.0</v>
      </c>
      <c r="AO154" s="28">
        <v>0.0</v>
      </c>
      <c r="AP154" s="28">
        <v>952000.0</v>
      </c>
      <c r="AQ154" s="28">
        <v>1097641.0</v>
      </c>
      <c r="AR154" s="28">
        <v>0.0</v>
      </c>
      <c r="AS154" s="28">
        <v>0.0</v>
      </c>
      <c r="AT154" s="28">
        <v>0.0</v>
      </c>
      <c r="AU154" s="28">
        <v>761600.0</v>
      </c>
      <c r="AV154" s="28">
        <v>762933.8607973421</v>
      </c>
      <c r="AW154" s="28">
        <v>954834.0747074997</v>
      </c>
      <c r="AX154" s="28">
        <v>0.0</v>
      </c>
      <c r="AY154" s="28">
        <v>0.0</v>
      </c>
      <c r="AZ154" s="5"/>
      <c r="BA154" s="5" t="s">
        <v>86</v>
      </c>
      <c r="BB154" s="5" t="s">
        <v>512</v>
      </c>
      <c r="BD154" s="5" t="s">
        <v>334</v>
      </c>
      <c r="BE154" s="5" t="s">
        <v>348</v>
      </c>
      <c r="BF154" s="5" t="s">
        <v>539</v>
      </c>
      <c r="BG154" s="5" t="s">
        <v>131</v>
      </c>
    </row>
    <row r="155" ht="16.5" customHeight="1">
      <c r="A155" s="5" t="s">
        <v>100</v>
      </c>
      <c r="B155" s="5" t="s">
        <v>137</v>
      </c>
      <c r="C155" s="5" t="b">
        <v>1</v>
      </c>
      <c r="D155" s="5" t="s">
        <v>606</v>
      </c>
      <c r="E155" s="5" t="s">
        <v>607</v>
      </c>
      <c r="F155" s="5"/>
      <c r="G155" s="5" t="s">
        <v>65</v>
      </c>
      <c r="H155" s="5" t="s">
        <v>74</v>
      </c>
      <c r="I155" s="5" t="s">
        <v>82</v>
      </c>
      <c r="J155" s="25"/>
      <c r="K155" s="25"/>
      <c r="L155" s="25"/>
      <c r="M155" s="5" t="s">
        <v>109</v>
      </c>
      <c r="N155" s="5" t="s">
        <v>334</v>
      </c>
      <c r="O155" s="5" t="s">
        <v>69</v>
      </c>
      <c r="P155" s="5" t="s">
        <v>107</v>
      </c>
      <c r="Q155" s="5" t="s">
        <v>805</v>
      </c>
      <c r="R155" s="5" t="s">
        <v>110</v>
      </c>
      <c r="S155" s="5"/>
      <c r="T155" s="5"/>
      <c r="U155" s="5"/>
      <c r="V155" s="5">
        <v>500.0</v>
      </c>
      <c r="W155" s="26">
        <v>2.1</v>
      </c>
      <c r="X155" s="5">
        <v>238.0</v>
      </c>
      <c r="Y155" s="27">
        <v>0.2</v>
      </c>
      <c r="Z155" s="28">
        <v>190.4</v>
      </c>
      <c r="AA155" s="27">
        <v>1.0</v>
      </c>
      <c r="AB155" s="5" t="s">
        <v>117</v>
      </c>
      <c r="AC155" s="27">
        <v>0.61</v>
      </c>
      <c r="AD155" s="5"/>
      <c r="AE155" s="5" t="s">
        <v>81</v>
      </c>
      <c r="AF155" s="5" t="s">
        <v>81</v>
      </c>
      <c r="AG155" s="5">
        <v>4.0</v>
      </c>
      <c r="AH155" s="5">
        <v>4.0</v>
      </c>
      <c r="AI155" s="5" t="s">
        <v>0</v>
      </c>
      <c r="AJ155" s="5" t="s">
        <v>0</v>
      </c>
      <c r="AK155" s="30">
        <v>2600.0</v>
      </c>
      <c r="AL155" s="28">
        <v>2851.0</v>
      </c>
      <c r="AM155" s="28">
        <v>3695.0</v>
      </c>
      <c r="AN155" s="28">
        <v>0.0</v>
      </c>
      <c r="AO155" s="28">
        <v>0.0</v>
      </c>
      <c r="AP155" s="28">
        <v>618800.0</v>
      </c>
      <c r="AQ155" s="28">
        <v>678823.1</v>
      </c>
      <c r="AR155" s="28">
        <v>0.0</v>
      </c>
      <c r="AS155" s="28">
        <v>0.0</v>
      </c>
      <c r="AT155" s="28">
        <v>0.0</v>
      </c>
      <c r="AU155" s="28">
        <v>495040.0</v>
      </c>
      <c r="AV155" s="28">
        <v>488435.6248062016</v>
      </c>
      <c r="AW155" s="28">
        <v>678554.7343186998</v>
      </c>
      <c r="AX155" s="28">
        <v>0.0</v>
      </c>
      <c r="AY155" s="28">
        <v>0.0</v>
      </c>
      <c r="AZ155" s="5"/>
      <c r="BA155" s="5" t="s">
        <v>86</v>
      </c>
      <c r="BB155" s="5" t="s">
        <v>512</v>
      </c>
      <c r="BD155" s="5" t="s">
        <v>334</v>
      </c>
      <c r="BE155" s="5" t="s">
        <v>348</v>
      </c>
      <c r="BF155" s="5" t="s">
        <v>539</v>
      </c>
      <c r="BG155" s="5" t="s">
        <v>131</v>
      </c>
    </row>
    <row r="156" ht="16.5" customHeight="1">
      <c r="A156" s="5" t="s">
        <v>100</v>
      </c>
      <c r="B156" s="5" t="s">
        <v>200</v>
      </c>
      <c r="C156" s="5" t="b">
        <v>1</v>
      </c>
      <c r="D156" s="5" t="s">
        <v>609</v>
      </c>
      <c r="E156" s="5" t="s">
        <v>610</v>
      </c>
      <c r="F156" s="5"/>
      <c r="G156" s="5" t="s">
        <v>65</v>
      </c>
      <c r="H156" s="5" t="s">
        <v>74</v>
      </c>
      <c r="I156" s="5" t="s">
        <v>82</v>
      </c>
      <c r="J156" s="25"/>
      <c r="K156" s="25"/>
      <c r="L156" s="25"/>
      <c r="M156" s="5" t="s">
        <v>109</v>
      </c>
      <c r="N156" s="5" t="s">
        <v>334</v>
      </c>
      <c r="O156" s="5" t="s">
        <v>69</v>
      </c>
      <c r="P156" s="5" t="s">
        <v>70</v>
      </c>
      <c r="Q156" s="5" t="s">
        <v>282</v>
      </c>
      <c r="R156" s="5" t="s">
        <v>110</v>
      </c>
      <c r="S156" s="5"/>
      <c r="T156" s="5"/>
      <c r="U156" s="5"/>
      <c r="V156" s="5">
        <v>1500.0</v>
      </c>
      <c r="W156" s="26">
        <v>2.1</v>
      </c>
      <c r="X156" s="5">
        <v>714.0</v>
      </c>
      <c r="Y156" s="27">
        <v>0.2</v>
      </c>
      <c r="Z156" s="28">
        <v>571.2</v>
      </c>
      <c r="AA156" s="27">
        <v>1.0</v>
      </c>
      <c r="AB156" s="5" t="s">
        <v>117</v>
      </c>
      <c r="AC156" s="27">
        <v>0.58</v>
      </c>
      <c r="AD156" s="5"/>
      <c r="AE156" s="5" t="s">
        <v>81</v>
      </c>
      <c r="AF156" s="5" t="s">
        <v>81</v>
      </c>
      <c r="AG156" s="5">
        <v>3.0</v>
      </c>
      <c r="AH156" s="5">
        <v>3.0</v>
      </c>
      <c r="AI156" s="5" t="s">
        <v>0</v>
      </c>
      <c r="AJ156" s="5" t="s">
        <v>0</v>
      </c>
      <c r="AK156" s="30">
        <v>1200.0</v>
      </c>
      <c r="AL156" s="28">
        <v>1364.0</v>
      </c>
      <c r="AM156" s="28">
        <v>1910.0</v>
      </c>
      <c r="AN156" s="28">
        <v>0.0</v>
      </c>
      <c r="AO156" s="28">
        <v>0.0</v>
      </c>
      <c r="AP156" s="28">
        <v>856800.0</v>
      </c>
      <c r="AQ156" s="28">
        <v>974291.5599999999</v>
      </c>
      <c r="AR156" s="28">
        <v>0.0</v>
      </c>
      <c r="AS156" s="28">
        <v>0.0</v>
      </c>
      <c r="AT156" s="28">
        <v>0.0</v>
      </c>
      <c r="AU156" s="28">
        <v>685440.0</v>
      </c>
      <c r="AV156" s="28">
        <v>808245.1045404206</v>
      </c>
      <c r="AW156" s="28">
        <v>896875.8481907998</v>
      </c>
      <c r="AX156" s="28">
        <v>0.0</v>
      </c>
      <c r="AY156" s="28">
        <v>0.0</v>
      </c>
      <c r="AZ156" s="5"/>
      <c r="BA156" s="5" t="s">
        <v>86</v>
      </c>
      <c r="BB156" s="5" t="s">
        <v>512</v>
      </c>
      <c r="BC156" s="32" t="s">
        <v>379</v>
      </c>
      <c r="BD156" s="5" t="s">
        <v>334</v>
      </c>
      <c r="BE156" s="5" t="s">
        <v>161</v>
      </c>
      <c r="BF156" s="5" t="s">
        <v>616</v>
      </c>
      <c r="BG156" s="5" t="s">
        <v>131</v>
      </c>
    </row>
    <row r="157" ht="16.5" customHeight="1">
      <c r="A157" s="5" t="s">
        <v>100</v>
      </c>
      <c r="B157" s="5" t="s">
        <v>200</v>
      </c>
      <c r="C157" s="5" t="b">
        <v>1</v>
      </c>
      <c r="D157" s="5" t="s">
        <v>617</v>
      </c>
      <c r="E157" s="5" t="s">
        <v>618</v>
      </c>
      <c r="F157" s="5"/>
      <c r="G157" s="5" t="s">
        <v>65</v>
      </c>
      <c r="H157" s="5" t="s">
        <v>74</v>
      </c>
      <c r="I157" s="5" t="s">
        <v>82</v>
      </c>
      <c r="J157" s="25"/>
      <c r="K157" s="25"/>
      <c r="L157" s="25"/>
      <c r="M157" s="5" t="s">
        <v>109</v>
      </c>
      <c r="N157" s="5" t="s">
        <v>334</v>
      </c>
      <c r="O157" s="5" t="s">
        <v>69</v>
      </c>
      <c r="P157" s="5" t="s">
        <v>107</v>
      </c>
      <c r="Q157" s="5" t="s">
        <v>282</v>
      </c>
      <c r="R157" s="5" t="s">
        <v>110</v>
      </c>
      <c r="S157" s="5"/>
      <c r="T157" s="5"/>
      <c r="U157" s="5"/>
      <c r="V157" s="5">
        <v>1500.0</v>
      </c>
      <c r="W157" s="26">
        <v>2.1</v>
      </c>
      <c r="X157" s="5">
        <v>714.0</v>
      </c>
      <c r="Y157" s="27">
        <v>0.2</v>
      </c>
      <c r="Z157" s="28">
        <v>571.2</v>
      </c>
      <c r="AA157" s="27">
        <v>1.0</v>
      </c>
      <c r="AB157" s="5" t="s">
        <v>117</v>
      </c>
      <c r="AC157" s="27">
        <v>0.59</v>
      </c>
      <c r="AD157" s="5"/>
      <c r="AE157" s="5" t="s">
        <v>81</v>
      </c>
      <c r="AF157" s="5" t="s">
        <v>81</v>
      </c>
      <c r="AG157" s="5">
        <v>3.0</v>
      </c>
      <c r="AH157" s="5">
        <v>3.0</v>
      </c>
      <c r="AI157" s="5" t="s">
        <v>0</v>
      </c>
      <c r="AJ157" s="5" t="s">
        <v>0</v>
      </c>
      <c r="AK157" s="30">
        <v>1000.0</v>
      </c>
      <c r="AL157" s="28">
        <v>1222.0</v>
      </c>
      <c r="AM157" s="28">
        <v>1947.0</v>
      </c>
      <c r="AN157" s="28">
        <v>0.0</v>
      </c>
      <c r="AO157" s="28">
        <v>0.0</v>
      </c>
      <c r="AP157" s="28">
        <v>714000.0</v>
      </c>
      <c r="AQ157" s="28">
        <v>872862.38</v>
      </c>
      <c r="AR157" s="28">
        <v>0.0</v>
      </c>
      <c r="AS157" s="28">
        <v>0.0</v>
      </c>
      <c r="AT157" s="28">
        <v>0.0</v>
      </c>
      <c r="AU157" s="28">
        <v>571200.0</v>
      </c>
      <c r="AV157" s="28">
        <v>733516.480730897</v>
      </c>
      <c r="AW157" s="28">
        <v>845265.4796877997</v>
      </c>
      <c r="AX157" s="28">
        <v>0.0</v>
      </c>
      <c r="AY157" s="28">
        <v>0.0</v>
      </c>
      <c r="AZ157" s="5"/>
      <c r="BA157" s="5" t="s">
        <v>86</v>
      </c>
      <c r="BB157" s="5" t="s">
        <v>512</v>
      </c>
      <c r="BC157" s="32" t="s">
        <v>379</v>
      </c>
      <c r="BD157" s="5" t="s">
        <v>334</v>
      </c>
      <c r="BE157" s="5" t="s">
        <v>161</v>
      </c>
      <c r="BF157" s="5" t="s">
        <v>616</v>
      </c>
      <c r="BG157" s="5" t="s">
        <v>131</v>
      </c>
    </row>
    <row r="158" ht="16.5" hidden="1" customHeight="1">
      <c r="A158" s="5" t="s">
        <v>100</v>
      </c>
      <c r="B158" s="5" t="s">
        <v>215</v>
      </c>
      <c r="C158" s="5" t="b">
        <v>0</v>
      </c>
      <c r="D158" s="5" t="s">
        <v>1327</v>
      </c>
      <c r="E158" s="5" t="s">
        <v>1329</v>
      </c>
      <c r="F158" s="5"/>
      <c r="G158" s="5" t="s">
        <v>65</v>
      </c>
      <c r="H158" s="5" t="s">
        <v>76</v>
      </c>
      <c r="I158" s="5" t="s">
        <v>218</v>
      </c>
      <c r="J158" s="25" t="s">
        <v>219</v>
      </c>
      <c r="K158" s="25"/>
      <c r="L158" s="25"/>
      <c r="M158" s="5" t="s">
        <v>220</v>
      </c>
      <c r="N158" s="5" t="s">
        <v>68</v>
      </c>
      <c r="O158" s="5" t="s">
        <v>69</v>
      </c>
      <c r="P158" s="5" t="s">
        <v>70</v>
      </c>
      <c r="Q158" s="5" t="s">
        <v>89</v>
      </c>
      <c r="R158" s="5" t="s">
        <v>110</v>
      </c>
      <c r="S158" s="5"/>
      <c r="T158" s="5"/>
      <c r="U158" s="5"/>
      <c r="V158" s="5">
        <v>5000.0</v>
      </c>
      <c r="W158" s="26">
        <v>2.1</v>
      </c>
      <c r="X158" s="5">
        <v>2381.0</v>
      </c>
      <c r="Y158" s="27">
        <v>0.0</v>
      </c>
      <c r="Z158" s="28">
        <v>2381.0</v>
      </c>
      <c r="AA158" s="27">
        <v>1.0</v>
      </c>
      <c r="AB158" s="5" t="s">
        <v>117</v>
      </c>
      <c r="AC158" s="27"/>
      <c r="AD158" s="5"/>
      <c r="AE158" s="5" t="s">
        <v>80</v>
      </c>
      <c r="AF158" s="5" t="s">
        <v>198</v>
      </c>
      <c r="AG158" s="5"/>
      <c r="AH158" s="5">
        <v>4.0</v>
      </c>
      <c r="AI158" s="5" t="s">
        <v>1331</v>
      </c>
      <c r="AJ158" s="5" t="s">
        <v>0</v>
      </c>
      <c r="AK158" s="30"/>
      <c r="AL158" s="28">
        <v>0.0</v>
      </c>
      <c r="AM158" s="28">
        <v>4.0</v>
      </c>
      <c r="AN158" s="28">
        <v>3269.0</v>
      </c>
      <c r="AO158" s="28">
        <v>3539.0</v>
      </c>
      <c r="AP158" s="28">
        <v>0.0</v>
      </c>
      <c r="AQ158" s="28">
        <v>0.0</v>
      </c>
      <c r="AR158" s="28">
        <v>8426359.0</v>
      </c>
      <c r="AS158" s="28">
        <v>0.0</v>
      </c>
      <c r="AT158" s="28">
        <v>8426359.0</v>
      </c>
      <c r="AU158" s="28">
        <v>0.0</v>
      </c>
      <c r="AV158" s="28">
        <v>0.0</v>
      </c>
      <c r="AW158" s="28">
        <v>9194.08864</v>
      </c>
      <c r="AX158" s="28">
        <v>6505788.790365448</v>
      </c>
      <c r="AY158" s="28">
        <v>6683787.348274998</v>
      </c>
      <c r="AZ158" s="5" t="s">
        <v>124</v>
      </c>
      <c r="BA158" s="5" t="s">
        <v>226</v>
      </c>
      <c r="BB158" s="5" t="s">
        <v>227</v>
      </c>
      <c r="BC158" s="32" t="s">
        <v>229</v>
      </c>
      <c r="BD158" s="5" t="s">
        <v>68</v>
      </c>
      <c r="BE158" s="5" t="s">
        <v>89</v>
      </c>
      <c r="BF158" s="5" t="s">
        <v>206</v>
      </c>
      <c r="BG158" s="5" t="s">
        <v>91</v>
      </c>
    </row>
    <row r="159" ht="16.5" hidden="1" customHeight="1">
      <c r="A159" s="5" t="s">
        <v>100</v>
      </c>
      <c r="B159" s="5" t="s">
        <v>215</v>
      </c>
      <c r="C159" s="5" t="b">
        <v>0</v>
      </c>
      <c r="D159" s="5" t="s">
        <v>1336</v>
      </c>
      <c r="E159" s="5" t="s">
        <v>1337</v>
      </c>
      <c r="F159" s="5"/>
      <c r="G159" s="5" t="s">
        <v>65</v>
      </c>
      <c r="H159" s="5" t="s">
        <v>76</v>
      </c>
      <c r="I159" s="5" t="s">
        <v>218</v>
      </c>
      <c r="J159" s="25" t="s">
        <v>219</v>
      </c>
      <c r="K159" s="25"/>
      <c r="L159" s="25"/>
      <c r="M159" s="5" t="s">
        <v>220</v>
      </c>
      <c r="N159" s="5" t="s">
        <v>68</v>
      </c>
      <c r="O159" s="5" t="s">
        <v>69</v>
      </c>
      <c r="P159" s="5" t="s">
        <v>107</v>
      </c>
      <c r="Q159" s="5" t="s">
        <v>89</v>
      </c>
      <c r="R159" s="5" t="s">
        <v>110</v>
      </c>
      <c r="S159" s="5"/>
      <c r="T159" s="5"/>
      <c r="U159" s="5"/>
      <c r="V159" s="5">
        <v>5000.0</v>
      </c>
      <c r="W159" s="26">
        <v>2.1</v>
      </c>
      <c r="X159" s="5">
        <v>2381.0</v>
      </c>
      <c r="Y159" s="27">
        <v>0.0</v>
      </c>
      <c r="Z159" s="28">
        <v>2381.0</v>
      </c>
      <c r="AA159" s="27">
        <v>1.0</v>
      </c>
      <c r="AB159" s="5" t="s">
        <v>117</v>
      </c>
      <c r="AC159" s="27"/>
      <c r="AD159" s="5"/>
      <c r="AE159" s="5" t="s">
        <v>80</v>
      </c>
      <c r="AF159" s="5" t="s">
        <v>198</v>
      </c>
      <c r="AG159" s="5"/>
      <c r="AH159" s="5">
        <v>4.0</v>
      </c>
      <c r="AI159" s="5" t="s">
        <v>1340</v>
      </c>
      <c r="AJ159" s="5" t="s">
        <v>0</v>
      </c>
      <c r="AK159" s="30"/>
      <c r="AL159" s="28">
        <v>0.0</v>
      </c>
      <c r="AM159" s="28">
        <v>6.0</v>
      </c>
      <c r="AN159" s="28">
        <v>2173.0</v>
      </c>
      <c r="AO159" s="28">
        <v>2204.0</v>
      </c>
      <c r="AP159" s="28">
        <v>0.0</v>
      </c>
      <c r="AQ159" s="28">
        <v>0.0</v>
      </c>
      <c r="AR159" s="28">
        <v>5247724.0</v>
      </c>
      <c r="AS159" s="28">
        <v>0.0</v>
      </c>
      <c r="AT159" s="28">
        <v>5247724.0</v>
      </c>
      <c r="AU159" s="28">
        <v>0.0</v>
      </c>
      <c r="AV159" s="28">
        <v>0.0</v>
      </c>
      <c r="AW159" s="28">
        <v>12051.28864</v>
      </c>
      <c r="AX159" s="28">
        <v>4434607.893576965</v>
      </c>
      <c r="AY159" s="28">
        <v>4389657.368335</v>
      </c>
      <c r="AZ159" s="5" t="s">
        <v>124</v>
      </c>
      <c r="BA159" s="5" t="s">
        <v>226</v>
      </c>
      <c r="BB159" s="5" t="s">
        <v>227</v>
      </c>
      <c r="BC159" s="32" t="s">
        <v>229</v>
      </c>
      <c r="BD159" s="5" t="s">
        <v>68</v>
      </c>
      <c r="BE159" s="5" t="s">
        <v>89</v>
      </c>
      <c r="BF159" s="5" t="s">
        <v>206</v>
      </c>
      <c r="BG159" s="5" t="s">
        <v>91</v>
      </c>
    </row>
    <row r="160" ht="16.5" hidden="1" customHeight="1">
      <c r="A160" s="5" t="s">
        <v>100</v>
      </c>
      <c r="B160" s="5" t="s">
        <v>215</v>
      </c>
      <c r="C160" s="5" t="b">
        <v>0</v>
      </c>
      <c r="D160" s="5" t="s">
        <v>1343</v>
      </c>
      <c r="E160" s="5" t="s">
        <v>1344</v>
      </c>
      <c r="F160" s="5"/>
      <c r="G160" s="5" t="s">
        <v>65</v>
      </c>
      <c r="H160" s="5" t="s">
        <v>76</v>
      </c>
      <c r="I160" s="5" t="s">
        <v>218</v>
      </c>
      <c r="J160" s="25" t="s">
        <v>219</v>
      </c>
      <c r="K160" s="25"/>
      <c r="L160" s="25"/>
      <c r="M160" s="5" t="s">
        <v>220</v>
      </c>
      <c r="N160" s="5" t="s">
        <v>68</v>
      </c>
      <c r="O160" s="5" t="s">
        <v>69</v>
      </c>
      <c r="P160" s="5" t="s">
        <v>70</v>
      </c>
      <c r="Q160" s="5" t="s">
        <v>180</v>
      </c>
      <c r="R160" s="5" t="s">
        <v>181</v>
      </c>
      <c r="S160" s="5"/>
      <c r="T160" s="5"/>
      <c r="U160" s="5"/>
      <c r="V160" s="5">
        <v>4500.0</v>
      </c>
      <c r="W160" s="26">
        <v>2.1</v>
      </c>
      <c r="X160" s="5">
        <v>2143.0</v>
      </c>
      <c r="Y160" s="27">
        <v>0.0</v>
      </c>
      <c r="Z160" s="28">
        <v>2143.0</v>
      </c>
      <c r="AA160" s="27">
        <v>1.0</v>
      </c>
      <c r="AB160" s="5" t="s">
        <v>117</v>
      </c>
      <c r="AC160" s="27"/>
      <c r="AD160" s="5"/>
      <c r="AE160" s="5" t="s">
        <v>80</v>
      </c>
      <c r="AF160" s="5" t="s">
        <v>198</v>
      </c>
      <c r="AG160" s="5"/>
      <c r="AH160" s="5">
        <v>4.0</v>
      </c>
      <c r="AI160" s="5" t="s">
        <v>1349</v>
      </c>
      <c r="AJ160" s="5" t="s">
        <v>0</v>
      </c>
      <c r="AK160" s="30"/>
      <c r="AL160" s="28">
        <v>0.0</v>
      </c>
      <c r="AM160" s="28">
        <v>6.0</v>
      </c>
      <c r="AN160" s="28">
        <v>2385.0</v>
      </c>
      <c r="AO160" s="28">
        <v>2542.0</v>
      </c>
      <c r="AP160" s="28">
        <v>0.0</v>
      </c>
      <c r="AQ160" s="28">
        <v>0.0</v>
      </c>
      <c r="AR160" s="28">
        <v>5447506.0</v>
      </c>
      <c r="AS160" s="28">
        <v>0.0</v>
      </c>
      <c r="AT160" s="28">
        <v>5447506.0</v>
      </c>
      <c r="AU160" s="28">
        <v>0.0</v>
      </c>
      <c r="AV160" s="28">
        <v>0.0</v>
      </c>
      <c r="AW160" s="28">
        <v>10846.665920000001</v>
      </c>
      <c r="AX160" s="28">
        <v>4343226.677740864</v>
      </c>
      <c r="AY160" s="28">
        <v>4223125.67985</v>
      </c>
      <c r="AZ160" s="5" t="s">
        <v>124</v>
      </c>
      <c r="BA160" s="5" t="s">
        <v>226</v>
      </c>
      <c r="BB160" s="5" t="s">
        <v>227</v>
      </c>
      <c r="BC160" s="32" t="s">
        <v>229</v>
      </c>
      <c r="BD160" s="5" t="s">
        <v>68</v>
      </c>
      <c r="BE160" s="5" t="s">
        <v>128</v>
      </c>
      <c r="BF160" s="5" t="s">
        <v>206</v>
      </c>
      <c r="BG160" s="5" t="s">
        <v>91</v>
      </c>
    </row>
    <row r="161" ht="16.5" hidden="1" customHeight="1">
      <c r="A161" s="5" t="s">
        <v>100</v>
      </c>
      <c r="B161" s="5" t="s">
        <v>215</v>
      </c>
      <c r="C161" s="5" t="b">
        <v>0</v>
      </c>
      <c r="D161" s="5" t="s">
        <v>1352</v>
      </c>
      <c r="E161" s="5" t="s">
        <v>1353</v>
      </c>
      <c r="F161" s="5"/>
      <c r="G161" s="5" t="s">
        <v>65</v>
      </c>
      <c r="H161" s="5" t="s">
        <v>76</v>
      </c>
      <c r="I161" s="5" t="s">
        <v>218</v>
      </c>
      <c r="J161" s="25" t="s">
        <v>219</v>
      </c>
      <c r="K161" s="25"/>
      <c r="L161" s="25"/>
      <c r="M161" s="5" t="s">
        <v>220</v>
      </c>
      <c r="N161" s="5" t="s">
        <v>68</v>
      </c>
      <c r="O161" s="5" t="s">
        <v>69</v>
      </c>
      <c r="P161" s="5" t="s">
        <v>107</v>
      </c>
      <c r="Q161" s="5" t="s">
        <v>180</v>
      </c>
      <c r="R161" s="5" t="s">
        <v>181</v>
      </c>
      <c r="S161" s="5"/>
      <c r="T161" s="5"/>
      <c r="U161" s="5"/>
      <c r="V161" s="5">
        <v>4500.0</v>
      </c>
      <c r="W161" s="26">
        <v>2.1</v>
      </c>
      <c r="X161" s="5">
        <v>2143.0</v>
      </c>
      <c r="Y161" s="27">
        <v>0.0</v>
      </c>
      <c r="Z161" s="28">
        <v>2143.0</v>
      </c>
      <c r="AA161" s="27">
        <v>1.0</v>
      </c>
      <c r="AB161" s="5" t="s">
        <v>117</v>
      </c>
      <c r="AC161" s="27"/>
      <c r="AD161" s="5"/>
      <c r="AE161" s="5" t="s">
        <v>80</v>
      </c>
      <c r="AF161" s="5" t="s">
        <v>198</v>
      </c>
      <c r="AG161" s="5"/>
      <c r="AH161" s="5">
        <v>3.0</v>
      </c>
      <c r="AI161" s="5" t="s">
        <v>1349</v>
      </c>
      <c r="AJ161" s="5" t="s">
        <v>0</v>
      </c>
      <c r="AK161" s="52"/>
      <c r="AL161" s="28">
        <v>0.0</v>
      </c>
      <c r="AM161" s="28">
        <v>1.0</v>
      </c>
      <c r="AN161" s="28">
        <v>1787.0</v>
      </c>
      <c r="AO161" s="28">
        <v>1749.0</v>
      </c>
      <c r="AP161" s="28">
        <v>0.0</v>
      </c>
      <c r="AQ161" s="28">
        <v>0.0</v>
      </c>
      <c r="AR161" s="28">
        <v>3748107.0</v>
      </c>
      <c r="AS161" s="28">
        <v>0.0</v>
      </c>
      <c r="AT161" s="28">
        <v>3748107.0</v>
      </c>
      <c r="AU161" s="28">
        <v>0.0</v>
      </c>
      <c r="AV161" s="28">
        <v>0.0</v>
      </c>
      <c r="AW161" s="28">
        <v>1285.8</v>
      </c>
      <c r="AX161" s="28">
        <v>3318511.953488372</v>
      </c>
      <c r="AY161" s="28">
        <v>3046663.1340799998</v>
      </c>
      <c r="AZ161" s="5" t="s">
        <v>124</v>
      </c>
      <c r="BA161" s="5" t="s">
        <v>226</v>
      </c>
      <c r="BB161" s="5" t="s">
        <v>227</v>
      </c>
      <c r="BC161" s="32" t="s">
        <v>229</v>
      </c>
      <c r="BD161" s="5" t="s">
        <v>68</v>
      </c>
      <c r="BE161" s="5" t="s">
        <v>128</v>
      </c>
      <c r="BF161" s="5" t="s">
        <v>206</v>
      </c>
      <c r="BG161" s="5" t="s">
        <v>91</v>
      </c>
    </row>
    <row r="162" ht="16.5" hidden="1" customHeight="1">
      <c r="A162" s="5" t="s">
        <v>100</v>
      </c>
      <c r="B162" s="5" t="s">
        <v>215</v>
      </c>
      <c r="C162" s="5" t="b">
        <v>0</v>
      </c>
      <c r="D162" s="5" t="s">
        <v>939</v>
      </c>
      <c r="E162" s="5" t="s">
        <v>940</v>
      </c>
      <c r="F162" s="5"/>
      <c r="G162" s="5" t="s">
        <v>65</v>
      </c>
      <c r="H162" s="5" t="s">
        <v>76</v>
      </c>
      <c r="I162" s="5" t="s">
        <v>218</v>
      </c>
      <c r="J162" s="25" t="s">
        <v>219</v>
      </c>
      <c r="K162" s="25"/>
      <c r="L162" s="25"/>
      <c r="M162" s="5" t="s">
        <v>220</v>
      </c>
      <c r="N162" s="5" t="s">
        <v>942</v>
      </c>
      <c r="O162" s="5" t="s">
        <v>69</v>
      </c>
      <c r="P162" s="5" t="s">
        <v>70</v>
      </c>
      <c r="Q162" s="5" t="s">
        <v>1359</v>
      </c>
      <c r="R162" s="5" t="s">
        <v>181</v>
      </c>
      <c r="S162" s="5"/>
      <c r="T162" s="5"/>
      <c r="U162" s="5"/>
      <c r="V162" s="5">
        <v>900.0</v>
      </c>
      <c r="W162" s="26">
        <v>2.1</v>
      </c>
      <c r="X162" s="5">
        <v>429.0</v>
      </c>
      <c r="Y162" s="27">
        <v>0.0</v>
      </c>
      <c r="Z162" s="28">
        <v>429.0</v>
      </c>
      <c r="AA162" s="27">
        <v>1.0</v>
      </c>
      <c r="AB162" s="5" t="s">
        <v>117</v>
      </c>
      <c r="AC162" s="27"/>
      <c r="AD162" s="5"/>
      <c r="AE162" s="5" t="s">
        <v>81</v>
      </c>
      <c r="AF162" s="5" t="s">
        <v>81</v>
      </c>
      <c r="AG162" s="5"/>
      <c r="AH162" s="5">
        <v>1.0</v>
      </c>
      <c r="AI162" s="5" t="s">
        <v>1360</v>
      </c>
      <c r="AJ162" s="5" t="s">
        <v>0</v>
      </c>
      <c r="AK162" s="30"/>
      <c r="AL162" s="28">
        <v>0.0</v>
      </c>
      <c r="AM162" s="28">
        <v>0.0</v>
      </c>
      <c r="AN162" s="28">
        <v>358.0</v>
      </c>
      <c r="AO162" s="28">
        <v>313.0</v>
      </c>
      <c r="AP162" s="28">
        <v>0.0</v>
      </c>
      <c r="AQ162" s="28">
        <v>0.0</v>
      </c>
      <c r="AR162" s="28">
        <v>134277.0</v>
      </c>
      <c r="AS162" s="28">
        <v>0.0</v>
      </c>
      <c r="AT162" s="28">
        <v>134277.0</v>
      </c>
      <c r="AU162" s="28">
        <v>0.0</v>
      </c>
      <c r="AV162" s="28">
        <v>0.0</v>
      </c>
      <c r="AW162" s="28">
        <v>0.0</v>
      </c>
      <c r="AX162" s="28">
        <v>135584.39230343298</v>
      </c>
      <c r="AY162" s="28">
        <v>118142.09859999998</v>
      </c>
      <c r="AZ162" s="5" t="s">
        <v>124</v>
      </c>
      <c r="BA162" s="5" t="s">
        <v>125</v>
      </c>
      <c r="BB162" s="5" t="s">
        <v>127</v>
      </c>
      <c r="BD162" s="5" t="s">
        <v>942</v>
      </c>
      <c r="BE162" s="5" t="s">
        <v>128</v>
      </c>
      <c r="BF162" s="5" t="s">
        <v>951</v>
      </c>
      <c r="BG162" s="5" t="s">
        <v>131</v>
      </c>
    </row>
    <row r="163" ht="16.5" hidden="1" customHeight="1">
      <c r="A163" s="5" t="s">
        <v>100</v>
      </c>
      <c r="B163" s="5" t="s">
        <v>215</v>
      </c>
      <c r="C163" s="5" t="b">
        <v>0</v>
      </c>
      <c r="D163" s="5" t="s">
        <v>961</v>
      </c>
      <c r="E163" s="5" t="s">
        <v>962</v>
      </c>
      <c r="F163" s="5"/>
      <c r="G163" s="5" t="s">
        <v>65</v>
      </c>
      <c r="H163" s="5" t="s">
        <v>76</v>
      </c>
      <c r="I163" s="5" t="s">
        <v>218</v>
      </c>
      <c r="J163" s="25" t="s">
        <v>219</v>
      </c>
      <c r="K163" s="25"/>
      <c r="L163" s="25"/>
      <c r="M163" s="5" t="s">
        <v>220</v>
      </c>
      <c r="N163" s="5" t="s">
        <v>942</v>
      </c>
      <c r="O163" s="5" t="s">
        <v>69</v>
      </c>
      <c r="P163" s="5" t="s">
        <v>107</v>
      </c>
      <c r="Q163" s="5" t="s">
        <v>1359</v>
      </c>
      <c r="R163" s="5" t="s">
        <v>181</v>
      </c>
      <c r="S163" s="5"/>
      <c r="T163" s="5"/>
      <c r="U163" s="5"/>
      <c r="V163" s="5">
        <v>900.0</v>
      </c>
      <c r="W163" s="26">
        <v>2.1</v>
      </c>
      <c r="X163" s="5">
        <v>429.0</v>
      </c>
      <c r="Y163" s="27">
        <v>0.0</v>
      </c>
      <c r="Z163" s="28">
        <v>429.0</v>
      </c>
      <c r="AA163" s="27">
        <v>1.0</v>
      </c>
      <c r="AB163" s="5" t="s">
        <v>117</v>
      </c>
      <c r="AC163" s="27"/>
      <c r="AD163" s="5"/>
      <c r="AE163" s="5" t="s">
        <v>81</v>
      </c>
      <c r="AF163" s="5" t="s">
        <v>81</v>
      </c>
      <c r="AG163" s="5"/>
      <c r="AH163" s="5">
        <v>1.0</v>
      </c>
      <c r="AI163" s="5" t="s">
        <v>1360</v>
      </c>
      <c r="AJ163" s="5" t="s">
        <v>0</v>
      </c>
      <c r="AK163" s="52"/>
      <c r="AL163" s="28">
        <v>0.0</v>
      </c>
      <c r="AM163" s="28">
        <v>0.0</v>
      </c>
      <c r="AN163" s="28">
        <v>304.0</v>
      </c>
      <c r="AO163" s="28">
        <v>277.0</v>
      </c>
      <c r="AP163" s="28">
        <v>0.0</v>
      </c>
      <c r="AQ163" s="28">
        <v>0.0</v>
      </c>
      <c r="AR163" s="28">
        <v>118833.0</v>
      </c>
      <c r="AS163" s="28">
        <v>0.0</v>
      </c>
      <c r="AT163" s="28">
        <v>118833.0</v>
      </c>
      <c r="AU163" s="28">
        <v>0.0</v>
      </c>
      <c r="AV163" s="28">
        <v>0.0</v>
      </c>
      <c r="AW163" s="28">
        <v>0.0</v>
      </c>
      <c r="AX163" s="28">
        <v>119156.45299003323</v>
      </c>
      <c r="AY163" s="28">
        <v>108546.9954</v>
      </c>
      <c r="AZ163" s="5" t="s">
        <v>124</v>
      </c>
      <c r="BA163" s="5" t="s">
        <v>125</v>
      </c>
      <c r="BB163" s="5" t="s">
        <v>127</v>
      </c>
      <c r="BD163" s="5" t="s">
        <v>942</v>
      </c>
      <c r="BE163" s="5" t="s">
        <v>128</v>
      </c>
      <c r="BF163" s="5" t="s">
        <v>951</v>
      </c>
      <c r="BG163" s="5" t="s">
        <v>131</v>
      </c>
    </row>
    <row r="164" ht="16.5" hidden="1" customHeight="1">
      <c r="A164" s="5" t="s">
        <v>100</v>
      </c>
      <c r="B164" s="45" t="s">
        <v>137</v>
      </c>
      <c r="C164" s="45" t="b">
        <v>0</v>
      </c>
      <c r="D164" s="45" t="s">
        <v>1070</v>
      </c>
      <c r="E164" s="45" t="s">
        <v>1072</v>
      </c>
      <c r="F164" s="45"/>
      <c r="G164" s="45" t="s">
        <v>65</v>
      </c>
      <c r="H164" s="45" t="s">
        <v>76</v>
      </c>
      <c r="I164" s="45" t="s">
        <v>106</v>
      </c>
      <c r="J164" s="46" t="s">
        <v>1370</v>
      </c>
      <c r="K164" s="25"/>
      <c r="L164" s="25"/>
      <c r="M164" s="5" t="s">
        <v>220</v>
      </c>
      <c r="N164" s="5" t="s">
        <v>942</v>
      </c>
      <c r="O164" s="5" t="s">
        <v>69</v>
      </c>
      <c r="P164" s="5" t="s">
        <v>70</v>
      </c>
      <c r="Q164" s="5" t="s">
        <v>1371</v>
      </c>
      <c r="R164" s="5" t="s">
        <v>110</v>
      </c>
      <c r="S164" s="5"/>
      <c r="T164" s="5"/>
      <c r="U164" s="5"/>
      <c r="V164" s="5">
        <v>1300.0</v>
      </c>
      <c r="W164" s="26">
        <v>2.1</v>
      </c>
      <c r="X164" s="5">
        <v>619.0</v>
      </c>
      <c r="Y164" s="27">
        <v>0.2</v>
      </c>
      <c r="Z164" s="28">
        <v>495.20000000000005</v>
      </c>
      <c r="AA164" s="27">
        <v>1.0</v>
      </c>
      <c r="AB164" s="5" t="s">
        <v>117</v>
      </c>
      <c r="AC164" s="27"/>
      <c r="AD164" s="5"/>
      <c r="AE164" s="5" t="s">
        <v>81</v>
      </c>
      <c r="AF164" s="5" t="s">
        <v>81</v>
      </c>
      <c r="AG164" s="5"/>
      <c r="AH164" s="5">
        <v>1.0</v>
      </c>
      <c r="AI164" s="5" t="s">
        <v>1360</v>
      </c>
      <c r="AJ164" s="5" t="s">
        <v>0</v>
      </c>
      <c r="AK164" s="30"/>
      <c r="AL164" s="28">
        <v>0.0</v>
      </c>
      <c r="AM164" s="28">
        <v>0.0</v>
      </c>
      <c r="AN164" s="28">
        <v>763.0</v>
      </c>
      <c r="AO164" s="28">
        <v>579.0</v>
      </c>
      <c r="AP164" s="28">
        <v>0.0</v>
      </c>
      <c r="AQ164" s="28">
        <v>0.0</v>
      </c>
      <c r="AR164" s="28">
        <v>358401.0</v>
      </c>
      <c r="AS164" s="28">
        <v>0.0</v>
      </c>
      <c r="AT164" s="28">
        <v>358401.0</v>
      </c>
      <c r="AU164" s="28">
        <v>0.0</v>
      </c>
      <c r="AV164" s="28">
        <v>0.0</v>
      </c>
      <c r="AW164" s="28">
        <v>0.0</v>
      </c>
      <c r="AX164" s="28">
        <v>382087.8604651163</v>
      </c>
      <c r="AY164" s="28">
        <v>293332.73775</v>
      </c>
      <c r="AZ164" s="5" t="s">
        <v>124</v>
      </c>
      <c r="BA164" s="5" t="s">
        <v>125</v>
      </c>
      <c r="BB164" s="5" t="s">
        <v>127</v>
      </c>
      <c r="BD164" s="5" t="s">
        <v>942</v>
      </c>
      <c r="BE164" s="5" t="s">
        <v>751</v>
      </c>
      <c r="BF164" s="5" t="s">
        <v>951</v>
      </c>
      <c r="BG164" s="5" t="s">
        <v>131</v>
      </c>
    </row>
    <row r="165" ht="16.5" hidden="1" customHeight="1">
      <c r="A165" s="5" t="s">
        <v>100</v>
      </c>
      <c r="B165" s="45" t="s">
        <v>137</v>
      </c>
      <c r="C165" s="45" t="b">
        <v>0</v>
      </c>
      <c r="D165" s="45" t="s">
        <v>1164</v>
      </c>
      <c r="E165" s="45" t="s">
        <v>1166</v>
      </c>
      <c r="F165" s="45"/>
      <c r="G165" s="45" t="s">
        <v>65</v>
      </c>
      <c r="H165" s="45" t="s">
        <v>76</v>
      </c>
      <c r="I165" s="45" t="s">
        <v>106</v>
      </c>
      <c r="J165" s="46" t="s">
        <v>1370</v>
      </c>
      <c r="K165" s="25"/>
      <c r="L165" s="25"/>
      <c r="M165" s="5" t="s">
        <v>220</v>
      </c>
      <c r="N165" s="5" t="s">
        <v>942</v>
      </c>
      <c r="O165" s="5" t="s">
        <v>69</v>
      </c>
      <c r="P165" s="5" t="s">
        <v>107</v>
      </c>
      <c r="Q165" s="5" t="s">
        <v>1371</v>
      </c>
      <c r="R165" s="5" t="s">
        <v>110</v>
      </c>
      <c r="S165" s="5"/>
      <c r="T165" s="5"/>
      <c r="U165" s="5"/>
      <c r="V165" s="5">
        <v>1300.0</v>
      </c>
      <c r="W165" s="26">
        <v>2.1</v>
      </c>
      <c r="X165" s="5">
        <v>619.0</v>
      </c>
      <c r="Y165" s="27">
        <v>0.2</v>
      </c>
      <c r="Z165" s="28">
        <v>495.20000000000005</v>
      </c>
      <c r="AA165" s="27">
        <v>1.0</v>
      </c>
      <c r="AB165" s="5" t="s">
        <v>117</v>
      </c>
      <c r="AC165" s="27"/>
      <c r="AD165" s="5"/>
      <c r="AE165" s="5" t="s">
        <v>81</v>
      </c>
      <c r="AF165" s="5" t="s">
        <v>81</v>
      </c>
      <c r="AG165" s="5"/>
      <c r="AH165" s="5">
        <v>1.0</v>
      </c>
      <c r="AI165" s="5" t="s">
        <v>1360</v>
      </c>
      <c r="AJ165" s="5" t="s">
        <v>0</v>
      </c>
      <c r="AK165" s="52"/>
      <c r="AL165" s="28">
        <v>0.0</v>
      </c>
      <c r="AM165" s="28">
        <v>0.0</v>
      </c>
      <c r="AN165" s="28">
        <v>561.0</v>
      </c>
      <c r="AO165" s="28">
        <v>456.0</v>
      </c>
      <c r="AP165" s="28">
        <v>0.0</v>
      </c>
      <c r="AQ165" s="28">
        <v>0.0</v>
      </c>
      <c r="AR165" s="28">
        <v>282264.0</v>
      </c>
      <c r="AS165" s="28">
        <v>0.0</v>
      </c>
      <c r="AT165" s="28">
        <v>282264.0</v>
      </c>
      <c r="AU165" s="28">
        <v>0.0</v>
      </c>
      <c r="AV165" s="28">
        <v>0.0</v>
      </c>
      <c r="AW165" s="28">
        <v>0.0</v>
      </c>
      <c r="AX165" s="28">
        <v>292937.68637873756</v>
      </c>
      <c r="AY165" s="28">
        <v>242928.72195</v>
      </c>
      <c r="AZ165" s="5" t="s">
        <v>124</v>
      </c>
      <c r="BA165" s="5" t="s">
        <v>125</v>
      </c>
      <c r="BB165" s="5" t="s">
        <v>127</v>
      </c>
      <c r="BD165" s="5" t="s">
        <v>942</v>
      </c>
      <c r="BE165" s="5" t="s">
        <v>751</v>
      </c>
      <c r="BF165" s="5" t="s">
        <v>951</v>
      </c>
      <c r="BG165" s="5" t="s">
        <v>131</v>
      </c>
    </row>
    <row r="166" ht="16.5" hidden="1" customHeight="1">
      <c r="A166" s="5" t="s">
        <v>100</v>
      </c>
      <c r="B166" s="45" t="s">
        <v>137</v>
      </c>
      <c r="C166" s="45" t="b">
        <v>0</v>
      </c>
      <c r="D166" s="45" t="s">
        <v>1179</v>
      </c>
      <c r="E166" s="45" t="s">
        <v>1180</v>
      </c>
      <c r="F166" s="45"/>
      <c r="G166" s="45" t="s">
        <v>65</v>
      </c>
      <c r="H166" s="45" t="s">
        <v>76</v>
      </c>
      <c r="I166" s="45" t="s">
        <v>106</v>
      </c>
      <c r="J166" s="46" t="s">
        <v>1370</v>
      </c>
      <c r="K166" s="25"/>
      <c r="L166" s="25"/>
      <c r="M166" s="5" t="s">
        <v>220</v>
      </c>
      <c r="N166" s="5" t="s">
        <v>942</v>
      </c>
      <c r="O166" s="5" t="s">
        <v>69</v>
      </c>
      <c r="P166" s="5" t="s">
        <v>70</v>
      </c>
      <c r="Q166" s="5" t="s">
        <v>1381</v>
      </c>
      <c r="R166" s="5" t="s">
        <v>181</v>
      </c>
      <c r="S166" s="5"/>
      <c r="T166" s="5"/>
      <c r="U166" s="5"/>
      <c r="V166" s="5">
        <v>1000.0</v>
      </c>
      <c r="W166" s="26">
        <v>2.1</v>
      </c>
      <c r="X166" s="5">
        <v>476.0</v>
      </c>
      <c r="Y166" s="27">
        <v>0.2</v>
      </c>
      <c r="Z166" s="28">
        <v>380.8</v>
      </c>
      <c r="AA166" s="27">
        <v>1.0</v>
      </c>
      <c r="AB166" s="5" t="s">
        <v>117</v>
      </c>
      <c r="AC166" s="27"/>
      <c r="AD166" s="5"/>
      <c r="AE166" s="5" t="s">
        <v>81</v>
      </c>
      <c r="AF166" s="5" t="s">
        <v>81</v>
      </c>
      <c r="AG166" s="5"/>
      <c r="AH166" s="5">
        <v>1.0</v>
      </c>
      <c r="AI166" s="5" t="s">
        <v>1360</v>
      </c>
      <c r="AJ166" s="5" t="s">
        <v>0</v>
      </c>
      <c r="AK166" s="30"/>
      <c r="AL166" s="28">
        <v>0.0</v>
      </c>
      <c r="AM166" s="28">
        <v>0.0</v>
      </c>
      <c r="AN166" s="28">
        <v>577.0</v>
      </c>
      <c r="AO166" s="28">
        <v>440.0</v>
      </c>
      <c r="AP166" s="28">
        <v>0.0</v>
      </c>
      <c r="AQ166" s="28">
        <v>0.0</v>
      </c>
      <c r="AR166" s="28">
        <v>209440.0</v>
      </c>
      <c r="AS166" s="28">
        <v>0.0</v>
      </c>
      <c r="AT166" s="28">
        <v>209440.0</v>
      </c>
      <c r="AU166" s="28">
        <v>0.0</v>
      </c>
      <c r="AV166" s="28">
        <v>0.0</v>
      </c>
      <c r="AW166" s="28">
        <v>0.0</v>
      </c>
      <c r="AX166" s="28">
        <v>247225.39368770763</v>
      </c>
      <c r="AY166" s="28">
        <v>193148.40039999998</v>
      </c>
      <c r="AZ166" s="5" t="s">
        <v>124</v>
      </c>
      <c r="BA166" s="5" t="s">
        <v>125</v>
      </c>
      <c r="BB166" s="5" t="s">
        <v>127</v>
      </c>
      <c r="BD166" s="5" t="s">
        <v>942</v>
      </c>
      <c r="BE166" s="5" t="s">
        <v>128</v>
      </c>
      <c r="BF166" s="5" t="s">
        <v>951</v>
      </c>
      <c r="BG166" s="5" t="s">
        <v>131</v>
      </c>
    </row>
    <row r="167" ht="16.5" hidden="1" customHeight="1">
      <c r="A167" s="5" t="s">
        <v>100</v>
      </c>
      <c r="B167" s="45" t="s">
        <v>137</v>
      </c>
      <c r="C167" s="45" t="b">
        <v>0</v>
      </c>
      <c r="D167" s="45" t="s">
        <v>1388</v>
      </c>
      <c r="E167" s="45" t="s">
        <v>1389</v>
      </c>
      <c r="F167" s="45"/>
      <c r="G167" s="45" t="s">
        <v>65</v>
      </c>
      <c r="H167" s="45" t="s">
        <v>76</v>
      </c>
      <c r="I167" s="45" t="s">
        <v>106</v>
      </c>
      <c r="J167" s="46" t="s">
        <v>1370</v>
      </c>
      <c r="K167" s="25"/>
      <c r="L167" s="25"/>
      <c r="M167" s="5" t="s">
        <v>220</v>
      </c>
      <c r="N167" s="5" t="s">
        <v>942</v>
      </c>
      <c r="O167" s="5" t="s">
        <v>69</v>
      </c>
      <c r="P167" s="5" t="s">
        <v>107</v>
      </c>
      <c r="Q167" s="5" t="s">
        <v>1381</v>
      </c>
      <c r="R167" s="5" t="s">
        <v>181</v>
      </c>
      <c r="S167" s="5"/>
      <c r="T167" s="5"/>
      <c r="U167" s="5"/>
      <c r="V167" s="5">
        <v>1000.0</v>
      </c>
      <c r="W167" s="26">
        <v>2.1</v>
      </c>
      <c r="X167" s="5">
        <v>476.0</v>
      </c>
      <c r="Y167" s="27">
        <v>0.2</v>
      </c>
      <c r="Z167" s="28">
        <v>380.8</v>
      </c>
      <c r="AA167" s="27">
        <v>1.0</v>
      </c>
      <c r="AB167" s="5" t="s">
        <v>117</v>
      </c>
      <c r="AC167" s="27"/>
      <c r="AD167" s="5"/>
      <c r="AE167" s="5" t="s">
        <v>81</v>
      </c>
      <c r="AF167" s="5" t="s">
        <v>81</v>
      </c>
      <c r="AG167" s="5"/>
      <c r="AH167" s="5">
        <v>1.0</v>
      </c>
      <c r="AI167" s="5" t="s">
        <v>1360</v>
      </c>
      <c r="AJ167" s="5" t="s">
        <v>0</v>
      </c>
      <c r="AK167" s="52"/>
      <c r="AL167" s="28">
        <v>0.0</v>
      </c>
      <c r="AM167" s="28">
        <v>0.0</v>
      </c>
      <c r="AN167" s="28">
        <v>492.0</v>
      </c>
      <c r="AO167" s="28">
        <v>377.0</v>
      </c>
      <c r="AP167" s="28">
        <v>0.0</v>
      </c>
      <c r="AQ167" s="28">
        <v>0.0</v>
      </c>
      <c r="AR167" s="28">
        <v>179452.0</v>
      </c>
      <c r="AS167" s="28">
        <v>0.0</v>
      </c>
      <c r="AT167" s="28">
        <v>179452.0</v>
      </c>
      <c r="AU167" s="28">
        <v>0.0</v>
      </c>
      <c r="AV167" s="28">
        <v>0.0</v>
      </c>
      <c r="AW167" s="28">
        <v>0.0</v>
      </c>
      <c r="AX167" s="28">
        <v>212643.49723145072</v>
      </c>
      <c r="AY167" s="28">
        <v>168150.1712</v>
      </c>
      <c r="AZ167" s="5" t="s">
        <v>124</v>
      </c>
      <c r="BA167" s="5" t="s">
        <v>125</v>
      </c>
      <c r="BB167" s="5" t="s">
        <v>127</v>
      </c>
      <c r="BD167" s="5" t="s">
        <v>942</v>
      </c>
      <c r="BE167" s="5" t="s">
        <v>128</v>
      </c>
      <c r="BF167" s="5" t="s">
        <v>951</v>
      </c>
      <c r="BG167" s="5" t="s">
        <v>131</v>
      </c>
    </row>
    <row r="168" ht="16.5" hidden="1" customHeight="1">
      <c r="A168" s="5" t="s">
        <v>100</v>
      </c>
      <c r="B168" s="5" t="s">
        <v>137</v>
      </c>
      <c r="C168" s="5" t="b">
        <v>1</v>
      </c>
      <c r="D168" s="5" t="s">
        <v>621</v>
      </c>
      <c r="E168" s="5" t="s">
        <v>622</v>
      </c>
      <c r="F168" s="5"/>
      <c r="G168" s="5" t="s">
        <v>65</v>
      </c>
      <c r="H168" s="5" t="s">
        <v>76</v>
      </c>
      <c r="I168" s="5" t="s">
        <v>82</v>
      </c>
      <c r="J168" s="25"/>
      <c r="K168" s="25"/>
      <c r="L168" s="25"/>
      <c r="M168" s="5" t="s">
        <v>247</v>
      </c>
      <c r="N168" s="5" t="s">
        <v>113</v>
      </c>
      <c r="O168" s="5" t="s">
        <v>69</v>
      </c>
      <c r="P168" s="5" t="s">
        <v>70</v>
      </c>
      <c r="Q168" s="5" t="s">
        <v>180</v>
      </c>
      <c r="R168" s="5" t="s">
        <v>181</v>
      </c>
      <c r="S168" s="5"/>
      <c r="T168" s="5"/>
      <c r="U168" s="5"/>
      <c r="V168" s="5">
        <v>1500.0</v>
      </c>
      <c r="W168" s="26">
        <v>2.1</v>
      </c>
      <c r="X168" s="5">
        <v>714.0</v>
      </c>
      <c r="Y168" s="27">
        <v>0.2</v>
      </c>
      <c r="Z168" s="28">
        <v>571.2</v>
      </c>
      <c r="AA168" s="27">
        <v>1.0</v>
      </c>
      <c r="AB168" s="5" t="s">
        <v>242</v>
      </c>
      <c r="AC168" s="27">
        <v>0.61</v>
      </c>
      <c r="AD168" s="5"/>
      <c r="AE168" s="5" t="s">
        <v>81</v>
      </c>
      <c r="AF168" s="5" t="s">
        <v>81</v>
      </c>
      <c r="AG168" s="5">
        <v>2.0</v>
      </c>
      <c r="AH168" s="5">
        <v>2.0</v>
      </c>
      <c r="AI168" s="5" t="s">
        <v>1397</v>
      </c>
      <c r="AJ168" s="5" t="s">
        <v>0</v>
      </c>
      <c r="AK168" s="30">
        <v>1500.0</v>
      </c>
      <c r="AL168" s="28">
        <v>1527.0</v>
      </c>
      <c r="AM168" s="28">
        <v>0.0</v>
      </c>
      <c r="AN168" s="28">
        <v>844.0</v>
      </c>
      <c r="AO168" s="28">
        <v>1107.0</v>
      </c>
      <c r="AP168" s="28">
        <v>1071000.0</v>
      </c>
      <c r="AQ168" s="28">
        <v>1090720.83</v>
      </c>
      <c r="AR168" s="28">
        <v>790398.0</v>
      </c>
      <c r="AS168" s="28">
        <v>0.0</v>
      </c>
      <c r="AT168" s="28">
        <v>790398.0</v>
      </c>
      <c r="AU168" s="28">
        <v>856800.0000000001</v>
      </c>
      <c r="AV168" s="28">
        <v>824576.2622369877</v>
      </c>
      <c r="AW168" s="28">
        <v>0.0</v>
      </c>
      <c r="AX168" s="28">
        <v>383877.04274640087</v>
      </c>
      <c r="AY168" s="28">
        <v>484303.19985000003</v>
      </c>
      <c r="AZ168" s="5"/>
      <c r="BA168" s="5" t="s">
        <v>125</v>
      </c>
      <c r="BB168" s="5" t="s">
        <v>127</v>
      </c>
      <c r="BC168" s="5" t="s">
        <v>237</v>
      </c>
      <c r="BD168" s="5" t="s">
        <v>126</v>
      </c>
      <c r="BE168" s="5" t="s">
        <v>128</v>
      </c>
      <c r="BF168" s="5" t="s">
        <v>130</v>
      </c>
      <c r="BG168" s="5" t="s">
        <v>131</v>
      </c>
    </row>
    <row r="169" ht="16.5" hidden="1" customHeight="1">
      <c r="A169" s="5" t="s">
        <v>100</v>
      </c>
      <c r="B169" s="5" t="s">
        <v>137</v>
      </c>
      <c r="C169" s="5" t="b">
        <v>1</v>
      </c>
      <c r="D169" s="5" t="s">
        <v>624</v>
      </c>
      <c r="E169" s="5" t="s">
        <v>625</v>
      </c>
      <c r="F169" s="5"/>
      <c r="G169" s="5" t="s">
        <v>65</v>
      </c>
      <c r="H169" s="5" t="s">
        <v>76</v>
      </c>
      <c r="I169" s="5" t="s">
        <v>82</v>
      </c>
      <c r="J169" s="25"/>
      <c r="K169" s="25"/>
      <c r="L169" s="25"/>
      <c r="M169" s="5" t="s">
        <v>247</v>
      </c>
      <c r="N169" s="5" t="s">
        <v>113</v>
      </c>
      <c r="O169" s="5" t="s">
        <v>69</v>
      </c>
      <c r="P169" s="5" t="s">
        <v>107</v>
      </c>
      <c r="Q169" s="5" t="s">
        <v>180</v>
      </c>
      <c r="R169" s="5" t="s">
        <v>181</v>
      </c>
      <c r="S169" s="5"/>
      <c r="T169" s="5"/>
      <c r="U169" s="5"/>
      <c r="V169" s="5">
        <v>1500.0</v>
      </c>
      <c r="W169" s="26">
        <v>2.1</v>
      </c>
      <c r="X169" s="5">
        <v>714.0</v>
      </c>
      <c r="Y169" s="27">
        <v>0.2</v>
      </c>
      <c r="Z169" s="28">
        <v>571.2</v>
      </c>
      <c r="AA169" s="27">
        <v>1.0</v>
      </c>
      <c r="AB169" s="5" t="s">
        <v>242</v>
      </c>
      <c r="AC169" s="27">
        <v>0.63</v>
      </c>
      <c r="AD169" s="5"/>
      <c r="AE169" s="5" t="s">
        <v>81</v>
      </c>
      <c r="AF169" s="5" t="s">
        <v>81</v>
      </c>
      <c r="AG169" s="5">
        <v>2.0</v>
      </c>
      <c r="AH169" s="5">
        <v>2.0</v>
      </c>
      <c r="AI169" s="5" t="s">
        <v>1397</v>
      </c>
      <c r="AJ169" s="5" t="s">
        <v>0</v>
      </c>
      <c r="AK169" s="30">
        <v>1000.0</v>
      </c>
      <c r="AL169" s="28">
        <v>968.0</v>
      </c>
      <c r="AM169" s="28">
        <v>0.0</v>
      </c>
      <c r="AN169" s="28">
        <v>474.0</v>
      </c>
      <c r="AO169" s="28">
        <v>766.0</v>
      </c>
      <c r="AP169" s="28">
        <v>714000.0</v>
      </c>
      <c r="AQ169" s="28">
        <v>691432.7200000001</v>
      </c>
      <c r="AR169" s="28">
        <v>546924.0</v>
      </c>
      <c r="AS169" s="28">
        <v>0.0</v>
      </c>
      <c r="AT169" s="28">
        <v>546924.0</v>
      </c>
      <c r="AU169" s="28">
        <v>571200.0</v>
      </c>
      <c r="AV169" s="28">
        <v>526759.7426356587</v>
      </c>
      <c r="AW169" s="28">
        <v>0.0</v>
      </c>
      <c r="AX169" s="28">
        <v>227649.90697674415</v>
      </c>
      <c r="AY169" s="28">
        <v>371500.70788000006</v>
      </c>
      <c r="AZ169" s="5"/>
      <c r="BA169" s="5" t="s">
        <v>125</v>
      </c>
      <c r="BB169" s="5" t="s">
        <v>127</v>
      </c>
      <c r="BC169" s="5" t="s">
        <v>237</v>
      </c>
      <c r="BD169" s="5" t="s">
        <v>126</v>
      </c>
      <c r="BE169" s="5" t="s">
        <v>128</v>
      </c>
      <c r="BF169" s="5" t="s">
        <v>130</v>
      </c>
      <c r="BG169" s="5" t="s">
        <v>131</v>
      </c>
    </row>
    <row r="170" ht="16.5" hidden="1" customHeight="1">
      <c r="A170" s="5" t="s">
        <v>100</v>
      </c>
      <c r="B170" s="5" t="s">
        <v>200</v>
      </c>
      <c r="C170" s="5" t="b">
        <v>1</v>
      </c>
      <c r="D170" s="5" t="s">
        <v>630</v>
      </c>
      <c r="E170" s="5" t="s">
        <v>631</v>
      </c>
      <c r="F170" s="5"/>
      <c r="G170" s="5" t="s">
        <v>65</v>
      </c>
      <c r="H170" s="5" t="s">
        <v>74</v>
      </c>
      <c r="I170" s="5" t="s">
        <v>82</v>
      </c>
      <c r="J170" s="25"/>
      <c r="K170" s="25"/>
      <c r="L170" s="25"/>
      <c r="M170" s="5" t="s">
        <v>247</v>
      </c>
      <c r="N170" s="5" t="s">
        <v>113</v>
      </c>
      <c r="O170" s="5" t="s">
        <v>69</v>
      </c>
      <c r="P170" s="5" t="s">
        <v>70</v>
      </c>
      <c r="Q170" s="5" t="s">
        <v>147</v>
      </c>
      <c r="R170" s="5" t="s">
        <v>181</v>
      </c>
      <c r="S170" s="5"/>
      <c r="T170" s="5"/>
      <c r="U170" s="5"/>
      <c r="V170" s="5">
        <v>1200.0</v>
      </c>
      <c r="W170" s="26">
        <v>2.1</v>
      </c>
      <c r="X170" s="5">
        <v>571.0</v>
      </c>
      <c r="Y170" s="27">
        <v>0.2</v>
      </c>
      <c r="Z170" s="28">
        <v>456.8</v>
      </c>
      <c r="AA170" s="27">
        <v>1.0</v>
      </c>
      <c r="AB170" s="5" t="s">
        <v>242</v>
      </c>
      <c r="AC170" s="27">
        <v>0.61</v>
      </c>
      <c r="AD170" s="5"/>
      <c r="AE170" s="5" t="s">
        <v>81</v>
      </c>
      <c r="AF170" s="5" t="s">
        <v>81</v>
      </c>
      <c r="AG170" s="5">
        <v>3.0</v>
      </c>
      <c r="AH170" s="5">
        <v>3.0</v>
      </c>
      <c r="AI170" s="5" t="s">
        <v>0</v>
      </c>
      <c r="AJ170" s="5" t="s">
        <v>0</v>
      </c>
      <c r="AK170" s="30">
        <v>1700.0</v>
      </c>
      <c r="AL170" s="28">
        <v>1724.0</v>
      </c>
      <c r="AM170" s="28">
        <v>0.0</v>
      </c>
      <c r="AN170" s="28">
        <v>0.0</v>
      </c>
      <c r="AO170" s="28">
        <v>0.0</v>
      </c>
      <c r="AP170" s="28">
        <v>970700.0</v>
      </c>
      <c r="AQ170" s="28">
        <v>985145.3199999998</v>
      </c>
      <c r="AR170" s="28">
        <v>0.0</v>
      </c>
      <c r="AS170" s="28">
        <v>0.0</v>
      </c>
      <c r="AT170" s="28">
        <v>0.0</v>
      </c>
      <c r="AU170" s="28">
        <v>776560.0</v>
      </c>
      <c r="AV170" s="28">
        <v>754002.0910299004</v>
      </c>
      <c r="AW170" s="28">
        <v>0.0</v>
      </c>
      <c r="AX170" s="28">
        <v>0.0</v>
      </c>
      <c r="AY170" s="28">
        <v>0.0</v>
      </c>
      <c r="AZ170" s="5"/>
      <c r="BA170" s="5" t="s">
        <v>125</v>
      </c>
      <c r="BB170" s="5" t="s">
        <v>174</v>
      </c>
      <c r="BC170" s="5" t="s">
        <v>237</v>
      </c>
      <c r="BD170" s="5" t="s">
        <v>126</v>
      </c>
      <c r="BE170" s="5" t="s">
        <v>147</v>
      </c>
      <c r="BF170" s="5" t="s">
        <v>130</v>
      </c>
      <c r="BG170" s="5" t="s">
        <v>131</v>
      </c>
    </row>
    <row r="171" ht="16.5" hidden="1" customHeight="1">
      <c r="A171" s="5" t="s">
        <v>100</v>
      </c>
      <c r="B171" s="5" t="s">
        <v>200</v>
      </c>
      <c r="C171" s="5" t="b">
        <v>1</v>
      </c>
      <c r="D171" s="5" t="s">
        <v>633</v>
      </c>
      <c r="E171" s="5" t="s">
        <v>634</v>
      </c>
      <c r="F171" s="5"/>
      <c r="G171" s="5" t="s">
        <v>65</v>
      </c>
      <c r="H171" s="5" t="s">
        <v>74</v>
      </c>
      <c r="I171" s="5" t="s">
        <v>82</v>
      </c>
      <c r="J171" s="25"/>
      <c r="K171" s="25"/>
      <c r="L171" s="25"/>
      <c r="M171" s="5" t="s">
        <v>247</v>
      </c>
      <c r="N171" s="5" t="s">
        <v>113</v>
      </c>
      <c r="O171" s="5" t="s">
        <v>69</v>
      </c>
      <c r="P171" s="5" t="s">
        <v>107</v>
      </c>
      <c r="Q171" s="5" t="s">
        <v>147</v>
      </c>
      <c r="R171" s="5" t="s">
        <v>181</v>
      </c>
      <c r="S171" s="5"/>
      <c r="T171" s="5"/>
      <c r="U171" s="5"/>
      <c r="V171" s="5">
        <v>1200.0</v>
      </c>
      <c r="W171" s="26">
        <v>2.1</v>
      </c>
      <c r="X171" s="5">
        <v>571.0</v>
      </c>
      <c r="Y171" s="27">
        <v>0.2</v>
      </c>
      <c r="Z171" s="28">
        <v>456.8</v>
      </c>
      <c r="AA171" s="27">
        <v>1.0</v>
      </c>
      <c r="AB171" s="5" t="s">
        <v>242</v>
      </c>
      <c r="AC171" s="27">
        <v>0.62</v>
      </c>
      <c r="AD171" s="5"/>
      <c r="AE171" s="5" t="s">
        <v>81</v>
      </c>
      <c r="AF171" s="5" t="s">
        <v>81</v>
      </c>
      <c r="AG171" s="5">
        <v>3.0</v>
      </c>
      <c r="AH171" s="5">
        <v>3.0</v>
      </c>
      <c r="AI171" s="5" t="s">
        <v>0</v>
      </c>
      <c r="AJ171" s="5" t="s">
        <v>0</v>
      </c>
      <c r="AK171" s="30">
        <v>1300.0</v>
      </c>
      <c r="AL171" s="28">
        <v>1292.0</v>
      </c>
      <c r="AM171" s="28">
        <v>0.0</v>
      </c>
      <c r="AN171" s="28">
        <v>0.0</v>
      </c>
      <c r="AO171" s="28">
        <v>0.0</v>
      </c>
      <c r="AP171" s="28">
        <v>742300.0</v>
      </c>
      <c r="AQ171" s="28">
        <v>738287.5599999999</v>
      </c>
      <c r="AR171" s="28">
        <v>0.0</v>
      </c>
      <c r="AS171" s="28">
        <v>0.0</v>
      </c>
      <c r="AT171" s="28">
        <v>0.0</v>
      </c>
      <c r="AU171" s="28">
        <v>593840.0</v>
      </c>
      <c r="AV171" s="28">
        <v>575402.3957918052</v>
      </c>
      <c r="AW171" s="28">
        <v>0.0</v>
      </c>
      <c r="AX171" s="28">
        <v>0.0</v>
      </c>
      <c r="AY171" s="28">
        <v>0.0</v>
      </c>
      <c r="AZ171" s="5"/>
      <c r="BA171" s="5" t="s">
        <v>125</v>
      </c>
      <c r="BB171" s="5" t="s">
        <v>174</v>
      </c>
      <c r="BC171" s="5" t="s">
        <v>237</v>
      </c>
      <c r="BD171" s="5" t="s">
        <v>126</v>
      </c>
      <c r="BE171" s="5" t="s">
        <v>147</v>
      </c>
      <c r="BF171" s="5" t="s">
        <v>130</v>
      </c>
      <c r="BG171" s="5" t="s">
        <v>131</v>
      </c>
    </row>
    <row r="172" ht="16.5" hidden="1" customHeight="1">
      <c r="A172" s="5" t="s">
        <v>100</v>
      </c>
      <c r="B172" s="5" t="s">
        <v>200</v>
      </c>
      <c r="C172" s="5" t="b">
        <v>0</v>
      </c>
      <c r="D172" s="5" t="s">
        <v>635</v>
      </c>
      <c r="E172" s="5" t="s">
        <v>636</v>
      </c>
      <c r="F172" s="5"/>
      <c r="G172" s="5" t="s">
        <v>65</v>
      </c>
      <c r="H172" s="5" t="s">
        <v>74</v>
      </c>
      <c r="I172" s="5" t="s">
        <v>106</v>
      </c>
      <c r="J172" s="25" t="s">
        <v>896</v>
      </c>
      <c r="K172" s="25"/>
      <c r="L172" s="25"/>
      <c r="M172" s="5" t="s">
        <v>247</v>
      </c>
      <c r="N172" s="5" t="s">
        <v>334</v>
      </c>
      <c r="O172" s="5" t="s">
        <v>69</v>
      </c>
      <c r="P172" s="5" t="s">
        <v>107</v>
      </c>
      <c r="Q172" s="5" t="s">
        <v>600</v>
      </c>
      <c r="R172" s="5" t="s">
        <v>110</v>
      </c>
      <c r="S172" s="5"/>
      <c r="T172" s="5"/>
      <c r="U172" s="5"/>
      <c r="V172" s="5">
        <v>550.0</v>
      </c>
      <c r="W172" s="26">
        <v>2.1</v>
      </c>
      <c r="X172" s="5">
        <v>262.0</v>
      </c>
      <c r="Y172" s="27">
        <v>0.0</v>
      </c>
      <c r="Z172" s="28">
        <v>262.0</v>
      </c>
      <c r="AA172" s="27">
        <v>1.0</v>
      </c>
      <c r="AB172" s="5" t="s">
        <v>117</v>
      </c>
      <c r="AC172" s="27"/>
      <c r="AD172" s="5"/>
      <c r="AE172" s="5" t="s">
        <v>81</v>
      </c>
      <c r="AF172" s="5" t="s">
        <v>81</v>
      </c>
      <c r="AG172" s="5"/>
      <c r="AH172" s="5">
        <v>3.0</v>
      </c>
      <c r="AI172" s="5" t="s">
        <v>1416</v>
      </c>
      <c r="AJ172" s="5" t="s">
        <v>0</v>
      </c>
      <c r="AK172" s="30"/>
      <c r="AL172" s="28">
        <v>1067.0</v>
      </c>
      <c r="AM172" s="28">
        <v>0.0</v>
      </c>
      <c r="AN172" s="28">
        <v>0.0</v>
      </c>
      <c r="AO172" s="28">
        <v>0.0</v>
      </c>
      <c r="AP172" s="28">
        <v>0.0</v>
      </c>
      <c r="AQ172" s="28">
        <v>279447.3</v>
      </c>
      <c r="AR172" s="28">
        <v>0.0</v>
      </c>
      <c r="AS172" s="28">
        <v>0.0</v>
      </c>
      <c r="AT172" s="28">
        <v>0.0</v>
      </c>
      <c r="AU172" s="28">
        <v>0.0</v>
      </c>
      <c r="AV172" s="28">
        <v>231910.05537098562</v>
      </c>
      <c r="AW172" s="28">
        <v>0.0</v>
      </c>
      <c r="AX172" s="28">
        <v>0.0</v>
      </c>
      <c r="AY172" s="28">
        <v>0.0</v>
      </c>
      <c r="AZ172" s="5" t="s">
        <v>124</v>
      </c>
      <c r="BA172" s="5" t="s">
        <v>125</v>
      </c>
      <c r="BB172" s="5" t="s">
        <v>174</v>
      </c>
      <c r="BD172" s="5" t="s">
        <v>334</v>
      </c>
      <c r="BE172" s="5" t="s">
        <v>348</v>
      </c>
      <c r="BF172" s="5" t="s">
        <v>338</v>
      </c>
      <c r="BG172" s="5" t="s">
        <v>131</v>
      </c>
      <c r="BH172" s="5" t="s">
        <v>1420</v>
      </c>
    </row>
    <row r="173" ht="16.5" hidden="1" customHeight="1">
      <c r="A173" s="5" t="s">
        <v>100</v>
      </c>
      <c r="B173" s="5" t="s">
        <v>200</v>
      </c>
      <c r="C173" s="5" t="b">
        <v>1</v>
      </c>
      <c r="D173" s="5" t="s">
        <v>639</v>
      </c>
      <c r="E173" s="5" t="s">
        <v>640</v>
      </c>
      <c r="F173" s="5"/>
      <c r="G173" s="5" t="s">
        <v>65</v>
      </c>
      <c r="H173" s="5" t="s">
        <v>74</v>
      </c>
      <c r="I173" s="5" t="s">
        <v>82</v>
      </c>
      <c r="J173" s="25"/>
      <c r="K173" s="25"/>
      <c r="L173" s="25"/>
      <c r="M173" s="5" t="s">
        <v>66</v>
      </c>
      <c r="N173" s="5" t="s">
        <v>113</v>
      </c>
      <c r="O173" s="5" t="s">
        <v>69</v>
      </c>
      <c r="P173" s="5" t="s">
        <v>70</v>
      </c>
      <c r="Q173" s="5" t="s">
        <v>1421</v>
      </c>
      <c r="R173" s="5" t="s">
        <v>181</v>
      </c>
      <c r="S173" s="5"/>
      <c r="T173" s="5"/>
      <c r="U173" s="5"/>
      <c r="V173" s="5">
        <v>1500.0</v>
      </c>
      <c r="W173" s="26">
        <v>2.1</v>
      </c>
      <c r="X173" s="5">
        <v>714.0</v>
      </c>
      <c r="Y173" s="27">
        <v>0.2</v>
      </c>
      <c r="Z173" s="28">
        <v>571.2</v>
      </c>
      <c r="AA173" s="27">
        <v>1.0</v>
      </c>
      <c r="AB173" s="5" t="s">
        <v>117</v>
      </c>
      <c r="AC173" s="27">
        <v>0.595</v>
      </c>
      <c r="AD173" s="5"/>
      <c r="AE173" s="5" t="s">
        <v>81</v>
      </c>
      <c r="AF173" s="5" t="s">
        <v>81</v>
      </c>
      <c r="AG173" s="5">
        <v>3.0</v>
      </c>
      <c r="AH173" s="5">
        <v>3.0</v>
      </c>
      <c r="AI173" s="5" t="s">
        <v>0</v>
      </c>
      <c r="AJ173" s="5" t="s">
        <v>156</v>
      </c>
      <c r="AK173" s="30">
        <v>3000.0</v>
      </c>
      <c r="AL173" s="28">
        <v>3197.0</v>
      </c>
      <c r="AM173" s="28">
        <v>3273.0</v>
      </c>
      <c r="AN173" s="28">
        <v>0.0</v>
      </c>
      <c r="AO173" s="28">
        <v>291.0</v>
      </c>
      <c r="AP173" s="28">
        <v>2142000.0</v>
      </c>
      <c r="AQ173" s="28">
        <v>2283585.13</v>
      </c>
      <c r="AR173" s="28">
        <v>194097.0</v>
      </c>
      <c r="AS173" s="28">
        <v>0.0</v>
      </c>
      <c r="AT173" s="28">
        <v>194097.0</v>
      </c>
      <c r="AU173" s="28">
        <v>1713600.0000000002</v>
      </c>
      <c r="AV173" s="28">
        <v>1874475.6697120704</v>
      </c>
      <c r="AW173" s="28">
        <v>1638492.4658414007</v>
      </c>
      <c r="AX173" s="28">
        <v>0.0</v>
      </c>
      <c r="AY173" s="28">
        <v>159985.98</v>
      </c>
      <c r="AZ173" s="5"/>
      <c r="BA173" s="5" t="s">
        <v>125</v>
      </c>
      <c r="BB173" s="5" t="s">
        <v>127</v>
      </c>
      <c r="BD173" s="5" t="s">
        <v>126</v>
      </c>
      <c r="BE173" s="5" t="s">
        <v>128</v>
      </c>
      <c r="BF173" s="5" t="s">
        <v>130</v>
      </c>
      <c r="BG173" s="5" t="s">
        <v>131</v>
      </c>
    </row>
    <row r="174" ht="16.5" hidden="1" customHeight="1">
      <c r="A174" s="5" t="s">
        <v>100</v>
      </c>
      <c r="B174" s="5" t="s">
        <v>200</v>
      </c>
      <c r="C174" s="5" t="b">
        <v>1</v>
      </c>
      <c r="D174" s="5" t="s">
        <v>642</v>
      </c>
      <c r="E174" s="5" t="s">
        <v>643</v>
      </c>
      <c r="F174" s="5"/>
      <c r="G174" s="5" t="s">
        <v>65</v>
      </c>
      <c r="H174" s="5" t="s">
        <v>74</v>
      </c>
      <c r="I174" s="5" t="s">
        <v>82</v>
      </c>
      <c r="J174" s="25"/>
      <c r="K174" s="25"/>
      <c r="L174" s="25"/>
      <c r="M174" s="5" t="s">
        <v>66</v>
      </c>
      <c r="N174" s="5" t="s">
        <v>113</v>
      </c>
      <c r="O174" s="5" t="s">
        <v>69</v>
      </c>
      <c r="P174" s="5" t="s">
        <v>107</v>
      </c>
      <c r="Q174" s="5" t="s">
        <v>1424</v>
      </c>
      <c r="R174" s="5" t="s">
        <v>181</v>
      </c>
      <c r="S174" s="5"/>
      <c r="T174" s="5"/>
      <c r="U174" s="5"/>
      <c r="V174" s="5">
        <v>1500.0</v>
      </c>
      <c r="W174" s="26">
        <v>2.1</v>
      </c>
      <c r="X174" s="5">
        <v>714.0</v>
      </c>
      <c r="Y174" s="27">
        <v>0.2</v>
      </c>
      <c r="Z174" s="28">
        <v>571.2</v>
      </c>
      <c r="AA174" s="27">
        <v>1.0</v>
      </c>
      <c r="AB174" s="5" t="s">
        <v>117</v>
      </c>
      <c r="AC174" s="27">
        <v>0.68</v>
      </c>
      <c r="AD174" s="5"/>
      <c r="AE174" s="5" t="s">
        <v>81</v>
      </c>
      <c r="AF174" s="5" t="s">
        <v>81</v>
      </c>
      <c r="AG174" s="5">
        <v>3.0</v>
      </c>
      <c r="AH174" s="5">
        <v>3.0</v>
      </c>
      <c r="AI174" s="5" t="s">
        <v>0</v>
      </c>
      <c r="AJ174" s="5" t="s">
        <v>156</v>
      </c>
      <c r="AK174" s="30">
        <v>2600.0</v>
      </c>
      <c r="AL174" s="28">
        <v>2682.0</v>
      </c>
      <c r="AM174" s="28">
        <v>2384.0</v>
      </c>
      <c r="AN174" s="28">
        <v>0.0</v>
      </c>
      <c r="AO174" s="28">
        <v>222.0</v>
      </c>
      <c r="AP174" s="28">
        <v>1856400.0</v>
      </c>
      <c r="AQ174" s="28">
        <v>1915725.78</v>
      </c>
      <c r="AR174" s="28">
        <v>148074.0</v>
      </c>
      <c r="AS174" s="28">
        <v>0.0</v>
      </c>
      <c r="AT174" s="28">
        <v>148074.0</v>
      </c>
      <c r="AU174" s="28">
        <v>1485120.0000000002</v>
      </c>
      <c r="AV174" s="28">
        <v>1564421.1979512733</v>
      </c>
      <c r="AW174" s="28">
        <v>1283099.2548158003</v>
      </c>
      <c r="AX174" s="28">
        <v>0.0</v>
      </c>
      <c r="AY174" s="28">
        <v>122051.16</v>
      </c>
      <c r="AZ174" s="5"/>
      <c r="BA174" s="5" t="s">
        <v>125</v>
      </c>
      <c r="BB174" s="5" t="s">
        <v>127</v>
      </c>
      <c r="BD174" s="5" t="s">
        <v>126</v>
      </c>
      <c r="BE174" s="5" t="s">
        <v>128</v>
      </c>
      <c r="BF174" s="5" t="s">
        <v>130</v>
      </c>
      <c r="BG174" s="5" t="s">
        <v>131</v>
      </c>
    </row>
    <row r="175" ht="16.5" hidden="1" customHeight="1">
      <c r="A175" s="5" t="s">
        <v>100</v>
      </c>
      <c r="B175" s="5" t="s">
        <v>200</v>
      </c>
      <c r="C175" s="5" t="b">
        <v>1</v>
      </c>
      <c r="D175" s="5" t="s">
        <v>645</v>
      </c>
      <c r="E175" s="5" t="s">
        <v>646</v>
      </c>
      <c r="F175" s="5"/>
      <c r="G175" s="5" t="s">
        <v>65</v>
      </c>
      <c r="H175" s="5" t="s">
        <v>74</v>
      </c>
      <c r="I175" s="5" t="s">
        <v>82</v>
      </c>
      <c r="J175" s="25"/>
      <c r="K175" s="25"/>
      <c r="L175" s="25"/>
      <c r="M175" s="5" t="s">
        <v>500</v>
      </c>
      <c r="N175" s="5" t="s">
        <v>126</v>
      </c>
      <c r="O175" s="5" t="s">
        <v>69</v>
      </c>
      <c r="P175" s="5" t="s">
        <v>70</v>
      </c>
      <c r="Q175" s="5" t="s">
        <v>147</v>
      </c>
      <c r="R175" s="5" t="s">
        <v>181</v>
      </c>
      <c r="S175" s="5"/>
      <c r="T175" s="5"/>
      <c r="U175" s="5"/>
      <c r="V175" s="5">
        <v>1300.0</v>
      </c>
      <c r="W175" s="26">
        <v>2.1</v>
      </c>
      <c r="X175" s="5">
        <v>619.0</v>
      </c>
      <c r="Y175" s="27">
        <v>0.2</v>
      </c>
      <c r="Z175" s="28">
        <v>495.20000000000005</v>
      </c>
      <c r="AA175" s="27">
        <v>1.0</v>
      </c>
      <c r="AB175" s="5" t="s">
        <v>117</v>
      </c>
      <c r="AC175" s="27">
        <v>0.63</v>
      </c>
      <c r="AD175" s="5"/>
      <c r="AE175" s="5" t="s">
        <v>647</v>
      </c>
      <c r="AF175" s="5" t="s">
        <v>81</v>
      </c>
      <c r="AG175" s="5">
        <v>3.0</v>
      </c>
      <c r="AH175" s="5">
        <v>3.0</v>
      </c>
      <c r="AI175" s="5" t="s">
        <v>0</v>
      </c>
      <c r="AJ175" s="5" t="s">
        <v>156</v>
      </c>
      <c r="AK175" s="30">
        <v>1500.0</v>
      </c>
      <c r="AL175" s="28">
        <v>1500.0</v>
      </c>
      <c r="AM175" s="28">
        <v>0.0</v>
      </c>
      <c r="AN175" s="28">
        <v>0.0</v>
      </c>
      <c r="AO175" s="28">
        <v>0.0</v>
      </c>
      <c r="AP175" s="28">
        <v>928500.0</v>
      </c>
      <c r="AQ175" s="28">
        <v>928575.0</v>
      </c>
      <c r="AR175" s="28">
        <v>0.0</v>
      </c>
      <c r="AS175" s="28">
        <v>0.0</v>
      </c>
      <c r="AT175" s="28">
        <v>0.0</v>
      </c>
      <c r="AU175" s="28">
        <v>742800.0000000001</v>
      </c>
      <c r="AV175" s="28">
        <v>809188.8857696566</v>
      </c>
      <c r="AW175" s="28">
        <v>0.0</v>
      </c>
      <c r="AX175" s="28">
        <v>0.0</v>
      </c>
      <c r="AY175" s="28">
        <v>0.0</v>
      </c>
      <c r="AZ175" s="5"/>
      <c r="BA175" s="5" t="s">
        <v>125</v>
      </c>
      <c r="BB175" s="5" t="s">
        <v>127</v>
      </c>
      <c r="BC175" s="32" t="s">
        <v>454</v>
      </c>
      <c r="BD175" s="5" t="s">
        <v>126</v>
      </c>
      <c r="BE175" s="5" t="s">
        <v>147</v>
      </c>
      <c r="BF175" s="5" t="s">
        <v>130</v>
      </c>
      <c r="BG175" s="5" t="s">
        <v>131</v>
      </c>
    </row>
    <row r="176" ht="16.5" hidden="1" customHeight="1">
      <c r="A176" s="5" t="s">
        <v>100</v>
      </c>
      <c r="B176" s="5" t="s">
        <v>200</v>
      </c>
      <c r="C176" s="5" t="b">
        <v>1</v>
      </c>
      <c r="D176" s="5" t="s">
        <v>652</v>
      </c>
      <c r="E176" s="5" t="s">
        <v>653</v>
      </c>
      <c r="F176" s="5"/>
      <c r="G176" s="5" t="s">
        <v>65</v>
      </c>
      <c r="H176" s="5" t="s">
        <v>74</v>
      </c>
      <c r="I176" s="5" t="s">
        <v>82</v>
      </c>
      <c r="J176" s="25"/>
      <c r="K176" s="25"/>
      <c r="L176" s="25"/>
      <c r="M176" s="5" t="s">
        <v>500</v>
      </c>
      <c r="N176" s="5" t="s">
        <v>126</v>
      </c>
      <c r="O176" s="5" t="s">
        <v>69</v>
      </c>
      <c r="P176" s="5" t="s">
        <v>107</v>
      </c>
      <c r="Q176" s="5" t="s">
        <v>147</v>
      </c>
      <c r="R176" s="5" t="s">
        <v>181</v>
      </c>
      <c r="S176" s="5"/>
      <c r="T176" s="5"/>
      <c r="U176" s="5"/>
      <c r="V176" s="5">
        <v>1300.0</v>
      </c>
      <c r="W176" s="26">
        <v>2.1</v>
      </c>
      <c r="X176" s="5">
        <v>619.0</v>
      </c>
      <c r="Y176" s="27">
        <v>0.2</v>
      </c>
      <c r="Z176" s="28">
        <v>495.20000000000005</v>
      </c>
      <c r="AA176" s="27">
        <v>1.0</v>
      </c>
      <c r="AB176" s="5" t="s">
        <v>117</v>
      </c>
      <c r="AC176" s="27">
        <v>0.65</v>
      </c>
      <c r="AD176" s="5"/>
      <c r="AE176" s="5" t="s">
        <v>647</v>
      </c>
      <c r="AF176" s="5" t="s">
        <v>81</v>
      </c>
      <c r="AG176" s="5">
        <v>3.0</v>
      </c>
      <c r="AH176" s="5">
        <v>3.0</v>
      </c>
      <c r="AI176" s="5" t="s">
        <v>0</v>
      </c>
      <c r="AJ176" s="5" t="s">
        <v>156</v>
      </c>
      <c r="AK176" s="30">
        <v>1200.0</v>
      </c>
      <c r="AL176" s="28">
        <v>1210.0</v>
      </c>
      <c r="AM176" s="28">
        <v>0.0</v>
      </c>
      <c r="AN176" s="28">
        <v>0.0</v>
      </c>
      <c r="AO176" s="28">
        <v>0.0</v>
      </c>
      <c r="AP176" s="28">
        <v>742800.0</v>
      </c>
      <c r="AQ176" s="28">
        <v>749050.5</v>
      </c>
      <c r="AR176" s="28">
        <v>0.0</v>
      </c>
      <c r="AS176" s="28">
        <v>0.0</v>
      </c>
      <c r="AT176" s="28">
        <v>0.0</v>
      </c>
      <c r="AU176" s="28">
        <v>594240.0</v>
      </c>
      <c r="AV176" s="28">
        <v>660778.6750276854</v>
      </c>
      <c r="AW176" s="28">
        <v>0.0</v>
      </c>
      <c r="AX176" s="28">
        <v>0.0</v>
      </c>
      <c r="AY176" s="28">
        <v>0.0</v>
      </c>
      <c r="AZ176" s="5"/>
      <c r="BA176" s="5" t="s">
        <v>125</v>
      </c>
      <c r="BB176" s="5" t="s">
        <v>127</v>
      </c>
      <c r="BC176" s="32" t="s">
        <v>454</v>
      </c>
      <c r="BD176" s="5" t="s">
        <v>126</v>
      </c>
      <c r="BE176" s="5" t="s">
        <v>147</v>
      </c>
      <c r="BF176" s="5" t="s">
        <v>130</v>
      </c>
      <c r="BG176" s="5" t="s">
        <v>131</v>
      </c>
    </row>
    <row r="177" ht="16.5" hidden="1" customHeight="1">
      <c r="A177" s="5" t="s">
        <v>100</v>
      </c>
      <c r="B177" s="5" t="s">
        <v>137</v>
      </c>
      <c r="C177" s="5" t="b">
        <v>1</v>
      </c>
      <c r="D177" s="5" t="s">
        <v>656</v>
      </c>
      <c r="E177" s="5" t="s">
        <v>657</v>
      </c>
      <c r="F177" s="5"/>
      <c r="G177" s="5" t="s">
        <v>65</v>
      </c>
      <c r="H177" s="5" t="s">
        <v>76</v>
      </c>
      <c r="I177" s="5" t="s">
        <v>82</v>
      </c>
      <c r="J177" s="25"/>
      <c r="K177" s="25"/>
      <c r="L177" s="25"/>
      <c r="M177" s="5" t="s">
        <v>247</v>
      </c>
      <c r="N177" s="5" t="s">
        <v>68</v>
      </c>
      <c r="O177" s="5" t="s">
        <v>69</v>
      </c>
      <c r="P177" s="5" t="s">
        <v>70</v>
      </c>
      <c r="Q177" s="5" t="s">
        <v>175</v>
      </c>
      <c r="R177" s="5" t="s">
        <v>110</v>
      </c>
      <c r="S177" s="5"/>
      <c r="T177" s="5"/>
      <c r="U177" s="5"/>
      <c r="V177" s="5">
        <v>3000.0</v>
      </c>
      <c r="W177" s="26">
        <v>2.1</v>
      </c>
      <c r="X177" s="5">
        <v>1429.0</v>
      </c>
      <c r="Y177" s="27">
        <v>0.2</v>
      </c>
      <c r="Z177" s="28">
        <v>1143.2</v>
      </c>
      <c r="AA177" s="27">
        <v>1.0</v>
      </c>
      <c r="AB177" s="5" t="s">
        <v>117</v>
      </c>
      <c r="AC177" s="27">
        <v>0.58</v>
      </c>
      <c r="AD177" s="26"/>
      <c r="AE177" s="5" t="s">
        <v>166</v>
      </c>
      <c r="AF177" s="5" t="s">
        <v>81</v>
      </c>
      <c r="AG177" s="5">
        <v>2.0</v>
      </c>
      <c r="AH177" s="5">
        <v>2.0</v>
      </c>
      <c r="AI177" s="5" t="s">
        <v>1426</v>
      </c>
      <c r="AJ177" s="5" t="s">
        <v>0</v>
      </c>
      <c r="AK177" s="30">
        <v>1100.0</v>
      </c>
      <c r="AL177" s="28">
        <v>1107.0</v>
      </c>
      <c r="AM177" s="28">
        <v>0.0</v>
      </c>
      <c r="AN177" s="28">
        <v>495.0</v>
      </c>
      <c r="AO177" s="28">
        <v>0.0</v>
      </c>
      <c r="AP177" s="28">
        <v>1571900.0</v>
      </c>
      <c r="AQ177" s="28">
        <v>1581426.9900000002</v>
      </c>
      <c r="AR177" s="28">
        <v>0.0</v>
      </c>
      <c r="AS177" s="28">
        <v>0.0</v>
      </c>
      <c r="AT177" s="28">
        <v>0.0</v>
      </c>
      <c r="AU177" s="28">
        <v>1257520.0</v>
      </c>
      <c r="AV177" s="28">
        <v>1174449.9939091918</v>
      </c>
      <c r="AW177" s="28">
        <v>0.0</v>
      </c>
      <c r="AX177" s="28">
        <v>663151.4285714285</v>
      </c>
      <c r="AY177" s="28">
        <v>0.0</v>
      </c>
      <c r="AZ177" s="5"/>
      <c r="BA177" s="5" t="s">
        <v>125</v>
      </c>
      <c r="BB177" s="5" t="s">
        <v>174</v>
      </c>
      <c r="BC177" s="5" t="s">
        <v>237</v>
      </c>
      <c r="BD177" s="5" t="s">
        <v>68</v>
      </c>
      <c r="BE177" s="5" t="s">
        <v>175</v>
      </c>
      <c r="BF177" s="5" t="s">
        <v>178</v>
      </c>
      <c r="BG177" s="5" t="s">
        <v>91</v>
      </c>
    </row>
    <row r="178" ht="16.5" hidden="1" customHeight="1">
      <c r="A178" s="5" t="s">
        <v>100</v>
      </c>
      <c r="B178" s="5" t="s">
        <v>137</v>
      </c>
      <c r="C178" s="5" t="b">
        <v>1</v>
      </c>
      <c r="D178" s="5" t="s">
        <v>661</v>
      </c>
      <c r="E178" s="5" t="s">
        <v>662</v>
      </c>
      <c r="F178" s="5"/>
      <c r="G178" s="5" t="s">
        <v>65</v>
      </c>
      <c r="H178" s="5" t="s">
        <v>76</v>
      </c>
      <c r="I178" s="5" t="s">
        <v>82</v>
      </c>
      <c r="J178" s="25"/>
      <c r="K178" s="25"/>
      <c r="L178" s="25"/>
      <c r="M178" s="5" t="s">
        <v>247</v>
      </c>
      <c r="N178" s="5" t="s">
        <v>68</v>
      </c>
      <c r="O178" s="5" t="s">
        <v>69</v>
      </c>
      <c r="P178" s="5" t="s">
        <v>107</v>
      </c>
      <c r="Q178" s="5" t="s">
        <v>175</v>
      </c>
      <c r="R178" s="5" t="s">
        <v>110</v>
      </c>
      <c r="S178" s="5"/>
      <c r="T178" s="5"/>
      <c r="U178" s="5"/>
      <c r="V178" s="5">
        <v>3000.0</v>
      </c>
      <c r="W178" s="26">
        <v>2.1</v>
      </c>
      <c r="X178" s="5">
        <v>1429.0</v>
      </c>
      <c r="Y178" s="27">
        <v>0.2</v>
      </c>
      <c r="Z178" s="28">
        <v>1143.2</v>
      </c>
      <c r="AA178" s="27">
        <v>1.0</v>
      </c>
      <c r="AB178" s="5" t="s">
        <v>117</v>
      </c>
      <c r="AC178" s="27">
        <v>0.59</v>
      </c>
      <c r="AD178" s="26"/>
      <c r="AE178" s="5" t="s">
        <v>166</v>
      </c>
      <c r="AF178" s="5" t="s">
        <v>81</v>
      </c>
      <c r="AG178" s="5">
        <v>2.0</v>
      </c>
      <c r="AH178" s="5">
        <v>2.0</v>
      </c>
      <c r="AI178" s="5" t="s">
        <v>1426</v>
      </c>
      <c r="AJ178" s="5" t="s">
        <v>0</v>
      </c>
      <c r="AK178" s="30">
        <v>1100.0</v>
      </c>
      <c r="AL178" s="28">
        <v>1101.0</v>
      </c>
      <c r="AM178" s="28">
        <v>0.0</v>
      </c>
      <c r="AN178" s="28">
        <v>450.0</v>
      </c>
      <c r="AO178" s="28">
        <v>0.0</v>
      </c>
      <c r="AP178" s="28">
        <v>1571900.0</v>
      </c>
      <c r="AQ178" s="28">
        <v>1572855.57</v>
      </c>
      <c r="AR178" s="28">
        <v>0.0</v>
      </c>
      <c r="AS178" s="28">
        <v>0.0</v>
      </c>
      <c r="AT178" s="28">
        <v>0.0</v>
      </c>
      <c r="AU178" s="28">
        <v>1257520.0</v>
      </c>
      <c r="AV178" s="28">
        <v>1294897.6283499447</v>
      </c>
      <c r="AW178" s="28">
        <v>0.0</v>
      </c>
      <c r="AX178" s="28">
        <v>596839.4285714285</v>
      </c>
      <c r="AY178" s="28">
        <v>0.0</v>
      </c>
      <c r="AZ178" s="5"/>
      <c r="BA178" s="5" t="s">
        <v>125</v>
      </c>
      <c r="BB178" s="5" t="s">
        <v>174</v>
      </c>
      <c r="BC178" s="5" t="s">
        <v>237</v>
      </c>
      <c r="BD178" s="5" t="s">
        <v>68</v>
      </c>
      <c r="BE178" s="5" t="s">
        <v>175</v>
      </c>
      <c r="BF178" s="5" t="s">
        <v>178</v>
      </c>
      <c r="BG178" s="5" t="s">
        <v>91</v>
      </c>
    </row>
    <row r="179" ht="16.5" hidden="1" customHeight="1">
      <c r="A179" s="5" t="s">
        <v>100</v>
      </c>
      <c r="B179" s="5" t="s">
        <v>215</v>
      </c>
      <c r="C179" s="5" t="b">
        <v>0</v>
      </c>
      <c r="D179" s="5" t="s">
        <v>1428</v>
      </c>
      <c r="E179" s="5" t="s">
        <v>1429</v>
      </c>
      <c r="F179" s="5"/>
      <c r="G179" s="5" t="s">
        <v>65</v>
      </c>
      <c r="H179" s="5" t="s">
        <v>76</v>
      </c>
      <c r="I179" s="5" t="s">
        <v>218</v>
      </c>
      <c r="J179" s="25" t="s">
        <v>219</v>
      </c>
      <c r="K179" s="25"/>
      <c r="L179" s="25"/>
      <c r="M179" s="5" t="s">
        <v>247</v>
      </c>
      <c r="N179" s="5" t="s">
        <v>355</v>
      </c>
      <c r="O179" s="5" t="s">
        <v>69</v>
      </c>
      <c r="P179" s="5" t="s">
        <v>107</v>
      </c>
      <c r="Q179" s="5" t="s">
        <v>175</v>
      </c>
      <c r="R179" s="5" t="s">
        <v>110</v>
      </c>
      <c r="S179" s="5"/>
      <c r="T179" s="5"/>
      <c r="U179" s="5"/>
      <c r="V179" s="5">
        <v>4200.0</v>
      </c>
      <c r="W179" s="26">
        <v>2.1</v>
      </c>
      <c r="X179" s="5">
        <v>2000.0</v>
      </c>
      <c r="Y179" s="27">
        <v>0.0</v>
      </c>
      <c r="Z179" s="28">
        <v>2000.0</v>
      </c>
      <c r="AA179" s="27">
        <v>1.0</v>
      </c>
      <c r="AB179" s="5" t="s">
        <v>117</v>
      </c>
      <c r="AC179" s="27"/>
      <c r="AD179" s="26"/>
      <c r="AE179" s="5" t="s">
        <v>359</v>
      </c>
      <c r="AF179" s="5" t="s">
        <v>81</v>
      </c>
      <c r="AG179" s="5"/>
      <c r="AH179" s="5">
        <v>3.0</v>
      </c>
      <c r="AI179" s="5" t="s">
        <v>1430</v>
      </c>
      <c r="AJ179" s="5" t="s">
        <v>0</v>
      </c>
      <c r="AK179" s="30"/>
      <c r="AL179" s="28">
        <v>0.0</v>
      </c>
      <c r="AM179" s="28">
        <v>0.0</v>
      </c>
      <c r="AN179" s="28">
        <v>3665.0</v>
      </c>
      <c r="AO179" s="28">
        <v>3307.0</v>
      </c>
      <c r="AP179" s="28">
        <v>0.0</v>
      </c>
      <c r="AQ179" s="28">
        <v>0.0</v>
      </c>
      <c r="AR179" s="28">
        <v>6614000.0</v>
      </c>
      <c r="AS179" s="28">
        <v>0.0</v>
      </c>
      <c r="AT179" s="28">
        <v>6614000.0</v>
      </c>
      <c r="AU179" s="28">
        <v>0.0</v>
      </c>
      <c r="AV179" s="28">
        <v>0.0</v>
      </c>
      <c r="AW179" s="28">
        <v>0.0</v>
      </c>
      <c r="AX179" s="28">
        <v>6020753.775415283</v>
      </c>
      <c r="AY179" s="28">
        <v>5589268.822985</v>
      </c>
      <c r="AZ179" s="5" t="s">
        <v>124</v>
      </c>
      <c r="BA179" s="5" t="s">
        <v>125</v>
      </c>
      <c r="BB179" s="5" t="s">
        <v>174</v>
      </c>
      <c r="BC179" s="5" t="s">
        <v>237</v>
      </c>
      <c r="BD179" s="5" t="s">
        <v>355</v>
      </c>
      <c r="BE179" s="5" t="s">
        <v>175</v>
      </c>
      <c r="BF179" s="5" t="s">
        <v>842</v>
      </c>
      <c r="BG179" s="5" t="s">
        <v>131</v>
      </c>
    </row>
    <row r="180" ht="16.5" hidden="1" customHeight="1">
      <c r="A180" s="5" t="s">
        <v>100</v>
      </c>
      <c r="B180" s="5" t="s">
        <v>215</v>
      </c>
      <c r="C180" s="5" t="b">
        <v>0</v>
      </c>
      <c r="D180" s="5" t="s">
        <v>1433</v>
      </c>
      <c r="E180" s="5" t="s">
        <v>1434</v>
      </c>
      <c r="F180" s="5"/>
      <c r="G180" s="5" t="s">
        <v>65</v>
      </c>
      <c r="H180" s="5" t="s">
        <v>76</v>
      </c>
      <c r="I180" s="5" t="s">
        <v>218</v>
      </c>
      <c r="J180" s="25" t="s">
        <v>219</v>
      </c>
      <c r="K180" s="25"/>
      <c r="L180" s="25"/>
      <c r="M180" s="5" t="s">
        <v>66</v>
      </c>
      <c r="N180" s="5" t="s">
        <v>355</v>
      </c>
      <c r="O180" s="5" t="s">
        <v>69</v>
      </c>
      <c r="P180" s="5" t="s">
        <v>107</v>
      </c>
      <c r="Q180" s="5" t="s">
        <v>175</v>
      </c>
      <c r="R180" s="5" t="s">
        <v>110</v>
      </c>
      <c r="S180" s="5"/>
      <c r="T180" s="5"/>
      <c r="U180" s="5"/>
      <c r="V180" s="5">
        <v>3200.0</v>
      </c>
      <c r="W180" s="26">
        <v>2.1</v>
      </c>
      <c r="X180" s="5">
        <v>1524.0</v>
      </c>
      <c r="Y180" s="27">
        <v>0.0</v>
      </c>
      <c r="Z180" s="28">
        <v>1524.0</v>
      </c>
      <c r="AA180" s="27">
        <v>1.0</v>
      </c>
      <c r="AB180" s="5" t="s">
        <v>117</v>
      </c>
      <c r="AC180" s="27"/>
      <c r="AD180" s="26"/>
      <c r="AE180" s="5" t="s">
        <v>198</v>
      </c>
      <c r="AF180" s="5" t="s">
        <v>81</v>
      </c>
      <c r="AG180" s="5"/>
      <c r="AH180" s="5">
        <v>3.0</v>
      </c>
      <c r="AI180" s="5" t="s">
        <v>1435</v>
      </c>
      <c r="AJ180" s="5" t="s">
        <v>146</v>
      </c>
      <c r="AK180" s="30"/>
      <c r="AL180" s="28">
        <v>0.0</v>
      </c>
      <c r="AM180" s="28">
        <v>0.0</v>
      </c>
      <c r="AN180" s="28">
        <v>3326.0</v>
      </c>
      <c r="AO180" s="28">
        <v>3973.0</v>
      </c>
      <c r="AP180" s="28">
        <v>0.0</v>
      </c>
      <c r="AQ180" s="28">
        <v>0.0</v>
      </c>
      <c r="AR180" s="28">
        <v>6054852.0</v>
      </c>
      <c r="AS180" s="28">
        <v>0.0</v>
      </c>
      <c r="AT180" s="28">
        <v>6054852.0</v>
      </c>
      <c r="AU180" s="28">
        <v>0.0</v>
      </c>
      <c r="AV180" s="28">
        <v>0.0</v>
      </c>
      <c r="AW180" s="28">
        <v>0.0</v>
      </c>
      <c r="AX180" s="28">
        <v>4021847.9180509415</v>
      </c>
      <c r="AY180" s="28">
        <v>4344747.549749999</v>
      </c>
      <c r="AZ180" s="5" t="s">
        <v>124</v>
      </c>
      <c r="BA180" s="5" t="s">
        <v>125</v>
      </c>
      <c r="BB180" s="5" t="s">
        <v>174</v>
      </c>
      <c r="BD180" s="5" t="s">
        <v>355</v>
      </c>
      <c r="BE180" s="5" t="s">
        <v>175</v>
      </c>
      <c r="BF180" s="5" t="s">
        <v>1438</v>
      </c>
      <c r="BG180" s="5" t="s">
        <v>131</v>
      </c>
    </row>
    <row r="181" ht="16.5" hidden="1" customHeight="1">
      <c r="A181" s="5" t="s">
        <v>100</v>
      </c>
      <c r="B181" s="5" t="s">
        <v>137</v>
      </c>
      <c r="C181" s="5" t="b">
        <v>1</v>
      </c>
      <c r="D181" s="5" t="s">
        <v>1439</v>
      </c>
      <c r="E181" s="5" t="s">
        <v>1440</v>
      </c>
      <c r="F181" s="5"/>
      <c r="G181" s="5" t="s">
        <v>65</v>
      </c>
      <c r="H181" s="5" t="s">
        <v>76</v>
      </c>
      <c r="I181" s="5" t="s">
        <v>82</v>
      </c>
      <c r="J181" s="25" t="s">
        <v>1441</v>
      </c>
      <c r="K181" s="25"/>
      <c r="L181" s="25"/>
      <c r="M181" s="5" t="s">
        <v>247</v>
      </c>
      <c r="N181" s="5" t="s">
        <v>355</v>
      </c>
      <c r="O181" s="5" t="s">
        <v>69</v>
      </c>
      <c r="P181" s="5" t="s">
        <v>70</v>
      </c>
      <c r="Q181" s="5" t="s">
        <v>1443</v>
      </c>
      <c r="R181" s="5" t="s">
        <v>110</v>
      </c>
      <c r="S181" s="5"/>
      <c r="T181" s="5"/>
      <c r="U181" s="5"/>
      <c r="V181" s="5">
        <v>2500.0</v>
      </c>
      <c r="W181" s="26">
        <v>2.1</v>
      </c>
      <c r="X181" s="5">
        <v>1190.0</v>
      </c>
      <c r="Y181" s="27">
        <v>0.2</v>
      </c>
      <c r="Z181" s="28">
        <v>952.0</v>
      </c>
      <c r="AA181" s="27">
        <v>1.0</v>
      </c>
      <c r="AB181" s="5" t="s">
        <v>242</v>
      </c>
      <c r="AC181" s="27">
        <v>0.6</v>
      </c>
      <c r="AD181" s="26"/>
      <c r="AE181" s="5" t="s">
        <v>647</v>
      </c>
      <c r="AF181" s="5" t="s">
        <v>81</v>
      </c>
      <c r="AG181" s="5">
        <v>2.0</v>
      </c>
      <c r="AH181" s="5">
        <v>2.0</v>
      </c>
      <c r="AI181" s="5" t="s">
        <v>1444</v>
      </c>
      <c r="AJ181" s="5" t="s">
        <v>0</v>
      </c>
      <c r="AK181" s="30">
        <v>500.0</v>
      </c>
      <c r="AL181" s="28">
        <v>0.0</v>
      </c>
      <c r="AM181" s="28">
        <v>0.0</v>
      </c>
      <c r="AN181" s="28">
        <v>589.0</v>
      </c>
      <c r="AO181" s="28">
        <v>0.0</v>
      </c>
      <c r="AP181" s="28">
        <v>595000.0</v>
      </c>
      <c r="AQ181" s="28">
        <v>0.0</v>
      </c>
      <c r="AR181" s="28">
        <v>0.0</v>
      </c>
      <c r="AS181" s="28">
        <v>0.0</v>
      </c>
      <c r="AT181" s="28">
        <v>0.0</v>
      </c>
      <c r="AU181" s="28">
        <v>476000.0</v>
      </c>
      <c r="AV181" s="28">
        <v>0.0</v>
      </c>
      <c r="AW181" s="28">
        <v>0.0</v>
      </c>
      <c r="AX181" s="28">
        <v>619754.9678848283</v>
      </c>
      <c r="AY181" s="28">
        <v>0.0</v>
      </c>
      <c r="AZ181" s="5"/>
      <c r="BA181" s="5" t="s">
        <v>125</v>
      </c>
      <c r="BB181" s="5" t="s">
        <v>174</v>
      </c>
      <c r="BC181" s="5" t="s">
        <v>237</v>
      </c>
      <c r="BD181" s="5" t="s">
        <v>126</v>
      </c>
      <c r="BE181" s="5" t="s">
        <v>1447</v>
      </c>
      <c r="BF181" s="5" t="s">
        <v>130</v>
      </c>
      <c r="BG181" s="5" t="s">
        <v>131</v>
      </c>
    </row>
    <row r="182" ht="16.5" hidden="1" customHeight="1">
      <c r="A182" s="5" t="s">
        <v>100</v>
      </c>
      <c r="B182" s="5" t="s">
        <v>137</v>
      </c>
      <c r="C182" s="5" t="b">
        <v>1</v>
      </c>
      <c r="D182" s="5" t="s">
        <v>1448</v>
      </c>
      <c r="E182" s="5" t="s">
        <v>1449</v>
      </c>
      <c r="F182" s="5"/>
      <c r="G182" s="5" t="s">
        <v>65</v>
      </c>
      <c r="H182" s="5" t="s">
        <v>76</v>
      </c>
      <c r="I182" s="5" t="s">
        <v>82</v>
      </c>
      <c r="J182" s="25" t="s">
        <v>1441</v>
      </c>
      <c r="K182" s="25"/>
      <c r="L182" s="25"/>
      <c r="M182" s="5" t="s">
        <v>247</v>
      </c>
      <c r="N182" s="5" t="s">
        <v>355</v>
      </c>
      <c r="O182" s="5" t="s">
        <v>69</v>
      </c>
      <c r="P182" s="5" t="s">
        <v>107</v>
      </c>
      <c r="Q182" s="5" t="s">
        <v>1443</v>
      </c>
      <c r="R182" s="5" t="s">
        <v>110</v>
      </c>
      <c r="S182" s="5"/>
      <c r="T182" s="5"/>
      <c r="U182" s="5"/>
      <c r="V182" s="5">
        <v>2500.0</v>
      </c>
      <c r="W182" s="26">
        <v>2.1</v>
      </c>
      <c r="X182" s="5">
        <v>1190.0</v>
      </c>
      <c r="Y182" s="27">
        <v>0.2</v>
      </c>
      <c r="Z182" s="28">
        <v>952.0</v>
      </c>
      <c r="AA182" s="27">
        <v>1.0</v>
      </c>
      <c r="AB182" s="5" t="s">
        <v>242</v>
      </c>
      <c r="AC182" s="27">
        <v>0.6</v>
      </c>
      <c r="AD182" s="26"/>
      <c r="AE182" s="5" t="s">
        <v>647</v>
      </c>
      <c r="AF182" s="5" t="s">
        <v>81</v>
      </c>
      <c r="AG182" s="5">
        <v>2.0</v>
      </c>
      <c r="AH182" s="5">
        <v>2.0</v>
      </c>
      <c r="AI182" s="5" t="s">
        <v>1444</v>
      </c>
      <c r="AJ182" s="5" t="s">
        <v>0</v>
      </c>
      <c r="AK182" s="30">
        <v>500.0</v>
      </c>
      <c r="AL182" s="28">
        <v>0.0</v>
      </c>
      <c r="AM182" s="28">
        <v>0.0</v>
      </c>
      <c r="AN182" s="28">
        <v>477.0</v>
      </c>
      <c r="AO182" s="28">
        <v>0.0</v>
      </c>
      <c r="AP182" s="28">
        <v>595000.0</v>
      </c>
      <c r="AQ182" s="28">
        <v>0.0</v>
      </c>
      <c r="AR182" s="28">
        <v>0.0</v>
      </c>
      <c r="AS182" s="28">
        <v>0.0</v>
      </c>
      <c r="AT182" s="28">
        <v>0.0</v>
      </c>
      <c r="AU182" s="28">
        <v>476000.0</v>
      </c>
      <c r="AV182" s="28">
        <v>0.0</v>
      </c>
      <c r="AW182" s="28">
        <v>0.0</v>
      </c>
      <c r="AX182" s="28">
        <v>498157.6912513842</v>
      </c>
      <c r="AY182" s="28">
        <v>0.0</v>
      </c>
      <c r="AZ182" s="5"/>
      <c r="BA182" s="5" t="s">
        <v>125</v>
      </c>
      <c r="BB182" s="5" t="s">
        <v>174</v>
      </c>
      <c r="BC182" s="5" t="s">
        <v>237</v>
      </c>
      <c r="BD182" s="5" t="s">
        <v>126</v>
      </c>
      <c r="BE182" s="5" t="s">
        <v>1447</v>
      </c>
      <c r="BF182" s="5" t="s">
        <v>130</v>
      </c>
      <c r="BG182" s="5" t="s">
        <v>131</v>
      </c>
    </row>
    <row r="183" ht="16.5" hidden="1" customHeight="1">
      <c r="A183" s="5" t="s">
        <v>100</v>
      </c>
      <c r="B183" s="5" t="s">
        <v>137</v>
      </c>
      <c r="C183" s="5" t="b">
        <v>0</v>
      </c>
      <c r="D183" s="5" t="s">
        <v>667</v>
      </c>
      <c r="E183" s="5" t="s">
        <v>668</v>
      </c>
      <c r="F183" s="5"/>
      <c r="G183" s="5" t="s">
        <v>65</v>
      </c>
      <c r="H183" s="5" t="s">
        <v>74</v>
      </c>
      <c r="I183" s="5" t="s">
        <v>106</v>
      </c>
      <c r="J183" s="25" t="s">
        <v>1452</v>
      </c>
      <c r="K183" s="25"/>
      <c r="L183" s="25"/>
      <c r="M183" s="5" t="s">
        <v>66</v>
      </c>
      <c r="N183" s="5" t="s">
        <v>270</v>
      </c>
      <c r="O183" s="5" t="s">
        <v>69</v>
      </c>
      <c r="P183" s="5" t="s">
        <v>70</v>
      </c>
      <c r="Q183" s="5" t="s">
        <v>502</v>
      </c>
      <c r="R183" s="5" t="s">
        <v>110</v>
      </c>
      <c r="S183" s="5"/>
      <c r="T183" s="5"/>
      <c r="U183" s="5"/>
      <c r="V183" s="5">
        <v>1800.0</v>
      </c>
      <c r="W183" s="26">
        <v>2.1</v>
      </c>
      <c r="X183" s="5">
        <v>857.0</v>
      </c>
      <c r="Y183" s="27">
        <v>0.0</v>
      </c>
      <c r="Z183" s="28">
        <v>857.0</v>
      </c>
      <c r="AA183" s="27">
        <v>1.0</v>
      </c>
      <c r="AB183" s="5" t="s">
        <v>242</v>
      </c>
      <c r="AC183" s="27"/>
      <c r="AD183" s="5"/>
      <c r="AE183" s="5" t="s">
        <v>273</v>
      </c>
      <c r="AF183" s="5" t="s">
        <v>81</v>
      </c>
      <c r="AG183" s="5"/>
      <c r="AH183" s="5">
        <v>3.0</v>
      </c>
      <c r="AI183" s="5" t="s">
        <v>0</v>
      </c>
      <c r="AJ183" s="5" t="s">
        <v>0</v>
      </c>
      <c r="AK183" s="30"/>
      <c r="AL183" s="28">
        <v>765.0</v>
      </c>
      <c r="AM183" s="28">
        <v>1308.0</v>
      </c>
      <c r="AN183" s="28">
        <v>0.0</v>
      </c>
      <c r="AO183" s="28">
        <v>1067.0</v>
      </c>
      <c r="AP183" s="28">
        <v>0.0</v>
      </c>
      <c r="AQ183" s="28">
        <v>655712.1000000001</v>
      </c>
      <c r="AR183" s="28">
        <v>914419.0</v>
      </c>
      <c r="AS183" s="28">
        <v>0.0</v>
      </c>
      <c r="AT183" s="28">
        <v>914419.0</v>
      </c>
      <c r="AU183" s="28">
        <v>0.0</v>
      </c>
      <c r="AV183" s="28">
        <v>520521.85769656714</v>
      </c>
      <c r="AW183" s="28">
        <v>1018151.3757605</v>
      </c>
      <c r="AX183" s="28">
        <v>0.0</v>
      </c>
      <c r="AY183" s="28">
        <v>664449.2483000001</v>
      </c>
      <c r="AZ183" s="5" t="s">
        <v>124</v>
      </c>
      <c r="BA183" s="5" t="s">
        <v>125</v>
      </c>
      <c r="BB183" s="5" t="s">
        <v>127</v>
      </c>
      <c r="BD183" s="5" t="s">
        <v>276</v>
      </c>
      <c r="BE183" s="5" t="s">
        <v>161</v>
      </c>
      <c r="BF183" s="5" t="s">
        <v>539</v>
      </c>
      <c r="BG183" s="5" t="s">
        <v>131</v>
      </c>
      <c r="BH183" s="5" t="s">
        <v>1455</v>
      </c>
    </row>
    <row r="184" ht="16.5" hidden="1" customHeight="1">
      <c r="A184" s="5" t="s">
        <v>100</v>
      </c>
      <c r="B184" s="5" t="s">
        <v>137</v>
      </c>
      <c r="C184" s="5" t="b">
        <v>0</v>
      </c>
      <c r="D184" s="5" t="s">
        <v>669</v>
      </c>
      <c r="E184" s="5" t="s">
        <v>670</v>
      </c>
      <c r="F184" s="5"/>
      <c r="G184" s="5" t="s">
        <v>65</v>
      </c>
      <c r="H184" s="5" t="s">
        <v>74</v>
      </c>
      <c r="I184" s="5" t="s">
        <v>106</v>
      </c>
      <c r="J184" s="25" t="s">
        <v>1452</v>
      </c>
      <c r="K184" s="25"/>
      <c r="L184" s="25"/>
      <c r="M184" s="5" t="s">
        <v>66</v>
      </c>
      <c r="N184" s="5" t="s">
        <v>270</v>
      </c>
      <c r="O184" s="5" t="s">
        <v>69</v>
      </c>
      <c r="P184" s="5" t="s">
        <v>107</v>
      </c>
      <c r="Q184" s="5" t="s">
        <v>502</v>
      </c>
      <c r="R184" s="5" t="s">
        <v>110</v>
      </c>
      <c r="S184" s="5"/>
      <c r="T184" s="5"/>
      <c r="U184" s="5"/>
      <c r="V184" s="5">
        <v>1800.0</v>
      </c>
      <c r="W184" s="26">
        <v>2.1</v>
      </c>
      <c r="X184" s="5">
        <v>857.0</v>
      </c>
      <c r="Y184" s="27">
        <v>0.0</v>
      </c>
      <c r="Z184" s="28">
        <v>857.0</v>
      </c>
      <c r="AA184" s="27">
        <v>1.0</v>
      </c>
      <c r="AB184" s="5" t="s">
        <v>117</v>
      </c>
      <c r="AC184" s="27"/>
      <c r="AD184" s="5"/>
      <c r="AE184" s="5" t="s">
        <v>273</v>
      </c>
      <c r="AF184" s="5" t="s">
        <v>81</v>
      </c>
      <c r="AG184" s="5"/>
      <c r="AH184" s="5">
        <v>3.0</v>
      </c>
      <c r="AI184" s="5" t="s">
        <v>0</v>
      </c>
      <c r="AJ184" s="5" t="s">
        <v>0</v>
      </c>
      <c r="AK184" s="30"/>
      <c r="AL184" s="28">
        <v>591.0</v>
      </c>
      <c r="AM184" s="28">
        <v>877.0</v>
      </c>
      <c r="AN184" s="28">
        <v>0.0</v>
      </c>
      <c r="AO184" s="28">
        <v>1230.0</v>
      </c>
      <c r="AP184" s="28">
        <v>0.0</v>
      </c>
      <c r="AQ184" s="28">
        <v>506569.74</v>
      </c>
      <c r="AR184" s="28">
        <v>1054110.0</v>
      </c>
      <c r="AS184" s="28">
        <v>0.0</v>
      </c>
      <c r="AT184" s="28">
        <v>1054110.0</v>
      </c>
      <c r="AU184" s="28">
        <v>0.0</v>
      </c>
      <c r="AV184" s="28">
        <v>413951.131229236</v>
      </c>
      <c r="AW184" s="28">
        <v>724548.1362790001</v>
      </c>
      <c r="AX184" s="28">
        <v>0.0</v>
      </c>
      <c r="AY184" s="28">
        <v>781736.48837</v>
      </c>
      <c r="AZ184" s="5" t="s">
        <v>124</v>
      </c>
      <c r="BA184" s="5" t="s">
        <v>125</v>
      </c>
      <c r="BB184" s="5" t="s">
        <v>127</v>
      </c>
      <c r="BD184" s="5" t="s">
        <v>276</v>
      </c>
      <c r="BE184" s="5" t="s">
        <v>161</v>
      </c>
      <c r="BF184" s="5" t="s">
        <v>539</v>
      </c>
      <c r="BG184" s="5" t="s">
        <v>131</v>
      </c>
      <c r="BH184" s="5" t="s">
        <v>1455</v>
      </c>
    </row>
    <row r="185" ht="16.5" hidden="1" customHeight="1">
      <c r="A185" s="5" t="s">
        <v>100</v>
      </c>
      <c r="B185" s="5" t="s">
        <v>137</v>
      </c>
      <c r="C185" s="5" t="b">
        <v>1</v>
      </c>
      <c r="D185" s="5" t="s">
        <v>674</v>
      </c>
      <c r="E185" s="5" t="s">
        <v>675</v>
      </c>
      <c r="F185" s="5"/>
      <c r="G185" s="5" t="s">
        <v>65</v>
      </c>
      <c r="H185" s="5" t="s">
        <v>76</v>
      </c>
      <c r="I185" s="5" t="s">
        <v>82</v>
      </c>
      <c r="J185" s="25"/>
      <c r="K185" s="25"/>
      <c r="L185" s="25"/>
      <c r="M185" s="5" t="s">
        <v>66</v>
      </c>
      <c r="N185" s="5" t="s">
        <v>113</v>
      </c>
      <c r="O185" s="5" t="s">
        <v>69</v>
      </c>
      <c r="P185" s="5" t="s">
        <v>70</v>
      </c>
      <c r="Q185" s="5" t="s">
        <v>180</v>
      </c>
      <c r="R185" s="5" t="s">
        <v>181</v>
      </c>
      <c r="S185" s="5"/>
      <c r="T185" s="5"/>
      <c r="U185" s="5"/>
      <c r="V185" s="5">
        <v>2000.0</v>
      </c>
      <c r="W185" s="26">
        <v>2.1</v>
      </c>
      <c r="X185" s="5">
        <v>952.0</v>
      </c>
      <c r="Y185" s="27">
        <v>0.2</v>
      </c>
      <c r="Z185" s="28">
        <v>761.6</v>
      </c>
      <c r="AA185" s="27">
        <v>1.0</v>
      </c>
      <c r="AB185" s="5" t="s">
        <v>242</v>
      </c>
      <c r="AC185" s="27">
        <v>0.62</v>
      </c>
      <c r="AD185" s="5"/>
      <c r="AE185" s="5" t="s">
        <v>81</v>
      </c>
      <c r="AF185" s="5" t="s">
        <v>81</v>
      </c>
      <c r="AG185" s="5">
        <v>3.0</v>
      </c>
      <c r="AH185" s="5">
        <v>3.0</v>
      </c>
      <c r="AI185" s="5" t="s">
        <v>0</v>
      </c>
      <c r="AJ185" s="5" t="s">
        <v>0</v>
      </c>
      <c r="AK185" s="52">
        <v>2900.0</v>
      </c>
      <c r="AL185" s="28">
        <v>2919.0</v>
      </c>
      <c r="AM185" s="28">
        <v>1943.0</v>
      </c>
      <c r="AN185" s="28">
        <v>1817.0</v>
      </c>
      <c r="AO185" s="28">
        <v>1042.0</v>
      </c>
      <c r="AP185" s="28">
        <v>2760800.0</v>
      </c>
      <c r="AQ185" s="28">
        <v>2779997.22</v>
      </c>
      <c r="AR185" s="28">
        <v>991984.0</v>
      </c>
      <c r="AS185" s="28">
        <v>0.0</v>
      </c>
      <c r="AT185" s="28">
        <v>991984.0</v>
      </c>
      <c r="AU185" s="28">
        <v>2208640.0</v>
      </c>
      <c r="AV185" s="28">
        <v>2278856.038538206</v>
      </c>
      <c r="AW185" s="28">
        <v>1659013.5635</v>
      </c>
      <c r="AX185" s="28">
        <v>1446595.510520487</v>
      </c>
      <c r="AY185" s="28">
        <v>868369.77964</v>
      </c>
      <c r="AZ185" s="5"/>
      <c r="BA185" s="5" t="s">
        <v>86</v>
      </c>
      <c r="BB185" s="5" t="s">
        <v>121</v>
      </c>
      <c r="BC185" s="32" t="s">
        <v>678</v>
      </c>
      <c r="BD185" s="5" t="s">
        <v>126</v>
      </c>
      <c r="BE185" s="5" t="s">
        <v>128</v>
      </c>
      <c r="BF185" s="5" t="s">
        <v>130</v>
      </c>
      <c r="BG185" s="5" t="s">
        <v>131</v>
      </c>
    </row>
    <row r="186" ht="16.5" hidden="1" customHeight="1">
      <c r="A186" s="5" t="s">
        <v>100</v>
      </c>
      <c r="B186" s="5" t="s">
        <v>137</v>
      </c>
      <c r="C186" s="5" t="b">
        <v>1</v>
      </c>
      <c r="D186" s="5" t="s">
        <v>679</v>
      </c>
      <c r="E186" s="5" t="s">
        <v>680</v>
      </c>
      <c r="F186" s="5"/>
      <c r="G186" s="5" t="s">
        <v>65</v>
      </c>
      <c r="H186" s="5" t="s">
        <v>76</v>
      </c>
      <c r="I186" s="5" t="s">
        <v>82</v>
      </c>
      <c r="J186" s="25"/>
      <c r="K186" s="25"/>
      <c r="L186" s="25"/>
      <c r="M186" s="5" t="s">
        <v>66</v>
      </c>
      <c r="N186" s="5" t="s">
        <v>113</v>
      </c>
      <c r="O186" s="5" t="s">
        <v>69</v>
      </c>
      <c r="P186" s="5" t="s">
        <v>107</v>
      </c>
      <c r="Q186" s="5" t="s">
        <v>180</v>
      </c>
      <c r="R186" s="5" t="s">
        <v>181</v>
      </c>
      <c r="S186" s="5"/>
      <c r="T186" s="5"/>
      <c r="U186" s="5"/>
      <c r="V186" s="5">
        <v>2000.0</v>
      </c>
      <c r="W186" s="26">
        <v>2.1</v>
      </c>
      <c r="X186" s="5">
        <v>952.0</v>
      </c>
      <c r="Y186" s="27">
        <v>0.2</v>
      </c>
      <c r="Z186" s="28">
        <v>761.6</v>
      </c>
      <c r="AA186" s="27">
        <v>1.0</v>
      </c>
      <c r="AB186" s="5" t="s">
        <v>242</v>
      </c>
      <c r="AC186" s="27">
        <v>0.63</v>
      </c>
      <c r="AD186" s="5"/>
      <c r="AE186" s="5" t="s">
        <v>81</v>
      </c>
      <c r="AF186" s="5" t="s">
        <v>81</v>
      </c>
      <c r="AG186" s="5">
        <v>2.0</v>
      </c>
      <c r="AH186" s="5">
        <v>2.0</v>
      </c>
      <c r="AI186" s="5" t="s">
        <v>1468</v>
      </c>
      <c r="AJ186" s="5" t="s">
        <v>0</v>
      </c>
      <c r="AK186" s="52">
        <v>1800.0</v>
      </c>
      <c r="AL186" s="28">
        <v>1790.0</v>
      </c>
      <c r="AM186" s="28">
        <v>1175.0</v>
      </c>
      <c r="AN186" s="28">
        <v>1239.0</v>
      </c>
      <c r="AO186" s="28">
        <v>779.0</v>
      </c>
      <c r="AP186" s="28">
        <v>1713600.0</v>
      </c>
      <c r="AQ186" s="28">
        <v>1704760.2</v>
      </c>
      <c r="AR186" s="28">
        <v>741608.0</v>
      </c>
      <c r="AS186" s="28">
        <v>0.0</v>
      </c>
      <c r="AT186" s="28">
        <v>741608.0</v>
      </c>
      <c r="AU186" s="28">
        <v>1370880.0</v>
      </c>
      <c r="AV186" s="28">
        <v>1373776.0290143965</v>
      </c>
      <c r="AW186" s="28">
        <v>1004090.6494499999</v>
      </c>
      <c r="AX186" s="28">
        <v>990781.2746400886</v>
      </c>
      <c r="AY186" s="28">
        <v>646223.480825</v>
      </c>
      <c r="AZ186" s="5"/>
      <c r="BA186" s="5" t="s">
        <v>86</v>
      </c>
      <c r="BB186" s="5" t="s">
        <v>121</v>
      </c>
      <c r="BC186" s="32" t="s">
        <v>678</v>
      </c>
      <c r="BD186" s="5" t="s">
        <v>126</v>
      </c>
      <c r="BE186" s="5" t="s">
        <v>128</v>
      </c>
      <c r="BF186" s="5" t="s">
        <v>130</v>
      </c>
      <c r="BG186" s="5" t="s">
        <v>131</v>
      </c>
    </row>
    <row r="187" ht="16.5" hidden="1" customHeight="1">
      <c r="A187" s="5" t="s">
        <v>100</v>
      </c>
      <c r="B187" s="24" t="s">
        <v>0</v>
      </c>
      <c r="C187" s="5" t="b">
        <v>1</v>
      </c>
      <c r="D187" s="5" t="s">
        <v>787</v>
      </c>
      <c r="E187" s="5" t="s">
        <v>788</v>
      </c>
      <c r="F187" s="5"/>
      <c r="G187" s="5" t="s">
        <v>65</v>
      </c>
      <c r="H187" s="5" t="s">
        <v>76</v>
      </c>
      <c r="I187" s="5" t="s">
        <v>202</v>
      </c>
      <c r="J187" s="58" t="s">
        <v>1472</v>
      </c>
      <c r="K187" s="25"/>
      <c r="L187" s="25"/>
      <c r="M187" s="5" t="s">
        <v>66</v>
      </c>
      <c r="N187" s="5" t="s">
        <v>113</v>
      </c>
      <c r="O187" s="5" t="s">
        <v>96</v>
      </c>
      <c r="P187" s="5" t="s">
        <v>70</v>
      </c>
      <c r="Q187" s="5" t="s">
        <v>180</v>
      </c>
      <c r="R187" s="5" t="s">
        <v>181</v>
      </c>
      <c r="S187" s="5"/>
      <c r="T187" s="5"/>
      <c r="U187" s="5"/>
      <c r="V187" s="5">
        <v>2000.0</v>
      </c>
      <c r="W187" s="26">
        <v>2.1</v>
      </c>
      <c r="X187" s="5">
        <v>952.0</v>
      </c>
      <c r="Y187" s="27">
        <v>0.0</v>
      </c>
      <c r="Z187" s="28">
        <v>952.0</v>
      </c>
      <c r="AA187" s="27">
        <v>1.0</v>
      </c>
      <c r="AB187" s="5" t="s">
        <v>0</v>
      </c>
      <c r="AC187" s="27"/>
      <c r="AD187" s="5"/>
      <c r="AE187" s="24" t="s">
        <v>0</v>
      </c>
      <c r="AF187" s="5" t="s">
        <v>0</v>
      </c>
      <c r="AG187" s="5"/>
      <c r="AH187" s="5">
        <v>0.0</v>
      </c>
      <c r="AI187" s="5" t="s">
        <v>0</v>
      </c>
      <c r="AJ187" s="5" t="s">
        <v>116</v>
      </c>
      <c r="AK187" s="52">
        <v>1000.0</v>
      </c>
      <c r="AL187" s="28">
        <v>0.0</v>
      </c>
      <c r="AM187" s="28">
        <v>0.0</v>
      </c>
      <c r="AN187" s="28">
        <v>0.0</v>
      </c>
      <c r="AO187" s="28">
        <v>0.0</v>
      </c>
      <c r="AP187" s="28">
        <v>952000.0</v>
      </c>
      <c r="AQ187" s="28">
        <v>0.0</v>
      </c>
      <c r="AR187" s="28">
        <v>0.0</v>
      </c>
      <c r="AS187" s="28">
        <v>0.0</v>
      </c>
      <c r="AT187" s="28">
        <v>0.0</v>
      </c>
      <c r="AU187" s="28">
        <v>952000.0</v>
      </c>
      <c r="AV187" s="28">
        <v>0.0</v>
      </c>
      <c r="AW187" s="28">
        <v>0.0</v>
      </c>
      <c r="AX187" s="28">
        <v>0.0</v>
      </c>
      <c r="AY187" s="28">
        <v>0.0</v>
      </c>
      <c r="AZ187" s="5" t="s">
        <v>124</v>
      </c>
      <c r="BA187" s="5" t="s">
        <v>86</v>
      </c>
      <c r="BB187" s="5" t="s">
        <v>121</v>
      </c>
      <c r="BC187" s="32" t="s">
        <v>678</v>
      </c>
      <c r="BD187" s="5" t="s">
        <v>126</v>
      </c>
      <c r="BE187" s="5" t="s">
        <v>128</v>
      </c>
      <c r="BF187" s="5" t="s">
        <v>130</v>
      </c>
      <c r="BG187" s="5" t="s">
        <v>131</v>
      </c>
    </row>
    <row r="188" ht="16.5" hidden="1" customHeight="1">
      <c r="A188" s="5" t="s">
        <v>100</v>
      </c>
      <c r="B188" s="35" t="s">
        <v>137</v>
      </c>
      <c r="C188" s="35" t="b">
        <v>0</v>
      </c>
      <c r="D188" s="35" t="s">
        <v>681</v>
      </c>
      <c r="E188" s="35" t="s">
        <v>682</v>
      </c>
      <c r="F188" s="35"/>
      <c r="G188" s="35" t="s">
        <v>65</v>
      </c>
      <c r="H188" s="35" t="s">
        <v>76</v>
      </c>
      <c r="I188" s="35" t="s">
        <v>106</v>
      </c>
      <c r="J188" s="36" t="s">
        <v>1477</v>
      </c>
      <c r="K188" s="25"/>
      <c r="L188" s="25" t="s">
        <v>980</v>
      </c>
      <c r="M188" s="5" t="s">
        <v>66</v>
      </c>
      <c r="N188" s="5" t="s">
        <v>113</v>
      </c>
      <c r="O188" s="5" t="s">
        <v>96</v>
      </c>
      <c r="P188" s="5" t="s">
        <v>70</v>
      </c>
      <c r="Q188" s="5" t="s">
        <v>180</v>
      </c>
      <c r="R188" s="5" t="s">
        <v>181</v>
      </c>
      <c r="S188" s="5"/>
      <c r="T188" s="5"/>
      <c r="U188" s="5"/>
      <c r="V188" s="5">
        <v>1300.0</v>
      </c>
      <c r="W188" s="26">
        <v>2.1</v>
      </c>
      <c r="X188" s="5">
        <v>619.0</v>
      </c>
      <c r="Y188" s="27">
        <v>0.2</v>
      </c>
      <c r="Z188" s="28">
        <v>495.20000000000005</v>
      </c>
      <c r="AA188" s="27">
        <v>1.0</v>
      </c>
      <c r="AB188" s="5" t="s">
        <v>117</v>
      </c>
      <c r="AC188" s="27"/>
      <c r="AD188" s="5"/>
      <c r="AE188" s="5" t="s">
        <v>81</v>
      </c>
      <c r="AF188" s="5" t="s">
        <v>81</v>
      </c>
      <c r="AG188" s="5"/>
      <c r="AH188" s="5">
        <v>5.0</v>
      </c>
      <c r="AI188" s="5" t="s">
        <v>1478</v>
      </c>
      <c r="AJ188" s="5" t="s">
        <v>97</v>
      </c>
      <c r="AK188" s="52"/>
      <c r="AL188" s="28">
        <v>0.0</v>
      </c>
      <c r="AM188" s="28">
        <v>0.0</v>
      </c>
      <c r="AN188" s="28">
        <v>0.0</v>
      </c>
      <c r="AO188" s="28">
        <v>1255.0</v>
      </c>
      <c r="AP188" s="28">
        <v>0.0</v>
      </c>
      <c r="AQ188" s="28">
        <v>0.0</v>
      </c>
      <c r="AR188" s="28">
        <v>837085.0</v>
      </c>
      <c r="AS188" s="28">
        <v>0.0</v>
      </c>
      <c r="AT188" s="28">
        <v>837085.0</v>
      </c>
      <c r="AU188" s="28">
        <v>0.0</v>
      </c>
      <c r="AV188" s="28">
        <v>0.0</v>
      </c>
      <c r="AW188" s="28">
        <v>0.0</v>
      </c>
      <c r="AX188" s="28">
        <v>0.0</v>
      </c>
      <c r="AY188" s="28">
        <v>521528.2875</v>
      </c>
      <c r="AZ188" s="5" t="s">
        <v>124</v>
      </c>
      <c r="BA188" s="5" t="s">
        <v>86</v>
      </c>
      <c r="BB188" s="5" t="s">
        <v>87</v>
      </c>
      <c r="BC188" s="32" t="s">
        <v>122</v>
      </c>
      <c r="BD188" s="5" t="s">
        <v>126</v>
      </c>
      <c r="BE188" s="5" t="s">
        <v>128</v>
      </c>
      <c r="BF188" s="5" t="s">
        <v>130</v>
      </c>
      <c r="BG188" s="5" t="s">
        <v>131</v>
      </c>
    </row>
    <row r="189" ht="16.5" hidden="1" customHeight="1">
      <c r="A189" s="5" t="s">
        <v>100</v>
      </c>
      <c r="B189" s="35" t="s">
        <v>137</v>
      </c>
      <c r="C189" s="35" t="b">
        <v>0</v>
      </c>
      <c r="D189" s="35" t="s">
        <v>684</v>
      </c>
      <c r="E189" s="35" t="s">
        <v>685</v>
      </c>
      <c r="F189" s="35"/>
      <c r="G189" s="35" t="s">
        <v>65</v>
      </c>
      <c r="H189" s="35" t="s">
        <v>76</v>
      </c>
      <c r="I189" s="35" t="s">
        <v>106</v>
      </c>
      <c r="J189" s="36" t="s">
        <v>1477</v>
      </c>
      <c r="K189" s="25"/>
      <c r="L189" s="25" t="s">
        <v>980</v>
      </c>
      <c r="M189" s="5" t="s">
        <v>66</v>
      </c>
      <c r="N189" s="5" t="s">
        <v>113</v>
      </c>
      <c r="O189" s="5" t="s">
        <v>96</v>
      </c>
      <c r="P189" s="5" t="s">
        <v>107</v>
      </c>
      <c r="Q189" s="5" t="s">
        <v>180</v>
      </c>
      <c r="R189" s="5" t="s">
        <v>181</v>
      </c>
      <c r="S189" s="5"/>
      <c r="T189" s="5"/>
      <c r="U189" s="5"/>
      <c r="V189" s="5">
        <v>1300.0</v>
      </c>
      <c r="W189" s="26">
        <v>2.1</v>
      </c>
      <c r="X189" s="5">
        <v>619.0</v>
      </c>
      <c r="Y189" s="27">
        <v>0.2</v>
      </c>
      <c r="Z189" s="28">
        <v>495.20000000000005</v>
      </c>
      <c r="AA189" s="27">
        <v>1.0</v>
      </c>
      <c r="AB189" s="5" t="s">
        <v>117</v>
      </c>
      <c r="AC189" s="27"/>
      <c r="AD189" s="5"/>
      <c r="AE189" s="5" t="s">
        <v>81</v>
      </c>
      <c r="AF189" s="5" t="s">
        <v>81</v>
      </c>
      <c r="AG189" s="5"/>
      <c r="AH189" s="5">
        <v>3.0</v>
      </c>
      <c r="AI189" s="5" t="s">
        <v>1482</v>
      </c>
      <c r="AJ189" s="5" t="s">
        <v>97</v>
      </c>
      <c r="AK189" s="52"/>
      <c r="AL189" s="28">
        <v>0.0</v>
      </c>
      <c r="AM189" s="28">
        <v>0.0</v>
      </c>
      <c r="AN189" s="28">
        <v>0.0</v>
      </c>
      <c r="AO189" s="28">
        <v>1265.0</v>
      </c>
      <c r="AP189" s="28">
        <v>0.0</v>
      </c>
      <c r="AQ189" s="28">
        <v>0.0</v>
      </c>
      <c r="AR189" s="28">
        <v>843755.0</v>
      </c>
      <c r="AS189" s="28">
        <v>0.0</v>
      </c>
      <c r="AT189" s="28">
        <v>843755.0</v>
      </c>
      <c r="AU189" s="28">
        <v>0.0</v>
      </c>
      <c r="AV189" s="28">
        <v>0.0</v>
      </c>
      <c r="AW189" s="28">
        <v>0.0</v>
      </c>
      <c r="AX189" s="28">
        <v>0.0</v>
      </c>
      <c r="AY189" s="28">
        <v>525064.0725</v>
      </c>
      <c r="AZ189" s="5" t="s">
        <v>124</v>
      </c>
      <c r="BA189" s="5" t="s">
        <v>86</v>
      </c>
      <c r="BB189" s="5" t="s">
        <v>87</v>
      </c>
      <c r="BC189" s="32" t="s">
        <v>122</v>
      </c>
      <c r="BD189" s="5" t="s">
        <v>126</v>
      </c>
      <c r="BE189" s="5" t="s">
        <v>128</v>
      </c>
      <c r="BF189" s="5" t="s">
        <v>130</v>
      </c>
      <c r="BG189" s="5" t="s">
        <v>131</v>
      </c>
    </row>
    <row r="190" ht="16.5" hidden="1" customHeight="1">
      <c r="A190" s="5" t="s">
        <v>100</v>
      </c>
      <c r="B190" s="5" t="s">
        <v>200</v>
      </c>
      <c r="C190" s="5" t="b">
        <v>0</v>
      </c>
      <c r="D190" s="5" t="s">
        <v>691</v>
      </c>
      <c r="E190" s="5" t="s">
        <v>692</v>
      </c>
      <c r="F190" s="5"/>
      <c r="G190" s="5" t="s">
        <v>65</v>
      </c>
      <c r="H190" s="5" t="s">
        <v>74</v>
      </c>
      <c r="I190" s="5" t="s">
        <v>106</v>
      </c>
      <c r="J190" s="25" t="s">
        <v>108</v>
      </c>
      <c r="K190" s="25"/>
      <c r="L190" s="25"/>
      <c r="M190" s="5" t="s">
        <v>109</v>
      </c>
      <c r="N190" s="5" t="s">
        <v>334</v>
      </c>
      <c r="O190" s="5" t="s">
        <v>96</v>
      </c>
      <c r="P190" s="5" t="s">
        <v>107</v>
      </c>
      <c r="Q190" s="5" t="s">
        <v>600</v>
      </c>
      <c r="R190" s="5" t="s">
        <v>110</v>
      </c>
      <c r="S190" s="5"/>
      <c r="T190" s="5"/>
      <c r="U190" s="5"/>
      <c r="V190" s="5">
        <v>450.0</v>
      </c>
      <c r="W190" s="26">
        <v>2.1</v>
      </c>
      <c r="X190" s="5">
        <v>214.0</v>
      </c>
      <c r="Y190" s="27">
        <v>0.0</v>
      </c>
      <c r="Z190" s="28">
        <v>214.0</v>
      </c>
      <c r="AA190" s="27">
        <v>1.0</v>
      </c>
      <c r="AB190" s="5" t="s">
        <v>117</v>
      </c>
      <c r="AC190" s="27"/>
      <c r="AD190" s="5"/>
      <c r="AE190" s="5" t="s">
        <v>81</v>
      </c>
      <c r="AF190" s="5" t="s">
        <v>81</v>
      </c>
      <c r="AG190" s="5"/>
      <c r="AH190" s="5">
        <v>1.0</v>
      </c>
      <c r="AI190" s="5" t="s">
        <v>693</v>
      </c>
      <c r="AJ190" s="5" t="s">
        <v>386</v>
      </c>
      <c r="AK190" s="30"/>
      <c r="AL190" s="28">
        <v>166.0</v>
      </c>
      <c r="AM190" s="28">
        <v>0.0</v>
      </c>
      <c r="AN190" s="28">
        <v>0.0</v>
      </c>
      <c r="AO190" s="28">
        <v>0.0</v>
      </c>
      <c r="AP190" s="28">
        <v>0.0</v>
      </c>
      <c r="AQ190" s="28">
        <v>35572.14</v>
      </c>
      <c r="AR190" s="28">
        <v>0.0</v>
      </c>
      <c r="AS190" s="28">
        <v>0.0</v>
      </c>
      <c r="AT190" s="28">
        <v>0.0</v>
      </c>
      <c r="AU190" s="28">
        <v>0.0</v>
      </c>
      <c r="AV190" s="28">
        <v>35571.42857142857</v>
      </c>
      <c r="AW190" s="28">
        <v>0.0</v>
      </c>
      <c r="AX190" s="28">
        <v>0.0</v>
      </c>
      <c r="AY190" s="28">
        <v>0.0</v>
      </c>
      <c r="AZ190" s="5" t="s">
        <v>124</v>
      </c>
      <c r="BA190" s="5" t="s">
        <v>86</v>
      </c>
      <c r="BB190" s="5" t="s">
        <v>512</v>
      </c>
      <c r="BD190" s="5" t="s">
        <v>334</v>
      </c>
      <c r="BF190" s="5" t="s">
        <v>539</v>
      </c>
      <c r="BG190" s="5" t="s">
        <v>131</v>
      </c>
      <c r="BH190" s="5" t="s">
        <v>1455</v>
      </c>
    </row>
    <row r="191" ht="16.5" hidden="1" customHeight="1">
      <c r="A191" s="5" t="s">
        <v>100</v>
      </c>
      <c r="B191" s="5" t="s">
        <v>200</v>
      </c>
      <c r="C191" s="5" t="b">
        <v>0</v>
      </c>
      <c r="D191" s="5" t="s">
        <v>694</v>
      </c>
      <c r="E191" s="5" t="s">
        <v>695</v>
      </c>
      <c r="F191" s="5"/>
      <c r="G191" s="5" t="s">
        <v>65</v>
      </c>
      <c r="H191" s="5" t="s">
        <v>74</v>
      </c>
      <c r="I191" s="5" t="s">
        <v>106</v>
      </c>
      <c r="J191" s="25" t="s">
        <v>108</v>
      </c>
      <c r="K191" s="25"/>
      <c r="L191" s="25"/>
      <c r="M191" s="5" t="s">
        <v>109</v>
      </c>
      <c r="N191" s="5" t="s">
        <v>334</v>
      </c>
      <c r="O191" s="5" t="s">
        <v>96</v>
      </c>
      <c r="P191" s="5" t="s">
        <v>70</v>
      </c>
      <c r="Q191" s="5" t="s">
        <v>805</v>
      </c>
      <c r="R191" s="5" t="s">
        <v>110</v>
      </c>
      <c r="S191" s="5"/>
      <c r="T191" s="5"/>
      <c r="U191" s="5"/>
      <c r="V191" s="5">
        <v>500.0</v>
      </c>
      <c r="W191" s="26">
        <v>2.1</v>
      </c>
      <c r="X191" s="5">
        <v>238.0</v>
      </c>
      <c r="Y191" s="27">
        <v>0.0</v>
      </c>
      <c r="Z191" s="28">
        <v>238.0</v>
      </c>
      <c r="AA191" s="27">
        <v>1.0</v>
      </c>
      <c r="AB191" s="5" t="s">
        <v>117</v>
      </c>
      <c r="AC191" s="27"/>
      <c r="AD191" s="5"/>
      <c r="AE191" s="5" t="s">
        <v>81</v>
      </c>
      <c r="AF191" s="5" t="s">
        <v>81</v>
      </c>
      <c r="AG191" s="5"/>
      <c r="AH191" s="5">
        <v>1.0</v>
      </c>
      <c r="AI191" s="5" t="s">
        <v>693</v>
      </c>
      <c r="AJ191" s="5" t="s">
        <v>386</v>
      </c>
      <c r="AK191" s="30"/>
      <c r="AL191" s="28">
        <v>166.0</v>
      </c>
      <c r="AM191" s="28">
        <v>0.0</v>
      </c>
      <c r="AN191" s="28">
        <v>0.0</v>
      </c>
      <c r="AO191" s="28">
        <v>0.0</v>
      </c>
      <c r="AP191" s="28">
        <v>0.0</v>
      </c>
      <c r="AQ191" s="28">
        <v>39524.6</v>
      </c>
      <c r="AR191" s="28">
        <v>0.0</v>
      </c>
      <c r="AS191" s="28">
        <v>0.0</v>
      </c>
      <c r="AT191" s="28">
        <v>0.0</v>
      </c>
      <c r="AU191" s="28">
        <v>0.0</v>
      </c>
      <c r="AV191" s="28">
        <v>39523.80952380952</v>
      </c>
      <c r="AW191" s="28">
        <v>0.0</v>
      </c>
      <c r="AX191" s="28">
        <v>0.0</v>
      </c>
      <c r="AY191" s="28">
        <v>0.0</v>
      </c>
      <c r="AZ191" s="5" t="s">
        <v>124</v>
      </c>
      <c r="BA191" s="5" t="s">
        <v>86</v>
      </c>
      <c r="BB191" s="5" t="s">
        <v>512</v>
      </c>
      <c r="BD191" s="5" t="s">
        <v>334</v>
      </c>
      <c r="BE191" s="5" t="s">
        <v>348</v>
      </c>
      <c r="BF191" s="5" t="s">
        <v>539</v>
      </c>
      <c r="BG191" s="5" t="s">
        <v>131</v>
      </c>
      <c r="BH191" s="5" t="s">
        <v>1455</v>
      </c>
    </row>
    <row r="192" ht="16.5" hidden="1" customHeight="1">
      <c r="A192" s="5" t="s">
        <v>100</v>
      </c>
      <c r="B192" s="5" t="s">
        <v>200</v>
      </c>
      <c r="C192" s="5" t="b">
        <v>0</v>
      </c>
      <c r="D192" s="5" t="s">
        <v>700</v>
      </c>
      <c r="E192" s="5" t="s">
        <v>701</v>
      </c>
      <c r="F192" s="5"/>
      <c r="G192" s="5" t="s">
        <v>65</v>
      </c>
      <c r="H192" s="5" t="s">
        <v>74</v>
      </c>
      <c r="I192" s="5" t="s">
        <v>106</v>
      </c>
      <c r="J192" s="25" t="s">
        <v>108</v>
      </c>
      <c r="K192" s="25"/>
      <c r="L192" s="25"/>
      <c r="M192" s="5" t="s">
        <v>109</v>
      </c>
      <c r="N192" s="5" t="s">
        <v>334</v>
      </c>
      <c r="O192" s="5" t="s">
        <v>96</v>
      </c>
      <c r="P192" s="5" t="s">
        <v>107</v>
      </c>
      <c r="Q192" s="5" t="s">
        <v>805</v>
      </c>
      <c r="R192" s="5" t="s">
        <v>110</v>
      </c>
      <c r="S192" s="5"/>
      <c r="T192" s="5"/>
      <c r="U192" s="5"/>
      <c r="V192" s="5">
        <v>500.0</v>
      </c>
      <c r="W192" s="26">
        <v>2.1</v>
      </c>
      <c r="X192" s="5">
        <v>238.0</v>
      </c>
      <c r="Y192" s="27">
        <v>0.0</v>
      </c>
      <c r="Z192" s="28">
        <v>238.0</v>
      </c>
      <c r="AA192" s="27">
        <v>1.0</v>
      </c>
      <c r="AB192" s="5" t="s">
        <v>117</v>
      </c>
      <c r="AC192" s="27"/>
      <c r="AD192" s="5"/>
      <c r="AE192" s="5" t="s">
        <v>81</v>
      </c>
      <c r="AF192" s="5" t="s">
        <v>81</v>
      </c>
      <c r="AG192" s="5"/>
      <c r="AH192" s="5">
        <v>1.0</v>
      </c>
      <c r="AI192" s="5" t="s">
        <v>693</v>
      </c>
      <c r="AJ192" s="5" t="s">
        <v>386</v>
      </c>
      <c r="AK192" s="30"/>
      <c r="AL192" s="28">
        <v>156.0</v>
      </c>
      <c r="AM192" s="28">
        <v>0.0</v>
      </c>
      <c r="AN192" s="28">
        <v>0.0</v>
      </c>
      <c r="AO192" s="28">
        <v>0.0</v>
      </c>
      <c r="AP192" s="28">
        <v>0.0</v>
      </c>
      <c r="AQ192" s="28">
        <v>37143.6</v>
      </c>
      <c r="AR192" s="28">
        <v>0.0</v>
      </c>
      <c r="AS192" s="28">
        <v>0.0</v>
      </c>
      <c r="AT192" s="28">
        <v>0.0</v>
      </c>
      <c r="AU192" s="28">
        <v>0.0</v>
      </c>
      <c r="AV192" s="28">
        <v>37142.85714285714</v>
      </c>
      <c r="AW192" s="28">
        <v>0.0</v>
      </c>
      <c r="AX192" s="28">
        <v>0.0</v>
      </c>
      <c r="AY192" s="28">
        <v>0.0</v>
      </c>
      <c r="AZ192" s="5" t="s">
        <v>124</v>
      </c>
      <c r="BA192" s="5" t="s">
        <v>86</v>
      </c>
      <c r="BB192" s="5" t="s">
        <v>512</v>
      </c>
      <c r="BD192" s="5" t="s">
        <v>334</v>
      </c>
      <c r="BE192" s="5" t="s">
        <v>348</v>
      </c>
      <c r="BF192" s="5" t="s">
        <v>539</v>
      </c>
      <c r="BG192" s="5" t="s">
        <v>131</v>
      </c>
      <c r="BH192" s="5" t="s">
        <v>1455</v>
      </c>
    </row>
    <row r="193" ht="16.5" hidden="1" customHeight="1">
      <c r="A193" s="5" t="s">
        <v>100</v>
      </c>
      <c r="B193" s="5" t="s">
        <v>200</v>
      </c>
      <c r="C193" s="5" t="b">
        <v>0</v>
      </c>
      <c r="D193" s="5" t="s">
        <v>702</v>
      </c>
      <c r="E193" s="5" t="s">
        <v>703</v>
      </c>
      <c r="F193" s="5"/>
      <c r="G193" s="5" t="s">
        <v>65</v>
      </c>
      <c r="H193" s="5" t="s">
        <v>74</v>
      </c>
      <c r="I193" s="5" t="s">
        <v>106</v>
      </c>
      <c r="J193" s="25" t="s">
        <v>108</v>
      </c>
      <c r="K193" s="25"/>
      <c r="L193" s="25"/>
      <c r="M193" s="5" t="s">
        <v>109</v>
      </c>
      <c r="N193" s="5" t="s">
        <v>334</v>
      </c>
      <c r="O193" s="5" t="s">
        <v>96</v>
      </c>
      <c r="P193" s="5" t="s">
        <v>70</v>
      </c>
      <c r="Q193" s="5" t="s">
        <v>282</v>
      </c>
      <c r="R193" s="5" t="s">
        <v>110</v>
      </c>
      <c r="S193" s="5"/>
      <c r="T193" s="5"/>
      <c r="U193" s="5"/>
      <c r="V193" s="5">
        <v>1500.0</v>
      </c>
      <c r="W193" s="26">
        <v>2.1</v>
      </c>
      <c r="X193" s="5">
        <v>714.0</v>
      </c>
      <c r="Y193" s="27">
        <v>0.0</v>
      </c>
      <c r="Z193" s="28">
        <v>714.0</v>
      </c>
      <c r="AA193" s="27">
        <v>1.0</v>
      </c>
      <c r="AB193" s="5" t="s">
        <v>117</v>
      </c>
      <c r="AC193" s="27"/>
      <c r="AD193" s="5"/>
      <c r="AE193" s="5" t="s">
        <v>81</v>
      </c>
      <c r="AF193" s="5" t="s">
        <v>81</v>
      </c>
      <c r="AG193" s="5"/>
      <c r="AH193" s="5">
        <v>1.0</v>
      </c>
      <c r="AI193" s="5" t="s">
        <v>693</v>
      </c>
      <c r="AJ193" s="5" t="s">
        <v>386</v>
      </c>
      <c r="AK193" s="30"/>
      <c r="AL193" s="28">
        <v>190.0</v>
      </c>
      <c r="AM193" s="28">
        <v>100.0</v>
      </c>
      <c r="AN193" s="28">
        <v>0.0</v>
      </c>
      <c r="AO193" s="28">
        <v>0.0</v>
      </c>
      <c r="AP193" s="28">
        <v>0.0</v>
      </c>
      <c r="AQ193" s="28">
        <v>135715.1</v>
      </c>
      <c r="AR193" s="28">
        <v>0.0</v>
      </c>
      <c r="AS193" s="28">
        <v>0.0</v>
      </c>
      <c r="AT193" s="28">
        <v>0.0</v>
      </c>
      <c r="AU193" s="28">
        <v>0.0</v>
      </c>
      <c r="AV193" s="28">
        <v>135714.2857142857</v>
      </c>
      <c r="AW193" s="28">
        <v>71429.0</v>
      </c>
      <c r="AX193" s="28">
        <v>0.0</v>
      </c>
      <c r="AY193" s="28">
        <v>0.0</v>
      </c>
      <c r="AZ193" s="5" t="s">
        <v>124</v>
      </c>
      <c r="BA193" s="5" t="s">
        <v>86</v>
      </c>
      <c r="BB193" s="5" t="s">
        <v>512</v>
      </c>
      <c r="BD193" s="5" t="s">
        <v>334</v>
      </c>
      <c r="BE193" s="5" t="s">
        <v>161</v>
      </c>
      <c r="BF193" s="5" t="s">
        <v>616</v>
      </c>
      <c r="BG193" s="5" t="s">
        <v>131</v>
      </c>
      <c r="BH193" s="5" t="s">
        <v>1486</v>
      </c>
    </row>
    <row r="194" ht="16.5" hidden="1" customHeight="1">
      <c r="A194" s="5" t="s">
        <v>100</v>
      </c>
      <c r="B194" s="5" t="s">
        <v>200</v>
      </c>
      <c r="C194" s="5" t="b">
        <v>0</v>
      </c>
      <c r="D194" s="5" t="s">
        <v>708</v>
      </c>
      <c r="E194" s="5" t="s">
        <v>710</v>
      </c>
      <c r="F194" s="5"/>
      <c r="G194" s="5" t="s">
        <v>65</v>
      </c>
      <c r="H194" s="5" t="s">
        <v>74</v>
      </c>
      <c r="I194" s="5" t="s">
        <v>106</v>
      </c>
      <c r="J194" s="25" t="s">
        <v>108</v>
      </c>
      <c r="K194" s="25"/>
      <c r="L194" s="25"/>
      <c r="M194" s="5" t="s">
        <v>109</v>
      </c>
      <c r="N194" s="5" t="s">
        <v>334</v>
      </c>
      <c r="O194" s="5" t="s">
        <v>96</v>
      </c>
      <c r="P194" s="5" t="s">
        <v>107</v>
      </c>
      <c r="Q194" s="5" t="s">
        <v>282</v>
      </c>
      <c r="R194" s="5" t="s">
        <v>110</v>
      </c>
      <c r="S194" s="5"/>
      <c r="T194" s="5"/>
      <c r="U194" s="5"/>
      <c r="V194" s="5">
        <v>1500.0</v>
      </c>
      <c r="W194" s="26">
        <v>2.1</v>
      </c>
      <c r="X194" s="5">
        <v>714.0</v>
      </c>
      <c r="Y194" s="27">
        <v>0.0</v>
      </c>
      <c r="Z194" s="28">
        <v>714.0</v>
      </c>
      <c r="AA194" s="27">
        <v>1.0</v>
      </c>
      <c r="AB194" s="5" t="s">
        <v>117</v>
      </c>
      <c r="AC194" s="27"/>
      <c r="AD194" s="5"/>
      <c r="AE194" s="5" t="s">
        <v>81</v>
      </c>
      <c r="AF194" s="5" t="s">
        <v>81</v>
      </c>
      <c r="AG194" s="5"/>
      <c r="AH194" s="5">
        <v>1.0</v>
      </c>
      <c r="AI194" s="5" t="s">
        <v>693</v>
      </c>
      <c r="AJ194" s="5" t="s">
        <v>386</v>
      </c>
      <c r="AK194" s="30"/>
      <c r="AL194" s="28">
        <v>166.0</v>
      </c>
      <c r="AM194" s="28">
        <v>100.0</v>
      </c>
      <c r="AN194" s="28">
        <v>0.0</v>
      </c>
      <c r="AO194" s="28">
        <v>0.0</v>
      </c>
      <c r="AP194" s="28">
        <v>0.0</v>
      </c>
      <c r="AQ194" s="28">
        <v>118572.14</v>
      </c>
      <c r="AR194" s="28">
        <v>0.0</v>
      </c>
      <c r="AS194" s="28">
        <v>0.0</v>
      </c>
      <c r="AT194" s="28">
        <v>0.0</v>
      </c>
      <c r="AU194" s="28">
        <v>0.0</v>
      </c>
      <c r="AV194" s="28">
        <v>118571.42857142857</v>
      </c>
      <c r="AW194" s="28">
        <v>71429.0</v>
      </c>
      <c r="AX194" s="28">
        <v>0.0</v>
      </c>
      <c r="AY194" s="28">
        <v>0.0</v>
      </c>
      <c r="AZ194" s="5" t="s">
        <v>124</v>
      </c>
      <c r="BA194" s="5" t="s">
        <v>86</v>
      </c>
      <c r="BB194" s="5" t="s">
        <v>512</v>
      </c>
      <c r="BD194" s="5" t="s">
        <v>334</v>
      </c>
      <c r="BE194" s="5" t="s">
        <v>161</v>
      </c>
      <c r="BF194" s="5" t="s">
        <v>616</v>
      </c>
      <c r="BG194" s="5" t="s">
        <v>131</v>
      </c>
      <c r="BH194" s="5" t="s">
        <v>1486</v>
      </c>
    </row>
    <row r="195" ht="16.5" hidden="1" customHeight="1">
      <c r="A195" s="5" t="s">
        <v>100</v>
      </c>
      <c r="B195" s="5" t="s">
        <v>137</v>
      </c>
      <c r="C195" s="5" t="b">
        <v>1</v>
      </c>
      <c r="D195" s="5" t="s">
        <v>1487</v>
      </c>
      <c r="E195" s="5" t="s">
        <v>1488</v>
      </c>
      <c r="F195" s="5"/>
      <c r="G195" s="5" t="s">
        <v>65</v>
      </c>
      <c r="H195" s="5" t="s">
        <v>76</v>
      </c>
      <c r="I195" s="5" t="s">
        <v>82</v>
      </c>
      <c r="J195" s="25"/>
      <c r="K195" s="25"/>
      <c r="L195" s="25"/>
      <c r="M195" s="5" t="s">
        <v>66</v>
      </c>
      <c r="N195" s="5" t="s">
        <v>355</v>
      </c>
      <c r="O195" s="5" t="s">
        <v>69</v>
      </c>
      <c r="P195" s="5" t="s">
        <v>70</v>
      </c>
      <c r="Q195" s="5" t="s">
        <v>282</v>
      </c>
      <c r="R195" s="5" t="s">
        <v>110</v>
      </c>
      <c r="S195" s="5"/>
      <c r="T195" s="5"/>
      <c r="U195" s="5"/>
      <c r="V195" s="5">
        <v>2500.0</v>
      </c>
      <c r="W195" s="26">
        <v>2.1</v>
      </c>
      <c r="X195" s="5">
        <v>1190.0</v>
      </c>
      <c r="Y195" s="27">
        <v>0.2</v>
      </c>
      <c r="Z195" s="28">
        <v>952.0</v>
      </c>
      <c r="AA195" s="27">
        <v>1.0</v>
      </c>
      <c r="AB195" s="5" t="s">
        <v>117</v>
      </c>
      <c r="AC195" s="27">
        <v>0.63</v>
      </c>
      <c r="AD195" s="5"/>
      <c r="AE195" s="5" t="s">
        <v>198</v>
      </c>
      <c r="AF195" s="5" t="s">
        <v>81</v>
      </c>
      <c r="AG195" s="5">
        <v>4.0</v>
      </c>
      <c r="AH195" s="5">
        <v>4.0</v>
      </c>
      <c r="AI195" s="5" t="s">
        <v>1490</v>
      </c>
      <c r="AJ195" s="5" t="s">
        <v>0</v>
      </c>
      <c r="AK195" s="30">
        <v>1100.0</v>
      </c>
      <c r="AL195" s="28">
        <v>0.0</v>
      </c>
      <c r="AM195" s="28">
        <v>0.0</v>
      </c>
      <c r="AN195" s="28">
        <v>3213.0</v>
      </c>
      <c r="AO195" s="28">
        <v>0.0</v>
      </c>
      <c r="AP195" s="28">
        <v>1309000.0</v>
      </c>
      <c r="AQ195" s="28">
        <v>0.0</v>
      </c>
      <c r="AR195" s="28">
        <v>0.0</v>
      </c>
      <c r="AS195" s="28">
        <v>0.0</v>
      </c>
      <c r="AT195" s="28">
        <v>0.0</v>
      </c>
      <c r="AU195" s="28">
        <v>1047200.0</v>
      </c>
      <c r="AV195" s="28">
        <v>0.0</v>
      </c>
      <c r="AW195" s="28">
        <v>0.0</v>
      </c>
      <c r="AX195" s="28">
        <v>2684191.525249169</v>
      </c>
      <c r="AY195" s="28">
        <v>0.0</v>
      </c>
      <c r="AZ195" s="5"/>
      <c r="BA195" s="5" t="s">
        <v>125</v>
      </c>
      <c r="BB195" s="5" t="s">
        <v>127</v>
      </c>
      <c r="BC195" s="5" t="s">
        <v>237</v>
      </c>
      <c r="BD195" s="5" t="s">
        <v>355</v>
      </c>
      <c r="BE195" s="5" t="s">
        <v>161</v>
      </c>
      <c r="BF195" s="5" t="s">
        <v>367</v>
      </c>
      <c r="BG195" s="5" t="s">
        <v>131</v>
      </c>
    </row>
    <row r="196" ht="16.5" hidden="1" customHeight="1">
      <c r="A196" s="5" t="s">
        <v>100</v>
      </c>
      <c r="B196" s="5" t="s">
        <v>137</v>
      </c>
      <c r="C196" s="5" t="b">
        <v>1</v>
      </c>
      <c r="D196" s="5" t="s">
        <v>1492</v>
      </c>
      <c r="E196" s="5" t="s">
        <v>1493</v>
      </c>
      <c r="F196" s="5"/>
      <c r="G196" s="5" t="s">
        <v>65</v>
      </c>
      <c r="H196" s="5" t="s">
        <v>76</v>
      </c>
      <c r="I196" s="5" t="s">
        <v>82</v>
      </c>
      <c r="J196" s="25"/>
      <c r="K196" s="25"/>
      <c r="L196" s="25"/>
      <c r="M196" s="5" t="s">
        <v>66</v>
      </c>
      <c r="N196" s="5" t="s">
        <v>355</v>
      </c>
      <c r="O196" s="5" t="s">
        <v>69</v>
      </c>
      <c r="P196" s="5" t="s">
        <v>107</v>
      </c>
      <c r="Q196" s="5" t="s">
        <v>282</v>
      </c>
      <c r="R196" s="5" t="s">
        <v>110</v>
      </c>
      <c r="S196" s="5"/>
      <c r="T196" s="5"/>
      <c r="U196" s="5"/>
      <c r="V196" s="5">
        <v>2500.0</v>
      </c>
      <c r="W196" s="26">
        <v>2.1</v>
      </c>
      <c r="X196" s="5">
        <v>1190.0</v>
      </c>
      <c r="Y196" s="27">
        <v>0.2</v>
      </c>
      <c r="Z196" s="28">
        <v>952.0</v>
      </c>
      <c r="AA196" s="27">
        <v>1.0</v>
      </c>
      <c r="AB196" s="5" t="s">
        <v>117</v>
      </c>
      <c r="AC196" s="27">
        <v>0.64</v>
      </c>
      <c r="AD196" s="5"/>
      <c r="AE196" s="5" t="s">
        <v>198</v>
      </c>
      <c r="AF196" s="5" t="s">
        <v>81</v>
      </c>
      <c r="AG196" s="5">
        <v>4.0</v>
      </c>
      <c r="AH196" s="5">
        <v>4.0</v>
      </c>
      <c r="AI196" s="5" t="s">
        <v>1490</v>
      </c>
      <c r="AJ196" s="5" t="s">
        <v>0</v>
      </c>
      <c r="AK196" s="52">
        <v>900.0</v>
      </c>
      <c r="AL196" s="28">
        <v>0.0</v>
      </c>
      <c r="AM196" s="28">
        <v>0.0</v>
      </c>
      <c r="AN196" s="28">
        <v>1909.0</v>
      </c>
      <c r="AO196" s="28">
        <v>0.0</v>
      </c>
      <c r="AP196" s="28">
        <v>1071000.0</v>
      </c>
      <c r="AQ196" s="28">
        <v>0.0</v>
      </c>
      <c r="AR196" s="28">
        <v>0.0</v>
      </c>
      <c r="AS196" s="28">
        <v>0.0</v>
      </c>
      <c r="AT196" s="28">
        <v>0.0</v>
      </c>
      <c r="AU196" s="28">
        <v>856800.0</v>
      </c>
      <c r="AV196" s="28">
        <v>0.0</v>
      </c>
      <c r="AW196" s="28">
        <v>0.0</v>
      </c>
      <c r="AX196" s="28">
        <v>1669881.9137320046</v>
      </c>
      <c r="AY196" s="28">
        <v>0.0</v>
      </c>
      <c r="AZ196" s="5"/>
      <c r="BA196" s="5" t="s">
        <v>125</v>
      </c>
      <c r="BB196" s="5" t="s">
        <v>127</v>
      </c>
      <c r="BC196" s="5" t="s">
        <v>237</v>
      </c>
      <c r="BD196" s="5" t="s">
        <v>355</v>
      </c>
      <c r="BE196" s="5" t="s">
        <v>161</v>
      </c>
      <c r="BF196" s="5" t="s">
        <v>367</v>
      </c>
      <c r="BG196" s="5" t="s">
        <v>131</v>
      </c>
    </row>
    <row r="197" ht="16.5" hidden="1" customHeight="1">
      <c r="A197" s="5" t="s">
        <v>100</v>
      </c>
      <c r="B197" s="5" t="s">
        <v>137</v>
      </c>
      <c r="C197" s="5" t="b">
        <v>1</v>
      </c>
      <c r="D197" s="5" t="s">
        <v>1494</v>
      </c>
      <c r="E197" s="5" t="s">
        <v>1495</v>
      </c>
      <c r="F197" s="5"/>
      <c r="G197" s="5" t="s">
        <v>65</v>
      </c>
      <c r="H197" s="5" t="s">
        <v>76</v>
      </c>
      <c r="I197" s="5" t="s">
        <v>82</v>
      </c>
      <c r="J197" s="25"/>
      <c r="K197" s="25"/>
      <c r="L197" s="25"/>
      <c r="M197" s="5" t="s">
        <v>66</v>
      </c>
      <c r="N197" s="5" t="s">
        <v>355</v>
      </c>
      <c r="O197" s="5" t="s">
        <v>69</v>
      </c>
      <c r="P197" s="5" t="s">
        <v>70</v>
      </c>
      <c r="Q197" s="5" t="s">
        <v>89</v>
      </c>
      <c r="R197" s="5" t="s">
        <v>110</v>
      </c>
      <c r="S197" s="5"/>
      <c r="T197" s="5"/>
      <c r="U197" s="5"/>
      <c r="V197" s="5">
        <v>2200.0</v>
      </c>
      <c r="W197" s="26">
        <v>2.1</v>
      </c>
      <c r="X197" s="5">
        <v>1048.0</v>
      </c>
      <c r="Y197" s="27">
        <v>0.2</v>
      </c>
      <c r="Z197" s="28">
        <v>838.4000000000001</v>
      </c>
      <c r="AA197" s="27">
        <v>1.0</v>
      </c>
      <c r="AB197" s="5" t="s">
        <v>117</v>
      </c>
      <c r="AC197" s="27">
        <v>0.62</v>
      </c>
      <c r="AD197" s="5"/>
      <c r="AE197" s="5" t="s">
        <v>198</v>
      </c>
      <c r="AF197" s="5" t="s">
        <v>81</v>
      </c>
      <c r="AG197" s="5">
        <v>3.0</v>
      </c>
      <c r="AH197" s="5">
        <v>3.0</v>
      </c>
      <c r="AI197" s="5" t="s">
        <v>1496</v>
      </c>
      <c r="AJ197" s="5" t="s">
        <v>0</v>
      </c>
      <c r="AK197" s="30">
        <v>900.0</v>
      </c>
      <c r="AL197" s="28">
        <v>0.0</v>
      </c>
      <c r="AM197" s="28">
        <v>0.0</v>
      </c>
      <c r="AN197" s="28">
        <v>2235.0</v>
      </c>
      <c r="AO197" s="28">
        <v>0.0</v>
      </c>
      <c r="AP197" s="28">
        <v>943200.0</v>
      </c>
      <c r="AQ197" s="28">
        <v>0.0</v>
      </c>
      <c r="AR197" s="28">
        <v>0.0</v>
      </c>
      <c r="AS197" s="28">
        <v>0.0</v>
      </c>
      <c r="AT197" s="28">
        <v>0.0</v>
      </c>
      <c r="AU197" s="28">
        <v>754560.0000000001</v>
      </c>
      <c r="AV197" s="28">
        <v>0.0</v>
      </c>
      <c r="AW197" s="28">
        <v>0.0</v>
      </c>
      <c r="AX197" s="28">
        <v>1693715.4341085271</v>
      </c>
      <c r="AY197" s="28">
        <v>0.0</v>
      </c>
      <c r="AZ197" s="5"/>
      <c r="BA197" s="5" t="s">
        <v>125</v>
      </c>
      <c r="BB197" s="5" t="s">
        <v>127</v>
      </c>
      <c r="BC197" s="5" t="s">
        <v>237</v>
      </c>
      <c r="BD197" s="5" t="s">
        <v>355</v>
      </c>
      <c r="BE197" s="5" t="s">
        <v>89</v>
      </c>
      <c r="BF197" s="5" t="s">
        <v>367</v>
      </c>
      <c r="BG197" s="5" t="s">
        <v>131</v>
      </c>
    </row>
    <row r="198" ht="16.5" hidden="1" customHeight="1">
      <c r="A198" s="5" t="s">
        <v>100</v>
      </c>
      <c r="B198" s="5" t="s">
        <v>137</v>
      </c>
      <c r="C198" s="5" t="b">
        <v>1</v>
      </c>
      <c r="D198" s="5" t="s">
        <v>1497</v>
      </c>
      <c r="E198" s="5" t="s">
        <v>1498</v>
      </c>
      <c r="F198" s="5"/>
      <c r="G198" s="5" t="s">
        <v>65</v>
      </c>
      <c r="H198" s="5" t="s">
        <v>76</v>
      </c>
      <c r="I198" s="5" t="s">
        <v>82</v>
      </c>
      <c r="J198" s="25"/>
      <c r="K198" s="25"/>
      <c r="L198" s="25"/>
      <c r="M198" s="5" t="s">
        <v>66</v>
      </c>
      <c r="N198" s="5" t="s">
        <v>355</v>
      </c>
      <c r="O198" s="5" t="s">
        <v>69</v>
      </c>
      <c r="P198" s="5" t="s">
        <v>107</v>
      </c>
      <c r="Q198" s="5" t="s">
        <v>89</v>
      </c>
      <c r="R198" s="5" t="s">
        <v>110</v>
      </c>
      <c r="S198" s="5"/>
      <c r="T198" s="5"/>
      <c r="U198" s="5"/>
      <c r="V198" s="5">
        <v>2200.0</v>
      </c>
      <c r="W198" s="26">
        <v>2.1</v>
      </c>
      <c r="X198" s="5">
        <v>1048.0</v>
      </c>
      <c r="Y198" s="27">
        <v>0.2</v>
      </c>
      <c r="Z198" s="28">
        <v>838.4000000000001</v>
      </c>
      <c r="AA198" s="27">
        <v>1.0</v>
      </c>
      <c r="AB198" s="5" t="s">
        <v>117</v>
      </c>
      <c r="AC198" s="27">
        <v>0.63</v>
      </c>
      <c r="AD198" s="5"/>
      <c r="AE198" s="5" t="s">
        <v>198</v>
      </c>
      <c r="AF198" s="5" t="s">
        <v>81</v>
      </c>
      <c r="AG198" s="5">
        <v>3.0</v>
      </c>
      <c r="AH198" s="5">
        <v>3.0</v>
      </c>
      <c r="AI198" s="5" t="s">
        <v>1496</v>
      </c>
      <c r="AJ198" s="5" t="s">
        <v>0</v>
      </c>
      <c r="AK198" s="52">
        <v>700.0</v>
      </c>
      <c r="AL198" s="28">
        <v>0.0</v>
      </c>
      <c r="AM198" s="28">
        <v>0.0</v>
      </c>
      <c r="AN198" s="28">
        <v>880.0</v>
      </c>
      <c r="AO198" s="28">
        <v>0.0</v>
      </c>
      <c r="AP198" s="28">
        <v>733600.0</v>
      </c>
      <c r="AQ198" s="28">
        <v>0.0</v>
      </c>
      <c r="AR198" s="28">
        <v>0.0</v>
      </c>
      <c r="AS198" s="28">
        <v>0.0</v>
      </c>
      <c r="AT198" s="28">
        <v>0.0</v>
      </c>
      <c r="AU198" s="28">
        <v>586880.0000000001</v>
      </c>
      <c r="AV198" s="28">
        <v>0.0</v>
      </c>
      <c r="AW198" s="28">
        <v>0.0</v>
      </c>
      <c r="AX198" s="28">
        <v>779300.3239202658</v>
      </c>
      <c r="AY198" s="28">
        <v>0.0</v>
      </c>
      <c r="AZ198" s="5"/>
      <c r="BA198" s="5" t="s">
        <v>125</v>
      </c>
      <c r="BB198" s="5" t="s">
        <v>127</v>
      </c>
      <c r="BC198" s="5" t="s">
        <v>237</v>
      </c>
      <c r="BD198" s="5" t="s">
        <v>355</v>
      </c>
      <c r="BE198" s="5" t="s">
        <v>89</v>
      </c>
      <c r="BF198" s="5" t="s">
        <v>367</v>
      </c>
      <c r="BG198" s="5" t="s">
        <v>131</v>
      </c>
    </row>
    <row r="199" ht="16.5" hidden="1" customHeight="1">
      <c r="A199" s="5" t="s">
        <v>100</v>
      </c>
      <c r="B199" s="5" t="s">
        <v>137</v>
      </c>
      <c r="C199" s="5" t="b">
        <v>0</v>
      </c>
      <c r="D199" s="5" t="s">
        <v>715</v>
      </c>
      <c r="E199" s="5" t="s">
        <v>716</v>
      </c>
      <c r="F199" s="5"/>
      <c r="G199" s="5" t="s">
        <v>65</v>
      </c>
      <c r="H199" s="5" t="s">
        <v>74</v>
      </c>
      <c r="I199" s="5" t="s">
        <v>106</v>
      </c>
      <c r="J199" s="25" t="s">
        <v>1500</v>
      </c>
      <c r="K199" s="25"/>
      <c r="L199" s="25"/>
      <c r="M199" s="5" t="s">
        <v>66</v>
      </c>
      <c r="N199" s="5" t="s">
        <v>355</v>
      </c>
      <c r="O199" s="5" t="s">
        <v>69</v>
      </c>
      <c r="P199" s="5" t="s">
        <v>70</v>
      </c>
      <c r="Q199" s="5" t="s">
        <v>282</v>
      </c>
      <c r="R199" s="5" t="s">
        <v>110</v>
      </c>
      <c r="S199" s="5"/>
      <c r="T199" s="5"/>
      <c r="U199" s="5"/>
      <c r="V199" s="5">
        <v>2500.0</v>
      </c>
      <c r="W199" s="26">
        <v>2.1</v>
      </c>
      <c r="X199" s="5">
        <v>1190.0</v>
      </c>
      <c r="Y199" s="27">
        <v>0.0</v>
      </c>
      <c r="Z199" s="28">
        <v>1190.0</v>
      </c>
      <c r="AA199" s="27">
        <v>1.0</v>
      </c>
      <c r="AB199" s="5" t="s">
        <v>117</v>
      </c>
      <c r="AC199" s="27"/>
      <c r="AD199" s="5"/>
      <c r="AE199" s="5" t="s">
        <v>198</v>
      </c>
      <c r="AF199" s="5" t="s">
        <v>81</v>
      </c>
      <c r="AG199" s="5"/>
      <c r="AH199" s="5">
        <v>4.0</v>
      </c>
      <c r="AI199" s="5" t="s">
        <v>0</v>
      </c>
      <c r="AJ199" s="5" t="s">
        <v>0</v>
      </c>
      <c r="AK199" s="30"/>
      <c r="AL199" s="28">
        <v>370.0</v>
      </c>
      <c r="AM199" s="28">
        <v>329.0</v>
      </c>
      <c r="AN199" s="28">
        <v>0.0</v>
      </c>
      <c r="AO199" s="28">
        <v>2880.0</v>
      </c>
      <c r="AP199" s="28">
        <v>0.0</v>
      </c>
      <c r="AQ199" s="28">
        <v>440477.6</v>
      </c>
      <c r="AR199" s="28">
        <v>3427200.0</v>
      </c>
      <c r="AS199" s="28">
        <v>0.0</v>
      </c>
      <c r="AT199" s="28">
        <v>3427200.0</v>
      </c>
      <c r="AU199" s="28">
        <v>0.0</v>
      </c>
      <c r="AV199" s="28">
        <v>353199.8048172757</v>
      </c>
      <c r="AW199" s="28">
        <v>365405.47251625004</v>
      </c>
      <c r="AX199" s="28">
        <v>0.0</v>
      </c>
      <c r="AY199" s="28">
        <v>2536339.976834</v>
      </c>
      <c r="AZ199" s="5" t="s">
        <v>124</v>
      </c>
      <c r="BA199" s="5" t="s">
        <v>125</v>
      </c>
      <c r="BB199" s="5" t="s">
        <v>127</v>
      </c>
      <c r="BC199" s="5" t="s">
        <v>237</v>
      </c>
      <c r="BD199" s="5" t="s">
        <v>355</v>
      </c>
      <c r="BE199" s="5" t="s">
        <v>161</v>
      </c>
      <c r="BF199" s="5" t="s">
        <v>367</v>
      </c>
      <c r="BG199" s="5" t="s">
        <v>131</v>
      </c>
      <c r="BH199" s="5" t="s">
        <v>910</v>
      </c>
    </row>
    <row r="200" ht="16.5" hidden="1" customHeight="1">
      <c r="A200" s="5" t="s">
        <v>100</v>
      </c>
      <c r="B200" s="5" t="s">
        <v>137</v>
      </c>
      <c r="C200" s="5" t="b">
        <v>0</v>
      </c>
      <c r="D200" s="5" t="s">
        <v>724</v>
      </c>
      <c r="E200" s="5" t="s">
        <v>725</v>
      </c>
      <c r="F200" s="5"/>
      <c r="G200" s="5" t="s">
        <v>65</v>
      </c>
      <c r="H200" s="5" t="s">
        <v>74</v>
      </c>
      <c r="I200" s="5" t="s">
        <v>106</v>
      </c>
      <c r="J200" s="25" t="s">
        <v>1500</v>
      </c>
      <c r="K200" s="25"/>
      <c r="L200" s="25"/>
      <c r="M200" s="5" t="s">
        <v>66</v>
      </c>
      <c r="N200" s="5" t="s">
        <v>355</v>
      </c>
      <c r="O200" s="5" t="s">
        <v>69</v>
      </c>
      <c r="P200" s="5" t="s">
        <v>107</v>
      </c>
      <c r="Q200" s="5" t="s">
        <v>282</v>
      </c>
      <c r="R200" s="5" t="s">
        <v>110</v>
      </c>
      <c r="S200" s="5"/>
      <c r="T200" s="5"/>
      <c r="U200" s="5"/>
      <c r="V200" s="5">
        <v>2500.0</v>
      </c>
      <c r="W200" s="26">
        <v>2.1</v>
      </c>
      <c r="X200" s="5">
        <v>1190.0</v>
      </c>
      <c r="Y200" s="27">
        <v>0.0</v>
      </c>
      <c r="Z200" s="28">
        <v>1190.0</v>
      </c>
      <c r="AA200" s="27">
        <v>1.0</v>
      </c>
      <c r="AB200" s="5" t="s">
        <v>117</v>
      </c>
      <c r="AC200" s="27"/>
      <c r="AD200" s="5"/>
      <c r="AE200" s="5" t="s">
        <v>198</v>
      </c>
      <c r="AF200" s="5" t="s">
        <v>81</v>
      </c>
      <c r="AG200" s="5"/>
      <c r="AH200" s="5">
        <v>4.0</v>
      </c>
      <c r="AI200" s="5" t="s">
        <v>0</v>
      </c>
      <c r="AJ200" s="5" t="s">
        <v>0</v>
      </c>
      <c r="AK200" s="30"/>
      <c r="AL200" s="28">
        <v>215.0</v>
      </c>
      <c r="AM200" s="28">
        <v>73.0</v>
      </c>
      <c r="AN200" s="28">
        <v>0.0</v>
      </c>
      <c r="AO200" s="28">
        <v>2102.0</v>
      </c>
      <c r="AP200" s="28">
        <v>0.0</v>
      </c>
      <c r="AQ200" s="28">
        <v>255953.2</v>
      </c>
      <c r="AR200" s="28">
        <v>2501380.0</v>
      </c>
      <c r="AS200" s="28">
        <v>0.0</v>
      </c>
      <c r="AT200" s="28">
        <v>2501380.0</v>
      </c>
      <c r="AU200" s="28">
        <v>0.0</v>
      </c>
      <c r="AV200" s="28">
        <v>201604.80481727573</v>
      </c>
      <c r="AW200" s="28">
        <v>77085.665385</v>
      </c>
      <c r="AX200" s="28">
        <v>0.0</v>
      </c>
      <c r="AY200" s="28">
        <v>2077712.279433</v>
      </c>
      <c r="AZ200" s="5" t="s">
        <v>124</v>
      </c>
      <c r="BA200" s="5" t="s">
        <v>125</v>
      </c>
      <c r="BB200" s="5" t="s">
        <v>127</v>
      </c>
      <c r="BC200" s="5" t="s">
        <v>237</v>
      </c>
      <c r="BD200" s="5" t="s">
        <v>355</v>
      </c>
      <c r="BE200" s="5" t="s">
        <v>161</v>
      </c>
      <c r="BF200" s="5" t="s">
        <v>367</v>
      </c>
      <c r="BG200" s="5" t="s">
        <v>131</v>
      </c>
      <c r="BH200" s="5" t="s">
        <v>910</v>
      </c>
    </row>
    <row r="201" ht="16.5" hidden="1" customHeight="1">
      <c r="A201" s="5" t="s">
        <v>100</v>
      </c>
      <c r="B201" s="5" t="s">
        <v>215</v>
      </c>
      <c r="C201" s="5" t="b">
        <v>0</v>
      </c>
      <c r="D201" s="5" t="s">
        <v>1502</v>
      </c>
      <c r="E201" s="5" t="s">
        <v>1503</v>
      </c>
      <c r="F201" s="5"/>
      <c r="G201" s="5" t="s">
        <v>65</v>
      </c>
      <c r="H201" s="5" t="s">
        <v>76</v>
      </c>
      <c r="I201" s="5" t="s">
        <v>218</v>
      </c>
      <c r="J201" s="25" t="s">
        <v>219</v>
      </c>
      <c r="K201" s="25"/>
      <c r="L201" s="25"/>
      <c r="M201" s="5" t="s">
        <v>66</v>
      </c>
      <c r="N201" s="5" t="s">
        <v>113</v>
      </c>
      <c r="O201" s="5" t="s">
        <v>69</v>
      </c>
      <c r="P201" s="5" t="s">
        <v>70</v>
      </c>
      <c r="Q201" s="5" t="s">
        <v>180</v>
      </c>
      <c r="R201" s="5" t="s">
        <v>181</v>
      </c>
      <c r="S201" s="5"/>
      <c r="T201" s="5"/>
      <c r="U201" s="5"/>
      <c r="V201" s="5">
        <v>1800.0</v>
      </c>
      <c r="W201" s="26">
        <v>2.1</v>
      </c>
      <c r="X201" s="5">
        <v>857.0</v>
      </c>
      <c r="Y201" s="27">
        <v>0.0</v>
      </c>
      <c r="Z201" s="28">
        <v>857.0</v>
      </c>
      <c r="AA201" s="27">
        <v>1.0</v>
      </c>
      <c r="AB201" s="5" t="s">
        <v>78</v>
      </c>
      <c r="AC201" s="27"/>
      <c r="AD201" s="5"/>
      <c r="AE201" s="5" t="s">
        <v>198</v>
      </c>
      <c r="AF201" s="5" t="s">
        <v>81</v>
      </c>
      <c r="AG201" s="5"/>
      <c r="AH201" s="5">
        <v>1.0</v>
      </c>
      <c r="AI201" s="5" t="s">
        <v>0</v>
      </c>
      <c r="AJ201" s="5" t="s">
        <v>0</v>
      </c>
      <c r="AK201" s="30"/>
      <c r="AL201" s="28">
        <v>0.0</v>
      </c>
      <c r="AM201" s="28">
        <v>0.0</v>
      </c>
      <c r="AN201" s="28">
        <v>0.0</v>
      </c>
      <c r="AO201" s="28">
        <v>0.0</v>
      </c>
      <c r="AP201" s="28">
        <v>0.0</v>
      </c>
      <c r="AQ201" s="28">
        <v>0.0</v>
      </c>
      <c r="AR201" s="28">
        <v>0.0</v>
      </c>
      <c r="AS201" s="28">
        <v>0.0</v>
      </c>
      <c r="AT201" s="28">
        <v>0.0</v>
      </c>
      <c r="AU201" s="28">
        <v>0.0</v>
      </c>
      <c r="AV201" s="28">
        <v>0.0</v>
      </c>
      <c r="AW201" s="28">
        <v>0.0</v>
      </c>
      <c r="AX201" s="28">
        <v>0.0</v>
      </c>
      <c r="AY201" s="28">
        <v>0.0</v>
      </c>
      <c r="AZ201" s="5" t="s">
        <v>124</v>
      </c>
      <c r="BA201" s="5" t="s">
        <v>125</v>
      </c>
      <c r="BB201" s="5" t="s">
        <v>127</v>
      </c>
      <c r="BD201" s="5" t="s">
        <v>355</v>
      </c>
      <c r="BE201" s="5" t="s">
        <v>128</v>
      </c>
      <c r="BF201" s="5" t="s">
        <v>367</v>
      </c>
      <c r="BG201" s="5" t="s">
        <v>131</v>
      </c>
    </row>
    <row r="202" ht="16.5" hidden="1" customHeight="1">
      <c r="A202" s="5" t="s">
        <v>100</v>
      </c>
      <c r="B202" s="5" t="s">
        <v>215</v>
      </c>
      <c r="C202" s="5" t="b">
        <v>0</v>
      </c>
      <c r="D202" s="5" t="s">
        <v>1504</v>
      </c>
      <c r="E202" s="5" t="s">
        <v>1505</v>
      </c>
      <c r="F202" s="5"/>
      <c r="G202" s="5" t="s">
        <v>65</v>
      </c>
      <c r="H202" s="5" t="s">
        <v>76</v>
      </c>
      <c r="I202" s="5" t="s">
        <v>218</v>
      </c>
      <c r="J202" s="25" t="s">
        <v>219</v>
      </c>
      <c r="K202" s="25"/>
      <c r="L202" s="25"/>
      <c r="M202" s="5" t="s">
        <v>66</v>
      </c>
      <c r="N202" s="5" t="s">
        <v>113</v>
      </c>
      <c r="O202" s="5" t="s">
        <v>69</v>
      </c>
      <c r="P202" s="5" t="s">
        <v>107</v>
      </c>
      <c r="Q202" s="5" t="s">
        <v>180</v>
      </c>
      <c r="R202" s="5" t="s">
        <v>181</v>
      </c>
      <c r="S202" s="5"/>
      <c r="T202" s="5"/>
      <c r="U202" s="5"/>
      <c r="V202" s="5">
        <v>1800.0</v>
      </c>
      <c r="W202" s="26">
        <v>2.1</v>
      </c>
      <c r="X202" s="5">
        <v>857.0</v>
      </c>
      <c r="Y202" s="27">
        <v>0.0</v>
      </c>
      <c r="Z202" s="28">
        <v>857.0</v>
      </c>
      <c r="AA202" s="27">
        <v>1.0</v>
      </c>
      <c r="AB202" s="5" t="s">
        <v>78</v>
      </c>
      <c r="AC202" s="27"/>
      <c r="AD202" s="5"/>
      <c r="AE202" s="5" t="s">
        <v>198</v>
      </c>
      <c r="AF202" s="5" t="s">
        <v>81</v>
      </c>
      <c r="AG202" s="5"/>
      <c r="AH202" s="5">
        <v>1.0</v>
      </c>
      <c r="AI202" s="5" t="s">
        <v>0</v>
      </c>
      <c r="AJ202" s="5" t="s">
        <v>0</v>
      </c>
      <c r="AK202" s="30"/>
      <c r="AL202" s="28">
        <v>0.0</v>
      </c>
      <c r="AM202" s="28">
        <v>0.0</v>
      </c>
      <c r="AN202" s="28">
        <v>0.0</v>
      </c>
      <c r="AO202" s="28">
        <v>0.0</v>
      </c>
      <c r="AP202" s="28">
        <v>0.0</v>
      </c>
      <c r="AQ202" s="28">
        <v>0.0</v>
      </c>
      <c r="AR202" s="28">
        <v>0.0</v>
      </c>
      <c r="AS202" s="28">
        <v>0.0</v>
      </c>
      <c r="AT202" s="28">
        <v>0.0</v>
      </c>
      <c r="AU202" s="28">
        <v>0.0</v>
      </c>
      <c r="AV202" s="28">
        <v>0.0</v>
      </c>
      <c r="AW202" s="28">
        <v>0.0</v>
      </c>
      <c r="AX202" s="28">
        <v>0.0</v>
      </c>
      <c r="AY202" s="28">
        <v>0.0</v>
      </c>
      <c r="AZ202" s="5" t="s">
        <v>124</v>
      </c>
      <c r="BA202" s="5" t="s">
        <v>125</v>
      </c>
      <c r="BB202" s="5" t="s">
        <v>127</v>
      </c>
      <c r="BD202" s="5" t="s">
        <v>355</v>
      </c>
      <c r="BE202" s="5" t="s">
        <v>128</v>
      </c>
      <c r="BF202" s="5" t="s">
        <v>367</v>
      </c>
      <c r="BG202" s="5" t="s">
        <v>131</v>
      </c>
    </row>
    <row r="203" ht="16.5" hidden="1" customHeight="1">
      <c r="A203" s="5" t="s">
        <v>100</v>
      </c>
      <c r="B203" s="5" t="s">
        <v>215</v>
      </c>
      <c r="C203" s="5" t="b">
        <v>0</v>
      </c>
      <c r="D203" s="5" t="s">
        <v>1507</v>
      </c>
      <c r="E203" s="5" t="s">
        <v>1508</v>
      </c>
      <c r="F203" s="5"/>
      <c r="G203" s="5" t="s">
        <v>65</v>
      </c>
      <c r="H203" s="5" t="s">
        <v>76</v>
      </c>
      <c r="I203" s="5" t="s">
        <v>218</v>
      </c>
      <c r="J203" s="25" t="s">
        <v>219</v>
      </c>
      <c r="K203" s="25"/>
      <c r="L203" s="25"/>
      <c r="M203" s="5" t="s">
        <v>220</v>
      </c>
      <c r="N203" s="5" t="s">
        <v>248</v>
      </c>
      <c r="O203" s="5" t="s">
        <v>69</v>
      </c>
      <c r="P203" s="5" t="s">
        <v>249</v>
      </c>
      <c r="Q203" s="5" t="s">
        <v>254</v>
      </c>
      <c r="R203" s="5" t="s">
        <v>23</v>
      </c>
      <c r="S203" s="5"/>
      <c r="T203" s="5"/>
      <c r="U203" s="5"/>
      <c r="V203" s="5">
        <v>500.0</v>
      </c>
      <c r="W203" s="26">
        <v>2.1</v>
      </c>
      <c r="X203" s="5">
        <v>238.0</v>
      </c>
      <c r="Y203" s="27">
        <v>0.0</v>
      </c>
      <c r="Z203" s="28">
        <v>238.0</v>
      </c>
      <c r="AA203" s="27">
        <v>1.0</v>
      </c>
      <c r="AB203" s="5" t="s">
        <v>117</v>
      </c>
      <c r="AC203" s="27"/>
      <c r="AD203" s="5"/>
      <c r="AE203" s="5" t="s">
        <v>81</v>
      </c>
      <c r="AF203" s="5" t="s">
        <v>81</v>
      </c>
      <c r="AG203" s="5"/>
      <c r="AH203" s="5">
        <v>5.0</v>
      </c>
      <c r="AI203" s="5" t="s">
        <v>1510</v>
      </c>
      <c r="AJ203" s="5" t="s">
        <v>0</v>
      </c>
      <c r="AK203" s="52"/>
      <c r="AL203" s="28">
        <v>0.0</v>
      </c>
      <c r="AM203" s="28">
        <v>0.0</v>
      </c>
      <c r="AN203" s="28">
        <v>3823.0</v>
      </c>
      <c r="AO203" s="28">
        <v>3406.0</v>
      </c>
      <c r="AP203" s="28">
        <v>0.0</v>
      </c>
      <c r="AQ203" s="28">
        <v>0.0</v>
      </c>
      <c r="AR203" s="28">
        <v>810628.0</v>
      </c>
      <c r="AS203" s="28">
        <v>0.0</v>
      </c>
      <c r="AT203" s="28">
        <v>810628.0</v>
      </c>
      <c r="AU203" s="28">
        <v>0.0</v>
      </c>
      <c r="AV203" s="28">
        <v>0.0</v>
      </c>
      <c r="AW203" s="28">
        <v>0.0</v>
      </c>
      <c r="AX203" s="28">
        <v>792486.3679401992</v>
      </c>
      <c r="AY203" s="28">
        <v>709851.6815749999</v>
      </c>
      <c r="AZ203" s="5" t="s">
        <v>124</v>
      </c>
      <c r="BA203" s="5" t="s">
        <v>226</v>
      </c>
      <c r="BB203" s="5" t="s">
        <v>227</v>
      </c>
      <c r="BD203" s="5" t="s">
        <v>248</v>
      </c>
      <c r="BE203" s="5" t="s">
        <v>253</v>
      </c>
      <c r="BF203" s="5" t="s">
        <v>254</v>
      </c>
      <c r="BG203" s="5" t="s">
        <v>131</v>
      </c>
    </row>
    <row r="204" ht="16.5" hidden="1" customHeight="1">
      <c r="A204" s="5" t="s">
        <v>100</v>
      </c>
      <c r="B204" s="5" t="s">
        <v>215</v>
      </c>
      <c r="C204" s="5" t="b">
        <v>0</v>
      </c>
      <c r="D204" s="5" t="s">
        <v>1511</v>
      </c>
      <c r="E204" s="5" t="s">
        <v>1512</v>
      </c>
      <c r="F204" s="5"/>
      <c r="G204" s="5" t="s">
        <v>65</v>
      </c>
      <c r="H204" s="5" t="s">
        <v>76</v>
      </c>
      <c r="I204" s="5" t="s">
        <v>218</v>
      </c>
      <c r="J204" s="25" t="s">
        <v>219</v>
      </c>
      <c r="K204" s="25"/>
      <c r="L204" s="25"/>
      <c r="M204" s="5" t="s">
        <v>220</v>
      </c>
      <c r="N204" s="5" t="s">
        <v>355</v>
      </c>
      <c r="O204" s="5" t="s">
        <v>69</v>
      </c>
      <c r="P204" s="5" t="s">
        <v>70</v>
      </c>
      <c r="Q204" s="5" t="s">
        <v>282</v>
      </c>
      <c r="R204" s="5" t="s">
        <v>110</v>
      </c>
      <c r="S204" s="5"/>
      <c r="T204" s="5"/>
      <c r="U204" s="5"/>
      <c r="V204" s="5">
        <v>6500.0</v>
      </c>
      <c r="W204" s="26">
        <v>2.1</v>
      </c>
      <c r="X204" s="5">
        <v>3095.0</v>
      </c>
      <c r="Y204" s="27">
        <v>0.0</v>
      </c>
      <c r="Z204" s="28">
        <v>3095.0</v>
      </c>
      <c r="AA204" s="27">
        <v>1.0</v>
      </c>
      <c r="AB204" s="5" t="s">
        <v>117</v>
      </c>
      <c r="AC204" s="27"/>
      <c r="AD204" s="26"/>
      <c r="AE204" s="5" t="s">
        <v>359</v>
      </c>
      <c r="AF204" s="5" t="s">
        <v>511</v>
      </c>
      <c r="AG204" s="5"/>
      <c r="AH204" s="5">
        <v>2.0</v>
      </c>
      <c r="AI204" s="5" t="s">
        <v>1514</v>
      </c>
      <c r="AJ204" s="5" t="s">
        <v>0</v>
      </c>
      <c r="AK204" s="30"/>
      <c r="AL204" s="28">
        <v>0.0</v>
      </c>
      <c r="AM204" s="28">
        <v>0.0</v>
      </c>
      <c r="AN204" s="28">
        <v>601.0</v>
      </c>
      <c r="AO204" s="28">
        <v>1324.0</v>
      </c>
      <c r="AP204" s="28">
        <v>0.0</v>
      </c>
      <c r="AQ204" s="28">
        <v>0.0</v>
      </c>
      <c r="AR204" s="28">
        <v>4097780.0</v>
      </c>
      <c r="AS204" s="28">
        <v>0.0</v>
      </c>
      <c r="AT204" s="28">
        <v>4097780.0</v>
      </c>
      <c r="AU204" s="28">
        <v>0.0</v>
      </c>
      <c r="AV204" s="28">
        <v>0.0</v>
      </c>
      <c r="AW204" s="28">
        <v>0.0</v>
      </c>
      <c r="AX204" s="28">
        <v>1683825.207641196</v>
      </c>
      <c r="AY204" s="28">
        <v>2718665.9260650002</v>
      </c>
      <c r="AZ204" s="5" t="s">
        <v>124</v>
      </c>
      <c r="BA204" s="5" t="s">
        <v>226</v>
      </c>
      <c r="BB204" s="5" t="s">
        <v>729</v>
      </c>
      <c r="BC204" s="32" t="s">
        <v>1515</v>
      </c>
      <c r="BD204" s="5" t="s">
        <v>355</v>
      </c>
      <c r="BE204" s="5" t="s">
        <v>161</v>
      </c>
      <c r="BF204" s="5" t="s">
        <v>448</v>
      </c>
      <c r="BG204" s="5" t="s">
        <v>131</v>
      </c>
    </row>
    <row r="205" ht="16.5" hidden="1" customHeight="1">
      <c r="A205" s="5" t="s">
        <v>100</v>
      </c>
      <c r="B205" s="5" t="s">
        <v>215</v>
      </c>
      <c r="C205" s="5" t="b">
        <v>0</v>
      </c>
      <c r="D205" s="5" t="s">
        <v>1516</v>
      </c>
      <c r="E205" s="5" t="s">
        <v>1517</v>
      </c>
      <c r="F205" s="5"/>
      <c r="G205" s="5" t="s">
        <v>65</v>
      </c>
      <c r="H205" s="5" t="s">
        <v>76</v>
      </c>
      <c r="I205" s="5" t="s">
        <v>218</v>
      </c>
      <c r="J205" s="25" t="s">
        <v>219</v>
      </c>
      <c r="K205" s="25"/>
      <c r="L205" s="25"/>
      <c r="M205" s="5" t="s">
        <v>220</v>
      </c>
      <c r="N205" s="5" t="s">
        <v>355</v>
      </c>
      <c r="O205" s="5" t="s">
        <v>69</v>
      </c>
      <c r="P205" s="5" t="s">
        <v>107</v>
      </c>
      <c r="Q205" s="5" t="s">
        <v>282</v>
      </c>
      <c r="R205" s="5" t="s">
        <v>110</v>
      </c>
      <c r="S205" s="5"/>
      <c r="T205" s="5"/>
      <c r="U205" s="5"/>
      <c r="V205" s="5">
        <v>6500.0</v>
      </c>
      <c r="W205" s="26">
        <v>2.1</v>
      </c>
      <c r="X205" s="5">
        <v>3095.0</v>
      </c>
      <c r="Y205" s="27">
        <v>0.0</v>
      </c>
      <c r="Z205" s="28">
        <v>3095.0</v>
      </c>
      <c r="AA205" s="27">
        <v>1.0</v>
      </c>
      <c r="AB205" s="5" t="s">
        <v>117</v>
      </c>
      <c r="AC205" s="27"/>
      <c r="AD205" s="26"/>
      <c r="AE205" s="5" t="s">
        <v>359</v>
      </c>
      <c r="AF205" s="5" t="s">
        <v>511</v>
      </c>
      <c r="AG205" s="5"/>
      <c r="AH205" s="5">
        <v>2.0</v>
      </c>
      <c r="AI205" s="5" t="s">
        <v>1518</v>
      </c>
      <c r="AJ205" s="5" t="s">
        <v>0</v>
      </c>
      <c r="AK205" s="30"/>
      <c r="AL205" s="28">
        <v>0.0</v>
      </c>
      <c r="AM205" s="28">
        <v>0.0</v>
      </c>
      <c r="AN205" s="28">
        <v>532.0</v>
      </c>
      <c r="AO205" s="28">
        <v>911.0</v>
      </c>
      <c r="AP205" s="28">
        <v>0.0</v>
      </c>
      <c r="AQ205" s="28">
        <v>0.0</v>
      </c>
      <c r="AR205" s="28">
        <v>2819545.0</v>
      </c>
      <c r="AS205" s="28">
        <v>0.0</v>
      </c>
      <c r="AT205" s="28">
        <v>2819545.0</v>
      </c>
      <c r="AU205" s="28">
        <v>0.0</v>
      </c>
      <c r="AV205" s="28">
        <v>0.0</v>
      </c>
      <c r="AW205" s="28">
        <v>0.0</v>
      </c>
      <c r="AX205" s="28">
        <v>1527093.4172203764</v>
      </c>
      <c r="AY205" s="28">
        <v>1966613.6106000002</v>
      </c>
      <c r="AZ205" s="5" t="s">
        <v>124</v>
      </c>
      <c r="BA205" s="5" t="s">
        <v>226</v>
      </c>
      <c r="BB205" s="5" t="s">
        <v>729</v>
      </c>
      <c r="BC205" s="32" t="s">
        <v>1515</v>
      </c>
      <c r="BD205" s="5" t="s">
        <v>355</v>
      </c>
      <c r="BE205" s="5" t="s">
        <v>161</v>
      </c>
      <c r="BF205" s="5" t="s">
        <v>448</v>
      </c>
      <c r="BG205" s="5" t="s">
        <v>131</v>
      </c>
    </row>
    <row r="206" ht="16.5" hidden="1" customHeight="1">
      <c r="A206" s="5" t="s">
        <v>100</v>
      </c>
      <c r="B206" s="5" t="s">
        <v>215</v>
      </c>
      <c r="C206" s="5" t="b">
        <v>0</v>
      </c>
      <c r="D206" s="5" t="s">
        <v>1520</v>
      </c>
      <c r="E206" s="5" t="s">
        <v>1521</v>
      </c>
      <c r="F206" s="5"/>
      <c r="G206" s="5" t="s">
        <v>65</v>
      </c>
      <c r="H206" s="5" t="s">
        <v>76</v>
      </c>
      <c r="I206" s="5" t="s">
        <v>218</v>
      </c>
      <c r="J206" s="25" t="s">
        <v>219</v>
      </c>
      <c r="K206" s="25"/>
      <c r="L206" s="25"/>
      <c r="M206" s="5" t="s">
        <v>220</v>
      </c>
      <c r="N206" s="5" t="s">
        <v>68</v>
      </c>
      <c r="O206" s="5" t="s">
        <v>69</v>
      </c>
      <c r="P206" s="5" t="s">
        <v>70</v>
      </c>
      <c r="Q206" s="5" t="s">
        <v>89</v>
      </c>
      <c r="R206" s="5" t="s">
        <v>110</v>
      </c>
      <c r="S206" s="5"/>
      <c r="T206" s="5"/>
      <c r="U206" s="5"/>
      <c r="V206" s="5">
        <v>7000.0</v>
      </c>
      <c r="W206" s="26">
        <v>2.1</v>
      </c>
      <c r="X206" s="5">
        <v>3333.0</v>
      </c>
      <c r="Y206" s="27">
        <v>0.0</v>
      </c>
      <c r="Z206" s="28">
        <v>3333.0</v>
      </c>
      <c r="AA206" s="27">
        <v>1.0</v>
      </c>
      <c r="AB206" s="5" t="s">
        <v>117</v>
      </c>
      <c r="AC206" s="27"/>
      <c r="AD206" s="5"/>
      <c r="AE206" s="5" t="s">
        <v>80</v>
      </c>
      <c r="AF206" s="5" t="s">
        <v>81</v>
      </c>
      <c r="AG206" s="5"/>
      <c r="AH206" s="5">
        <v>2.0</v>
      </c>
      <c r="AI206" s="5" t="s">
        <v>1522</v>
      </c>
      <c r="AJ206" s="5" t="s">
        <v>0</v>
      </c>
      <c r="AK206" s="30"/>
      <c r="AL206" s="28">
        <v>0.0</v>
      </c>
      <c r="AM206" s="28">
        <v>0.0</v>
      </c>
      <c r="AN206" s="28">
        <v>1208.0</v>
      </c>
      <c r="AO206" s="28">
        <v>1658.0</v>
      </c>
      <c r="AP206" s="28">
        <v>0.0</v>
      </c>
      <c r="AQ206" s="28">
        <v>0.0</v>
      </c>
      <c r="AR206" s="28">
        <v>5526114.0</v>
      </c>
      <c r="AS206" s="28">
        <v>0.0</v>
      </c>
      <c r="AT206" s="28">
        <v>5526114.0</v>
      </c>
      <c r="AU206" s="28">
        <v>0.0</v>
      </c>
      <c r="AV206" s="28">
        <v>0.0</v>
      </c>
      <c r="AW206" s="28">
        <v>0.0</v>
      </c>
      <c r="AX206" s="28">
        <v>3222308.486932447</v>
      </c>
      <c r="AY206" s="28">
        <v>3838965.6960659996</v>
      </c>
      <c r="AZ206" s="5" t="s">
        <v>124</v>
      </c>
      <c r="BA206" s="5" t="s">
        <v>226</v>
      </c>
      <c r="BB206" s="5" t="s">
        <v>729</v>
      </c>
      <c r="BC206" s="5" t="s">
        <v>730</v>
      </c>
      <c r="BD206" s="5" t="s">
        <v>68</v>
      </c>
      <c r="BE206" s="5" t="s">
        <v>89</v>
      </c>
      <c r="BF206" s="5" t="s">
        <v>132</v>
      </c>
      <c r="BG206" s="5" t="s">
        <v>91</v>
      </c>
    </row>
    <row r="207" ht="16.5" hidden="1" customHeight="1">
      <c r="A207" s="5" t="s">
        <v>100</v>
      </c>
      <c r="B207" s="5" t="s">
        <v>215</v>
      </c>
      <c r="C207" s="5" t="b">
        <v>0</v>
      </c>
      <c r="D207" s="5" t="s">
        <v>1524</v>
      </c>
      <c r="E207" s="5" t="s">
        <v>1525</v>
      </c>
      <c r="F207" s="5"/>
      <c r="G207" s="5" t="s">
        <v>65</v>
      </c>
      <c r="H207" s="5" t="s">
        <v>76</v>
      </c>
      <c r="I207" s="5" t="s">
        <v>218</v>
      </c>
      <c r="J207" s="25" t="s">
        <v>219</v>
      </c>
      <c r="K207" s="25"/>
      <c r="L207" s="25"/>
      <c r="M207" s="5" t="s">
        <v>220</v>
      </c>
      <c r="N207" s="5" t="s">
        <v>68</v>
      </c>
      <c r="O207" s="5" t="s">
        <v>69</v>
      </c>
      <c r="P207" s="5" t="s">
        <v>107</v>
      </c>
      <c r="Q207" s="5" t="s">
        <v>89</v>
      </c>
      <c r="R207" s="5" t="s">
        <v>110</v>
      </c>
      <c r="S207" s="5"/>
      <c r="T207" s="5"/>
      <c r="U207" s="5"/>
      <c r="V207" s="5">
        <v>7000.0</v>
      </c>
      <c r="W207" s="26">
        <v>2.1</v>
      </c>
      <c r="X207" s="5">
        <v>3333.0</v>
      </c>
      <c r="Y207" s="27">
        <v>0.0</v>
      </c>
      <c r="Z207" s="28">
        <v>3333.0</v>
      </c>
      <c r="AA207" s="27">
        <v>1.0</v>
      </c>
      <c r="AB207" s="5" t="s">
        <v>117</v>
      </c>
      <c r="AC207" s="27"/>
      <c r="AD207" s="5"/>
      <c r="AE207" s="5" t="s">
        <v>80</v>
      </c>
      <c r="AF207" s="5" t="s">
        <v>81</v>
      </c>
      <c r="AG207" s="5"/>
      <c r="AH207" s="5">
        <v>2.0</v>
      </c>
      <c r="AI207" s="5" t="s">
        <v>1522</v>
      </c>
      <c r="AJ207" s="5" t="s">
        <v>0</v>
      </c>
      <c r="AK207" s="30"/>
      <c r="AL207" s="28">
        <v>0.0</v>
      </c>
      <c r="AM207" s="28">
        <v>0.0</v>
      </c>
      <c r="AN207" s="28">
        <v>896.0</v>
      </c>
      <c r="AO207" s="28">
        <v>1152.0</v>
      </c>
      <c r="AP207" s="28">
        <v>0.0</v>
      </c>
      <c r="AQ207" s="28">
        <v>0.0</v>
      </c>
      <c r="AR207" s="28">
        <v>3839616.0</v>
      </c>
      <c r="AS207" s="28">
        <v>0.0</v>
      </c>
      <c r="AT207" s="28">
        <v>3839616.0</v>
      </c>
      <c r="AU207" s="28">
        <v>0.0</v>
      </c>
      <c r="AV207" s="28">
        <v>0.0</v>
      </c>
      <c r="AW207" s="28">
        <v>0.0</v>
      </c>
      <c r="AX207" s="28">
        <v>2475351.0972314505</v>
      </c>
      <c r="AY207" s="28">
        <v>2793118.1899680006</v>
      </c>
      <c r="AZ207" s="5" t="s">
        <v>124</v>
      </c>
      <c r="BA207" s="5" t="s">
        <v>226</v>
      </c>
      <c r="BB207" s="5" t="s">
        <v>729</v>
      </c>
      <c r="BC207" s="5" t="s">
        <v>730</v>
      </c>
      <c r="BD207" s="5" t="s">
        <v>68</v>
      </c>
      <c r="BE207" s="5" t="s">
        <v>89</v>
      </c>
      <c r="BF207" s="5" t="s">
        <v>132</v>
      </c>
      <c r="BG207" s="5" t="s">
        <v>91</v>
      </c>
    </row>
    <row r="208" ht="16.5" hidden="1" customHeight="1">
      <c r="A208" s="5" t="s">
        <v>100</v>
      </c>
      <c r="B208" s="5" t="s">
        <v>215</v>
      </c>
      <c r="C208" s="5" t="b">
        <v>0</v>
      </c>
      <c r="D208" s="5" t="s">
        <v>1526</v>
      </c>
      <c r="E208" s="5" t="s">
        <v>1527</v>
      </c>
      <c r="F208" s="5"/>
      <c r="G208" s="5" t="s">
        <v>65</v>
      </c>
      <c r="H208" s="5" t="s">
        <v>76</v>
      </c>
      <c r="I208" s="5" t="s">
        <v>218</v>
      </c>
      <c r="J208" s="25" t="s">
        <v>219</v>
      </c>
      <c r="K208" s="25"/>
      <c r="L208" s="25"/>
      <c r="M208" s="5" t="s">
        <v>220</v>
      </c>
      <c r="N208" s="5" t="s">
        <v>68</v>
      </c>
      <c r="O208" s="5" t="s">
        <v>69</v>
      </c>
      <c r="P208" s="5" t="s">
        <v>70</v>
      </c>
      <c r="Q208" s="5" t="s">
        <v>180</v>
      </c>
      <c r="R208" s="5" t="s">
        <v>181</v>
      </c>
      <c r="S208" s="5"/>
      <c r="T208" s="5"/>
      <c r="U208" s="5"/>
      <c r="V208" s="5">
        <v>6000.0</v>
      </c>
      <c r="W208" s="26">
        <v>2.1</v>
      </c>
      <c r="X208" s="5">
        <v>2857.0</v>
      </c>
      <c r="Y208" s="27">
        <v>0.0</v>
      </c>
      <c r="Z208" s="28">
        <v>2857.0</v>
      </c>
      <c r="AA208" s="27">
        <v>1.0</v>
      </c>
      <c r="AB208" s="5" t="s">
        <v>117</v>
      </c>
      <c r="AC208" s="27"/>
      <c r="AD208" s="5"/>
      <c r="AE208" s="5" t="s">
        <v>80</v>
      </c>
      <c r="AF208" s="5" t="s">
        <v>81</v>
      </c>
      <c r="AG208" s="5"/>
      <c r="AH208" s="5">
        <v>3.0</v>
      </c>
      <c r="AI208" s="5" t="s">
        <v>1522</v>
      </c>
      <c r="AJ208" s="5" t="s">
        <v>0</v>
      </c>
      <c r="AK208" s="30"/>
      <c r="AL208" s="28">
        <v>0.0</v>
      </c>
      <c r="AM208" s="28">
        <v>0.0</v>
      </c>
      <c r="AN208" s="28">
        <v>977.0</v>
      </c>
      <c r="AO208" s="28">
        <v>1216.0</v>
      </c>
      <c r="AP208" s="28">
        <v>0.0</v>
      </c>
      <c r="AQ208" s="28">
        <v>0.0</v>
      </c>
      <c r="AR208" s="28">
        <v>3474112.0</v>
      </c>
      <c r="AS208" s="28">
        <v>0.0</v>
      </c>
      <c r="AT208" s="28">
        <v>3474112.0</v>
      </c>
      <c r="AU208" s="28">
        <v>0.0</v>
      </c>
      <c r="AV208" s="28">
        <v>0.0</v>
      </c>
      <c r="AW208" s="28">
        <v>0.0</v>
      </c>
      <c r="AX208" s="28">
        <v>2449207.7519379845</v>
      </c>
      <c r="AY208" s="28">
        <v>2694745.600892</v>
      </c>
      <c r="AZ208" s="5" t="s">
        <v>124</v>
      </c>
      <c r="BA208" s="5" t="s">
        <v>226</v>
      </c>
      <c r="BB208" s="5" t="s">
        <v>729</v>
      </c>
      <c r="BC208" s="5" t="s">
        <v>730</v>
      </c>
      <c r="BD208" s="5" t="s">
        <v>68</v>
      </c>
      <c r="BE208" s="5" t="s">
        <v>128</v>
      </c>
      <c r="BF208" s="5" t="s">
        <v>132</v>
      </c>
      <c r="BG208" s="5" t="s">
        <v>91</v>
      </c>
    </row>
    <row r="209" ht="16.5" hidden="1" customHeight="1">
      <c r="A209" s="5" t="s">
        <v>100</v>
      </c>
      <c r="B209" s="5" t="s">
        <v>215</v>
      </c>
      <c r="C209" s="5" t="b">
        <v>0</v>
      </c>
      <c r="D209" s="5" t="s">
        <v>1529</v>
      </c>
      <c r="E209" s="5" t="s">
        <v>1530</v>
      </c>
      <c r="F209" s="5"/>
      <c r="G209" s="5" t="s">
        <v>65</v>
      </c>
      <c r="H209" s="5" t="s">
        <v>76</v>
      </c>
      <c r="I209" s="5" t="s">
        <v>218</v>
      </c>
      <c r="J209" s="25" t="s">
        <v>219</v>
      </c>
      <c r="K209" s="25"/>
      <c r="L209" s="25"/>
      <c r="M209" s="5" t="s">
        <v>220</v>
      </c>
      <c r="N209" s="5" t="s">
        <v>68</v>
      </c>
      <c r="O209" s="5" t="s">
        <v>69</v>
      </c>
      <c r="P209" s="5" t="s">
        <v>107</v>
      </c>
      <c r="Q209" s="5" t="s">
        <v>180</v>
      </c>
      <c r="R209" s="5" t="s">
        <v>181</v>
      </c>
      <c r="S209" s="5"/>
      <c r="T209" s="5"/>
      <c r="U209" s="5"/>
      <c r="V209" s="5">
        <v>6000.0</v>
      </c>
      <c r="W209" s="26">
        <v>2.1</v>
      </c>
      <c r="X209" s="5">
        <v>2857.0</v>
      </c>
      <c r="Y209" s="27">
        <v>0.0</v>
      </c>
      <c r="Z209" s="28">
        <v>2857.0</v>
      </c>
      <c r="AA209" s="27">
        <v>1.0</v>
      </c>
      <c r="AB209" s="5" t="s">
        <v>117</v>
      </c>
      <c r="AC209" s="27"/>
      <c r="AD209" s="5"/>
      <c r="AE209" s="5" t="s">
        <v>80</v>
      </c>
      <c r="AF209" s="5" t="s">
        <v>81</v>
      </c>
      <c r="AG209" s="5"/>
      <c r="AH209" s="5">
        <v>3.0</v>
      </c>
      <c r="AI209" s="5" t="s">
        <v>1522</v>
      </c>
      <c r="AJ209" s="5" t="s">
        <v>0</v>
      </c>
      <c r="AK209" s="30"/>
      <c r="AL209" s="28">
        <v>0.0</v>
      </c>
      <c r="AM209" s="28">
        <v>0.0</v>
      </c>
      <c r="AN209" s="28">
        <v>800.0</v>
      </c>
      <c r="AO209" s="28">
        <v>1032.0</v>
      </c>
      <c r="AP209" s="28">
        <v>0.0</v>
      </c>
      <c r="AQ209" s="28">
        <v>0.0</v>
      </c>
      <c r="AR209" s="28">
        <v>2948424.0</v>
      </c>
      <c r="AS209" s="28">
        <v>0.0</v>
      </c>
      <c r="AT209" s="28">
        <v>2948424.0</v>
      </c>
      <c r="AU209" s="28">
        <v>0.0</v>
      </c>
      <c r="AV209" s="28">
        <v>0.0</v>
      </c>
      <c r="AW209" s="28">
        <v>0.0</v>
      </c>
      <c r="AX209" s="28">
        <v>2037271.0653377632</v>
      </c>
      <c r="AY209" s="28">
        <v>2259314.888417</v>
      </c>
      <c r="AZ209" s="5" t="s">
        <v>124</v>
      </c>
      <c r="BA209" s="5" t="s">
        <v>226</v>
      </c>
      <c r="BB209" s="5" t="s">
        <v>729</v>
      </c>
      <c r="BC209" s="5" t="s">
        <v>730</v>
      </c>
      <c r="BD209" s="5" t="s">
        <v>68</v>
      </c>
      <c r="BE209" s="5" t="s">
        <v>128</v>
      </c>
      <c r="BF209" s="5" t="s">
        <v>132</v>
      </c>
      <c r="BG209" s="5" t="s">
        <v>91</v>
      </c>
    </row>
    <row r="210" ht="16.5" hidden="1" customHeight="1">
      <c r="A210" s="5" t="s">
        <v>100</v>
      </c>
      <c r="B210" s="5" t="s">
        <v>137</v>
      </c>
      <c r="C210" s="5" t="b">
        <v>1</v>
      </c>
      <c r="D210" s="5" t="s">
        <v>726</v>
      </c>
      <c r="E210" s="5" t="s">
        <v>727</v>
      </c>
      <c r="F210" s="5"/>
      <c r="G210" s="5" t="s">
        <v>65</v>
      </c>
      <c r="H210" s="5" t="s">
        <v>76</v>
      </c>
      <c r="I210" s="5" t="s">
        <v>82</v>
      </c>
      <c r="J210" s="25"/>
      <c r="K210" s="25"/>
      <c r="L210" s="25"/>
      <c r="M210" s="5" t="s">
        <v>220</v>
      </c>
      <c r="N210" s="5" t="s">
        <v>270</v>
      </c>
      <c r="O210" s="5" t="s">
        <v>69</v>
      </c>
      <c r="P210" s="5" t="s">
        <v>70</v>
      </c>
      <c r="Q210" s="5" t="s">
        <v>526</v>
      </c>
      <c r="R210" s="5" t="s">
        <v>110</v>
      </c>
      <c r="S210" s="5"/>
      <c r="T210" s="5"/>
      <c r="U210" s="5"/>
      <c r="V210" s="5">
        <v>2200.0</v>
      </c>
      <c r="W210" s="26">
        <v>2.1</v>
      </c>
      <c r="X210" s="5">
        <v>1048.0</v>
      </c>
      <c r="Y210" s="27">
        <v>0.2</v>
      </c>
      <c r="Z210" s="28">
        <v>838.4000000000001</v>
      </c>
      <c r="AA210" s="27">
        <v>1.0</v>
      </c>
      <c r="AB210" s="5" t="s">
        <v>117</v>
      </c>
      <c r="AC210" s="27">
        <v>0.6</v>
      </c>
      <c r="AD210" s="5"/>
      <c r="AE210" s="5" t="s">
        <v>81</v>
      </c>
      <c r="AF210" s="5" t="s">
        <v>81</v>
      </c>
      <c r="AG210" s="5">
        <v>2.0</v>
      </c>
      <c r="AH210" s="5">
        <v>2.0</v>
      </c>
      <c r="AI210" s="5" t="s">
        <v>1532</v>
      </c>
      <c r="AJ210" s="5" t="s">
        <v>0</v>
      </c>
      <c r="AK210" s="30">
        <v>300.0</v>
      </c>
      <c r="AL210" s="28">
        <v>345.0</v>
      </c>
      <c r="AM210" s="28">
        <v>0.0</v>
      </c>
      <c r="AN210" s="28">
        <v>1897.0</v>
      </c>
      <c r="AO210" s="28">
        <v>2560.0</v>
      </c>
      <c r="AP210" s="28">
        <v>314400.0</v>
      </c>
      <c r="AQ210" s="28">
        <v>361428.9</v>
      </c>
      <c r="AR210" s="28">
        <v>2682880.0</v>
      </c>
      <c r="AS210" s="28">
        <v>0.0</v>
      </c>
      <c r="AT210" s="28">
        <v>2682880.0</v>
      </c>
      <c r="AU210" s="28">
        <v>251520.00000000003</v>
      </c>
      <c r="AV210" s="28">
        <v>297713.16943521594</v>
      </c>
      <c r="AW210" s="28">
        <v>0.0</v>
      </c>
      <c r="AX210" s="28">
        <v>1486886.9542635658</v>
      </c>
      <c r="AY210" s="28">
        <v>1792068.6458600007</v>
      </c>
      <c r="AZ210" s="5"/>
      <c r="BA210" s="5" t="s">
        <v>226</v>
      </c>
      <c r="BB210" s="5" t="s">
        <v>729</v>
      </c>
      <c r="BC210" s="5" t="s">
        <v>730</v>
      </c>
      <c r="BD210" s="5" t="s">
        <v>276</v>
      </c>
      <c r="BE210" s="5" t="s">
        <v>89</v>
      </c>
      <c r="BF210" s="5" t="s">
        <v>501</v>
      </c>
      <c r="BG210" s="5" t="s">
        <v>131</v>
      </c>
    </row>
    <row r="211" ht="16.5" hidden="1" customHeight="1">
      <c r="A211" s="5" t="s">
        <v>100</v>
      </c>
      <c r="B211" s="5" t="s">
        <v>137</v>
      </c>
      <c r="C211" s="5" t="b">
        <v>1</v>
      </c>
      <c r="D211" s="5" t="s">
        <v>732</v>
      </c>
      <c r="E211" s="5" t="s">
        <v>733</v>
      </c>
      <c r="F211" s="5"/>
      <c r="G211" s="5" t="s">
        <v>65</v>
      </c>
      <c r="H211" s="5" t="s">
        <v>76</v>
      </c>
      <c r="I211" s="5" t="s">
        <v>82</v>
      </c>
      <c r="J211" s="25"/>
      <c r="K211" s="25"/>
      <c r="L211" s="25"/>
      <c r="M211" s="5" t="s">
        <v>220</v>
      </c>
      <c r="N211" s="5" t="s">
        <v>270</v>
      </c>
      <c r="O211" s="5" t="s">
        <v>69</v>
      </c>
      <c r="P211" s="5" t="s">
        <v>107</v>
      </c>
      <c r="Q211" s="5" t="s">
        <v>526</v>
      </c>
      <c r="R211" s="5" t="s">
        <v>110</v>
      </c>
      <c r="S211" s="5"/>
      <c r="T211" s="5"/>
      <c r="U211" s="5"/>
      <c r="V211" s="5">
        <v>2200.0</v>
      </c>
      <c r="W211" s="26">
        <v>2.1</v>
      </c>
      <c r="X211" s="5">
        <v>1048.0</v>
      </c>
      <c r="Y211" s="27">
        <v>0.2</v>
      </c>
      <c r="Z211" s="28">
        <v>838.4000000000001</v>
      </c>
      <c r="AA211" s="27">
        <v>1.0</v>
      </c>
      <c r="AB211" s="5" t="s">
        <v>117</v>
      </c>
      <c r="AC211" s="27">
        <v>0.62</v>
      </c>
      <c r="AD211" s="5"/>
      <c r="AE211" s="5" t="s">
        <v>81</v>
      </c>
      <c r="AF211" s="5" t="s">
        <v>81</v>
      </c>
      <c r="AG211" s="5">
        <v>2.0</v>
      </c>
      <c r="AH211" s="5">
        <v>2.0</v>
      </c>
      <c r="AI211" s="5" t="s">
        <v>1532</v>
      </c>
      <c r="AJ211" s="5" t="s">
        <v>0</v>
      </c>
      <c r="AK211" s="30">
        <v>300.0</v>
      </c>
      <c r="AL211" s="28">
        <v>266.0</v>
      </c>
      <c r="AM211" s="28">
        <v>0.0</v>
      </c>
      <c r="AN211" s="28">
        <v>1388.0</v>
      </c>
      <c r="AO211" s="28">
        <v>1574.0</v>
      </c>
      <c r="AP211" s="28">
        <v>314400.0</v>
      </c>
      <c r="AQ211" s="28">
        <v>278666.92</v>
      </c>
      <c r="AR211" s="28">
        <v>1649552.0</v>
      </c>
      <c r="AS211" s="28">
        <v>0.0</v>
      </c>
      <c r="AT211" s="28">
        <v>1649552.0</v>
      </c>
      <c r="AU211" s="28">
        <v>251520.00000000003</v>
      </c>
      <c r="AV211" s="28">
        <v>227042.69324473978</v>
      </c>
      <c r="AW211" s="28">
        <v>0.0</v>
      </c>
      <c r="AX211" s="28">
        <v>1088549.5016611295</v>
      </c>
      <c r="AY211" s="28">
        <v>1186106.339085</v>
      </c>
      <c r="AZ211" s="5"/>
      <c r="BA211" s="5" t="s">
        <v>226</v>
      </c>
      <c r="BB211" s="5" t="s">
        <v>729</v>
      </c>
      <c r="BC211" s="5" t="s">
        <v>730</v>
      </c>
      <c r="BD211" s="5" t="s">
        <v>276</v>
      </c>
      <c r="BE211" s="5" t="s">
        <v>89</v>
      </c>
      <c r="BF211" s="5" t="s">
        <v>501</v>
      </c>
      <c r="BG211" s="5" t="s">
        <v>131</v>
      </c>
    </row>
    <row r="212" ht="16.5" hidden="1" customHeight="1">
      <c r="A212" s="5" t="s">
        <v>100</v>
      </c>
      <c r="B212" s="5" t="s">
        <v>137</v>
      </c>
      <c r="C212" s="5" t="b">
        <v>1</v>
      </c>
      <c r="D212" s="5" t="s">
        <v>736</v>
      </c>
      <c r="E212" s="5" t="s">
        <v>737</v>
      </c>
      <c r="F212" s="5"/>
      <c r="G212" s="5" t="s">
        <v>65</v>
      </c>
      <c r="H212" s="5" t="s">
        <v>76</v>
      </c>
      <c r="I212" s="5" t="s">
        <v>82</v>
      </c>
      <c r="J212" s="25"/>
      <c r="K212" s="25"/>
      <c r="L212" s="25"/>
      <c r="M212" s="5" t="s">
        <v>66</v>
      </c>
      <c r="N212" s="5" t="s">
        <v>68</v>
      </c>
      <c r="O212" s="5" t="s">
        <v>69</v>
      </c>
      <c r="P212" s="5" t="s">
        <v>70</v>
      </c>
      <c r="Q212" s="5" t="s">
        <v>89</v>
      </c>
      <c r="R212" s="5" t="s">
        <v>110</v>
      </c>
      <c r="S212" s="5"/>
      <c r="T212" s="5"/>
      <c r="U212" s="5"/>
      <c r="V212" s="5">
        <v>1300.0</v>
      </c>
      <c r="W212" s="26">
        <v>2.1</v>
      </c>
      <c r="X212" s="5">
        <v>619.0</v>
      </c>
      <c r="Y212" s="27">
        <v>0.2</v>
      </c>
      <c r="Z212" s="28">
        <v>495.20000000000005</v>
      </c>
      <c r="AA212" s="27">
        <v>1.0</v>
      </c>
      <c r="AB212" s="5" t="s">
        <v>117</v>
      </c>
      <c r="AC212" s="27">
        <v>0.6</v>
      </c>
      <c r="AD212" s="5"/>
      <c r="AE212" s="5" t="s">
        <v>81</v>
      </c>
      <c r="AF212" s="5" t="s">
        <v>81</v>
      </c>
      <c r="AG212" s="5">
        <v>4.0</v>
      </c>
      <c r="AH212" s="5">
        <v>4.0</v>
      </c>
      <c r="AI212" s="5" t="s">
        <v>1535</v>
      </c>
      <c r="AJ212" s="5" t="s">
        <v>0</v>
      </c>
      <c r="AK212" s="30">
        <v>3000.0</v>
      </c>
      <c r="AL212" s="28">
        <v>3956.0</v>
      </c>
      <c r="AM212" s="28">
        <v>0.0</v>
      </c>
      <c r="AN212" s="28">
        <v>664.0</v>
      </c>
      <c r="AO212" s="28">
        <v>0.0</v>
      </c>
      <c r="AP212" s="28">
        <v>1857000.0</v>
      </c>
      <c r="AQ212" s="28">
        <v>2448961.8</v>
      </c>
      <c r="AR212" s="28">
        <v>0.0</v>
      </c>
      <c r="AS212" s="28">
        <v>0.0</v>
      </c>
      <c r="AT212" s="28">
        <v>0.0</v>
      </c>
      <c r="AU212" s="28">
        <v>1485600.0000000002</v>
      </c>
      <c r="AV212" s="28">
        <v>1684682.5066445183</v>
      </c>
      <c r="AW212" s="28">
        <v>0.0</v>
      </c>
      <c r="AX212" s="28">
        <v>337684.71428571426</v>
      </c>
      <c r="AY212" s="28">
        <v>0.0</v>
      </c>
      <c r="AZ212" s="5"/>
      <c r="BA212" s="5" t="s">
        <v>86</v>
      </c>
      <c r="BB212" s="5" t="s">
        <v>87</v>
      </c>
      <c r="BC212" s="32" t="s">
        <v>379</v>
      </c>
      <c r="BD212" s="5" t="s">
        <v>126</v>
      </c>
      <c r="BE212" s="5" t="s">
        <v>161</v>
      </c>
      <c r="BF212" s="5" t="s">
        <v>616</v>
      </c>
      <c r="BG212" s="5" t="s">
        <v>131</v>
      </c>
    </row>
    <row r="213" ht="16.5" hidden="1" customHeight="1">
      <c r="A213" s="5" t="s">
        <v>100</v>
      </c>
      <c r="B213" s="35" t="s">
        <v>137</v>
      </c>
      <c r="C213" s="35" t="b">
        <v>1</v>
      </c>
      <c r="D213" s="35" t="s">
        <v>1453</v>
      </c>
      <c r="E213" s="35" t="s">
        <v>1454</v>
      </c>
      <c r="F213" s="35"/>
      <c r="G213" s="35" t="s">
        <v>65</v>
      </c>
      <c r="H213" s="35" t="s">
        <v>74</v>
      </c>
      <c r="I213" s="35" t="s">
        <v>82</v>
      </c>
      <c r="J213" s="36" t="s">
        <v>150</v>
      </c>
      <c r="K213" s="25"/>
      <c r="L213" s="25"/>
      <c r="M213" s="5" t="s">
        <v>66</v>
      </c>
      <c r="N213" s="5" t="s">
        <v>68</v>
      </c>
      <c r="O213" s="5" t="s">
        <v>96</v>
      </c>
      <c r="P213" s="5" t="s">
        <v>70</v>
      </c>
      <c r="Q213" s="5" t="s">
        <v>89</v>
      </c>
      <c r="R213" s="5" t="s">
        <v>110</v>
      </c>
      <c r="S213" s="5"/>
      <c r="T213" s="5"/>
      <c r="U213" s="5"/>
      <c r="V213" s="5">
        <v>1300.0</v>
      </c>
      <c r="W213" s="26">
        <v>2.1</v>
      </c>
      <c r="X213" s="5">
        <v>619.0</v>
      </c>
      <c r="Y213" s="27">
        <v>0.2</v>
      </c>
      <c r="Z213" s="28">
        <v>495.20000000000005</v>
      </c>
      <c r="AA213" s="27">
        <v>1.0</v>
      </c>
      <c r="AB213" s="5" t="s">
        <v>117</v>
      </c>
      <c r="AC213" s="27"/>
      <c r="AD213" s="5"/>
      <c r="AE213" s="5" t="s">
        <v>81</v>
      </c>
      <c r="AF213" s="5" t="s">
        <v>81</v>
      </c>
      <c r="AG213" s="5"/>
      <c r="AH213" s="5">
        <v>0.0</v>
      </c>
      <c r="AI213" s="5" t="s">
        <v>0</v>
      </c>
      <c r="AJ213" s="5" t="s">
        <v>471</v>
      </c>
      <c r="AK213" s="30">
        <v>0.0</v>
      </c>
      <c r="AL213" s="28">
        <v>0.0</v>
      </c>
      <c r="AM213" s="28">
        <v>0.0</v>
      </c>
      <c r="AN213" s="28">
        <v>0.0</v>
      </c>
      <c r="AO213" s="28">
        <v>0.0</v>
      </c>
      <c r="AP213" s="28">
        <v>0.0</v>
      </c>
      <c r="AQ213" s="28">
        <v>0.0</v>
      </c>
      <c r="AR213" s="28">
        <v>0.0</v>
      </c>
      <c r="AS213" s="28">
        <v>0.0</v>
      </c>
      <c r="AT213" s="28">
        <v>0.0</v>
      </c>
      <c r="AU213" s="28">
        <v>0.0</v>
      </c>
      <c r="AV213" s="28">
        <v>0.0</v>
      </c>
      <c r="AW213" s="28">
        <v>0.0</v>
      </c>
      <c r="AX213" s="28">
        <v>0.0</v>
      </c>
      <c r="AY213" s="28">
        <v>0.0</v>
      </c>
      <c r="AZ213" s="5" t="s">
        <v>124</v>
      </c>
      <c r="BA213" s="5" t="s">
        <v>86</v>
      </c>
      <c r="BB213" s="5" t="s">
        <v>87</v>
      </c>
      <c r="BC213" s="32" t="s">
        <v>379</v>
      </c>
      <c r="BD213" s="5" t="s">
        <v>126</v>
      </c>
      <c r="BE213" s="5" t="s">
        <v>161</v>
      </c>
      <c r="BF213" s="5" t="s">
        <v>616</v>
      </c>
      <c r="BG213" s="5" t="s">
        <v>131</v>
      </c>
    </row>
    <row r="214" ht="16.5" hidden="1" customHeight="1">
      <c r="A214" s="5" t="s">
        <v>100</v>
      </c>
      <c r="B214" s="5" t="s">
        <v>137</v>
      </c>
      <c r="C214" s="5" t="b">
        <v>1</v>
      </c>
      <c r="D214" s="5" t="s">
        <v>739</v>
      </c>
      <c r="E214" s="5" t="s">
        <v>740</v>
      </c>
      <c r="F214" s="5"/>
      <c r="G214" s="5" t="s">
        <v>65</v>
      </c>
      <c r="H214" s="5" t="s">
        <v>76</v>
      </c>
      <c r="I214" s="5" t="s">
        <v>82</v>
      </c>
      <c r="J214" s="25"/>
      <c r="K214" s="25"/>
      <c r="L214" s="25"/>
      <c r="M214" s="5" t="s">
        <v>66</v>
      </c>
      <c r="N214" s="5" t="s">
        <v>68</v>
      </c>
      <c r="O214" s="5" t="s">
        <v>69</v>
      </c>
      <c r="P214" s="5" t="s">
        <v>107</v>
      </c>
      <c r="Q214" s="5" t="s">
        <v>89</v>
      </c>
      <c r="R214" s="5" t="s">
        <v>110</v>
      </c>
      <c r="S214" s="5"/>
      <c r="T214" s="5"/>
      <c r="U214" s="5"/>
      <c r="V214" s="5">
        <v>1300.0</v>
      </c>
      <c r="W214" s="26">
        <v>2.1</v>
      </c>
      <c r="X214" s="5">
        <v>619.0</v>
      </c>
      <c r="Y214" s="27">
        <v>0.2</v>
      </c>
      <c r="Z214" s="28">
        <v>495.20000000000005</v>
      </c>
      <c r="AA214" s="27">
        <v>1.0</v>
      </c>
      <c r="AB214" s="5" t="s">
        <v>117</v>
      </c>
      <c r="AC214" s="27">
        <v>0.6</v>
      </c>
      <c r="AD214" s="5"/>
      <c r="AE214" s="5" t="s">
        <v>81</v>
      </c>
      <c r="AF214" s="5" t="s">
        <v>81</v>
      </c>
      <c r="AG214" s="5">
        <v>4.0</v>
      </c>
      <c r="AH214" s="5">
        <v>4.0</v>
      </c>
      <c r="AI214" s="5" t="s">
        <v>0</v>
      </c>
      <c r="AJ214" s="5" t="s">
        <v>0</v>
      </c>
      <c r="AK214" s="30">
        <v>2300.0</v>
      </c>
      <c r="AL214" s="28">
        <v>3051.0</v>
      </c>
      <c r="AM214" s="28">
        <v>0.0</v>
      </c>
      <c r="AN214" s="28">
        <v>376.0</v>
      </c>
      <c r="AO214" s="28">
        <v>0.0</v>
      </c>
      <c r="AP214" s="28">
        <v>1423700.0</v>
      </c>
      <c r="AQ214" s="28">
        <v>1888721.5499999998</v>
      </c>
      <c r="AR214" s="28">
        <v>0.0</v>
      </c>
      <c r="AS214" s="28">
        <v>0.0</v>
      </c>
      <c r="AT214" s="28">
        <v>0.0</v>
      </c>
      <c r="AU214" s="28">
        <v>1138960.0</v>
      </c>
      <c r="AV214" s="28">
        <v>1346697.1724252487</v>
      </c>
      <c r="AW214" s="28">
        <v>0.0</v>
      </c>
      <c r="AX214" s="28">
        <v>204333.2380952381</v>
      </c>
      <c r="AY214" s="28">
        <v>0.0</v>
      </c>
      <c r="AZ214" s="5"/>
      <c r="BA214" s="5" t="s">
        <v>86</v>
      </c>
      <c r="BB214" s="5" t="s">
        <v>87</v>
      </c>
      <c r="BC214" s="32" t="s">
        <v>379</v>
      </c>
      <c r="BD214" s="5" t="s">
        <v>126</v>
      </c>
      <c r="BE214" s="5" t="s">
        <v>161</v>
      </c>
      <c r="BF214" s="5" t="s">
        <v>616</v>
      </c>
      <c r="BG214" s="5" t="s">
        <v>131</v>
      </c>
    </row>
    <row r="215" ht="16.5" hidden="1" customHeight="1">
      <c r="A215" s="5" t="s">
        <v>100</v>
      </c>
      <c r="B215" s="35" t="s">
        <v>137</v>
      </c>
      <c r="C215" s="35" t="b">
        <v>1</v>
      </c>
      <c r="D215" s="35" t="s">
        <v>1457</v>
      </c>
      <c r="E215" s="35" t="s">
        <v>1458</v>
      </c>
      <c r="F215" s="35"/>
      <c r="G215" s="35" t="s">
        <v>65</v>
      </c>
      <c r="H215" s="35" t="s">
        <v>74</v>
      </c>
      <c r="I215" s="35" t="s">
        <v>82</v>
      </c>
      <c r="J215" s="36" t="s">
        <v>150</v>
      </c>
      <c r="K215" s="25"/>
      <c r="L215" s="25"/>
      <c r="M215" s="5" t="s">
        <v>66</v>
      </c>
      <c r="N215" s="5" t="s">
        <v>68</v>
      </c>
      <c r="O215" s="5" t="s">
        <v>96</v>
      </c>
      <c r="P215" s="5" t="s">
        <v>107</v>
      </c>
      <c r="Q215" s="5" t="s">
        <v>89</v>
      </c>
      <c r="R215" s="5" t="s">
        <v>110</v>
      </c>
      <c r="S215" s="5"/>
      <c r="T215" s="5"/>
      <c r="U215" s="5"/>
      <c r="V215" s="5">
        <v>1300.0</v>
      </c>
      <c r="W215" s="26">
        <v>2.1</v>
      </c>
      <c r="X215" s="5">
        <v>619.0</v>
      </c>
      <c r="Y215" s="27">
        <v>0.2</v>
      </c>
      <c r="Z215" s="28">
        <v>495.20000000000005</v>
      </c>
      <c r="AA215" s="27">
        <v>1.0</v>
      </c>
      <c r="AB215" s="5" t="s">
        <v>117</v>
      </c>
      <c r="AC215" s="27"/>
      <c r="AD215" s="5"/>
      <c r="AE215" s="5" t="s">
        <v>81</v>
      </c>
      <c r="AF215" s="5" t="s">
        <v>81</v>
      </c>
      <c r="AG215" s="5"/>
      <c r="AH215" s="5">
        <v>0.0</v>
      </c>
      <c r="AI215" s="5" t="s">
        <v>0</v>
      </c>
      <c r="AJ215" s="5" t="s">
        <v>471</v>
      </c>
      <c r="AK215" s="30">
        <v>0.0</v>
      </c>
      <c r="AL215" s="28">
        <v>0.0</v>
      </c>
      <c r="AM215" s="28">
        <v>0.0</v>
      </c>
      <c r="AN215" s="28">
        <v>0.0</v>
      </c>
      <c r="AO215" s="28">
        <v>0.0</v>
      </c>
      <c r="AP215" s="28">
        <v>0.0</v>
      </c>
      <c r="AQ215" s="28">
        <v>0.0</v>
      </c>
      <c r="AR215" s="28">
        <v>0.0</v>
      </c>
      <c r="AS215" s="28">
        <v>0.0</v>
      </c>
      <c r="AT215" s="28">
        <v>0.0</v>
      </c>
      <c r="AU215" s="28">
        <v>0.0</v>
      </c>
      <c r="AV215" s="28">
        <v>0.0</v>
      </c>
      <c r="AW215" s="28">
        <v>0.0</v>
      </c>
      <c r="AX215" s="28">
        <v>0.0</v>
      </c>
      <c r="AY215" s="28">
        <v>0.0</v>
      </c>
      <c r="AZ215" s="5" t="s">
        <v>124</v>
      </c>
      <c r="BA215" s="5" t="s">
        <v>86</v>
      </c>
      <c r="BB215" s="5" t="s">
        <v>87</v>
      </c>
      <c r="BC215" s="32" t="s">
        <v>379</v>
      </c>
      <c r="BD215" s="5" t="s">
        <v>126</v>
      </c>
      <c r="BE215" s="5" t="s">
        <v>161</v>
      </c>
      <c r="BF215" s="5" t="s">
        <v>616</v>
      </c>
      <c r="BG215" s="5" t="s">
        <v>131</v>
      </c>
    </row>
    <row r="216" ht="16.5" hidden="1" customHeight="1">
      <c r="A216" s="5" t="s">
        <v>100</v>
      </c>
      <c r="B216" s="45" t="s">
        <v>137</v>
      </c>
      <c r="C216" s="45" t="b">
        <v>0</v>
      </c>
      <c r="D216" s="45" t="s">
        <v>1539</v>
      </c>
      <c r="E216" s="45" t="s">
        <v>1541</v>
      </c>
      <c r="F216" s="45"/>
      <c r="G216" s="45" t="s">
        <v>65</v>
      </c>
      <c r="H216" s="45" t="s">
        <v>76</v>
      </c>
      <c r="I216" s="45" t="s">
        <v>218</v>
      </c>
      <c r="J216" s="46" t="s">
        <v>1370</v>
      </c>
      <c r="K216" s="25"/>
      <c r="L216" s="25"/>
      <c r="M216" s="5" t="s">
        <v>66</v>
      </c>
      <c r="N216" s="5" t="s">
        <v>248</v>
      </c>
      <c r="O216" s="5" t="s">
        <v>69</v>
      </c>
      <c r="P216" s="5" t="s">
        <v>249</v>
      </c>
      <c r="Q216" s="5" t="s">
        <v>291</v>
      </c>
      <c r="R216" s="5" t="s">
        <v>23</v>
      </c>
      <c r="S216" s="5"/>
      <c r="T216" s="5"/>
      <c r="U216" s="5"/>
      <c r="V216" s="5">
        <v>400.0</v>
      </c>
      <c r="W216" s="26">
        <v>2.1</v>
      </c>
      <c r="X216" s="5">
        <v>190.0</v>
      </c>
      <c r="Y216" s="27">
        <v>0.2</v>
      </c>
      <c r="Z216" s="28">
        <v>152.0</v>
      </c>
      <c r="AA216" s="27">
        <v>1.0</v>
      </c>
      <c r="AB216" s="5" t="s">
        <v>78</v>
      </c>
      <c r="AC216" s="27"/>
      <c r="AD216" s="5"/>
      <c r="AE216" s="5" t="s">
        <v>81</v>
      </c>
      <c r="AF216" s="5" t="s">
        <v>81</v>
      </c>
      <c r="AG216" s="5"/>
      <c r="AH216" s="5">
        <v>6.0</v>
      </c>
      <c r="AI216" s="5" t="s">
        <v>1543</v>
      </c>
      <c r="AJ216" s="5" t="s">
        <v>0</v>
      </c>
      <c r="AK216" s="30"/>
      <c r="AL216" s="28">
        <v>0.0</v>
      </c>
      <c r="AM216" s="28">
        <v>0.0</v>
      </c>
      <c r="AN216" s="28">
        <v>6208.0</v>
      </c>
      <c r="AO216" s="28">
        <v>5316.0</v>
      </c>
      <c r="AP216" s="28">
        <v>0.0</v>
      </c>
      <c r="AQ216" s="28">
        <v>0.0</v>
      </c>
      <c r="AR216" s="28">
        <v>1010040.0</v>
      </c>
      <c r="AS216" s="28">
        <v>0.0</v>
      </c>
      <c r="AT216" s="28">
        <v>1010040.0</v>
      </c>
      <c r="AU216" s="28">
        <v>0.0</v>
      </c>
      <c r="AV216" s="28">
        <v>0.0</v>
      </c>
      <c r="AW216" s="28">
        <v>0.0</v>
      </c>
      <c r="AX216" s="28">
        <v>991732.3833887044</v>
      </c>
      <c r="AY216" s="28">
        <v>851087.4940750002</v>
      </c>
      <c r="AZ216" s="5" t="s">
        <v>124</v>
      </c>
      <c r="BA216" s="5" t="s">
        <v>125</v>
      </c>
      <c r="BB216" s="5" t="s">
        <v>127</v>
      </c>
      <c r="BD216" s="5" t="s">
        <v>248</v>
      </c>
      <c r="BE216" s="5" t="s">
        <v>253</v>
      </c>
      <c r="BF216" s="5" t="s">
        <v>291</v>
      </c>
      <c r="BG216" s="5" t="s">
        <v>131</v>
      </c>
    </row>
    <row r="217" ht="16.5" hidden="1" customHeight="1">
      <c r="A217" s="5" t="s">
        <v>100</v>
      </c>
      <c r="B217" s="5" t="s">
        <v>137</v>
      </c>
      <c r="C217" s="5" t="b">
        <v>1</v>
      </c>
      <c r="D217" s="5" t="s">
        <v>745</v>
      </c>
      <c r="E217" s="5" t="s">
        <v>747</v>
      </c>
      <c r="F217" s="5"/>
      <c r="G217" s="5" t="s">
        <v>65</v>
      </c>
      <c r="H217" s="5" t="s">
        <v>76</v>
      </c>
      <c r="I217" s="5" t="s">
        <v>82</v>
      </c>
      <c r="J217" s="25"/>
      <c r="K217" s="25"/>
      <c r="L217" s="25"/>
      <c r="M217" s="5" t="s">
        <v>66</v>
      </c>
      <c r="N217" s="5" t="s">
        <v>334</v>
      </c>
      <c r="O217" s="5" t="s">
        <v>69</v>
      </c>
      <c r="P217" s="5" t="s">
        <v>70</v>
      </c>
      <c r="Q217" s="5" t="s">
        <v>805</v>
      </c>
      <c r="R217" s="5" t="s">
        <v>110</v>
      </c>
      <c r="S217" s="5"/>
      <c r="T217" s="5"/>
      <c r="U217" s="5"/>
      <c r="V217" s="5">
        <v>450.0</v>
      </c>
      <c r="W217" s="26">
        <v>2.1</v>
      </c>
      <c r="X217" s="5">
        <v>214.0</v>
      </c>
      <c r="Y217" s="27">
        <v>0.2</v>
      </c>
      <c r="Z217" s="28">
        <v>171.20000000000002</v>
      </c>
      <c r="AA217" s="27">
        <v>1.0</v>
      </c>
      <c r="AB217" s="5" t="s">
        <v>117</v>
      </c>
      <c r="AC217" s="27">
        <v>0.62</v>
      </c>
      <c r="AD217" s="5"/>
      <c r="AE217" s="5" t="s">
        <v>81</v>
      </c>
      <c r="AF217" s="5" t="s">
        <v>81</v>
      </c>
      <c r="AG217" s="5">
        <v>5.0</v>
      </c>
      <c r="AH217" s="5">
        <v>5.0</v>
      </c>
      <c r="AI217" s="5" t="s">
        <v>1544</v>
      </c>
      <c r="AJ217" s="5" t="s">
        <v>0</v>
      </c>
      <c r="AK217" s="30">
        <v>5000.0</v>
      </c>
      <c r="AL217" s="28">
        <v>4801.0</v>
      </c>
      <c r="AM217" s="28">
        <v>5279.0</v>
      </c>
      <c r="AN217" s="28">
        <v>1118.0</v>
      </c>
      <c r="AO217" s="28">
        <v>1130.0</v>
      </c>
      <c r="AP217" s="28">
        <v>1070000.0</v>
      </c>
      <c r="AQ217" s="28">
        <v>1028806.2900000002</v>
      </c>
      <c r="AR217" s="28">
        <v>241820.0</v>
      </c>
      <c r="AS217" s="28">
        <v>0.0</v>
      </c>
      <c r="AT217" s="28">
        <v>241820.0</v>
      </c>
      <c r="AU217" s="28">
        <v>856000.0000000001</v>
      </c>
      <c r="AV217" s="28">
        <v>715124.6934108521</v>
      </c>
      <c r="AW217" s="28">
        <v>704454.6454070001</v>
      </c>
      <c r="AX217" s="28">
        <v>202085.16367663344</v>
      </c>
      <c r="AY217" s="28">
        <v>209987.55329999997</v>
      </c>
      <c r="AZ217" s="5"/>
      <c r="BA217" s="5" t="s">
        <v>125</v>
      </c>
      <c r="BB217" s="5" t="s">
        <v>174</v>
      </c>
      <c r="BC217" s="5" t="s">
        <v>237</v>
      </c>
      <c r="BD217" s="5" t="s">
        <v>334</v>
      </c>
      <c r="BE217" s="5" t="s">
        <v>348</v>
      </c>
      <c r="BF217" s="5" t="s">
        <v>338</v>
      </c>
      <c r="BG217" s="5" t="s">
        <v>131</v>
      </c>
    </row>
    <row r="218" ht="16.5" hidden="1" customHeight="1">
      <c r="A218" s="5" t="s">
        <v>100</v>
      </c>
      <c r="B218" s="5" t="s">
        <v>137</v>
      </c>
      <c r="C218" s="5" t="b">
        <v>1</v>
      </c>
      <c r="D218" s="5" t="s">
        <v>748</v>
      </c>
      <c r="E218" s="5" t="s">
        <v>749</v>
      </c>
      <c r="F218" s="5"/>
      <c r="G218" s="5" t="s">
        <v>65</v>
      </c>
      <c r="H218" s="5" t="s">
        <v>76</v>
      </c>
      <c r="I218" s="5" t="s">
        <v>82</v>
      </c>
      <c r="J218" s="25"/>
      <c r="K218" s="25"/>
      <c r="L218" s="25"/>
      <c r="M218" s="5" t="s">
        <v>66</v>
      </c>
      <c r="N218" s="5" t="s">
        <v>334</v>
      </c>
      <c r="O218" s="5" t="s">
        <v>69</v>
      </c>
      <c r="P218" s="5" t="s">
        <v>107</v>
      </c>
      <c r="Q218" s="5" t="s">
        <v>805</v>
      </c>
      <c r="R218" s="5" t="s">
        <v>110</v>
      </c>
      <c r="S218" s="5"/>
      <c r="T218" s="5"/>
      <c r="U218" s="5"/>
      <c r="V218" s="5">
        <v>450.0</v>
      </c>
      <c r="W218" s="26">
        <v>2.1</v>
      </c>
      <c r="X218" s="5">
        <v>214.0</v>
      </c>
      <c r="Y218" s="27">
        <v>0.2</v>
      </c>
      <c r="Z218" s="28">
        <v>171.20000000000002</v>
      </c>
      <c r="AA218" s="27">
        <v>1.0</v>
      </c>
      <c r="AB218" s="5" t="s">
        <v>117</v>
      </c>
      <c r="AC218" s="27">
        <v>0.64</v>
      </c>
      <c r="AD218" s="5"/>
      <c r="AE218" s="5" t="s">
        <v>81</v>
      </c>
      <c r="AF218" s="5" t="s">
        <v>81</v>
      </c>
      <c r="AG218" s="5">
        <v>5.0</v>
      </c>
      <c r="AH218" s="5">
        <v>5.0</v>
      </c>
      <c r="AI218" s="5" t="s">
        <v>1546</v>
      </c>
      <c r="AJ218" s="5" t="s">
        <v>0</v>
      </c>
      <c r="AK218" s="30">
        <v>2600.0</v>
      </c>
      <c r="AL218" s="28">
        <v>2428.0</v>
      </c>
      <c r="AM218" s="28">
        <v>2593.0</v>
      </c>
      <c r="AN218" s="28">
        <v>777.0</v>
      </c>
      <c r="AO218" s="28">
        <v>695.0</v>
      </c>
      <c r="AP218" s="28">
        <v>556400.0</v>
      </c>
      <c r="AQ218" s="28">
        <v>520296.1200000001</v>
      </c>
      <c r="AR218" s="28">
        <v>148730.0</v>
      </c>
      <c r="AS218" s="28">
        <v>0.0</v>
      </c>
      <c r="AT218" s="28">
        <v>148730.0</v>
      </c>
      <c r="AU218" s="28">
        <v>445120.00000000006</v>
      </c>
      <c r="AV218" s="28">
        <v>372629.72774086375</v>
      </c>
      <c r="AW218" s="28">
        <v>343651.7418719999</v>
      </c>
      <c r="AX218" s="28">
        <v>151325.64208194904</v>
      </c>
      <c r="AY218" s="28">
        <v>138990.36750000002</v>
      </c>
      <c r="AZ218" s="5"/>
      <c r="BA218" s="5" t="s">
        <v>125</v>
      </c>
      <c r="BB218" s="5" t="s">
        <v>174</v>
      </c>
      <c r="BC218" s="5" t="s">
        <v>237</v>
      </c>
      <c r="BD218" s="5" t="s">
        <v>334</v>
      </c>
      <c r="BE218" s="5" t="s">
        <v>348</v>
      </c>
      <c r="BF218" s="5" t="s">
        <v>338</v>
      </c>
      <c r="BG218" s="5" t="s">
        <v>131</v>
      </c>
    </row>
    <row r="219" ht="16.5" hidden="1" customHeight="1">
      <c r="A219" s="5" t="s">
        <v>100</v>
      </c>
      <c r="B219" s="5" t="s">
        <v>137</v>
      </c>
      <c r="C219" s="5" t="b">
        <v>1</v>
      </c>
      <c r="D219" s="5" t="s">
        <v>753</v>
      </c>
      <c r="E219" s="5" t="s">
        <v>754</v>
      </c>
      <c r="F219" s="5"/>
      <c r="G219" s="5" t="s">
        <v>65</v>
      </c>
      <c r="H219" s="5" t="s">
        <v>76</v>
      </c>
      <c r="I219" s="5" t="s">
        <v>82</v>
      </c>
      <c r="J219" s="25"/>
      <c r="K219" s="25"/>
      <c r="L219" s="25"/>
      <c r="M219" s="5" t="s">
        <v>66</v>
      </c>
      <c r="N219" s="5" t="s">
        <v>334</v>
      </c>
      <c r="O219" s="5" t="s">
        <v>69</v>
      </c>
      <c r="P219" s="5" t="s">
        <v>70</v>
      </c>
      <c r="Q219" s="5" t="s">
        <v>805</v>
      </c>
      <c r="R219" s="5" t="s">
        <v>110</v>
      </c>
      <c r="S219" s="5"/>
      <c r="T219" s="5"/>
      <c r="U219" s="5"/>
      <c r="V219" s="5">
        <v>400.0</v>
      </c>
      <c r="W219" s="26">
        <v>2.1</v>
      </c>
      <c r="X219" s="5">
        <v>190.0</v>
      </c>
      <c r="Y219" s="27">
        <v>0.2</v>
      </c>
      <c r="Z219" s="28">
        <v>152.0</v>
      </c>
      <c r="AA219" s="27">
        <v>1.0</v>
      </c>
      <c r="AB219" s="5" t="s">
        <v>78</v>
      </c>
      <c r="AC219" s="27">
        <v>0.611</v>
      </c>
      <c r="AD219" s="5"/>
      <c r="AE219" s="5" t="s">
        <v>81</v>
      </c>
      <c r="AF219" s="5" t="s">
        <v>81</v>
      </c>
      <c r="AG219" s="5">
        <v>5.0</v>
      </c>
      <c r="AH219" s="5">
        <v>5.0</v>
      </c>
      <c r="AI219" s="5" t="s">
        <v>1548</v>
      </c>
      <c r="AJ219" s="5" t="s">
        <v>0</v>
      </c>
      <c r="AK219" s="30">
        <v>4400.0</v>
      </c>
      <c r="AL219" s="28">
        <v>4439.0</v>
      </c>
      <c r="AM219" s="28">
        <v>5409.0</v>
      </c>
      <c r="AN219" s="28">
        <v>1074.0</v>
      </c>
      <c r="AO219" s="28">
        <v>1110.0</v>
      </c>
      <c r="AP219" s="28">
        <v>836000.0</v>
      </c>
      <c r="AQ219" s="28">
        <v>845540.7199999999</v>
      </c>
      <c r="AR219" s="28">
        <v>210900.0</v>
      </c>
      <c r="AS219" s="28">
        <v>0.0</v>
      </c>
      <c r="AT219" s="28">
        <v>210900.0</v>
      </c>
      <c r="AU219" s="28">
        <v>668800.0</v>
      </c>
      <c r="AV219" s="28">
        <v>697765.6629014397</v>
      </c>
      <c r="AW219" s="28">
        <v>718301.8650095</v>
      </c>
      <c r="AX219" s="28">
        <v>177779.22081949058</v>
      </c>
      <c r="AY219" s="28">
        <v>177800.74020000003</v>
      </c>
      <c r="AZ219" s="5"/>
      <c r="BA219" s="5" t="s">
        <v>125</v>
      </c>
      <c r="BB219" s="5" t="s">
        <v>174</v>
      </c>
      <c r="BC219" s="5" t="s">
        <v>237</v>
      </c>
      <c r="BD219" s="5" t="s">
        <v>334</v>
      </c>
      <c r="BE219" s="5" t="s">
        <v>348</v>
      </c>
      <c r="BF219" s="5" t="s">
        <v>338</v>
      </c>
      <c r="BG219" s="5" t="s">
        <v>131</v>
      </c>
    </row>
    <row r="220" ht="16.5" hidden="1" customHeight="1">
      <c r="A220" s="5" t="s">
        <v>100</v>
      </c>
      <c r="B220" s="5" t="s">
        <v>137</v>
      </c>
      <c r="C220" s="5" t="b">
        <v>1</v>
      </c>
      <c r="D220" s="5" t="s">
        <v>757</v>
      </c>
      <c r="E220" s="5" t="s">
        <v>758</v>
      </c>
      <c r="F220" s="5"/>
      <c r="G220" s="5" t="s">
        <v>65</v>
      </c>
      <c r="H220" s="5" t="s">
        <v>76</v>
      </c>
      <c r="I220" s="5" t="s">
        <v>82</v>
      </c>
      <c r="J220" s="25"/>
      <c r="K220" s="25"/>
      <c r="L220" s="25"/>
      <c r="M220" s="5" t="s">
        <v>66</v>
      </c>
      <c r="N220" s="5" t="s">
        <v>334</v>
      </c>
      <c r="O220" s="5" t="s">
        <v>69</v>
      </c>
      <c r="P220" s="5" t="s">
        <v>107</v>
      </c>
      <c r="Q220" s="5" t="s">
        <v>805</v>
      </c>
      <c r="R220" s="5" t="s">
        <v>110</v>
      </c>
      <c r="S220" s="5"/>
      <c r="T220" s="5"/>
      <c r="U220" s="5"/>
      <c r="V220" s="5">
        <v>400.0</v>
      </c>
      <c r="W220" s="26">
        <v>2.1</v>
      </c>
      <c r="X220" s="5">
        <v>190.0</v>
      </c>
      <c r="Y220" s="27">
        <v>0.2</v>
      </c>
      <c r="Z220" s="28">
        <v>152.0</v>
      </c>
      <c r="AA220" s="27">
        <v>1.0</v>
      </c>
      <c r="AB220" s="5" t="s">
        <v>78</v>
      </c>
      <c r="AC220" s="27">
        <v>0.63</v>
      </c>
      <c r="AD220" s="5"/>
      <c r="AE220" s="5" t="s">
        <v>81</v>
      </c>
      <c r="AF220" s="5" t="s">
        <v>81</v>
      </c>
      <c r="AG220" s="5">
        <v>5.0</v>
      </c>
      <c r="AH220" s="5">
        <v>5.0</v>
      </c>
      <c r="AI220" s="5" t="s">
        <v>1549</v>
      </c>
      <c r="AJ220" s="5" t="s">
        <v>0</v>
      </c>
      <c r="AK220" s="30">
        <v>3200.0</v>
      </c>
      <c r="AL220" s="28">
        <v>3219.0</v>
      </c>
      <c r="AM220" s="28">
        <v>3641.0</v>
      </c>
      <c r="AN220" s="28">
        <v>1000.0</v>
      </c>
      <c r="AO220" s="28">
        <v>830.0</v>
      </c>
      <c r="AP220" s="28">
        <v>608000.0</v>
      </c>
      <c r="AQ220" s="28">
        <v>613155.1199999999</v>
      </c>
      <c r="AR220" s="28">
        <v>157700.0</v>
      </c>
      <c r="AS220" s="28">
        <v>0.0</v>
      </c>
      <c r="AT220" s="28">
        <v>157700.0</v>
      </c>
      <c r="AU220" s="28">
        <v>486400.0</v>
      </c>
      <c r="AV220" s="28">
        <v>519992.67397563707</v>
      </c>
      <c r="AW220" s="28">
        <v>488922.69570400007</v>
      </c>
      <c r="AX220" s="28">
        <v>155341.23632336655</v>
      </c>
      <c r="AY220" s="28">
        <v>130805.79140000003</v>
      </c>
      <c r="AZ220" s="5"/>
      <c r="BA220" s="5" t="s">
        <v>125</v>
      </c>
      <c r="BB220" s="5" t="s">
        <v>174</v>
      </c>
      <c r="BC220" s="5" t="s">
        <v>237</v>
      </c>
      <c r="BD220" s="5" t="s">
        <v>334</v>
      </c>
      <c r="BE220" s="5" t="s">
        <v>348</v>
      </c>
      <c r="BF220" s="5" t="s">
        <v>338</v>
      </c>
      <c r="BG220" s="5" t="s">
        <v>131</v>
      </c>
    </row>
    <row r="221" ht="16.5" hidden="1" customHeight="1">
      <c r="A221" s="5" t="s">
        <v>100</v>
      </c>
      <c r="B221" s="5" t="s">
        <v>137</v>
      </c>
      <c r="C221" s="5" t="b">
        <v>1</v>
      </c>
      <c r="D221" s="5" t="s">
        <v>759</v>
      </c>
      <c r="E221" s="5" t="s">
        <v>760</v>
      </c>
      <c r="F221" s="5"/>
      <c r="G221" s="5" t="s">
        <v>65</v>
      </c>
      <c r="H221" s="5" t="s">
        <v>76</v>
      </c>
      <c r="I221" s="5" t="s">
        <v>82</v>
      </c>
      <c r="J221" s="25"/>
      <c r="K221" s="25"/>
      <c r="L221" s="25"/>
      <c r="M221" s="5" t="s">
        <v>66</v>
      </c>
      <c r="N221" s="5" t="s">
        <v>68</v>
      </c>
      <c r="O221" s="5" t="s">
        <v>69</v>
      </c>
      <c r="P221" s="5" t="s">
        <v>70</v>
      </c>
      <c r="Q221" s="5" t="s">
        <v>89</v>
      </c>
      <c r="R221" s="5" t="s">
        <v>110</v>
      </c>
      <c r="S221" s="5"/>
      <c r="T221" s="5"/>
      <c r="U221" s="5"/>
      <c r="V221" s="5">
        <v>3000.0</v>
      </c>
      <c r="W221" s="26">
        <v>2.1</v>
      </c>
      <c r="X221" s="5">
        <v>1429.0</v>
      </c>
      <c r="Y221" s="27">
        <v>0.2</v>
      </c>
      <c r="Z221" s="28">
        <v>1143.2</v>
      </c>
      <c r="AA221" s="27">
        <v>1.0</v>
      </c>
      <c r="AB221" s="5" t="s">
        <v>117</v>
      </c>
      <c r="AC221" s="27">
        <v>0.57</v>
      </c>
      <c r="AD221" s="5"/>
      <c r="AE221" s="5" t="s">
        <v>166</v>
      </c>
      <c r="AF221" s="5" t="s">
        <v>81</v>
      </c>
      <c r="AG221" s="5">
        <v>4.0</v>
      </c>
      <c r="AH221" s="5">
        <v>4.0</v>
      </c>
      <c r="AI221" s="5" t="s">
        <v>1551</v>
      </c>
      <c r="AJ221" s="5" t="s">
        <v>0</v>
      </c>
      <c r="AK221" s="30">
        <v>2200.0</v>
      </c>
      <c r="AL221" s="28">
        <v>2207.0</v>
      </c>
      <c r="AM221" s="28">
        <v>1993.0</v>
      </c>
      <c r="AN221" s="28">
        <v>2131.0</v>
      </c>
      <c r="AO221" s="28">
        <v>1485.0</v>
      </c>
      <c r="AP221" s="28">
        <v>3143800.0</v>
      </c>
      <c r="AQ221" s="28">
        <v>3152853.9899999993</v>
      </c>
      <c r="AR221" s="28">
        <v>2122065.0</v>
      </c>
      <c r="AS221" s="28">
        <v>0.0</v>
      </c>
      <c r="AT221" s="28">
        <v>2122065.0</v>
      </c>
      <c r="AU221" s="28">
        <v>2515040.0</v>
      </c>
      <c r="AV221" s="28">
        <v>2626904.480620155</v>
      </c>
      <c r="AW221" s="28">
        <v>2483129.355509601</v>
      </c>
      <c r="AX221" s="28">
        <v>2595924.3809523806</v>
      </c>
      <c r="AY221" s="28">
        <v>1728775.951065</v>
      </c>
      <c r="AZ221" s="5"/>
      <c r="BA221" s="5" t="s">
        <v>86</v>
      </c>
      <c r="BB221" s="5" t="s">
        <v>121</v>
      </c>
      <c r="BC221" s="32" t="s">
        <v>761</v>
      </c>
      <c r="BD221" s="5" t="s">
        <v>68</v>
      </c>
      <c r="BE221" s="5" t="s">
        <v>89</v>
      </c>
      <c r="BF221" s="5" t="s">
        <v>90</v>
      </c>
      <c r="BG221" s="5" t="s">
        <v>91</v>
      </c>
    </row>
    <row r="222" ht="16.5" hidden="1" customHeight="1">
      <c r="A222" s="5" t="s">
        <v>100</v>
      </c>
      <c r="B222" s="35" t="s">
        <v>137</v>
      </c>
      <c r="C222" s="35" t="b">
        <v>1</v>
      </c>
      <c r="D222" s="35" t="s">
        <v>762</v>
      </c>
      <c r="E222" s="35" t="s">
        <v>763</v>
      </c>
      <c r="F222" s="35"/>
      <c r="G222" s="35" t="s">
        <v>65</v>
      </c>
      <c r="H222" s="35" t="s">
        <v>76</v>
      </c>
      <c r="I222" s="35" t="s">
        <v>82</v>
      </c>
      <c r="J222" s="36" t="s">
        <v>150</v>
      </c>
      <c r="K222" s="25"/>
      <c r="L222" s="25"/>
      <c r="M222" s="5" t="s">
        <v>66</v>
      </c>
      <c r="N222" s="5" t="s">
        <v>68</v>
      </c>
      <c r="O222" s="5" t="s">
        <v>96</v>
      </c>
      <c r="P222" s="5" t="s">
        <v>70</v>
      </c>
      <c r="Q222" s="5" t="s">
        <v>89</v>
      </c>
      <c r="R222" s="5" t="s">
        <v>110</v>
      </c>
      <c r="S222" s="5"/>
      <c r="T222" s="5"/>
      <c r="U222" s="5"/>
      <c r="V222" s="5">
        <v>3000.0</v>
      </c>
      <c r="W222" s="26">
        <v>2.1</v>
      </c>
      <c r="X222" s="5">
        <v>1429.0</v>
      </c>
      <c r="Y222" s="27">
        <v>0.2</v>
      </c>
      <c r="Z222" s="28">
        <v>1143.2</v>
      </c>
      <c r="AA222" s="27">
        <v>1.0</v>
      </c>
      <c r="AB222" s="5" t="s">
        <v>117</v>
      </c>
      <c r="AC222" s="27"/>
      <c r="AD222" s="5"/>
      <c r="AE222" s="5" t="s">
        <v>166</v>
      </c>
      <c r="AF222" s="5" t="s">
        <v>81</v>
      </c>
      <c r="AG222" s="5"/>
      <c r="AH222" s="5">
        <v>0.0</v>
      </c>
      <c r="AI222" s="5" t="s">
        <v>1552</v>
      </c>
      <c r="AJ222" s="5" t="s">
        <v>97</v>
      </c>
      <c r="AK222" s="30">
        <v>0.0</v>
      </c>
      <c r="AL222" s="28">
        <v>0.0</v>
      </c>
      <c r="AM222" s="28">
        <v>1000.0</v>
      </c>
      <c r="AN222" s="28">
        <v>0.0</v>
      </c>
      <c r="AO222" s="28">
        <v>0.0</v>
      </c>
      <c r="AP222" s="28">
        <v>0.0</v>
      </c>
      <c r="AQ222" s="28">
        <v>0.0</v>
      </c>
      <c r="AR222" s="28">
        <v>0.0</v>
      </c>
      <c r="AS222" s="28">
        <v>0.0</v>
      </c>
      <c r="AT222" s="28">
        <v>0.0</v>
      </c>
      <c r="AU222" s="28">
        <v>0.0</v>
      </c>
      <c r="AV222" s="28">
        <v>0.0</v>
      </c>
      <c r="AW222" s="28">
        <v>527100.0</v>
      </c>
      <c r="AX222" s="28">
        <v>0.0</v>
      </c>
      <c r="AY222" s="28">
        <v>0.0</v>
      </c>
      <c r="AZ222" s="5" t="s">
        <v>124</v>
      </c>
      <c r="BA222" s="5" t="s">
        <v>86</v>
      </c>
      <c r="BB222" s="5" t="s">
        <v>121</v>
      </c>
      <c r="BC222" s="32" t="s">
        <v>761</v>
      </c>
      <c r="BD222" s="5" t="s">
        <v>68</v>
      </c>
      <c r="BE222" s="5" t="s">
        <v>89</v>
      </c>
      <c r="BF222" s="5" t="s">
        <v>90</v>
      </c>
      <c r="BG222" s="5" t="s">
        <v>91</v>
      </c>
    </row>
    <row r="223" ht="16.5" hidden="1" customHeight="1">
      <c r="A223" s="5" t="s">
        <v>100</v>
      </c>
      <c r="B223" s="5" t="s">
        <v>137</v>
      </c>
      <c r="C223" s="5" t="b">
        <v>1</v>
      </c>
      <c r="D223" s="5" t="s">
        <v>765</v>
      </c>
      <c r="E223" s="5" t="s">
        <v>766</v>
      </c>
      <c r="F223" s="5"/>
      <c r="G223" s="5" t="s">
        <v>65</v>
      </c>
      <c r="H223" s="5" t="s">
        <v>76</v>
      </c>
      <c r="I223" s="5" t="s">
        <v>82</v>
      </c>
      <c r="J223" s="25"/>
      <c r="K223" s="25"/>
      <c r="L223" s="25"/>
      <c r="M223" s="5" t="s">
        <v>66</v>
      </c>
      <c r="N223" s="5" t="s">
        <v>68</v>
      </c>
      <c r="O223" s="5" t="s">
        <v>69</v>
      </c>
      <c r="P223" s="5" t="s">
        <v>107</v>
      </c>
      <c r="Q223" s="5" t="s">
        <v>89</v>
      </c>
      <c r="R223" s="5" t="s">
        <v>110</v>
      </c>
      <c r="S223" s="5"/>
      <c r="T223" s="5"/>
      <c r="U223" s="5"/>
      <c r="V223" s="5">
        <v>3000.0</v>
      </c>
      <c r="W223" s="26">
        <v>2.1</v>
      </c>
      <c r="X223" s="5">
        <v>1429.0</v>
      </c>
      <c r="Y223" s="27">
        <v>0.2</v>
      </c>
      <c r="Z223" s="28">
        <v>1143.2</v>
      </c>
      <c r="AA223" s="27">
        <v>1.0</v>
      </c>
      <c r="AB223" s="5" t="s">
        <v>117</v>
      </c>
      <c r="AC223" s="27">
        <v>0.59</v>
      </c>
      <c r="AD223" s="5"/>
      <c r="AE223" s="5" t="s">
        <v>166</v>
      </c>
      <c r="AF223" s="5" t="s">
        <v>81</v>
      </c>
      <c r="AG223" s="5">
        <v>4.0</v>
      </c>
      <c r="AH223" s="5">
        <v>4.0</v>
      </c>
      <c r="AI223" s="5" t="s">
        <v>1554</v>
      </c>
      <c r="AJ223" s="5" t="s">
        <v>0</v>
      </c>
      <c r="AK223" s="30">
        <v>1700.0</v>
      </c>
      <c r="AL223" s="28">
        <v>1700.0</v>
      </c>
      <c r="AM223" s="28">
        <v>1842.0</v>
      </c>
      <c r="AN223" s="28">
        <v>1494.0</v>
      </c>
      <c r="AO223" s="28">
        <v>1140.0</v>
      </c>
      <c r="AP223" s="28">
        <v>2429300.0</v>
      </c>
      <c r="AQ223" s="28">
        <v>2428569.0</v>
      </c>
      <c r="AR223" s="28">
        <v>1629060.0</v>
      </c>
      <c r="AS223" s="28">
        <v>0.0</v>
      </c>
      <c r="AT223" s="28">
        <v>1629060.0</v>
      </c>
      <c r="AU223" s="28">
        <v>1943440.0</v>
      </c>
      <c r="AV223" s="28">
        <v>2048589.6234772978</v>
      </c>
      <c r="AW223" s="28">
        <v>2140178.6677881004</v>
      </c>
      <c r="AX223" s="28">
        <v>1844945.3333333333</v>
      </c>
      <c r="AY223" s="28">
        <v>1337035.8630450002</v>
      </c>
      <c r="AZ223" s="5"/>
      <c r="BA223" s="5" t="s">
        <v>86</v>
      </c>
      <c r="BB223" s="5" t="s">
        <v>121</v>
      </c>
      <c r="BC223" s="32" t="s">
        <v>761</v>
      </c>
      <c r="BD223" s="5" t="s">
        <v>68</v>
      </c>
      <c r="BE223" s="5" t="s">
        <v>89</v>
      </c>
      <c r="BF223" s="5" t="s">
        <v>90</v>
      </c>
      <c r="BG223" s="5" t="s">
        <v>91</v>
      </c>
    </row>
    <row r="224" ht="16.5" hidden="1" customHeight="1">
      <c r="A224" s="5" t="s">
        <v>100</v>
      </c>
      <c r="B224" s="5" t="s">
        <v>137</v>
      </c>
      <c r="C224" s="5" t="b">
        <v>1</v>
      </c>
      <c r="D224" s="5" t="s">
        <v>771</v>
      </c>
      <c r="E224" s="5" t="s">
        <v>772</v>
      </c>
      <c r="F224" s="5"/>
      <c r="G224" s="5" t="s">
        <v>65</v>
      </c>
      <c r="H224" s="5" t="s">
        <v>76</v>
      </c>
      <c r="I224" s="5" t="s">
        <v>82</v>
      </c>
      <c r="J224" s="25"/>
      <c r="K224" s="25"/>
      <c r="L224" s="25"/>
      <c r="M224" s="5" t="s">
        <v>66</v>
      </c>
      <c r="N224" s="5" t="s">
        <v>68</v>
      </c>
      <c r="O224" s="5" t="s">
        <v>69</v>
      </c>
      <c r="P224" s="5" t="s">
        <v>70</v>
      </c>
      <c r="Q224" s="5" t="s">
        <v>180</v>
      </c>
      <c r="R224" s="5" t="s">
        <v>181</v>
      </c>
      <c r="S224" s="5"/>
      <c r="T224" s="5"/>
      <c r="U224" s="5"/>
      <c r="V224" s="5">
        <v>2200.0</v>
      </c>
      <c r="W224" s="26">
        <v>2.1</v>
      </c>
      <c r="X224" s="5">
        <v>1048.0</v>
      </c>
      <c r="Y224" s="27">
        <v>0.2</v>
      </c>
      <c r="Z224" s="28">
        <v>838.4000000000001</v>
      </c>
      <c r="AA224" s="27">
        <v>1.0</v>
      </c>
      <c r="AB224" s="5" t="s">
        <v>117</v>
      </c>
      <c r="AC224" s="27">
        <v>0.58</v>
      </c>
      <c r="AD224" s="5"/>
      <c r="AE224" s="5" t="s">
        <v>166</v>
      </c>
      <c r="AF224" s="5" t="s">
        <v>81</v>
      </c>
      <c r="AG224" s="5">
        <v>1.0</v>
      </c>
      <c r="AH224" s="5">
        <v>1.0</v>
      </c>
      <c r="AI224" s="5" t="s">
        <v>1555</v>
      </c>
      <c r="AJ224" s="5" t="s">
        <v>0</v>
      </c>
      <c r="AK224" s="30">
        <v>500.0</v>
      </c>
      <c r="AL224" s="28">
        <v>492.0</v>
      </c>
      <c r="AM224" s="28">
        <v>656.0</v>
      </c>
      <c r="AN224" s="28">
        <v>431.0</v>
      </c>
      <c r="AO224" s="28">
        <v>300.0</v>
      </c>
      <c r="AP224" s="28">
        <v>524000.0</v>
      </c>
      <c r="AQ224" s="28">
        <v>515429.04</v>
      </c>
      <c r="AR224" s="28">
        <v>314400.0</v>
      </c>
      <c r="AS224" s="28">
        <v>0.0</v>
      </c>
      <c r="AT224" s="28">
        <v>314400.0</v>
      </c>
      <c r="AU224" s="28">
        <v>419200.00000000006</v>
      </c>
      <c r="AV224" s="28">
        <v>445450.4761904762</v>
      </c>
      <c r="AW224" s="28">
        <v>540172.012544</v>
      </c>
      <c r="AX224" s="28">
        <v>407038.09523809527</v>
      </c>
      <c r="AY224" s="28">
        <v>295355.49408</v>
      </c>
      <c r="AZ224" s="5"/>
      <c r="BA224" s="5" t="s">
        <v>86</v>
      </c>
      <c r="BB224" s="5" t="s">
        <v>121</v>
      </c>
      <c r="BC224" s="32" t="s">
        <v>379</v>
      </c>
      <c r="BD224" s="5" t="s">
        <v>68</v>
      </c>
      <c r="BE224" s="5" t="s">
        <v>128</v>
      </c>
      <c r="BF224" s="5" t="s">
        <v>90</v>
      </c>
      <c r="BG224" s="5" t="s">
        <v>91</v>
      </c>
    </row>
    <row r="225" ht="16.5" hidden="1" customHeight="1">
      <c r="A225" s="5" t="s">
        <v>100</v>
      </c>
      <c r="B225" s="5" t="s">
        <v>137</v>
      </c>
      <c r="C225" s="5" t="b">
        <v>1</v>
      </c>
      <c r="D225" s="5" t="s">
        <v>774</v>
      </c>
      <c r="E225" s="5" t="s">
        <v>775</v>
      </c>
      <c r="F225" s="5"/>
      <c r="G225" s="5" t="s">
        <v>65</v>
      </c>
      <c r="H225" s="5" t="s">
        <v>76</v>
      </c>
      <c r="I225" s="5" t="s">
        <v>82</v>
      </c>
      <c r="J225" s="25"/>
      <c r="K225" s="25"/>
      <c r="L225" s="25"/>
      <c r="M225" s="5" t="s">
        <v>66</v>
      </c>
      <c r="N225" s="5" t="s">
        <v>68</v>
      </c>
      <c r="O225" s="5" t="s">
        <v>69</v>
      </c>
      <c r="P225" s="5" t="s">
        <v>107</v>
      </c>
      <c r="Q225" s="5" t="s">
        <v>180</v>
      </c>
      <c r="R225" s="5" t="s">
        <v>181</v>
      </c>
      <c r="S225" s="5"/>
      <c r="T225" s="5"/>
      <c r="U225" s="5"/>
      <c r="V225" s="5">
        <v>2200.0</v>
      </c>
      <c r="W225" s="26">
        <v>2.1</v>
      </c>
      <c r="X225" s="5">
        <v>1048.0</v>
      </c>
      <c r="Y225" s="27">
        <v>0.2</v>
      </c>
      <c r="Z225" s="28">
        <v>838.4000000000001</v>
      </c>
      <c r="AA225" s="27">
        <v>1.0</v>
      </c>
      <c r="AB225" s="5" t="s">
        <v>117</v>
      </c>
      <c r="AC225" s="27">
        <v>0.575</v>
      </c>
      <c r="AD225" s="5"/>
      <c r="AE225" s="5" t="s">
        <v>166</v>
      </c>
      <c r="AF225" s="5" t="s">
        <v>81</v>
      </c>
      <c r="AG225" s="5">
        <v>1.0</v>
      </c>
      <c r="AH225" s="5">
        <v>1.0</v>
      </c>
      <c r="AI225" s="5" t="s">
        <v>1555</v>
      </c>
      <c r="AJ225" s="5" t="s">
        <v>0</v>
      </c>
      <c r="AK225" s="30">
        <v>500.0</v>
      </c>
      <c r="AL225" s="28">
        <v>460.0</v>
      </c>
      <c r="AM225" s="28">
        <v>531.0</v>
      </c>
      <c r="AN225" s="28">
        <v>399.0</v>
      </c>
      <c r="AO225" s="28">
        <v>267.0</v>
      </c>
      <c r="AP225" s="28">
        <v>524000.0</v>
      </c>
      <c r="AQ225" s="28">
        <v>481905.19999999995</v>
      </c>
      <c r="AR225" s="28">
        <v>279816.0</v>
      </c>
      <c r="AS225" s="28">
        <v>0.0</v>
      </c>
      <c r="AT225" s="28">
        <v>279816.0</v>
      </c>
      <c r="AU225" s="28">
        <v>419200.00000000006</v>
      </c>
      <c r="AV225" s="28">
        <v>412804.7619047619</v>
      </c>
      <c r="AW225" s="28">
        <v>444099.127384</v>
      </c>
      <c r="AX225" s="28">
        <v>373514.2857142857</v>
      </c>
      <c r="AY225" s="28">
        <v>262197.67704</v>
      </c>
      <c r="AZ225" s="5"/>
      <c r="BA225" s="5" t="s">
        <v>86</v>
      </c>
      <c r="BB225" s="5" t="s">
        <v>121</v>
      </c>
      <c r="BC225" s="32" t="s">
        <v>379</v>
      </c>
      <c r="BD225" s="5" t="s">
        <v>68</v>
      </c>
      <c r="BE225" s="5" t="s">
        <v>128</v>
      </c>
      <c r="BF225" s="5" t="s">
        <v>90</v>
      </c>
      <c r="BG225" s="5" t="s">
        <v>91</v>
      </c>
    </row>
    <row r="226" ht="16.5" hidden="1" customHeight="1">
      <c r="A226" s="5" t="s">
        <v>100</v>
      </c>
      <c r="B226" s="5" t="s">
        <v>215</v>
      </c>
      <c r="C226" s="5" t="b">
        <v>0</v>
      </c>
      <c r="D226" s="5" t="s">
        <v>686</v>
      </c>
      <c r="E226" s="5" t="s">
        <v>688</v>
      </c>
      <c r="F226" s="5"/>
      <c r="G226" s="5" t="s">
        <v>65</v>
      </c>
      <c r="H226" s="5" t="s">
        <v>76</v>
      </c>
      <c r="I226" s="5" t="s">
        <v>218</v>
      </c>
      <c r="J226" s="25" t="s">
        <v>219</v>
      </c>
      <c r="K226" s="25"/>
      <c r="L226" s="25"/>
      <c r="M226" s="5" t="s">
        <v>66</v>
      </c>
      <c r="N226" s="5" t="s">
        <v>248</v>
      </c>
      <c r="O226" s="5" t="s">
        <v>96</v>
      </c>
      <c r="P226" s="5" t="s">
        <v>249</v>
      </c>
      <c r="Q226" s="5" t="s">
        <v>291</v>
      </c>
      <c r="R226" s="5" t="s">
        <v>23</v>
      </c>
      <c r="S226" s="5"/>
      <c r="T226" s="5"/>
      <c r="U226" s="5"/>
      <c r="V226" s="5">
        <v>500.0</v>
      </c>
      <c r="W226" s="26">
        <v>2.1</v>
      </c>
      <c r="X226" s="5">
        <v>238.0</v>
      </c>
      <c r="Y226" s="27">
        <v>0.0</v>
      </c>
      <c r="Z226" s="28">
        <v>238.0</v>
      </c>
      <c r="AA226" s="27">
        <v>1.0</v>
      </c>
      <c r="AB226" s="5" t="s">
        <v>78</v>
      </c>
      <c r="AC226" s="27"/>
      <c r="AD226" s="5"/>
      <c r="AE226" s="5" t="s">
        <v>81</v>
      </c>
      <c r="AF226" s="5" t="s">
        <v>81</v>
      </c>
      <c r="AG226" s="5"/>
      <c r="AH226" s="5">
        <v>1.0</v>
      </c>
      <c r="AI226" s="5" t="s">
        <v>0</v>
      </c>
      <c r="AJ226" s="5" t="s">
        <v>386</v>
      </c>
      <c r="AK226" s="30"/>
      <c r="AL226" s="28">
        <v>0.0</v>
      </c>
      <c r="AM226" s="28">
        <v>0.0</v>
      </c>
      <c r="AN226" s="28">
        <v>274.0</v>
      </c>
      <c r="AO226" s="28">
        <v>0.0</v>
      </c>
      <c r="AP226" s="28">
        <v>0.0</v>
      </c>
      <c r="AQ226" s="28">
        <v>0.0</v>
      </c>
      <c r="AR226" s="28">
        <v>0.0</v>
      </c>
      <c r="AS226" s="28">
        <v>0.0</v>
      </c>
      <c r="AT226" s="28">
        <v>0.0</v>
      </c>
      <c r="AU226" s="28">
        <v>0.0</v>
      </c>
      <c r="AV226" s="28">
        <v>0.0</v>
      </c>
      <c r="AW226" s="28">
        <v>0.0</v>
      </c>
      <c r="AX226" s="28">
        <v>45666.666666666664</v>
      </c>
      <c r="AY226" s="28">
        <v>0.0</v>
      </c>
      <c r="AZ226" s="5" t="s">
        <v>124</v>
      </c>
      <c r="BA226" s="5" t="s">
        <v>125</v>
      </c>
      <c r="BB226" s="5" t="s">
        <v>127</v>
      </c>
      <c r="BD226" s="5" t="s">
        <v>248</v>
      </c>
      <c r="BE226" s="5" t="s">
        <v>253</v>
      </c>
      <c r="BF226" s="5" t="s">
        <v>291</v>
      </c>
      <c r="BG226" s="5" t="s">
        <v>131</v>
      </c>
    </row>
    <row r="227" ht="16.5" hidden="1" customHeight="1">
      <c r="A227" s="5" t="s">
        <v>100</v>
      </c>
      <c r="B227" s="5" t="s">
        <v>137</v>
      </c>
      <c r="C227" s="5" t="b">
        <v>0</v>
      </c>
      <c r="D227" s="5" t="s">
        <v>818</v>
      </c>
      <c r="E227" s="5" t="s">
        <v>819</v>
      </c>
      <c r="F227" s="5"/>
      <c r="G227" s="5" t="s">
        <v>65</v>
      </c>
      <c r="H227" s="5" t="s">
        <v>76</v>
      </c>
      <c r="I227" s="5" t="s">
        <v>106</v>
      </c>
      <c r="J227" s="25" t="s">
        <v>108</v>
      </c>
      <c r="K227" s="25"/>
      <c r="L227" s="25"/>
      <c r="M227" s="5" t="s">
        <v>66</v>
      </c>
      <c r="N227" s="5" t="s">
        <v>334</v>
      </c>
      <c r="O227" s="5" t="s">
        <v>96</v>
      </c>
      <c r="P227" s="5" t="s">
        <v>70</v>
      </c>
      <c r="Q227" s="5" t="s">
        <v>805</v>
      </c>
      <c r="R227" s="5" t="s">
        <v>110</v>
      </c>
      <c r="S227" s="5"/>
      <c r="T227" s="5"/>
      <c r="U227" s="5"/>
      <c r="V227" s="5">
        <v>450.0</v>
      </c>
      <c r="W227" s="26">
        <v>2.1</v>
      </c>
      <c r="X227" s="5">
        <v>214.0</v>
      </c>
      <c r="Y227" s="27">
        <v>0.0</v>
      </c>
      <c r="Z227" s="28">
        <v>214.0</v>
      </c>
      <c r="AA227" s="27">
        <v>1.0</v>
      </c>
      <c r="AB227" s="5" t="s">
        <v>117</v>
      </c>
      <c r="AC227" s="27"/>
      <c r="AD227" s="5"/>
      <c r="AE227" s="5" t="s">
        <v>81</v>
      </c>
      <c r="AF227" s="5" t="s">
        <v>81</v>
      </c>
      <c r="AG227" s="5"/>
      <c r="AH227" s="5">
        <v>1.0</v>
      </c>
      <c r="AI227" s="5" t="s">
        <v>0</v>
      </c>
      <c r="AJ227" s="5" t="s">
        <v>386</v>
      </c>
      <c r="AK227" s="52"/>
      <c r="AL227" s="28">
        <v>0.0</v>
      </c>
      <c r="AM227" s="28">
        <v>0.0</v>
      </c>
      <c r="AN227" s="28">
        <v>307.0</v>
      </c>
      <c r="AO227" s="28">
        <v>0.0</v>
      </c>
      <c r="AP227" s="28">
        <v>0.0</v>
      </c>
      <c r="AQ227" s="28">
        <v>0.0</v>
      </c>
      <c r="AR227" s="28">
        <v>0.0</v>
      </c>
      <c r="AS227" s="28">
        <v>0.0</v>
      </c>
      <c r="AT227" s="28">
        <v>0.0</v>
      </c>
      <c r="AU227" s="28">
        <v>0.0</v>
      </c>
      <c r="AV227" s="28">
        <v>0.0</v>
      </c>
      <c r="AW227" s="28">
        <v>0.0</v>
      </c>
      <c r="AX227" s="28">
        <v>65785.71428571429</v>
      </c>
      <c r="AY227" s="28">
        <v>0.0</v>
      </c>
      <c r="AZ227" s="5" t="s">
        <v>124</v>
      </c>
      <c r="BA227" s="5" t="s">
        <v>125</v>
      </c>
      <c r="BB227" s="5" t="s">
        <v>174</v>
      </c>
      <c r="BC227" s="5" t="s">
        <v>237</v>
      </c>
      <c r="BD227" s="5" t="s">
        <v>334</v>
      </c>
      <c r="BE227" s="5" t="s">
        <v>348</v>
      </c>
      <c r="BF227" s="5" t="s">
        <v>338</v>
      </c>
      <c r="BG227" s="5" t="s">
        <v>131</v>
      </c>
    </row>
    <row r="228" ht="16.5" hidden="1" customHeight="1">
      <c r="A228" s="5" t="s">
        <v>100</v>
      </c>
      <c r="B228" s="5" t="s">
        <v>137</v>
      </c>
      <c r="C228" s="5" t="b">
        <v>0</v>
      </c>
      <c r="D228" s="5" t="s">
        <v>824</v>
      </c>
      <c r="E228" s="5" t="s">
        <v>825</v>
      </c>
      <c r="F228" s="5"/>
      <c r="G228" s="5" t="s">
        <v>65</v>
      </c>
      <c r="H228" s="5" t="s">
        <v>76</v>
      </c>
      <c r="I228" s="5" t="s">
        <v>106</v>
      </c>
      <c r="J228" s="25" t="s">
        <v>108</v>
      </c>
      <c r="K228" s="25"/>
      <c r="L228" s="25"/>
      <c r="M228" s="5" t="s">
        <v>66</v>
      </c>
      <c r="N228" s="5" t="s">
        <v>334</v>
      </c>
      <c r="O228" s="5" t="s">
        <v>96</v>
      </c>
      <c r="P228" s="5" t="s">
        <v>107</v>
      </c>
      <c r="Q228" s="5" t="s">
        <v>805</v>
      </c>
      <c r="R228" s="5" t="s">
        <v>110</v>
      </c>
      <c r="S228" s="5"/>
      <c r="T228" s="5"/>
      <c r="U228" s="5"/>
      <c r="V228" s="5">
        <v>450.0</v>
      </c>
      <c r="W228" s="26">
        <v>2.1</v>
      </c>
      <c r="X228" s="5">
        <v>214.0</v>
      </c>
      <c r="Y228" s="27">
        <v>0.0</v>
      </c>
      <c r="Z228" s="28">
        <v>214.0</v>
      </c>
      <c r="AA228" s="27">
        <v>1.0</v>
      </c>
      <c r="AB228" s="5" t="s">
        <v>117</v>
      </c>
      <c r="AC228" s="27"/>
      <c r="AD228" s="5"/>
      <c r="AE228" s="5" t="s">
        <v>81</v>
      </c>
      <c r="AF228" s="5" t="s">
        <v>81</v>
      </c>
      <c r="AG228" s="5"/>
      <c r="AH228" s="5">
        <v>1.0</v>
      </c>
      <c r="AI228" s="5" t="s">
        <v>0</v>
      </c>
      <c r="AJ228" s="5" t="s">
        <v>386</v>
      </c>
      <c r="AK228" s="30"/>
      <c r="AL228" s="28">
        <v>0.0</v>
      </c>
      <c r="AM228" s="28">
        <v>0.0</v>
      </c>
      <c r="AN228" s="28">
        <v>262.0</v>
      </c>
      <c r="AO228" s="28">
        <v>0.0</v>
      </c>
      <c r="AP228" s="28">
        <v>0.0</v>
      </c>
      <c r="AQ228" s="28">
        <v>0.0</v>
      </c>
      <c r="AR228" s="28">
        <v>0.0</v>
      </c>
      <c r="AS228" s="28">
        <v>0.0</v>
      </c>
      <c r="AT228" s="28">
        <v>0.0</v>
      </c>
      <c r="AU228" s="28">
        <v>0.0</v>
      </c>
      <c r="AV228" s="28">
        <v>0.0</v>
      </c>
      <c r="AW228" s="28">
        <v>0.0</v>
      </c>
      <c r="AX228" s="28">
        <v>56142.857142857145</v>
      </c>
      <c r="AY228" s="28">
        <v>0.0</v>
      </c>
      <c r="AZ228" s="5" t="s">
        <v>124</v>
      </c>
      <c r="BA228" s="5" t="s">
        <v>125</v>
      </c>
      <c r="BB228" s="5" t="s">
        <v>174</v>
      </c>
      <c r="BC228" s="5" t="s">
        <v>237</v>
      </c>
      <c r="BD228" s="5" t="s">
        <v>334</v>
      </c>
      <c r="BE228" s="5" t="s">
        <v>348</v>
      </c>
      <c r="BF228" s="5" t="s">
        <v>338</v>
      </c>
      <c r="BG228" s="5" t="s">
        <v>131</v>
      </c>
    </row>
    <row r="229" ht="16.5" hidden="1" customHeight="1">
      <c r="A229" s="5" t="s">
        <v>100</v>
      </c>
      <c r="B229" s="5" t="s">
        <v>215</v>
      </c>
      <c r="C229" s="5" t="b">
        <v>0</v>
      </c>
      <c r="D229" s="5" t="s">
        <v>838</v>
      </c>
      <c r="E229" s="5" t="s">
        <v>840</v>
      </c>
      <c r="F229" s="5"/>
      <c r="G229" s="5" t="s">
        <v>65</v>
      </c>
      <c r="H229" s="5" t="s">
        <v>76</v>
      </c>
      <c r="I229" s="5" t="s">
        <v>218</v>
      </c>
      <c r="J229" s="25" t="s">
        <v>219</v>
      </c>
      <c r="K229" s="25"/>
      <c r="L229" s="25"/>
      <c r="M229" s="5" t="s">
        <v>220</v>
      </c>
      <c r="N229" s="5" t="s">
        <v>68</v>
      </c>
      <c r="O229" s="5" t="s">
        <v>96</v>
      </c>
      <c r="P229" s="5" t="s">
        <v>70</v>
      </c>
      <c r="Q229" s="5" t="s">
        <v>89</v>
      </c>
      <c r="R229" s="5" t="s">
        <v>110</v>
      </c>
      <c r="S229" s="5"/>
      <c r="T229" s="5"/>
      <c r="U229" s="5"/>
      <c r="V229" s="5">
        <v>3500.0</v>
      </c>
      <c r="W229" s="26">
        <v>2.1</v>
      </c>
      <c r="X229" s="5">
        <v>1667.0</v>
      </c>
      <c r="Y229" s="27">
        <v>0.0</v>
      </c>
      <c r="Z229" s="28">
        <v>1667.0</v>
      </c>
      <c r="AA229" s="27">
        <v>1.0</v>
      </c>
      <c r="AB229" s="5" t="s">
        <v>78</v>
      </c>
      <c r="AC229" s="27"/>
      <c r="AD229" s="5"/>
      <c r="AE229" s="5" t="s">
        <v>166</v>
      </c>
      <c r="AF229" s="5" t="s">
        <v>81</v>
      </c>
      <c r="AG229" s="5"/>
      <c r="AH229" s="5">
        <v>1.0</v>
      </c>
      <c r="AI229" s="5" t="s">
        <v>0</v>
      </c>
      <c r="AJ229" s="5" t="s">
        <v>386</v>
      </c>
      <c r="AK229" s="30"/>
      <c r="AL229" s="28">
        <v>0.0</v>
      </c>
      <c r="AM229" s="28">
        <v>0.0</v>
      </c>
      <c r="AN229" s="28">
        <v>219.0</v>
      </c>
      <c r="AO229" s="28">
        <v>0.0</v>
      </c>
      <c r="AP229" s="28">
        <v>0.0</v>
      </c>
      <c r="AQ229" s="28">
        <v>0.0</v>
      </c>
      <c r="AR229" s="28">
        <v>0.0</v>
      </c>
      <c r="AS229" s="28">
        <v>0.0</v>
      </c>
      <c r="AT229" s="28">
        <v>0.0</v>
      </c>
      <c r="AU229" s="28">
        <v>0.0</v>
      </c>
      <c r="AV229" s="28">
        <v>0.0</v>
      </c>
      <c r="AW229" s="28">
        <v>0.0</v>
      </c>
      <c r="AX229" s="28">
        <v>333714.2857142857</v>
      </c>
      <c r="AY229" s="28">
        <v>0.0</v>
      </c>
      <c r="AZ229" s="5" t="s">
        <v>124</v>
      </c>
      <c r="BA229" s="5" t="s">
        <v>226</v>
      </c>
      <c r="BB229" s="5" t="s">
        <v>227</v>
      </c>
      <c r="BC229" s="5" t="s">
        <v>1558</v>
      </c>
      <c r="BD229" s="5" t="s">
        <v>68</v>
      </c>
      <c r="BE229" s="5" t="s">
        <v>89</v>
      </c>
      <c r="BF229" s="5" t="s">
        <v>132</v>
      </c>
      <c r="BG229" s="5" t="s">
        <v>91</v>
      </c>
    </row>
    <row r="230" ht="16.5" hidden="1" customHeight="1">
      <c r="A230" s="5" t="s">
        <v>100</v>
      </c>
      <c r="B230" s="5" t="s">
        <v>215</v>
      </c>
      <c r="C230" s="5" t="b">
        <v>0</v>
      </c>
      <c r="D230" s="5" t="s">
        <v>856</v>
      </c>
      <c r="E230" s="5" t="s">
        <v>857</v>
      </c>
      <c r="F230" s="5"/>
      <c r="G230" s="5" t="s">
        <v>65</v>
      </c>
      <c r="H230" s="5" t="s">
        <v>76</v>
      </c>
      <c r="I230" s="5" t="s">
        <v>218</v>
      </c>
      <c r="J230" s="25" t="s">
        <v>219</v>
      </c>
      <c r="K230" s="25"/>
      <c r="L230" s="25"/>
      <c r="M230" s="5" t="s">
        <v>220</v>
      </c>
      <c r="N230" s="5" t="s">
        <v>68</v>
      </c>
      <c r="O230" s="5" t="s">
        <v>96</v>
      </c>
      <c r="P230" s="5" t="s">
        <v>107</v>
      </c>
      <c r="Q230" s="5" t="s">
        <v>89</v>
      </c>
      <c r="R230" s="5" t="s">
        <v>110</v>
      </c>
      <c r="S230" s="5"/>
      <c r="T230" s="5"/>
      <c r="U230" s="5"/>
      <c r="V230" s="5">
        <v>3500.0</v>
      </c>
      <c r="W230" s="26">
        <v>2.1</v>
      </c>
      <c r="X230" s="5">
        <v>1667.0</v>
      </c>
      <c r="Y230" s="27">
        <v>0.0</v>
      </c>
      <c r="Z230" s="28">
        <v>1667.0</v>
      </c>
      <c r="AA230" s="27">
        <v>1.0</v>
      </c>
      <c r="AB230" s="5" t="s">
        <v>78</v>
      </c>
      <c r="AC230" s="27"/>
      <c r="AD230" s="5"/>
      <c r="AE230" s="5" t="s">
        <v>166</v>
      </c>
      <c r="AF230" s="5" t="s">
        <v>81</v>
      </c>
      <c r="AG230" s="5"/>
      <c r="AH230" s="5">
        <v>1.0</v>
      </c>
      <c r="AI230" s="5" t="s">
        <v>0</v>
      </c>
      <c r="AJ230" s="5" t="s">
        <v>386</v>
      </c>
      <c r="AK230" s="30"/>
      <c r="AL230" s="28">
        <v>0.0</v>
      </c>
      <c r="AM230" s="28">
        <v>0.0</v>
      </c>
      <c r="AN230" s="28">
        <v>187.0</v>
      </c>
      <c r="AO230" s="28">
        <v>0.0</v>
      </c>
      <c r="AP230" s="28">
        <v>0.0</v>
      </c>
      <c r="AQ230" s="28">
        <v>0.0</v>
      </c>
      <c r="AR230" s="28">
        <v>0.0</v>
      </c>
      <c r="AS230" s="28">
        <v>0.0</v>
      </c>
      <c r="AT230" s="28">
        <v>0.0</v>
      </c>
      <c r="AU230" s="28">
        <v>0.0</v>
      </c>
      <c r="AV230" s="28">
        <v>0.0</v>
      </c>
      <c r="AW230" s="28">
        <v>0.0</v>
      </c>
      <c r="AX230" s="28">
        <v>284952.38095238095</v>
      </c>
      <c r="AY230" s="28">
        <v>0.0</v>
      </c>
      <c r="AZ230" s="5" t="s">
        <v>124</v>
      </c>
      <c r="BA230" s="5" t="s">
        <v>226</v>
      </c>
      <c r="BB230" s="5" t="s">
        <v>227</v>
      </c>
      <c r="BC230" s="5" t="s">
        <v>1558</v>
      </c>
      <c r="BD230" s="5" t="s">
        <v>68</v>
      </c>
      <c r="BE230" s="5" t="s">
        <v>89</v>
      </c>
      <c r="BF230" s="5" t="s">
        <v>132</v>
      </c>
      <c r="BG230" s="5" t="s">
        <v>91</v>
      </c>
    </row>
    <row r="231" ht="16.5" hidden="1" customHeight="1">
      <c r="A231" s="5" t="s">
        <v>100</v>
      </c>
      <c r="B231" s="5" t="s">
        <v>215</v>
      </c>
      <c r="C231" s="5" t="b">
        <v>0</v>
      </c>
      <c r="D231" s="5" t="s">
        <v>881</v>
      </c>
      <c r="E231" s="5" t="s">
        <v>882</v>
      </c>
      <c r="F231" s="5"/>
      <c r="G231" s="5" t="s">
        <v>65</v>
      </c>
      <c r="H231" s="5" t="s">
        <v>76</v>
      </c>
      <c r="I231" s="5" t="s">
        <v>218</v>
      </c>
      <c r="J231" s="25" t="s">
        <v>219</v>
      </c>
      <c r="K231" s="25"/>
      <c r="L231" s="25"/>
      <c r="M231" s="5" t="s">
        <v>220</v>
      </c>
      <c r="N231" s="5" t="s">
        <v>68</v>
      </c>
      <c r="O231" s="5" t="s">
        <v>96</v>
      </c>
      <c r="P231" s="5" t="s">
        <v>70</v>
      </c>
      <c r="Q231" s="5" t="s">
        <v>180</v>
      </c>
      <c r="R231" s="5" t="s">
        <v>181</v>
      </c>
      <c r="S231" s="5"/>
      <c r="T231" s="5"/>
      <c r="U231" s="5"/>
      <c r="V231" s="5">
        <v>3100.0</v>
      </c>
      <c r="W231" s="26">
        <v>2.1</v>
      </c>
      <c r="X231" s="5">
        <v>1476.0</v>
      </c>
      <c r="Y231" s="27">
        <v>0.0</v>
      </c>
      <c r="Z231" s="28">
        <v>1476.0</v>
      </c>
      <c r="AA231" s="27">
        <v>1.0</v>
      </c>
      <c r="AB231" s="5" t="s">
        <v>78</v>
      </c>
      <c r="AC231" s="27"/>
      <c r="AD231" s="5"/>
      <c r="AE231" s="5" t="s">
        <v>166</v>
      </c>
      <c r="AF231" s="5" t="s">
        <v>81</v>
      </c>
      <c r="AG231" s="5"/>
      <c r="AH231" s="5">
        <v>1.0</v>
      </c>
      <c r="AI231" s="5" t="s">
        <v>0</v>
      </c>
      <c r="AJ231" s="5" t="s">
        <v>386</v>
      </c>
      <c r="AK231" s="30"/>
      <c r="AL231" s="28">
        <v>0.0</v>
      </c>
      <c r="AM231" s="28">
        <v>0.0</v>
      </c>
      <c r="AN231" s="28">
        <v>187.0</v>
      </c>
      <c r="AO231" s="28">
        <v>0.0</v>
      </c>
      <c r="AP231" s="28">
        <v>0.0</v>
      </c>
      <c r="AQ231" s="28">
        <v>0.0</v>
      </c>
      <c r="AR231" s="28">
        <v>0.0</v>
      </c>
      <c r="AS231" s="28">
        <v>0.0</v>
      </c>
      <c r="AT231" s="28">
        <v>0.0</v>
      </c>
      <c r="AU231" s="28">
        <v>0.0</v>
      </c>
      <c r="AV231" s="28">
        <v>0.0</v>
      </c>
      <c r="AW231" s="28">
        <v>0.0</v>
      </c>
      <c r="AX231" s="28">
        <v>249333.3333333333</v>
      </c>
      <c r="AY231" s="28">
        <v>0.0</v>
      </c>
      <c r="AZ231" s="5" t="s">
        <v>124</v>
      </c>
      <c r="BA231" s="5" t="s">
        <v>226</v>
      </c>
      <c r="BB231" s="5" t="s">
        <v>227</v>
      </c>
      <c r="BC231" s="5" t="s">
        <v>1558</v>
      </c>
      <c r="BD231" s="5" t="s">
        <v>68</v>
      </c>
      <c r="BE231" s="5" t="s">
        <v>128</v>
      </c>
      <c r="BF231" s="5" t="s">
        <v>132</v>
      </c>
      <c r="BG231" s="5" t="s">
        <v>91</v>
      </c>
    </row>
    <row r="232" ht="16.5" hidden="1" customHeight="1">
      <c r="A232" s="5" t="s">
        <v>100</v>
      </c>
      <c r="B232" s="5" t="s">
        <v>215</v>
      </c>
      <c r="C232" s="5" t="b">
        <v>0</v>
      </c>
      <c r="D232" s="5" t="s">
        <v>890</v>
      </c>
      <c r="E232" s="5" t="s">
        <v>891</v>
      </c>
      <c r="F232" s="5"/>
      <c r="G232" s="5" t="s">
        <v>65</v>
      </c>
      <c r="H232" s="5" t="s">
        <v>76</v>
      </c>
      <c r="I232" s="5" t="s">
        <v>218</v>
      </c>
      <c r="J232" s="25" t="s">
        <v>219</v>
      </c>
      <c r="K232" s="25"/>
      <c r="L232" s="25"/>
      <c r="M232" s="5" t="s">
        <v>220</v>
      </c>
      <c r="N232" s="5" t="s">
        <v>68</v>
      </c>
      <c r="O232" s="5" t="s">
        <v>96</v>
      </c>
      <c r="P232" s="5" t="s">
        <v>107</v>
      </c>
      <c r="Q232" s="5" t="s">
        <v>180</v>
      </c>
      <c r="R232" s="5" t="s">
        <v>181</v>
      </c>
      <c r="S232" s="5"/>
      <c r="T232" s="5"/>
      <c r="U232" s="5"/>
      <c r="V232" s="5">
        <v>3100.0</v>
      </c>
      <c r="W232" s="26">
        <v>2.1</v>
      </c>
      <c r="X232" s="5">
        <v>1476.0</v>
      </c>
      <c r="Y232" s="27">
        <v>0.0</v>
      </c>
      <c r="Z232" s="28">
        <v>1476.0</v>
      </c>
      <c r="AA232" s="27">
        <v>1.0</v>
      </c>
      <c r="AB232" s="5" t="s">
        <v>78</v>
      </c>
      <c r="AC232" s="27"/>
      <c r="AD232" s="5"/>
      <c r="AE232" s="5" t="s">
        <v>166</v>
      </c>
      <c r="AF232" s="5" t="s">
        <v>81</v>
      </c>
      <c r="AG232" s="5"/>
      <c r="AH232" s="5">
        <v>1.0</v>
      </c>
      <c r="AI232" s="5" t="s">
        <v>0</v>
      </c>
      <c r="AJ232" s="5" t="s">
        <v>386</v>
      </c>
      <c r="AK232" s="30"/>
      <c r="AL232" s="28">
        <v>0.0</v>
      </c>
      <c r="AM232" s="28">
        <v>0.0</v>
      </c>
      <c r="AN232" s="28">
        <v>165.0</v>
      </c>
      <c r="AO232" s="28">
        <v>0.0</v>
      </c>
      <c r="AP232" s="28">
        <v>0.0</v>
      </c>
      <c r="AQ232" s="28">
        <v>0.0</v>
      </c>
      <c r="AR232" s="28">
        <v>0.0</v>
      </c>
      <c r="AS232" s="28">
        <v>0.0</v>
      </c>
      <c r="AT232" s="28">
        <v>0.0</v>
      </c>
      <c r="AU232" s="28">
        <v>0.0</v>
      </c>
      <c r="AV232" s="28">
        <v>0.0</v>
      </c>
      <c r="AW232" s="28">
        <v>0.0</v>
      </c>
      <c r="AX232" s="28">
        <v>220000.0</v>
      </c>
      <c r="AY232" s="28">
        <v>0.0</v>
      </c>
      <c r="AZ232" s="5" t="s">
        <v>124</v>
      </c>
      <c r="BA232" s="5" t="s">
        <v>226</v>
      </c>
      <c r="BB232" s="5" t="s">
        <v>227</v>
      </c>
      <c r="BC232" s="5" t="s">
        <v>1558</v>
      </c>
      <c r="BD232" s="5" t="s">
        <v>68</v>
      </c>
      <c r="BE232" s="5" t="s">
        <v>128</v>
      </c>
      <c r="BF232" s="5" t="s">
        <v>132</v>
      </c>
      <c r="BG232" s="5" t="s">
        <v>91</v>
      </c>
    </row>
    <row r="233" ht="16.5" hidden="1" customHeight="1">
      <c r="A233" s="5" t="s">
        <v>100</v>
      </c>
      <c r="B233" s="5" t="s">
        <v>137</v>
      </c>
      <c r="C233" s="5" t="b">
        <v>1</v>
      </c>
      <c r="D233" s="5" t="s">
        <v>488</v>
      </c>
      <c r="E233" s="5" t="s">
        <v>489</v>
      </c>
      <c r="F233" s="5"/>
      <c r="G233" s="5" t="s">
        <v>65</v>
      </c>
      <c r="H233" s="5" t="s">
        <v>76</v>
      </c>
      <c r="I233" s="5" t="s">
        <v>82</v>
      </c>
      <c r="J233" s="25" t="s">
        <v>1562</v>
      </c>
      <c r="K233" s="25"/>
      <c r="L233" s="25" t="s">
        <v>156</v>
      </c>
      <c r="M233" s="5" t="s">
        <v>66</v>
      </c>
      <c r="N233" s="5" t="s">
        <v>270</v>
      </c>
      <c r="O233" s="5" t="s">
        <v>141</v>
      </c>
      <c r="P233" s="5" t="s">
        <v>70</v>
      </c>
      <c r="Q233" s="5" t="s">
        <v>981</v>
      </c>
      <c r="R233" s="5" t="s">
        <v>110</v>
      </c>
      <c r="S233" s="5"/>
      <c r="T233" s="5"/>
      <c r="U233" s="5"/>
      <c r="V233" s="5">
        <v>800.0</v>
      </c>
      <c r="W233" s="26">
        <v>2.1</v>
      </c>
      <c r="X233" s="5">
        <v>381.0</v>
      </c>
      <c r="Y233" s="27">
        <v>0.2</v>
      </c>
      <c r="Z233" s="28">
        <v>304.8</v>
      </c>
      <c r="AA233" s="27">
        <v>1.0</v>
      </c>
      <c r="AB233" s="5" t="s">
        <v>78</v>
      </c>
      <c r="AC233" s="27"/>
      <c r="AD233" s="5"/>
      <c r="AE233" s="5" t="s">
        <v>273</v>
      </c>
      <c r="AF233" s="5" t="s">
        <v>81</v>
      </c>
      <c r="AG233" s="5"/>
      <c r="AH233" s="5">
        <v>0.0</v>
      </c>
      <c r="AI233" s="5" t="s">
        <v>1564</v>
      </c>
      <c r="AJ233" s="5" t="s">
        <v>156</v>
      </c>
      <c r="AK233" s="30">
        <v>2000.0</v>
      </c>
      <c r="AL233" s="28">
        <v>190.0</v>
      </c>
      <c r="AM233" s="28">
        <v>0.0</v>
      </c>
      <c r="AN233" s="28">
        <v>350.0</v>
      </c>
      <c r="AO233" s="28">
        <v>170.0</v>
      </c>
      <c r="AP233" s="28">
        <v>762000.0</v>
      </c>
      <c r="AQ233" s="28">
        <v>72380.5</v>
      </c>
      <c r="AR233" s="28">
        <v>72930.0</v>
      </c>
      <c r="AS233" s="28">
        <v>0.0</v>
      </c>
      <c r="AT233" s="28">
        <v>72930.0</v>
      </c>
      <c r="AU233" s="28">
        <v>609600.0</v>
      </c>
      <c r="AV233" s="28">
        <v>59374.999999999985</v>
      </c>
      <c r="AW233" s="28">
        <v>0.0</v>
      </c>
      <c r="AX233" s="28">
        <v>110054.2857142857</v>
      </c>
      <c r="AY233" s="28">
        <v>73703.50000000001</v>
      </c>
      <c r="AZ233" s="5" t="s">
        <v>124</v>
      </c>
      <c r="BA233" s="5" t="s">
        <v>125</v>
      </c>
      <c r="BB233" s="5" t="s">
        <v>127</v>
      </c>
      <c r="BD233" s="5" t="s">
        <v>276</v>
      </c>
      <c r="BE233" s="5" t="s">
        <v>457</v>
      </c>
      <c r="BF233" s="5" t="s">
        <v>501</v>
      </c>
      <c r="BG233" s="5" t="s">
        <v>131</v>
      </c>
    </row>
    <row r="234" ht="16.5" hidden="1" customHeight="1">
      <c r="A234" s="5" t="s">
        <v>100</v>
      </c>
      <c r="B234" s="5" t="s">
        <v>137</v>
      </c>
      <c r="C234" s="5" t="b">
        <v>1</v>
      </c>
      <c r="D234" s="5" t="s">
        <v>503</v>
      </c>
      <c r="E234" s="5" t="s">
        <v>504</v>
      </c>
      <c r="F234" s="5"/>
      <c r="G234" s="5" t="s">
        <v>65</v>
      </c>
      <c r="H234" s="5" t="s">
        <v>76</v>
      </c>
      <c r="I234" s="5" t="s">
        <v>82</v>
      </c>
      <c r="J234" s="25" t="s">
        <v>1562</v>
      </c>
      <c r="K234" s="25"/>
      <c r="L234" s="25" t="s">
        <v>156</v>
      </c>
      <c r="M234" s="5" t="s">
        <v>66</v>
      </c>
      <c r="N234" s="5" t="s">
        <v>270</v>
      </c>
      <c r="O234" s="5" t="s">
        <v>141</v>
      </c>
      <c r="P234" s="5" t="s">
        <v>107</v>
      </c>
      <c r="Q234" s="5" t="s">
        <v>981</v>
      </c>
      <c r="R234" s="5" t="s">
        <v>110</v>
      </c>
      <c r="S234" s="5"/>
      <c r="T234" s="5"/>
      <c r="U234" s="5"/>
      <c r="V234" s="5">
        <v>800.0</v>
      </c>
      <c r="W234" s="26">
        <v>2.1</v>
      </c>
      <c r="X234" s="5">
        <v>381.0</v>
      </c>
      <c r="Y234" s="27">
        <v>0.2</v>
      </c>
      <c r="Z234" s="28">
        <v>304.8</v>
      </c>
      <c r="AA234" s="27">
        <v>1.0</v>
      </c>
      <c r="AB234" s="5" t="s">
        <v>78</v>
      </c>
      <c r="AC234" s="27"/>
      <c r="AD234" s="5"/>
      <c r="AE234" s="5" t="s">
        <v>273</v>
      </c>
      <c r="AF234" s="5" t="s">
        <v>81</v>
      </c>
      <c r="AG234" s="5"/>
      <c r="AH234" s="5">
        <v>0.0</v>
      </c>
      <c r="AI234" s="5" t="s">
        <v>1564</v>
      </c>
      <c r="AJ234" s="5" t="s">
        <v>156</v>
      </c>
      <c r="AK234" s="30">
        <v>1500.0</v>
      </c>
      <c r="AL234" s="28">
        <v>110.0</v>
      </c>
      <c r="AM234" s="28">
        <v>0.0</v>
      </c>
      <c r="AN234" s="28">
        <v>100.0</v>
      </c>
      <c r="AO234" s="28">
        <v>70.0</v>
      </c>
      <c r="AP234" s="28">
        <v>571500.0</v>
      </c>
      <c r="AQ234" s="28">
        <v>41904.5</v>
      </c>
      <c r="AR234" s="28">
        <v>30030.0</v>
      </c>
      <c r="AS234" s="28">
        <v>0.0</v>
      </c>
      <c r="AT234" s="28">
        <v>30030.0</v>
      </c>
      <c r="AU234" s="28">
        <v>457200.0</v>
      </c>
      <c r="AV234" s="28">
        <v>34374.99999999999</v>
      </c>
      <c r="AW234" s="28">
        <v>0.0</v>
      </c>
      <c r="AX234" s="28">
        <v>31249.999999999993</v>
      </c>
      <c r="AY234" s="28">
        <v>30348.5</v>
      </c>
      <c r="AZ234" s="5" t="s">
        <v>124</v>
      </c>
      <c r="BA234" s="5" t="s">
        <v>125</v>
      </c>
      <c r="BB234" s="5" t="s">
        <v>127</v>
      </c>
      <c r="BD234" s="5" t="s">
        <v>276</v>
      </c>
      <c r="BE234" s="5" t="s">
        <v>457</v>
      </c>
      <c r="BF234" s="5" t="s">
        <v>501</v>
      </c>
      <c r="BG234" s="5" t="s">
        <v>131</v>
      </c>
    </row>
    <row r="235" ht="16.5" hidden="1" customHeight="1">
      <c r="A235" s="5" t="s">
        <v>100</v>
      </c>
      <c r="B235" s="5" t="s">
        <v>137</v>
      </c>
      <c r="C235" s="5" t="b">
        <v>0</v>
      </c>
      <c r="D235" s="5" t="s">
        <v>789</v>
      </c>
      <c r="E235" s="5" t="s">
        <v>790</v>
      </c>
      <c r="F235" s="5"/>
      <c r="G235" s="5" t="s">
        <v>65</v>
      </c>
      <c r="H235" s="5" t="s">
        <v>74</v>
      </c>
      <c r="I235" s="5" t="s">
        <v>106</v>
      </c>
      <c r="J235" s="25" t="s">
        <v>267</v>
      </c>
      <c r="K235" s="25"/>
      <c r="L235" s="25" t="s">
        <v>156</v>
      </c>
      <c r="M235" s="5" t="s">
        <v>66</v>
      </c>
      <c r="N235" s="5" t="s">
        <v>270</v>
      </c>
      <c r="O235" s="5" t="s">
        <v>141</v>
      </c>
      <c r="P235" s="5" t="s">
        <v>70</v>
      </c>
      <c r="Q235" s="5" t="s">
        <v>526</v>
      </c>
      <c r="R235" s="5" t="s">
        <v>110</v>
      </c>
      <c r="S235" s="5"/>
      <c r="T235" s="5"/>
      <c r="U235" s="5"/>
      <c r="V235" s="5">
        <v>950.0</v>
      </c>
      <c r="W235" s="26">
        <v>2.1</v>
      </c>
      <c r="X235" s="5">
        <v>452.0</v>
      </c>
      <c r="Y235" s="27">
        <v>0.0</v>
      </c>
      <c r="Z235" s="28">
        <v>452.0</v>
      </c>
      <c r="AA235" s="27">
        <v>1.0</v>
      </c>
      <c r="AB235" s="5" t="s">
        <v>78</v>
      </c>
      <c r="AC235" s="27"/>
      <c r="AD235" s="5"/>
      <c r="AE235" s="5" t="s">
        <v>273</v>
      </c>
      <c r="AF235" s="5" t="s">
        <v>81</v>
      </c>
      <c r="AG235" s="5"/>
      <c r="AH235" s="5">
        <v>2.0</v>
      </c>
      <c r="AI235" s="5" t="s">
        <v>792</v>
      </c>
      <c r="AJ235" s="5" t="s">
        <v>156</v>
      </c>
      <c r="AK235" s="30"/>
      <c r="AL235" s="28">
        <v>0.0</v>
      </c>
      <c r="AM235" s="28">
        <v>0.0</v>
      </c>
      <c r="AN235" s="28">
        <v>500.0</v>
      </c>
      <c r="AO235" s="28">
        <v>620.0</v>
      </c>
      <c r="AP235" s="28">
        <v>0.0</v>
      </c>
      <c r="AQ235" s="28">
        <v>0.0</v>
      </c>
      <c r="AR235" s="28">
        <v>295120.0</v>
      </c>
      <c r="AS235" s="28">
        <v>0.0</v>
      </c>
      <c r="AT235" s="28">
        <v>295120.0</v>
      </c>
      <c r="AU235" s="28">
        <v>0.0</v>
      </c>
      <c r="AV235" s="28">
        <v>0.0</v>
      </c>
      <c r="AW235" s="28">
        <v>0.0</v>
      </c>
      <c r="AX235" s="28">
        <v>196199.99999999997</v>
      </c>
      <c r="AY235" s="28">
        <v>163619.55000000002</v>
      </c>
      <c r="AZ235" s="5" t="s">
        <v>124</v>
      </c>
      <c r="BA235" s="5" t="s">
        <v>125</v>
      </c>
      <c r="BB235" s="5" t="s">
        <v>127</v>
      </c>
      <c r="BD235" s="5" t="s">
        <v>276</v>
      </c>
      <c r="BE235" s="5" t="s">
        <v>89</v>
      </c>
      <c r="BF235" s="5" t="s">
        <v>501</v>
      </c>
      <c r="BG235" s="5" t="s">
        <v>131</v>
      </c>
      <c r="BH235" s="5" t="s">
        <v>281</v>
      </c>
    </row>
    <row r="236" ht="16.5" hidden="1" customHeight="1">
      <c r="A236" s="5" t="s">
        <v>100</v>
      </c>
      <c r="B236" s="5" t="s">
        <v>137</v>
      </c>
      <c r="C236" s="5" t="b">
        <v>0</v>
      </c>
      <c r="D236" s="5" t="s">
        <v>794</v>
      </c>
      <c r="E236" s="5" t="s">
        <v>795</v>
      </c>
      <c r="F236" s="5"/>
      <c r="G236" s="5" t="s">
        <v>65</v>
      </c>
      <c r="H236" s="5" t="s">
        <v>74</v>
      </c>
      <c r="I236" s="5" t="s">
        <v>106</v>
      </c>
      <c r="J236" s="25" t="s">
        <v>267</v>
      </c>
      <c r="K236" s="25"/>
      <c r="L236" s="25" t="s">
        <v>156</v>
      </c>
      <c r="M236" s="5" t="s">
        <v>66</v>
      </c>
      <c r="N236" s="5" t="s">
        <v>270</v>
      </c>
      <c r="O236" s="5" t="s">
        <v>141</v>
      </c>
      <c r="P236" s="5" t="s">
        <v>107</v>
      </c>
      <c r="Q236" s="5" t="s">
        <v>526</v>
      </c>
      <c r="R236" s="5" t="s">
        <v>110</v>
      </c>
      <c r="S236" s="5"/>
      <c r="T236" s="5"/>
      <c r="U236" s="5"/>
      <c r="V236" s="5">
        <v>950.0</v>
      </c>
      <c r="W236" s="26">
        <v>2.1</v>
      </c>
      <c r="X236" s="5">
        <v>452.0</v>
      </c>
      <c r="Y236" s="27">
        <v>0.0</v>
      </c>
      <c r="Z236" s="28">
        <v>452.0</v>
      </c>
      <c r="AA236" s="27">
        <v>1.0</v>
      </c>
      <c r="AB236" s="5" t="s">
        <v>78</v>
      </c>
      <c r="AC236" s="27"/>
      <c r="AD236" s="5"/>
      <c r="AE236" s="5" t="s">
        <v>273</v>
      </c>
      <c r="AF236" s="5" t="s">
        <v>81</v>
      </c>
      <c r="AG236" s="5"/>
      <c r="AH236" s="5">
        <v>2.0</v>
      </c>
      <c r="AI236" s="5" t="s">
        <v>796</v>
      </c>
      <c r="AJ236" s="5" t="s">
        <v>156</v>
      </c>
      <c r="AK236" s="30"/>
      <c r="AL236" s="28">
        <v>0.0</v>
      </c>
      <c r="AM236" s="28">
        <v>0.0</v>
      </c>
      <c r="AN236" s="28">
        <v>400.0</v>
      </c>
      <c r="AO236" s="28">
        <v>93.0</v>
      </c>
      <c r="AP236" s="28">
        <v>0.0</v>
      </c>
      <c r="AQ236" s="28">
        <v>0.0</v>
      </c>
      <c r="AR236" s="28">
        <v>44268.0</v>
      </c>
      <c r="AS236" s="28">
        <v>0.0</v>
      </c>
      <c r="AT236" s="28">
        <v>44268.0</v>
      </c>
      <c r="AU236" s="28">
        <v>0.0</v>
      </c>
      <c r="AV236" s="28">
        <v>0.0</v>
      </c>
      <c r="AW236" s="28">
        <v>0.0</v>
      </c>
      <c r="AX236" s="28">
        <v>156959.99999999997</v>
      </c>
      <c r="AY236" s="28">
        <v>24542.9325</v>
      </c>
      <c r="AZ236" s="5" t="s">
        <v>124</v>
      </c>
      <c r="BA236" s="5" t="s">
        <v>125</v>
      </c>
      <c r="BB236" s="5" t="s">
        <v>127</v>
      </c>
      <c r="BD236" s="5" t="s">
        <v>276</v>
      </c>
      <c r="BE236" s="5" t="s">
        <v>89</v>
      </c>
      <c r="BF236" s="5" t="s">
        <v>501</v>
      </c>
      <c r="BG236" s="5" t="s">
        <v>131</v>
      </c>
      <c r="BH236" s="5" t="s">
        <v>281</v>
      </c>
    </row>
    <row r="237" ht="16.5" hidden="1" customHeight="1">
      <c r="A237" s="5" t="s">
        <v>100</v>
      </c>
      <c r="B237" s="5" t="s">
        <v>200</v>
      </c>
      <c r="C237" s="5" t="b">
        <v>1</v>
      </c>
      <c r="D237" s="5" t="s">
        <v>797</v>
      </c>
      <c r="E237" s="5" t="s">
        <v>799</v>
      </c>
      <c r="F237" s="5"/>
      <c r="G237" s="5" t="s">
        <v>65</v>
      </c>
      <c r="H237" s="5" t="s">
        <v>74</v>
      </c>
      <c r="I237" s="5" t="s">
        <v>82</v>
      </c>
      <c r="J237" s="25"/>
      <c r="K237" s="25"/>
      <c r="L237" s="25"/>
      <c r="M237" s="5" t="s">
        <v>66</v>
      </c>
      <c r="N237" s="5" t="s">
        <v>334</v>
      </c>
      <c r="O237" s="5" t="s">
        <v>69</v>
      </c>
      <c r="P237" s="5" t="s">
        <v>107</v>
      </c>
      <c r="Q237" s="5" t="s">
        <v>805</v>
      </c>
      <c r="R237" s="5" t="s">
        <v>110</v>
      </c>
      <c r="S237" s="5"/>
      <c r="T237" s="5"/>
      <c r="U237" s="5"/>
      <c r="V237" s="5">
        <v>600.0</v>
      </c>
      <c r="W237" s="26">
        <v>2.1</v>
      </c>
      <c r="X237" s="5">
        <v>286.0</v>
      </c>
      <c r="Y237" s="27">
        <v>0.2</v>
      </c>
      <c r="Z237" s="28">
        <v>228.8</v>
      </c>
      <c r="AA237" s="27">
        <v>1.0</v>
      </c>
      <c r="AB237" s="5" t="s">
        <v>117</v>
      </c>
      <c r="AC237" s="27">
        <v>0.6459999999999999</v>
      </c>
      <c r="AD237" s="5"/>
      <c r="AE237" s="5" t="s">
        <v>81</v>
      </c>
      <c r="AF237" s="5" t="s">
        <v>81</v>
      </c>
      <c r="AG237" s="5">
        <v>3.0</v>
      </c>
      <c r="AH237" s="5">
        <v>3.0</v>
      </c>
      <c r="AI237" s="5" t="s">
        <v>0</v>
      </c>
      <c r="AJ237" s="5" t="s">
        <v>0</v>
      </c>
      <c r="AK237" s="30">
        <v>3600.0</v>
      </c>
      <c r="AL237" s="28">
        <v>3602.0</v>
      </c>
      <c r="AM237" s="28">
        <v>2846.0</v>
      </c>
      <c r="AN237" s="28">
        <v>0.0</v>
      </c>
      <c r="AO237" s="28">
        <v>0.0</v>
      </c>
      <c r="AP237" s="28">
        <v>1029600.0</v>
      </c>
      <c r="AQ237" s="28">
        <v>1029127.42</v>
      </c>
      <c r="AR237" s="28">
        <v>0.0</v>
      </c>
      <c r="AS237" s="28">
        <v>0.0</v>
      </c>
      <c r="AT237" s="28">
        <v>0.0</v>
      </c>
      <c r="AU237" s="28">
        <v>823680.0</v>
      </c>
      <c r="AV237" s="28">
        <v>716141.8287929122</v>
      </c>
      <c r="AW237" s="28">
        <v>524559.437826</v>
      </c>
      <c r="AX237" s="28">
        <v>0.0</v>
      </c>
      <c r="AY237" s="28">
        <v>0.0</v>
      </c>
      <c r="AZ237" s="5"/>
      <c r="BA237" s="5" t="s">
        <v>125</v>
      </c>
      <c r="BB237" s="5" t="s">
        <v>127</v>
      </c>
      <c r="BD237" s="5" t="s">
        <v>334</v>
      </c>
      <c r="BE237" s="5" t="s">
        <v>348</v>
      </c>
      <c r="BF237" s="5" t="s">
        <v>539</v>
      </c>
      <c r="BG237" s="5" t="s">
        <v>131</v>
      </c>
    </row>
    <row r="238" ht="16.5" hidden="1" customHeight="1">
      <c r="A238" s="5" t="s">
        <v>100</v>
      </c>
      <c r="B238" s="5" t="s">
        <v>200</v>
      </c>
      <c r="C238" s="5" t="b">
        <v>0</v>
      </c>
      <c r="D238" s="5" t="s">
        <v>801</v>
      </c>
      <c r="E238" s="5" t="s">
        <v>802</v>
      </c>
      <c r="F238" s="5"/>
      <c r="G238" s="5" t="s">
        <v>65</v>
      </c>
      <c r="H238" s="5" t="s">
        <v>74</v>
      </c>
      <c r="I238" s="5" t="s">
        <v>106</v>
      </c>
      <c r="J238" s="25" t="s">
        <v>164</v>
      </c>
      <c r="K238" s="25"/>
      <c r="L238" s="25"/>
      <c r="M238" s="5" t="s">
        <v>66</v>
      </c>
      <c r="N238" s="5" t="s">
        <v>334</v>
      </c>
      <c r="O238" s="5" t="s">
        <v>69</v>
      </c>
      <c r="P238" s="5" t="s">
        <v>70</v>
      </c>
      <c r="Q238" s="5" t="s">
        <v>805</v>
      </c>
      <c r="R238" s="5" t="s">
        <v>110</v>
      </c>
      <c r="S238" s="5"/>
      <c r="T238" s="5"/>
      <c r="U238" s="5"/>
      <c r="V238" s="5">
        <v>650.0</v>
      </c>
      <c r="W238" s="26">
        <v>2.1</v>
      </c>
      <c r="X238" s="5">
        <v>310.0</v>
      </c>
      <c r="Y238" s="27">
        <v>0.0</v>
      </c>
      <c r="Z238" s="28">
        <v>310.0</v>
      </c>
      <c r="AA238" s="27">
        <v>1.0</v>
      </c>
      <c r="AB238" s="5" t="s">
        <v>117</v>
      </c>
      <c r="AC238" s="27"/>
      <c r="AD238" s="5"/>
      <c r="AE238" s="5" t="s">
        <v>81</v>
      </c>
      <c r="AF238" s="5" t="s">
        <v>81</v>
      </c>
      <c r="AG238" s="5"/>
      <c r="AH238" s="5">
        <v>6.0</v>
      </c>
      <c r="AI238" s="5" t="s">
        <v>0</v>
      </c>
      <c r="AJ238" s="5" t="s">
        <v>0</v>
      </c>
      <c r="AK238" s="30"/>
      <c r="AL238" s="28">
        <v>4826.0</v>
      </c>
      <c r="AM238" s="28">
        <v>3804.0</v>
      </c>
      <c r="AN238" s="28">
        <v>0.0</v>
      </c>
      <c r="AO238" s="28">
        <v>0.0</v>
      </c>
      <c r="AP238" s="28">
        <v>0.0</v>
      </c>
      <c r="AQ238" s="28">
        <v>1493743.5200000005</v>
      </c>
      <c r="AR238" s="28">
        <v>0.0</v>
      </c>
      <c r="AS238" s="28">
        <v>0.0</v>
      </c>
      <c r="AT238" s="28">
        <v>0.0</v>
      </c>
      <c r="AU238" s="28">
        <v>0.0</v>
      </c>
      <c r="AV238" s="28">
        <v>970519.4461794022</v>
      </c>
      <c r="AW238" s="28">
        <v>718642.3264110001</v>
      </c>
      <c r="AX238" s="28">
        <v>0.0</v>
      </c>
      <c r="AY238" s="28">
        <v>0.0</v>
      </c>
      <c r="AZ238" s="5" t="s">
        <v>124</v>
      </c>
      <c r="BA238" s="5" t="s">
        <v>125</v>
      </c>
      <c r="BB238" s="5" t="s">
        <v>127</v>
      </c>
      <c r="BC238" s="32" t="s">
        <v>264</v>
      </c>
      <c r="BD238" s="5" t="s">
        <v>334</v>
      </c>
      <c r="BE238" s="5" t="s">
        <v>348</v>
      </c>
      <c r="BF238" s="5" t="s">
        <v>539</v>
      </c>
      <c r="BG238" s="5" t="s">
        <v>131</v>
      </c>
      <c r="BH238" s="5" t="s">
        <v>1455</v>
      </c>
    </row>
    <row r="239" ht="16.5" hidden="1" customHeight="1">
      <c r="A239" s="5" t="s">
        <v>100</v>
      </c>
      <c r="B239" s="5" t="s">
        <v>137</v>
      </c>
      <c r="C239" s="5" t="b">
        <v>1</v>
      </c>
      <c r="D239" s="5" t="s">
        <v>806</v>
      </c>
      <c r="E239" s="5" t="s">
        <v>807</v>
      </c>
      <c r="F239" s="5"/>
      <c r="G239" s="5" t="s">
        <v>65</v>
      </c>
      <c r="H239" s="5" t="s">
        <v>76</v>
      </c>
      <c r="I239" s="5" t="s">
        <v>82</v>
      </c>
      <c r="J239" s="25"/>
      <c r="K239" s="25"/>
      <c r="L239" s="25"/>
      <c r="M239" s="5" t="s">
        <v>500</v>
      </c>
      <c r="N239" s="5" t="s">
        <v>355</v>
      </c>
      <c r="O239" s="5" t="s">
        <v>69</v>
      </c>
      <c r="P239" s="5" t="s">
        <v>70</v>
      </c>
      <c r="Q239" s="5" t="s">
        <v>282</v>
      </c>
      <c r="R239" s="5" t="s">
        <v>110</v>
      </c>
      <c r="S239" s="5"/>
      <c r="T239" s="5"/>
      <c r="U239" s="5"/>
      <c r="V239" s="5">
        <v>3000.0</v>
      </c>
      <c r="W239" s="26">
        <v>2.1</v>
      </c>
      <c r="X239" s="5">
        <v>1429.0</v>
      </c>
      <c r="Y239" s="27">
        <v>0.2</v>
      </c>
      <c r="Z239" s="28">
        <v>1143.2</v>
      </c>
      <c r="AA239" s="27">
        <v>1.0</v>
      </c>
      <c r="AB239" s="5" t="s">
        <v>117</v>
      </c>
      <c r="AC239" s="27">
        <v>0.6</v>
      </c>
      <c r="AD239" s="5"/>
      <c r="AE239" s="5" t="s">
        <v>359</v>
      </c>
      <c r="AF239" s="5" t="s">
        <v>81</v>
      </c>
      <c r="AG239" s="5">
        <v>3.0</v>
      </c>
      <c r="AH239" s="5">
        <v>3.0</v>
      </c>
      <c r="AI239" s="5" t="s">
        <v>1568</v>
      </c>
      <c r="AJ239" s="5" t="s">
        <v>0</v>
      </c>
      <c r="AK239" s="30">
        <v>700.0</v>
      </c>
      <c r="AL239" s="28">
        <v>796.0</v>
      </c>
      <c r="AM239" s="28">
        <v>1259.0</v>
      </c>
      <c r="AN239" s="28">
        <v>5835.0</v>
      </c>
      <c r="AO239" s="28">
        <v>4124.0</v>
      </c>
      <c r="AP239" s="28">
        <v>1000300.0</v>
      </c>
      <c r="AQ239" s="28">
        <v>1137141.7199999997</v>
      </c>
      <c r="AR239" s="28">
        <v>6284976.0</v>
      </c>
      <c r="AS239" s="28">
        <v>0.0</v>
      </c>
      <c r="AT239" s="28">
        <v>6284976.0</v>
      </c>
      <c r="AU239" s="28">
        <v>800240.0</v>
      </c>
      <c r="AV239" s="28">
        <v>1011027.88482835</v>
      </c>
      <c r="AW239" s="28">
        <v>1208795.9647649997</v>
      </c>
      <c r="AX239" s="28">
        <v>6369066.555481727</v>
      </c>
      <c r="AY239" s="28">
        <v>4764343.130906002</v>
      </c>
      <c r="AZ239" s="5"/>
      <c r="BA239" s="5" t="s">
        <v>125</v>
      </c>
      <c r="BB239" s="5" t="s">
        <v>127</v>
      </c>
      <c r="BC239" s="5" t="s">
        <v>410</v>
      </c>
      <c r="BD239" s="5" t="s">
        <v>355</v>
      </c>
      <c r="BE239" s="5" t="s">
        <v>161</v>
      </c>
      <c r="BF239" s="5" t="s">
        <v>448</v>
      </c>
      <c r="BG239" s="5" t="s">
        <v>131</v>
      </c>
    </row>
    <row r="240" ht="16.5" hidden="1" customHeight="1">
      <c r="A240" s="5" t="s">
        <v>100</v>
      </c>
      <c r="B240" s="5" t="s">
        <v>137</v>
      </c>
      <c r="C240" s="5" t="b">
        <v>1</v>
      </c>
      <c r="D240" s="5" t="s">
        <v>811</v>
      </c>
      <c r="E240" s="5" t="s">
        <v>812</v>
      </c>
      <c r="F240" s="5"/>
      <c r="G240" s="5" t="s">
        <v>65</v>
      </c>
      <c r="H240" s="5" t="s">
        <v>76</v>
      </c>
      <c r="I240" s="5" t="s">
        <v>82</v>
      </c>
      <c r="J240" s="25"/>
      <c r="K240" s="25"/>
      <c r="L240" s="25"/>
      <c r="M240" s="5" t="s">
        <v>500</v>
      </c>
      <c r="N240" s="5" t="s">
        <v>355</v>
      </c>
      <c r="O240" s="5" t="s">
        <v>69</v>
      </c>
      <c r="P240" s="5" t="s">
        <v>107</v>
      </c>
      <c r="Q240" s="5" t="s">
        <v>282</v>
      </c>
      <c r="R240" s="5" t="s">
        <v>110</v>
      </c>
      <c r="S240" s="5"/>
      <c r="T240" s="5"/>
      <c r="U240" s="5"/>
      <c r="V240" s="5">
        <v>3000.0</v>
      </c>
      <c r="W240" s="26">
        <v>2.1</v>
      </c>
      <c r="X240" s="5">
        <v>1429.0</v>
      </c>
      <c r="Y240" s="27">
        <v>0.2</v>
      </c>
      <c r="Z240" s="28">
        <v>1143.2</v>
      </c>
      <c r="AA240" s="27">
        <v>1.0</v>
      </c>
      <c r="AB240" s="5" t="s">
        <v>117</v>
      </c>
      <c r="AC240" s="27">
        <v>0.62</v>
      </c>
      <c r="AD240" s="5"/>
      <c r="AE240" s="5" t="s">
        <v>359</v>
      </c>
      <c r="AF240" s="5" t="s">
        <v>81</v>
      </c>
      <c r="AG240" s="5">
        <v>3.0</v>
      </c>
      <c r="AH240" s="5">
        <v>3.0</v>
      </c>
      <c r="AI240" s="5" t="s">
        <v>1570</v>
      </c>
      <c r="AJ240" s="5" t="s">
        <v>0</v>
      </c>
      <c r="AK240" s="30">
        <v>600.0</v>
      </c>
      <c r="AL240" s="28">
        <v>658.0</v>
      </c>
      <c r="AM240" s="28">
        <v>406.0</v>
      </c>
      <c r="AN240" s="28">
        <v>3988.0</v>
      </c>
      <c r="AO240" s="28">
        <v>3054.0</v>
      </c>
      <c r="AP240" s="28">
        <v>857400.0</v>
      </c>
      <c r="AQ240" s="28">
        <v>939999.0599999998</v>
      </c>
      <c r="AR240" s="28">
        <v>4654296.0</v>
      </c>
      <c r="AS240" s="28">
        <v>0.0</v>
      </c>
      <c r="AT240" s="28">
        <v>4654296.0</v>
      </c>
      <c r="AU240" s="28">
        <v>685920.0</v>
      </c>
      <c r="AV240" s="28">
        <v>854822.5027685491</v>
      </c>
      <c r="AW240" s="28">
        <v>509333.89308149985</v>
      </c>
      <c r="AX240" s="28">
        <v>4659988.983388704</v>
      </c>
      <c r="AY240" s="28">
        <v>3531326.1649720003</v>
      </c>
      <c r="AZ240" s="5"/>
      <c r="BA240" s="5" t="s">
        <v>125</v>
      </c>
      <c r="BB240" s="5" t="s">
        <v>127</v>
      </c>
      <c r="BC240" s="5" t="s">
        <v>410</v>
      </c>
      <c r="BD240" s="5" t="s">
        <v>355</v>
      </c>
      <c r="BE240" s="5" t="s">
        <v>161</v>
      </c>
      <c r="BF240" s="5" t="s">
        <v>448</v>
      </c>
      <c r="BG240" s="5" t="s">
        <v>131</v>
      </c>
    </row>
    <row r="241" ht="16.5" hidden="1" customHeight="1">
      <c r="A241" s="5" t="s">
        <v>100</v>
      </c>
      <c r="B241" s="5" t="s">
        <v>137</v>
      </c>
      <c r="C241" s="5" t="b">
        <v>0</v>
      </c>
      <c r="D241" s="5" t="s">
        <v>1572</v>
      </c>
      <c r="E241" s="5" t="s">
        <v>1573</v>
      </c>
      <c r="F241" s="5"/>
      <c r="G241" s="5" t="s">
        <v>65</v>
      </c>
      <c r="H241" s="5" t="s">
        <v>76</v>
      </c>
      <c r="I241" s="5" t="s">
        <v>218</v>
      </c>
      <c r="J241" s="25" t="s">
        <v>1574</v>
      </c>
      <c r="K241" s="25"/>
      <c r="L241" s="25"/>
      <c r="M241" s="5" t="s">
        <v>500</v>
      </c>
      <c r="N241" s="5" t="s">
        <v>355</v>
      </c>
      <c r="O241" s="5" t="s">
        <v>69</v>
      </c>
      <c r="P241" s="5" t="s">
        <v>70</v>
      </c>
      <c r="Q241" s="5" t="s">
        <v>89</v>
      </c>
      <c r="R241" s="5" t="s">
        <v>110</v>
      </c>
      <c r="S241" s="5"/>
      <c r="T241" s="5"/>
      <c r="U241" s="5"/>
      <c r="V241" s="5">
        <v>2800.0</v>
      </c>
      <c r="W241" s="26">
        <v>2.1</v>
      </c>
      <c r="X241" s="5">
        <v>1333.0</v>
      </c>
      <c r="Y241" s="27">
        <v>0.0</v>
      </c>
      <c r="Z241" s="28">
        <v>1333.0</v>
      </c>
      <c r="AA241" s="27">
        <v>1.0</v>
      </c>
      <c r="AB241" s="5" t="s">
        <v>117</v>
      </c>
      <c r="AC241" s="27"/>
      <c r="AD241" s="5"/>
      <c r="AE241" s="5" t="s">
        <v>359</v>
      </c>
      <c r="AF241" s="5" t="s">
        <v>81</v>
      </c>
      <c r="AG241" s="5"/>
      <c r="AH241" s="5">
        <v>4.0</v>
      </c>
      <c r="AI241" s="5" t="s">
        <v>1575</v>
      </c>
      <c r="AJ241" s="5" t="s">
        <v>0</v>
      </c>
      <c r="AK241" s="30"/>
      <c r="AL241" s="28">
        <v>0.0</v>
      </c>
      <c r="AM241" s="28">
        <v>369.0</v>
      </c>
      <c r="AN241" s="28">
        <v>3182.0</v>
      </c>
      <c r="AO241" s="28">
        <v>1870.0</v>
      </c>
      <c r="AP241" s="28">
        <v>0.0</v>
      </c>
      <c r="AQ241" s="28">
        <v>0.0</v>
      </c>
      <c r="AR241" s="28">
        <v>2492710.0</v>
      </c>
      <c r="AS241" s="28">
        <v>0.0</v>
      </c>
      <c r="AT241" s="28">
        <v>2492710.0</v>
      </c>
      <c r="AU241" s="28">
        <v>0.0</v>
      </c>
      <c r="AV241" s="28">
        <v>0.0</v>
      </c>
      <c r="AW241" s="28">
        <v>421248.4516575</v>
      </c>
      <c r="AX241" s="28">
        <v>2921700.2320044297</v>
      </c>
      <c r="AY241" s="28">
        <v>1977834.27473</v>
      </c>
      <c r="AZ241" s="5" t="s">
        <v>124</v>
      </c>
      <c r="BA241" s="5" t="s">
        <v>125</v>
      </c>
      <c r="BB241" s="5" t="s">
        <v>127</v>
      </c>
      <c r="BC241" s="5" t="s">
        <v>237</v>
      </c>
      <c r="BD241" s="5" t="s">
        <v>355</v>
      </c>
      <c r="BE241" s="5" t="s">
        <v>89</v>
      </c>
      <c r="BF241" s="5" t="s">
        <v>448</v>
      </c>
      <c r="BG241" s="5" t="s">
        <v>131</v>
      </c>
    </row>
    <row r="242" ht="16.5" hidden="1" customHeight="1">
      <c r="A242" s="5" t="s">
        <v>100</v>
      </c>
      <c r="B242" s="5" t="s">
        <v>137</v>
      </c>
      <c r="C242" s="5" t="b">
        <v>0</v>
      </c>
      <c r="D242" s="5" t="s">
        <v>1578</v>
      </c>
      <c r="E242" s="5" t="s">
        <v>1579</v>
      </c>
      <c r="F242" s="5"/>
      <c r="G242" s="5" t="s">
        <v>65</v>
      </c>
      <c r="H242" s="5" t="s">
        <v>76</v>
      </c>
      <c r="I242" s="5" t="s">
        <v>218</v>
      </c>
      <c r="J242" s="25" t="s">
        <v>1574</v>
      </c>
      <c r="K242" s="25"/>
      <c r="L242" s="25"/>
      <c r="M242" s="5" t="s">
        <v>500</v>
      </c>
      <c r="N242" s="5" t="s">
        <v>355</v>
      </c>
      <c r="O242" s="5" t="s">
        <v>69</v>
      </c>
      <c r="P242" s="5" t="s">
        <v>107</v>
      </c>
      <c r="Q242" s="5" t="s">
        <v>89</v>
      </c>
      <c r="R242" s="5" t="s">
        <v>110</v>
      </c>
      <c r="S242" s="5"/>
      <c r="T242" s="5"/>
      <c r="U242" s="5"/>
      <c r="V242" s="5">
        <v>2800.0</v>
      </c>
      <c r="W242" s="26">
        <v>2.1</v>
      </c>
      <c r="X242" s="5">
        <v>1333.0</v>
      </c>
      <c r="Y242" s="27">
        <v>0.0</v>
      </c>
      <c r="Z242" s="28">
        <v>1333.0</v>
      </c>
      <c r="AA242" s="27">
        <v>1.0</v>
      </c>
      <c r="AB242" s="5" t="s">
        <v>117</v>
      </c>
      <c r="AC242" s="27"/>
      <c r="AD242" s="5"/>
      <c r="AE242" s="5" t="s">
        <v>359</v>
      </c>
      <c r="AF242" s="5" t="s">
        <v>81</v>
      </c>
      <c r="AG242" s="5"/>
      <c r="AH242" s="5">
        <v>3.0</v>
      </c>
      <c r="AI242" s="5" t="s">
        <v>1575</v>
      </c>
      <c r="AJ242" s="5" t="s">
        <v>0</v>
      </c>
      <c r="AK242" s="30"/>
      <c r="AL242" s="28">
        <v>0.0</v>
      </c>
      <c r="AM242" s="28">
        <v>78.0</v>
      </c>
      <c r="AN242" s="28">
        <v>1258.0</v>
      </c>
      <c r="AO242" s="28">
        <v>834.0</v>
      </c>
      <c r="AP242" s="28">
        <v>0.0</v>
      </c>
      <c r="AQ242" s="28">
        <v>0.0</v>
      </c>
      <c r="AR242" s="28">
        <v>1111722.0</v>
      </c>
      <c r="AS242" s="28">
        <v>0.0</v>
      </c>
      <c r="AT242" s="28">
        <v>1111722.0</v>
      </c>
      <c r="AU242" s="28">
        <v>0.0</v>
      </c>
      <c r="AV242" s="28">
        <v>0.0</v>
      </c>
      <c r="AW242" s="28">
        <v>91063.91424</v>
      </c>
      <c r="AX242" s="28">
        <v>1200635.7965669988</v>
      </c>
      <c r="AY242" s="28">
        <v>810195.5281400001</v>
      </c>
      <c r="AZ242" s="5" t="s">
        <v>124</v>
      </c>
      <c r="BA242" s="5" t="s">
        <v>125</v>
      </c>
      <c r="BB242" s="5" t="s">
        <v>127</v>
      </c>
      <c r="BC242" s="5" t="s">
        <v>237</v>
      </c>
      <c r="BD242" s="5" t="s">
        <v>355</v>
      </c>
      <c r="BE242" s="5" t="s">
        <v>89</v>
      </c>
      <c r="BF242" s="5" t="s">
        <v>448</v>
      </c>
      <c r="BG242" s="5" t="s">
        <v>131</v>
      </c>
    </row>
    <row r="243" ht="16.5" hidden="1" customHeight="1">
      <c r="A243" s="5" t="s">
        <v>100</v>
      </c>
      <c r="B243" s="5" t="s">
        <v>137</v>
      </c>
      <c r="C243" s="5" t="b">
        <v>0</v>
      </c>
      <c r="D243" s="5" t="s">
        <v>1580</v>
      </c>
      <c r="E243" s="5" t="s">
        <v>1581</v>
      </c>
      <c r="F243" s="5"/>
      <c r="G243" s="5" t="s">
        <v>65</v>
      </c>
      <c r="H243" s="5" t="s">
        <v>76</v>
      </c>
      <c r="I243" s="5" t="s">
        <v>218</v>
      </c>
      <c r="J243" s="25" t="s">
        <v>1574</v>
      </c>
      <c r="K243" s="25"/>
      <c r="L243" s="25"/>
      <c r="M243" s="5" t="s">
        <v>500</v>
      </c>
      <c r="N243" s="5" t="s">
        <v>355</v>
      </c>
      <c r="O243" s="5" t="s">
        <v>69</v>
      </c>
      <c r="P243" s="5" t="s">
        <v>70</v>
      </c>
      <c r="Q243" s="5" t="s">
        <v>373</v>
      </c>
      <c r="R243" s="5" t="s">
        <v>110</v>
      </c>
      <c r="S243" s="5"/>
      <c r="T243" s="5"/>
      <c r="U243" s="5"/>
      <c r="V243" s="5">
        <v>2200.0</v>
      </c>
      <c r="W243" s="26">
        <v>2.1</v>
      </c>
      <c r="X243" s="5">
        <v>1048.0</v>
      </c>
      <c r="Y243" s="27">
        <v>0.0</v>
      </c>
      <c r="Z243" s="28">
        <v>1048.0</v>
      </c>
      <c r="AA243" s="27">
        <v>1.0</v>
      </c>
      <c r="AB243" s="5" t="s">
        <v>117</v>
      </c>
      <c r="AC243" s="27"/>
      <c r="AD243" s="5"/>
      <c r="AE243" s="5" t="s">
        <v>359</v>
      </c>
      <c r="AF243" s="5" t="s">
        <v>81</v>
      </c>
      <c r="AG243" s="5"/>
      <c r="AH243" s="5">
        <v>2.0</v>
      </c>
      <c r="AI243" s="5" t="s">
        <v>1575</v>
      </c>
      <c r="AJ243" s="5" t="s">
        <v>0</v>
      </c>
      <c r="AK243" s="30"/>
      <c r="AL243" s="28">
        <v>0.0</v>
      </c>
      <c r="AM243" s="28">
        <v>133.0</v>
      </c>
      <c r="AN243" s="28">
        <v>1518.0</v>
      </c>
      <c r="AO243" s="28">
        <v>858.0</v>
      </c>
      <c r="AP243" s="28">
        <v>0.0</v>
      </c>
      <c r="AQ243" s="28">
        <v>0.0</v>
      </c>
      <c r="AR243" s="28">
        <v>899184.0</v>
      </c>
      <c r="AS243" s="28">
        <v>0.0</v>
      </c>
      <c r="AT243" s="28">
        <v>899184.0</v>
      </c>
      <c r="AU243" s="28">
        <v>0.0</v>
      </c>
      <c r="AV243" s="28">
        <v>0.0</v>
      </c>
      <c r="AW243" s="28">
        <v>112684.6986</v>
      </c>
      <c r="AX243" s="28">
        <v>1273927.2663344408</v>
      </c>
      <c r="AY243" s="28">
        <v>716544.5762249999</v>
      </c>
      <c r="AZ243" s="5" t="s">
        <v>124</v>
      </c>
      <c r="BA243" s="5" t="s">
        <v>125</v>
      </c>
      <c r="BB243" s="5" t="s">
        <v>127</v>
      </c>
      <c r="BC243" s="5" t="s">
        <v>237</v>
      </c>
      <c r="BD243" s="5" t="s">
        <v>355</v>
      </c>
      <c r="BE243" s="5" t="s">
        <v>373</v>
      </c>
      <c r="BF243" s="5" t="s">
        <v>448</v>
      </c>
      <c r="BG243" s="5" t="s">
        <v>131</v>
      </c>
    </row>
    <row r="244" ht="16.5" hidden="1" customHeight="1">
      <c r="A244" s="5" t="s">
        <v>100</v>
      </c>
      <c r="B244" s="5" t="s">
        <v>137</v>
      </c>
      <c r="C244" s="5" t="b">
        <v>0</v>
      </c>
      <c r="D244" s="5" t="s">
        <v>1583</v>
      </c>
      <c r="E244" s="5" t="s">
        <v>1584</v>
      </c>
      <c r="F244" s="5"/>
      <c r="G244" s="5" t="s">
        <v>65</v>
      </c>
      <c r="H244" s="5" t="s">
        <v>76</v>
      </c>
      <c r="I244" s="5" t="s">
        <v>218</v>
      </c>
      <c r="J244" s="25" t="s">
        <v>1574</v>
      </c>
      <c r="K244" s="25"/>
      <c r="L244" s="25"/>
      <c r="M244" s="5" t="s">
        <v>500</v>
      </c>
      <c r="N244" s="5" t="s">
        <v>355</v>
      </c>
      <c r="O244" s="5" t="s">
        <v>69</v>
      </c>
      <c r="P244" s="5" t="s">
        <v>107</v>
      </c>
      <c r="Q244" s="5" t="s">
        <v>373</v>
      </c>
      <c r="R244" s="5" t="s">
        <v>110</v>
      </c>
      <c r="S244" s="5"/>
      <c r="T244" s="5"/>
      <c r="U244" s="5"/>
      <c r="V244" s="5">
        <v>2200.0</v>
      </c>
      <c r="W244" s="26">
        <v>2.1</v>
      </c>
      <c r="X244" s="5">
        <v>1048.0</v>
      </c>
      <c r="Y244" s="27">
        <v>0.0</v>
      </c>
      <c r="Z244" s="28">
        <v>1048.0</v>
      </c>
      <c r="AA244" s="27">
        <v>1.0</v>
      </c>
      <c r="AB244" s="5" t="s">
        <v>117</v>
      </c>
      <c r="AC244" s="27"/>
      <c r="AD244" s="5"/>
      <c r="AE244" s="5" t="s">
        <v>359</v>
      </c>
      <c r="AF244" s="5" t="s">
        <v>81</v>
      </c>
      <c r="AG244" s="5"/>
      <c r="AH244" s="5">
        <v>2.0</v>
      </c>
      <c r="AI244" s="5" t="s">
        <v>1575</v>
      </c>
      <c r="AJ244" s="5" t="s">
        <v>0</v>
      </c>
      <c r="AK244" s="52"/>
      <c r="AL244" s="28">
        <v>0.0</v>
      </c>
      <c r="AM244" s="28">
        <v>56.0</v>
      </c>
      <c r="AN244" s="28">
        <v>1033.0</v>
      </c>
      <c r="AO244" s="28">
        <v>617.0</v>
      </c>
      <c r="AP244" s="28">
        <v>0.0</v>
      </c>
      <c r="AQ244" s="28">
        <v>0.0</v>
      </c>
      <c r="AR244" s="28">
        <v>646616.0</v>
      </c>
      <c r="AS244" s="28">
        <v>0.0</v>
      </c>
      <c r="AT244" s="28">
        <v>646616.0</v>
      </c>
      <c r="AU244" s="28">
        <v>0.0</v>
      </c>
      <c r="AV244" s="28">
        <v>0.0</v>
      </c>
      <c r="AW244" s="28">
        <v>47713.980599999995</v>
      </c>
      <c r="AX244" s="28">
        <v>883078.6594684385</v>
      </c>
      <c r="AY244" s="28">
        <v>510419.064225</v>
      </c>
      <c r="AZ244" s="5" t="s">
        <v>124</v>
      </c>
      <c r="BA244" s="5" t="s">
        <v>125</v>
      </c>
      <c r="BB244" s="5" t="s">
        <v>127</v>
      </c>
      <c r="BC244" s="5" t="s">
        <v>237</v>
      </c>
      <c r="BD244" s="5" t="s">
        <v>355</v>
      </c>
      <c r="BE244" s="5" t="s">
        <v>373</v>
      </c>
      <c r="BF244" s="5" t="s">
        <v>448</v>
      </c>
      <c r="BG244" s="5" t="s">
        <v>131</v>
      </c>
    </row>
    <row r="245" ht="16.5" hidden="1" customHeight="1">
      <c r="A245" s="5" t="s">
        <v>100</v>
      </c>
      <c r="B245" s="5" t="s">
        <v>200</v>
      </c>
      <c r="C245" s="5" t="b">
        <v>1</v>
      </c>
      <c r="D245" s="5" t="s">
        <v>816</v>
      </c>
      <c r="E245" s="5" t="s">
        <v>817</v>
      </c>
      <c r="F245" s="5"/>
      <c r="G245" s="5" t="s">
        <v>65</v>
      </c>
      <c r="H245" s="5" t="s">
        <v>74</v>
      </c>
      <c r="I245" s="5" t="s">
        <v>82</v>
      </c>
      <c r="J245" s="25" t="s">
        <v>1477</v>
      </c>
      <c r="K245" s="25"/>
      <c r="L245" s="25"/>
      <c r="M245" s="5" t="s">
        <v>500</v>
      </c>
      <c r="N245" s="5" t="s">
        <v>113</v>
      </c>
      <c r="O245" s="5" t="s">
        <v>69</v>
      </c>
      <c r="P245" s="5" t="s">
        <v>70</v>
      </c>
      <c r="Q245" s="5" t="s">
        <v>180</v>
      </c>
      <c r="R245" s="5" t="s">
        <v>181</v>
      </c>
      <c r="S245" s="5"/>
      <c r="T245" s="5"/>
      <c r="U245" s="5"/>
      <c r="V245" s="5">
        <v>1400.0</v>
      </c>
      <c r="W245" s="26">
        <v>2.1</v>
      </c>
      <c r="X245" s="5">
        <v>667.0</v>
      </c>
      <c r="Y245" s="27">
        <v>0.2</v>
      </c>
      <c r="Z245" s="28">
        <v>533.6</v>
      </c>
      <c r="AA245" s="27">
        <v>1.0</v>
      </c>
      <c r="AB245" s="5" t="s">
        <v>117</v>
      </c>
      <c r="AC245" s="27">
        <v>0.65</v>
      </c>
      <c r="AD245" s="5"/>
      <c r="AE245" s="5" t="s">
        <v>81</v>
      </c>
      <c r="AF245" s="5" t="s">
        <v>81</v>
      </c>
      <c r="AG245" s="5">
        <v>2.0</v>
      </c>
      <c r="AH245" s="5">
        <v>2.0</v>
      </c>
      <c r="AI245" s="5" t="s">
        <v>0</v>
      </c>
      <c r="AJ245" s="5" t="s">
        <v>97</v>
      </c>
      <c r="AK245" s="30">
        <v>1600.0</v>
      </c>
      <c r="AL245" s="28">
        <v>1620.0</v>
      </c>
      <c r="AM245" s="28">
        <v>4020.0</v>
      </c>
      <c r="AN245" s="28">
        <v>0.0</v>
      </c>
      <c r="AO245" s="28">
        <v>0.0</v>
      </c>
      <c r="AP245" s="28">
        <v>1067200.0</v>
      </c>
      <c r="AQ245" s="28">
        <v>1080005.4</v>
      </c>
      <c r="AR245" s="28">
        <v>0.0</v>
      </c>
      <c r="AS245" s="28">
        <v>0.0</v>
      </c>
      <c r="AT245" s="28">
        <v>0.0</v>
      </c>
      <c r="AU245" s="28">
        <v>853760.0</v>
      </c>
      <c r="AV245" s="28">
        <v>741257.6380952381</v>
      </c>
      <c r="AW245" s="28">
        <v>1523280.3599550002</v>
      </c>
      <c r="AX245" s="28">
        <v>0.0</v>
      </c>
      <c r="AY245" s="28">
        <v>0.0</v>
      </c>
      <c r="AZ245" s="5"/>
      <c r="BA245" s="5" t="s">
        <v>125</v>
      </c>
      <c r="BB245" s="5" t="s">
        <v>127</v>
      </c>
      <c r="BC245" s="32" t="s">
        <v>454</v>
      </c>
      <c r="BD245" s="5" t="s">
        <v>126</v>
      </c>
      <c r="BE245" s="5" t="s">
        <v>128</v>
      </c>
      <c r="BF245" s="5" t="s">
        <v>130</v>
      </c>
      <c r="BG245" s="5" t="s">
        <v>131</v>
      </c>
    </row>
    <row r="246" ht="16.5" hidden="1" customHeight="1">
      <c r="A246" s="5" t="s">
        <v>100</v>
      </c>
      <c r="B246" s="5" t="s">
        <v>200</v>
      </c>
      <c r="C246" s="5" t="b">
        <v>1</v>
      </c>
      <c r="D246" s="5" t="s">
        <v>820</v>
      </c>
      <c r="E246" s="5" t="s">
        <v>821</v>
      </c>
      <c r="F246" s="5"/>
      <c r="G246" s="5" t="s">
        <v>65</v>
      </c>
      <c r="H246" s="5" t="s">
        <v>74</v>
      </c>
      <c r="I246" s="5" t="s">
        <v>82</v>
      </c>
      <c r="J246" s="25" t="s">
        <v>1477</v>
      </c>
      <c r="K246" s="25"/>
      <c r="L246" s="25"/>
      <c r="M246" s="5" t="s">
        <v>500</v>
      </c>
      <c r="N246" s="5" t="s">
        <v>113</v>
      </c>
      <c r="O246" s="5" t="s">
        <v>69</v>
      </c>
      <c r="P246" s="5" t="s">
        <v>107</v>
      </c>
      <c r="Q246" s="5" t="s">
        <v>180</v>
      </c>
      <c r="R246" s="5" t="s">
        <v>181</v>
      </c>
      <c r="S246" s="5"/>
      <c r="T246" s="5"/>
      <c r="U246" s="5"/>
      <c r="V246" s="5">
        <v>1400.0</v>
      </c>
      <c r="W246" s="26">
        <v>2.1</v>
      </c>
      <c r="X246" s="5">
        <v>667.0</v>
      </c>
      <c r="Y246" s="27">
        <v>0.2</v>
      </c>
      <c r="Z246" s="28">
        <v>533.6</v>
      </c>
      <c r="AA246" s="27">
        <v>1.0</v>
      </c>
      <c r="AB246" s="5" t="s">
        <v>117</v>
      </c>
      <c r="AC246" s="27">
        <v>0.66</v>
      </c>
      <c r="AD246" s="5"/>
      <c r="AE246" s="5" t="s">
        <v>81</v>
      </c>
      <c r="AF246" s="5" t="s">
        <v>81</v>
      </c>
      <c r="AG246" s="5">
        <v>2.0</v>
      </c>
      <c r="AH246" s="5">
        <v>2.0</v>
      </c>
      <c r="AI246" s="5" t="s">
        <v>0</v>
      </c>
      <c r="AJ246" s="5" t="s">
        <v>97</v>
      </c>
      <c r="AK246" s="30">
        <v>1100.0</v>
      </c>
      <c r="AL246" s="28">
        <v>1130.0</v>
      </c>
      <c r="AM246" s="28">
        <v>2989.0</v>
      </c>
      <c r="AN246" s="28">
        <v>0.0</v>
      </c>
      <c r="AO246" s="28">
        <v>0.0</v>
      </c>
      <c r="AP246" s="28">
        <v>733700.0</v>
      </c>
      <c r="AQ246" s="28">
        <v>753337.1</v>
      </c>
      <c r="AR246" s="28">
        <v>0.0</v>
      </c>
      <c r="AS246" s="28">
        <v>0.0</v>
      </c>
      <c r="AT246" s="28">
        <v>0.0</v>
      </c>
      <c r="AU246" s="28">
        <v>586960.0</v>
      </c>
      <c r="AV246" s="28">
        <v>594048.3428571429</v>
      </c>
      <c r="AW246" s="28">
        <v>1175665.1551</v>
      </c>
      <c r="AX246" s="28">
        <v>0.0</v>
      </c>
      <c r="AY246" s="28">
        <v>0.0</v>
      </c>
      <c r="AZ246" s="5"/>
      <c r="BA246" s="5" t="s">
        <v>125</v>
      </c>
      <c r="BB246" s="5" t="s">
        <v>127</v>
      </c>
      <c r="BC246" s="32" t="s">
        <v>454</v>
      </c>
      <c r="BD246" s="5" t="s">
        <v>126</v>
      </c>
      <c r="BE246" s="5" t="s">
        <v>128</v>
      </c>
      <c r="BF246" s="5" t="s">
        <v>130</v>
      </c>
      <c r="BG246" s="5" t="s">
        <v>131</v>
      </c>
    </row>
    <row r="247" ht="16.5" hidden="1" customHeight="1">
      <c r="A247" s="5" t="s">
        <v>100</v>
      </c>
      <c r="B247" s="5" t="s">
        <v>137</v>
      </c>
      <c r="C247" s="5" t="b">
        <v>1</v>
      </c>
      <c r="D247" s="5" t="s">
        <v>822</v>
      </c>
      <c r="E247" s="5" t="s">
        <v>823</v>
      </c>
      <c r="F247" s="5"/>
      <c r="G247" s="5" t="s">
        <v>65</v>
      </c>
      <c r="H247" s="5" t="s">
        <v>76</v>
      </c>
      <c r="I247" s="5" t="s">
        <v>82</v>
      </c>
      <c r="J247" s="25" t="s">
        <v>1588</v>
      </c>
      <c r="K247" s="25"/>
      <c r="L247" s="25"/>
      <c r="M247" s="5" t="s">
        <v>500</v>
      </c>
      <c r="N247" s="5" t="s">
        <v>68</v>
      </c>
      <c r="O247" s="5" t="s">
        <v>69</v>
      </c>
      <c r="P247" s="5" t="s">
        <v>70</v>
      </c>
      <c r="Q247" s="5" t="s">
        <v>89</v>
      </c>
      <c r="R247" s="5" t="s">
        <v>110</v>
      </c>
      <c r="S247" s="5"/>
      <c r="T247" s="5"/>
      <c r="U247" s="5"/>
      <c r="V247" s="5">
        <v>5000.0</v>
      </c>
      <c r="W247" s="26">
        <v>2.1</v>
      </c>
      <c r="X247" s="5">
        <v>2381.0</v>
      </c>
      <c r="Y247" s="27">
        <v>0.2</v>
      </c>
      <c r="Z247" s="28">
        <v>1904.8000000000002</v>
      </c>
      <c r="AA247" s="27">
        <v>1.0</v>
      </c>
      <c r="AB247" s="5" t="s">
        <v>242</v>
      </c>
      <c r="AC247" s="27">
        <v>0.55</v>
      </c>
      <c r="AD247" s="5"/>
      <c r="AE247" s="5" t="s">
        <v>80</v>
      </c>
      <c r="AF247" s="5" t="s">
        <v>81</v>
      </c>
      <c r="AG247" s="5">
        <v>3.0</v>
      </c>
      <c r="AH247" s="5">
        <v>3.0</v>
      </c>
      <c r="AI247" s="5" t="s">
        <v>1592</v>
      </c>
      <c r="AJ247" s="5" t="s">
        <v>0</v>
      </c>
      <c r="AK247" s="52">
        <v>1600.0</v>
      </c>
      <c r="AL247" s="28">
        <v>1619.0</v>
      </c>
      <c r="AM247" s="28">
        <v>1522.0</v>
      </c>
      <c r="AN247" s="28">
        <v>1712.0</v>
      </c>
      <c r="AO247" s="28">
        <v>1836.0</v>
      </c>
      <c r="AP247" s="28">
        <v>3809600.0</v>
      </c>
      <c r="AQ247" s="28">
        <v>3854758.05</v>
      </c>
      <c r="AR247" s="28">
        <v>4371516.0</v>
      </c>
      <c r="AS247" s="28">
        <v>0.0</v>
      </c>
      <c r="AT247" s="28">
        <v>4371516.0</v>
      </c>
      <c r="AU247" s="28">
        <v>3047680.0000000005</v>
      </c>
      <c r="AV247" s="28">
        <v>2792811.0858250274</v>
      </c>
      <c r="AW247" s="28">
        <v>2571179.1197914006</v>
      </c>
      <c r="AX247" s="28">
        <v>3048632.58372093</v>
      </c>
      <c r="AY247" s="28">
        <v>3004248.8047000007</v>
      </c>
      <c r="AZ247" s="5"/>
      <c r="BA247" s="5" t="s">
        <v>86</v>
      </c>
      <c r="BB247" s="5" t="s">
        <v>826</v>
      </c>
      <c r="BC247" s="5" t="s">
        <v>827</v>
      </c>
      <c r="BD247" s="5" t="s">
        <v>68</v>
      </c>
      <c r="BE247" s="5" t="s">
        <v>89</v>
      </c>
      <c r="BF247" s="5" t="s">
        <v>132</v>
      </c>
      <c r="BG247" s="5" t="s">
        <v>91</v>
      </c>
    </row>
    <row r="248" ht="16.5" hidden="1" customHeight="1">
      <c r="A248" s="5" t="s">
        <v>100</v>
      </c>
      <c r="B248" s="5" t="s">
        <v>137</v>
      </c>
      <c r="C248" s="5" t="b">
        <v>1</v>
      </c>
      <c r="D248" s="5" t="s">
        <v>828</v>
      </c>
      <c r="E248" s="5" t="s">
        <v>829</v>
      </c>
      <c r="F248" s="5"/>
      <c r="G248" s="5" t="s">
        <v>65</v>
      </c>
      <c r="H248" s="5" t="s">
        <v>76</v>
      </c>
      <c r="I248" s="5" t="s">
        <v>82</v>
      </c>
      <c r="J248" s="25" t="s">
        <v>1588</v>
      </c>
      <c r="K248" s="25"/>
      <c r="L248" s="25"/>
      <c r="M248" s="5" t="s">
        <v>500</v>
      </c>
      <c r="N248" s="5" t="s">
        <v>68</v>
      </c>
      <c r="O248" s="5" t="s">
        <v>69</v>
      </c>
      <c r="P248" s="5" t="s">
        <v>107</v>
      </c>
      <c r="Q248" s="5" t="s">
        <v>89</v>
      </c>
      <c r="R248" s="5" t="s">
        <v>110</v>
      </c>
      <c r="S248" s="5"/>
      <c r="T248" s="5"/>
      <c r="U248" s="5"/>
      <c r="V248" s="5">
        <v>5000.0</v>
      </c>
      <c r="W248" s="26">
        <v>2.1</v>
      </c>
      <c r="X248" s="5">
        <v>2381.0</v>
      </c>
      <c r="Y248" s="27">
        <v>0.2</v>
      </c>
      <c r="Z248" s="28">
        <v>1904.8000000000002</v>
      </c>
      <c r="AA248" s="27">
        <v>1.0</v>
      </c>
      <c r="AB248" s="5" t="s">
        <v>242</v>
      </c>
      <c r="AC248" s="27">
        <v>0.55</v>
      </c>
      <c r="AD248" s="5"/>
      <c r="AE248" s="5" t="s">
        <v>80</v>
      </c>
      <c r="AF248" s="5" t="s">
        <v>81</v>
      </c>
      <c r="AG248" s="5">
        <v>2.0</v>
      </c>
      <c r="AH248" s="5">
        <v>2.0</v>
      </c>
      <c r="AI248" s="5" t="s">
        <v>1595</v>
      </c>
      <c r="AJ248" s="5" t="s">
        <v>0</v>
      </c>
      <c r="AK248" s="52">
        <v>1000.0</v>
      </c>
      <c r="AL248" s="28">
        <v>986.0</v>
      </c>
      <c r="AM248" s="28">
        <v>971.0</v>
      </c>
      <c r="AN248" s="28">
        <v>924.0</v>
      </c>
      <c r="AO248" s="28">
        <v>713.0</v>
      </c>
      <c r="AP248" s="28">
        <v>2381000.0</v>
      </c>
      <c r="AQ248" s="28">
        <v>2347616.7</v>
      </c>
      <c r="AR248" s="28">
        <v>1697653.0</v>
      </c>
      <c r="AS248" s="28">
        <v>0.0</v>
      </c>
      <c r="AT248" s="28">
        <v>1697653.0</v>
      </c>
      <c r="AU248" s="28">
        <v>1904800.0000000002</v>
      </c>
      <c r="AV248" s="28">
        <v>1826851.6738648943</v>
      </c>
      <c r="AW248" s="28">
        <v>1620324.5755320003</v>
      </c>
      <c r="AX248" s="28">
        <v>1695964.8875968992</v>
      </c>
      <c r="AY248" s="28">
        <v>1368041.6123</v>
      </c>
      <c r="AZ248" s="5"/>
      <c r="BA248" s="5" t="s">
        <v>86</v>
      </c>
      <c r="BB248" s="5" t="s">
        <v>826</v>
      </c>
      <c r="BC248" s="5" t="s">
        <v>827</v>
      </c>
      <c r="BD248" s="5" t="s">
        <v>68</v>
      </c>
      <c r="BE248" s="5" t="s">
        <v>89</v>
      </c>
      <c r="BF248" s="5" t="s">
        <v>132</v>
      </c>
      <c r="BG248" s="5" t="s">
        <v>91</v>
      </c>
    </row>
    <row r="249" ht="16.5" hidden="1" customHeight="1">
      <c r="A249" s="5" t="s">
        <v>100</v>
      </c>
      <c r="B249" s="5" t="s">
        <v>137</v>
      </c>
      <c r="C249" s="5" t="b">
        <v>1</v>
      </c>
      <c r="D249" s="5" t="s">
        <v>1320</v>
      </c>
      <c r="E249" s="5" t="s">
        <v>1321</v>
      </c>
      <c r="F249" s="5"/>
      <c r="G249" s="5" t="s">
        <v>65</v>
      </c>
      <c r="H249" s="5" t="s">
        <v>76</v>
      </c>
      <c r="I249" s="5" t="s">
        <v>82</v>
      </c>
      <c r="J249" s="25" t="s">
        <v>1588</v>
      </c>
      <c r="K249" s="25"/>
      <c r="L249" s="25"/>
      <c r="M249" s="5" t="s">
        <v>500</v>
      </c>
      <c r="N249" s="5" t="s">
        <v>126</v>
      </c>
      <c r="O249" s="5" t="s">
        <v>69</v>
      </c>
      <c r="P249" s="5" t="s">
        <v>70</v>
      </c>
      <c r="Q249" s="5" t="s">
        <v>282</v>
      </c>
      <c r="R249" s="5" t="s">
        <v>110</v>
      </c>
      <c r="S249" s="5"/>
      <c r="T249" s="5"/>
      <c r="U249" s="5"/>
      <c r="V249" s="5">
        <v>3200.0</v>
      </c>
      <c r="W249" s="26">
        <v>2.1</v>
      </c>
      <c r="X249" s="5">
        <v>1524.0</v>
      </c>
      <c r="Y249" s="27">
        <v>0.2</v>
      </c>
      <c r="Z249" s="28">
        <v>1219.2</v>
      </c>
      <c r="AA249" s="27">
        <v>1.0</v>
      </c>
      <c r="AB249" s="5" t="s">
        <v>117</v>
      </c>
      <c r="AC249" s="27">
        <v>0.6</v>
      </c>
      <c r="AD249" s="5"/>
      <c r="AE249" s="5" t="s">
        <v>81</v>
      </c>
      <c r="AF249" s="5" t="s">
        <v>81</v>
      </c>
      <c r="AG249" s="5">
        <v>2.0</v>
      </c>
      <c r="AH249" s="5">
        <v>2.0</v>
      </c>
      <c r="AI249" s="5" t="s">
        <v>1597</v>
      </c>
      <c r="AJ249" s="5" t="s">
        <v>0</v>
      </c>
      <c r="AK249" s="52">
        <v>1000.0</v>
      </c>
      <c r="AL249" s="28">
        <v>0.0</v>
      </c>
      <c r="AM249" s="28">
        <v>0.0</v>
      </c>
      <c r="AN249" s="28">
        <v>1373.0</v>
      </c>
      <c r="AO249" s="28">
        <v>0.0</v>
      </c>
      <c r="AP249" s="28">
        <v>1524000.0</v>
      </c>
      <c r="AQ249" s="28">
        <v>0.0</v>
      </c>
      <c r="AR249" s="28">
        <v>0.0</v>
      </c>
      <c r="AS249" s="28">
        <v>0.0</v>
      </c>
      <c r="AT249" s="28">
        <v>0.0</v>
      </c>
      <c r="AU249" s="28">
        <v>1219200.0</v>
      </c>
      <c r="AV249" s="28">
        <v>0.0</v>
      </c>
      <c r="AW249" s="28">
        <v>0.0</v>
      </c>
      <c r="AX249" s="28">
        <v>1175641.238095238</v>
      </c>
      <c r="AY249" s="28">
        <v>0.0</v>
      </c>
      <c r="AZ249" s="5"/>
      <c r="BA249" s="5" t="s">
        <v>86</v>
      </c>
      <c r="BB249" s="5" t="s">
        <v>826</v>
      </c>
      <c r="BC249" s="5" t="s">
        <v>827</v>
      </c>
      <c r="BD249" s="5" t="s">
        <v>126</v>
      </c>
      <c r="BE249" s="5" t="s">
        <v>161</v>
      </c>
      <c r="BF249" s="5" t="s">
        <v>130</v>
      </c>
      <c r="BG249" s="5" t="s">
        <v>131</v>
      </c>
    </row>
    <row r="250" ht="16.5" hidden="1" customHeight="1">
      <c r="A250" s="5" t="s">
        <v>100</v>
      </c>
      <c r="B250" s="5" t="s">
        <v>137</v>
      </c>
      <c r="C250" s="5" t="b">
        <v>1</v>
      </c>
      <c r="D250" s="5" t="s">
        <v>1334</v>
      </c>
      <c r="E250" s="5" t="s">
        <v>1335</v>
      </c>
      <c r="F250" s="5"/>
      <c r="G250" s="5" t="s">
        <v>65</v>
      </c>
      <c r="H250" s="5" t="s">
        <v>76</v>
      </c>
      <c r="I250" s="5" t="s">
        <v>82</v>
      </c>
      <c r="J250" s="25" t="s">
        <v>1588</v>
      </c>
      <c r="K250" s="25"/>
      <c r="L250" s="25"/>
      <c r="M250" s="5" t="s">
        <v>500</v>
      </c>
      <c r="N250" s="5" t="s">
        <v>126</v>
      </c>
      <c r="O250" s="5" t="s">
        <v>69</v>
      </c>
      <c r="P250" s="5" t="s">
        <v>107</v>
      </c>
      <c r="Q250" s="5" t="s">
        <v>282</v>
      </c>
      <c r="R250" s="5" t="s">
        <v>110</v>
      </c>
      <c r="S250" s="5"/>
      <c r="T250" s="5"/>
      <c r="U250" s="5"/>
      <c r="V250" s="5">
        <v>3200.0</v>
      </c>
      <c r="W250" s="26">
        <v>2.1</v>
      </c>
      <c r="X250" s="5">
        <v>1524.0</v>
      </c>
      <c r="Y250" s="27">
        <v>0.2</v>
      </c>
      <c r="Z250" s="28">
        <v>1219.2</v>
      </c>
      <c r="AA250" s="27">
        <v>1.0</v>
      </c>
      <c r="AB250" s="5" t="s">
        <v>117</v>
      </c>
      <c r="AC250" s="27">
        <v>0.62</v>
      </c>
      <c r="AD250" s="5"/>
      <c r="AE250" s="5" t="s">
        <v>81</v>
      </c>
      <c r="AF250" s="5" t="s">
        <v>81</v>
      </c>
      <c r="AG250" s="5">
        <v>2.0</v>
      </c>
      <c r="AH250" s="5">
        <v>2.0</v>
      </c>
      <c r="AI250" s="5" t="s">
        <v>1597</v>
      </c>
      <c r="AJ250" s="5" t="s">
        <v>0</v>
      </c>
      <c r="AK250" s="52">
        <v>700.0</v>
      </c>
      <c r="AL250" s="28">
        <v>0.0</v>
      </c>
      <c r="AM250" s="28">
        <v>0.0</v>
      </c>
      <c r="AN250" s="28">
        <v>783.0</v>
      </c>
      <c r="AO250" s="28">
        <v>0.0</v>
      </c>
      <c r="AP250" s="28">
        <v>1066800.0</v>
      </c>
      <c r="AQ250" s="28">
        <v>0.0</v>
      </c>
      <c r="AR250" s="28">
        <v>0.0</v>
      </c>
      <c r="AS250" s="28">
        <v>0.0</v>
      </c>
      <c r="AT250" s="28">
        <v>0.0</v>
      </c>
      <c r="AU250" s="28">
        <v>853440.0</v>
      </c>
      <c r="AV250" s="28">
        <v>0.0</v>
      </c>
      <c r="AW250" s="28">
        <v>0.0</v>
      </c>
      <c r="AX250" s="28">
        <v>624907.6190476192</v>
      </c>
      <c r="AY250" s="28">
        <v>0.0</v>
      </c>
      <c r="AZ250" s="5"/>
      <c r="BA250" s="5" t="s">
        <v>86</v>
      </c>
      <c r="BB250" s="5" t="s">
        <v>826</v>
      </c>
      <c r="BC250" s="5" t="s">
        <v>827</v>
      </c>
      <c r="BD250" s="5" t="s">
        <v>126</v>
      </c>
      <c r="BE250" s="5" t="s">
        <v>161</v>
      </c>
      <c r="BF250" s="5" t="s">
        <v>130</v>
      </c>
      <c r="BG250" s="5" t="s">
        <v>131</v>
      </c>
    </row>
    <row r="251" ht="16.5" hidden="1" customHeight="1">
      <c r="A251" s="5" t="s">
        <v>100</v>
      </c>
      <c r="B251" s="45" t="s">
        <v>215</v>
      </c>
      <c r="C251" s="45" t="b">
        <v>1</v>
      </c>
      <c r="D251" s="45" t="s">
        <v>1599</v>
      </c>
      <c r="E251" s="45" t="s">
        <v>1600</v>
      </c>
      <c r="F251" s="45"/>
      <c r="G251" s="45" t="s">
        <v>65</v>
      </c>
      <c r="H251" s="45" t="s">
        <v>76</v>
      </c>
      <c r="I251" s="45" t="s">
        <v>82</v>
      </c>
      <c r="J251" s="46" t="s">
        <v>1574</v>
      </c>
      <c r="K251" s="25"/>
      <c r="L251" s="25"/>
      <c r="M251" s="5" t="s">
        <v>500</v>
      </c>
      <c r="N251" s="5" t="s">
        <v>126</v>
      </c>
      <c r="O251" s="5" t="s">
        <v>69</v>
      </c>
      <c r="P251" s="5" t="s">
        <v>70</v>
      </c>
      <c r="Q251" s="5" t="s">
        <v>180</v>
      </c>
      <c r="R251" s="5" t="s">
        <v>181</v>
      </c>
      <c r="S251" s="5"/>
      <c r="T251" s="5"/>
      <c r="U251" s="5"/>
      <c r="V251" s="5">
        <v>2800.0</v>
      </c>
      <c r="W251" s="26">
        <v>2.1</v>
      </c>
      <c r="X251" s="5">
        <v>1333.0</v>
      </c>
      <c r="Y251" s="27">
        <v>0.2</v>
      </c>
      <c r="Z251" s="28">
        <v>1066.4</v>
      </c>
      <c r="AA251" s="27">
        <v>1.0</v>
      </c>
      <c r="AB251" s="5" t="s">
        <v>117</v>
      </c>
      <c r="AC251" s="27">
        <v>0.61</v>
      </c>
      <c r="AD251" s="5"/>
      <c r="AE251" s="5" t="s">
        <v>81</v>
      </c>
      <c r="AF251" s="5" t="s">
        <v>81</v>
      </c>
      <c r="AG251" s="5">
        <v>1.0</v>
      </c>
      <c r="AH251" s="5">
        <v>1.0</v>
      </c>
      <c r="AI251" s="5" t="s">
        <v>1601</v>
      </c>
      <c r="AJ251" s="5" t="s">
        <v>0</v>
      </c>
      <c r="AK251" s="30">
        <v>1000.0</v>
      </c>
      <c r="AL251" s="28">
        <v>0.0</v>
      </c>
      <c r="AM251" s="28">
        <v>0.0</v>
      </c>
      <c r="AN251" s="28">
        <v>1549.0</v>
      </c>
      <c r="AO251" s="28">
        <v>757.0</v>
      </c>
      <c r="AP251" s="28">
        <v>1333000.0</v>
      </c>
      <c r="AQ251" s="28">
        <v>0.0</v>
      </c>
      <c r="AR251" s="28">
        <v>1009081.0</v>
      </c>
      <c r="AS251" s="28">
        <v>0.0</v>
      </c>
      <c r="AT251" s="28">
        <v>1009081.0</v>
      </c>
      <c r="AU251" s="28">
        <v>1066400.0</v>
      </c>
      <c r="AV251" s="28">
        <v>0.0</v>
      </c>
      <c r="AW251" s="28">
        <v>0.0</v>
      </c>
      <c r="AX251" s="28">
        <v>1083619.9501661127</v>
      </c>
      <c r="AY251" s="28">
        <v>522844.72425</v>
      </c>
      <c r="AZ251" s="5"/>
      <c r="BA251" s="5" t="s">
        <v>86</v>
      </c>
      <c r="BB251" s="5" t="s">
        <v>826</v>
      </c>
      <c r="BC251" s="5" t="s">
        <v>827</v>
      </c>
      <c r="BD251" s="5" t="s">
        <v>126</v>
      </c>
      <c r="BE251" s="5" t="s">
        <v>128</v>
      </c>
      <c r="BF251" s="5" t="s">
        <v>130</v>
      </c>
      <c r="BG251" s="5" t="s">
        <v>131</v>
      </c>
    </row>
    <row r="252" ht="16.5" hidden="1" customHeight="1">
      <c r="A252" s="5" t="s">
        <v>100</v>
      </c>
      <c r="B252" s="45" t="s">
        <v>215</v>
      </c>
      <c r="C252" s="45" t="b">
        <v>1</v>
      </c>
      <c r="D252" s="45" t="s">
        <v>1602</v>
      </c>
      <c r="E252" s="45" t="s">
        <v>1603</v>
      </c>
      <c r="F252" s="45"/>
      <c r="G252" s="45" t="s">
        <v>65</v>
      </c>
      <c r="H252" s="45" t="s">
        <v>76</v>
      </c>
      <c r="I252" s="45" t="s">
        <v>82</v>
      </c>
      <c r="J252" s="46" t="s">
        <v>1574</v>
      </c>
      <c r="K252" s="25"/>
      <c r="L252" s="25"/>
      <c r="M252" s="5" t="s">
        <v>500</v>
      </c>
      <c r="N252" s="5" t="s">
        <v>126</v>
      </c>
      <c r="O252" s="5" t="s">
        <v>69</v>
      </c>
      <c r="P252" s="5" t="s">
        <v>107</v>
      </c>
      <c r="Q252" s="5" t="s">
        <v>180</v>
      </c>
      <c r="R252" s="5" t="s">
        <v>181</v>
      </c>
      <c r="S252" s="5"/>
      <c r="T252" s="5"/>
      <c r="U252" s="5"/>
      <c r="V252" s="5">
        <v>2800.0</v>
      </c>
      <c r="W252" s="26">
        <v>2.1</v>
      </c>
      <c r="X252" s="5">
        <v>1333.0</v>
      </c>
      <c r="Y252" s="27">
        <v>0.2</v>
      </c>
      <c r="Z252" s="28">
        <v>1066.4</v>
      </c>
      <c r="AA252" s="27">
        <v>1.0</v>
      </c>
      <c r="AB252" s="5" t="s">
        <v>117</v>
      </c>
      <c r="AC252" s="27">
        <v>0.63</v>
      </c>
      <c r="AD252" s="5"/>
      <c r="AE252" s="5" t="s">
        <v>81</v>
      </c>
      <c r="AF252" s="5" t="s">
        <v>81</v>
      </c>
      <c r="AG252" s="5">
        <v>1.0</v>
      </c>
      <c r="AH252" s="5">
        <v>1.0</v>
      </c>
      <c r="AI252" s="5" t="s">
        <v>1606</v>
      </c>
      <c r="AJ252" s="5" t="s">
        <v>0</v>
      </c>
      <c r="AK252" s="30">
        <v>700.0</v>
      </c>
      <c r="AL252" s="28">
        <v>0.0</v>
      </c>
      <c r="AM252" s="28">
        <v>0.0</v>
      </c>
      <c r="AN252" s="28">
        <v>791.0</v>
      </c>
      <c r="AO252" s="28">
        <v>197.0</v>
      </c>
      <c r="AP252" s="28">
        <v>933100.0</v>
      </c>
      <c r="AQ252" s="28">
        <v>0.0</v>
      </c>
      <c r="AR252" s="28">
        <v>262601.0</v>
      </c>
      <c r="AS252" s="28">
        <v>0.0</v>
      </c>
      <c r="AT252" s="28">
        <v>262601.0</v>
      </c>
      <c r="AU252" s="28">
        <v>746480.0000000001</v>
      </c>
      <c r="AV252" s="28">
        <v>0.0</v>
      </c>
      <c r="AW252" s="28">
        <v>0.0</v>
      </c>
      <c r="AX252" s="28">
        <v>549701.7209302326</v>
      </c>
      <c r="AY252" s="28">
        <v>223790.43985000002</v>
      </c>
      <c r="AZ252" s="5"/>
      <c r="BA252" s="5" t="s">
        <v>86</v>
      </c>
      <c r="BB252" s="5" t="s">
        <v>826</v>
      </c>
      <c r="BC252" s="5" t="s">
        <v>827</v>
      </c>
      <c r="BD252" s="5" t="s">
        <v>126</v>
      </c>
      <c r="BE252" s="5" t="s">
        <v>128</v>
      </c>
      <c r="BF252" s="5" t="s">
        <v>130</v>
      </c>
      <c r="BG252" s="5" t="s">
        <v>131</v>
      </c>
    </row>
    <row r="253" ht="16.5" hidden="1" customHeight="1">
      <c r="A253" s="5" t="s">
        <v>100</v>
      </c>
      <c r="B253" s="45" t="s">
        <v>137</v>
      </c>
      <c r="C253" s="45" t="b">
        <v>0</v>
      </c>
      <c r="D253" s="45" t="s">
        <v>1607</v>
      </c>
      <c r="E253" s="45" t="s">
        <v>1608</v>
      </c>
      <c r="F253" s="45"/>
      <c r="G253" s="45" t="s">
        <v>65</v>
      </c>
      <c r="H253" s="45" t="s">
        <v>76</v>
      </c>
      <c r="I253" s="45" t="s">
        <v>218</v>
      </c>
      <c r="J253" s="46" t="s">
        <v>1370</v>
      </c>
      <c r="K253" s="25"/>
      <c r="L253" s="25"/>
      <c r="M253" s="5" t="s">
        <v>66</v>
      </c>
      <c r="N253" s="5" t="s">
        <v>248</v>
      </c>
      <c r="O253" s="5" t="s">
        <v>69</v>
      </c>
      <c r="P253" s="5" t="s">
        <v>249</v>
      </c>
      <c r="Q253" s="5" t="s">
        <v>291</v>
      </c>
      <c r="R253" s="5" t="s">
        <v>23</v>
      </c>
      <c r="S253" s="5"/>
      <c r="T253" s="5"/>
      <c r="U253" s="5"/>
      <c r="V253" s="5">
        <v>350.0</v>
      </c>
      <c r="W253" s="26">
        <v>2.1</v>
      </c>
      <c r="X253" s="5">
        <v>167.0</v>
      </c>
      <c r="Y253" s="27">
        <v>0.2</v>
      </c>
      <c r="Z253" s="28">
        <v>133.6</v>
      </c>
      <c r="AA253" s="27">
        <v>1.0</v>
      </c>
      <c r="AB253" s="5" t="s">
        <v>78</v>
      </c>
      <c r="AC253" s="27"/>
      <c r="AD253" s="5"/>
      <c r="AE253" s="5" t="s">
        <v>81</v>
      </c>
      <c r="AF253" s="5" t="s">
        <v>81</v>
      </c>
      <c r="AG253" s="5"/>
      <c r="AH253" s="5">
        <v>5.0</v>
      </c>
      <c r="AI253" s="5" t="s">
        <v>1609</v>
      </c>
      <c r="AJ253" s="5" t="s">
        <v>156</v>
      </c>
      <c r="AK253" s="30"/>
      <c r="AL253" s="28">
        <v>0.0</v>
      </c>
      <c r="AM253" s="28">
        <v>0.0</v>
      </c>
      <c r="AN253" s="28">
        <v>2770.0</v>
      </c>
      <c r="AO253" s="28">
        <v>0.0</v>
      </c>
      <c r="AP253" s="28">
        <v>0.0</v>
      </c>
      <c r="AQ253" s="28">
        <v>0.0</v>
      </c>
      <c r="AR253" s="28">
        <v>0.0</v>
      </c>
      <c r="AS253" s="28">
        <v>0.0</v>
      </c>
      <c r="AT253" s="28">
        <v>0.0</v>
      </c>
      <c r="AU253" s="28">
        <v>0.0</v>
      </c>
      <c r="AV253" s="28">
        <v>0.0</v>
      </c>
      <c r="AW253" s="28">
        <v>0.0</v>
      </c>
      <c r="AX253" s="28">
        <v>397263.3774363233</v>
      </c>
      <c r="AY253" s="28">
        <v>0.0</v>
      </c>
      <c r="AZ253" s="5" t="s">
        <v>124</v>
      </c>
      <c r="BA253" s="5" t="s">
        <v>125</v>
      </c>
      <c r="BB253" s="5" t="s">
        <v>127</v>
      </c>
      <c r="BD253" s="5" t="s">
        <v>248</v>
      </c>
      <c r="BE253" s="5" t="s">
        <v>253</v>
      </c>
      <c r="BF253" s="5" t="s">
        <v>291</v>
      </c>
      <c r="BG253" s="5" t="s">
        <v>131</v>
      </c>
    </row>
    <row r="254" ht="16.5" hidden="1" customHeight="1">
      <c r="A254" s="5" t="s">
        <v>100</v>
      </c>
      <c r="B254" s="5" t="s">
        <v>215</v>
      </c>
      <c r="C254" s="5" t="b">
        <v>0</v>
      </c>
      <c r="D254" s="5" t="s">
        <v>1611</v>
      </c>
      <c r="E254" s="5" t="s">
        <v>1612</v>
      </c>
      <c r="F254" s="5"/>
      <c r="G254" s="5" t="s">
        <v>65</v>
      </c>
      <c r="H254" s="5" t="s">
        <v>76</v>
      </c>
      <c r="I254" s="5" t="s">
        <v>218</v>
      </c>
      <c r="J254" s="25" t="s">
        <v>219</v>
      </c>
      <c r="K254" s="25"/>
      <c r="L254" s="25"/>
      <c r="M254" s="5" t="s">
        <v>66</v>
      </c>
      <c r="N254" s="5" t="s">
        <v>355</v>
      </c>
      <c r="O254" s="5" t="s">
        <v>69</v>
      </c>
      <c r="P254" s="5" t="s">
        <v>70</v>
      </c>
      <c r="Q254" s="5" t="s">
        <v>282</v>
      </c>
      <c r="R254" s="5" t="s">
        <v>110</v>
      </c>
      <c r="S254" s="5"/>
      <c r="T254" s="5"/>
      <c r="U254" s="5"/>
      <c r="V254" s="5">
        <v>3500.0</v>
      </c>
      <c r="W254" s="26">
        <v>2.1</v>
      </c>
      <c r="X254" s="5">
        <v>1667.0</v>
      </c>
      <c r="Y254" s="27">
        <v>0.0</v>
      </c>
      <c r="Z254" s="28">
        <v>1667.0</v>
      </c>
      <c r="AA254" s="27">
        <v>1.0</v>
      </c>
      <c r="AB254" s="5" t="s">
        <v>117</v>
      </c>
      <c r="AC254" s="27"/>
      <c r="AD254" s="5"/>
      <c r="AE254" s="5" t="s">
        <v>359</v>
      </c>
      <c r="AF254" s="5" t="s">
        <v>81</v>
      </c>
      <c r="AG254" s="5"/>
      <c r="AH254" s="5">
        <v>5.0</v>
      </c>
      <c r="AI254" s="5" t="s">
        <v>1613</v>
      </c>
      <c r="AJ254" s="5" t="s">
        <v>0</v>
      </c>
      <c r="AK254" s="30"/>
      <c r="AL254" s="28">
        <v>0.0</v>
      </c>
      <c r="AM254" s="28">
        <v>0.0</v>
      </c>
      <c r="AN254" s="28">
        <v>3628.0</v>
      </c>
      <c r="AO254" s="28">
        <v>2579.0</v>
      </c>
      <c r="AP254" s="28">
        <v>0.0</v>
      </c>
      <c r="AQ254" s="28">
        <v>0.0</v>
      </c>
      <c r="AR254" s="28">
        <v>4299193.0</v>
      </c>
      <c r="AS254" s="28">
        <v>0.0</v>
      </c>
      <c r="AT254" s="28">
        <v>4299193.0</v>
      </c>
      <c r="AU254" s="28">
        <v>0.0</v>
      </c>
      <c r="AV254" s="28">
        <v>0.0</v>
      </c>
      <c r="AW254" s="28">
        <v>0.0</v>
      </c>
      <c r="AX254" s="28">
        <v>4732012.880952381</v>
      </c>
      <c r="AY254" s="28">
        <v>3761387.9128179983</v>
      </c>
      <c r="AZ254" s="5" t="s">
        <v>124</v>
      </c>
      <c r="BA254" s="5" t="s">
        <v>125</v>
      </c>
      <c r="BB254" s="5" t="s">
        <v>127</v>
      </c>
      <c r="BC254" s="5" t="s">
        <v>237</v>
      </c>
      <c r="BD254" s="5" t="s">
        <v>355</v>
      </c>
      <c r="BE254" s="5" t="s">
        <v>161</v>
      </c>
      <c r="BF254" s="5" t="s">
        <v>448</v>
      </c>
      <c r="BG254" s="5" t="s">
        <v>131</v>
      </c>
    </row>
    <row r="255" ht="16.5" hidden="1" customHeight="1">
      <c r="A255" s="5" t="s">
        <v>100</v>
      </c>
      <c r="B255" s="5" t="s">
        <v>215</v>
      </c>
      <c r="C255" s="5" t="b">
        <v>0</v>
      </c>
      <c r="D255" s="5" t="s">
        <v>1614</v>
      </c>
      <c r="E255" s="5" t="s">
        <v>1615</v>
      </c>
      <c r="F255" s="5"/>
      <c r="G255" s="5" t="s">
        <v>65</v>
      </c>
      <c r="H255" s="5" t="s">
        <v>76</v>
      </c>
      <c r="I255" s="5" t="s">
        <v>218</v>
      </c>
      <c r="J255" s="25" t="s">
        <v>219</v>
      </c>
      <c r="K255" s="25"/>
      <c r="L255" s="25"/>
      <c r="M255" s="5" t="s">
        <v>66</v>
      </c>
      <c r="N255" s="5" t="s">
        <v>355</v>
      </c>
      <c r="O255" s="5" t="s">
        <v>69</v>
      </c>
      <c r="P255" s="5" t="s">
        <v>107</v>
      </c>
      <c r="Q255" s="5" t="s">
        <v>282</v>
      </c>
      <c r="R255" s="5" t="s">
        <v>110</v>
      </c>
      <c r="S255" s="5"/>
      <c r="T255" s="5"/>
      <c r="U255" s="5"/>
      <c r="V255" s="5">
        <v>3500.0</v>
      </c>
      <c r="W255" s="26">
        <v>2.1</v>
      </c>
      <c r="X255" s="5">
        <v>1667.0</v>
      </c>
      <c r="Y255" s="27">
        <v>0.0</v>
      </c>
      <c r="Z255" s="28">
        <v>1667.0</v>
      </c>
      <c r="AA255" s="27">
        <v>1.0</v>
      </c>
      <c r="AB255" s="5" t="s">
        <v>117</v>
      </c>
      <c r="AC255" s="27"/>
      <c r="AD255" s="5"/>
      <c r="AE255" s="5" t="s">
        <v>359</v>
      </c>
      <c r="AF255" s="5" t="s">
        <v>81</v>
      </c>
      <c r="AG255" s="5"/>
      <c r="AH255" s="5">
        <v>4.0</v>
      </c>
      <c r="AI255" s="5" t="s">
        <v>1617</v>
      </c>
      <c r="AJ255" s="5" t="s">
        <v>0</v>
      </c>
      <c r="AK255" s="52"/>
      <c r="AL255" s="28">
        <v>0.0</v>
      </c>
      <c r="AM255" s="28">
        <v>0.0</v>
      </c>
      <c r="AN255" s="28">
        <v>2674.0</v>
      </c>
      <c r="AO255" s="28">
        <v>3313.0</v>
      </c>
      <c r="AP255" s="28">
        <v>0.0</v>
      </c>
      <c r="AQ255" s="28">
        <v>0.0</v>
      </c>
      <c r="AR255" s="28">
        <v>5522771.0</v>
      </c>
      <c r="AS255" s="28">
        <v>0.0</v>
      </c>
      <c r="AT255" s="28">
        <v>5522771.0</v>
      </c>
      <c r="AU255" s="28">
        <v>0.0</v>
      </c>
      <c r="AV255" s="28">
        <v>0.0</v>
      </c>
      <c r="AW255" s="28">
        <v>0.0</v>
      </c>
      <c r="AX255" s="28">
        <v>3432468.116168327</v>
      </c>
      <c r="AY255" s="28">
        <v>3409715.0433120006</v>
      </c>
      <c r="AZ255" s="5" t="s">
        <v>124</v>
      </c>
      <c r="BA255" s="5" t="s">
        <v>125</v>
      </c>
      <c r="BB255" s="5" t="s">
        <v>127</v>
      </c>
      <c r="BC255" s="5" t="s">
        <v>237</v>
      </c>
      <c r="BD255" s="5" t="s">
        <v>355</v>
      </c>
      <c r="BE255" s="5" t="s">
        <v>161</v>
      </c>
      <c r="BF255" s="5" t="s">
        <v>448</v>
      </c>
      <c r="BG255" s="5" t="s">
        <v>131</v>
      </c>
    </row>
    <row r="256" ht="16.5" hidden="1" customHeight="1">
      <c r="A256" s="5" t="s">
        <v>100</v>
      </c>
      <c r="B256" s="5" t="s">
        <v>215</v>
      </c>
      <c r="C256" s="5" t="b">
        <v>0</v>
      </c>
      <c r="D256" s="5" t="s">
        <v>1618</v>
      </c>
      <c r="E256" s="5" t="s">
        <v>1619</v>
      </c>
      <c r="F256" s="5"/>
      <c r="G256" s="5" t="s">
        <v>65</v>
      </c>
      <c r="H256" s="5" t="s">
        <v>76</v>
      </c>
      <c r="I256" s="5" t="s">
        <v>218</v>
      </c>
      <c r="J256" s="25" t="s">
        <v>219</v>
      </c>
      <c r="K256" s="25"/>
      <c r="L256" s="25"/>
      <c r="M256" s="5" t="s">
        <v>66</v>
      </c>
      <c r="N256" s="5" t="s">
        <v>355</v>
      </c>
      <c r="O256" s="5" t="s">
        <v>69</v>
      </c>
      <c r="P256" s="5" t="s">
        <v>70</v>
      </c>
      <c r="Q256" s="5" t="s">
        <v>175</v>
      </c>
      <c r="R256" s="5" t="s">
        <v>110</v>
      </c>
      <c r="S256" s="5"/>
      <c r="T256" s="5"/>
      <c r="U256" s="5"/>
      <c r="V256" s="5">
        <v>4000.0</v>
      </c>
      <c r="W256" s="26">
        <v>2.1</v>
      </c>
      <c r="X256" s="5">
        <v>1905.0</v>
      </c>
      <c r="Y256" s="27">
        <v>0.0</v>
      </c>
      <c r="Z256" s="28">
        <v>1905.0</v>
      </c>
      <c r="AA256" s="27">
        <v>1.0</v>
      </c>
      <c r="AB256" s="5" t="s">
        <v>117</v>
      </c>
      <c r="AC256" s="27"/>
      <c r="AD256" s="5"/>
      <c r="AE256" s="5" t="s">
        <v>359</v>
      </c>
      <c r="AF256" s="5" t="s">
        <v>81</v>
      </c>
      <c r="AG256" s="5"/>
      <c r="AH256" s="5">
        <v>2.0</v>
      </c>
      <c r="AI256" s="5" t="s">
        <v>1620</v>
      </c>
      <c r="AJ256" s="5" t="s">
        <v>0</v>
      </c>
      <c r="AK256" s="52"/>
      <c r="AL256" s="28">
        <v>0.0</v>
      </c>
      <c r="AM256" s="28">
        <v>0.0</v>
      </c>
      <c r="AN256" s="28">
        <v>669.0</v>
      </c>
      <c r="AO256" s="28">
        <v>533.0</v>
      </c>
      <c r="AP256" s="28">
        <v>0.0</v>
      </c>
      <c r="AQ256" s="28">
        <v>0.0</v>
      </c>
      <c r="AR256" s="28">
        <v>1015365.0</v>
      </c>
      <c r="AS256" s="28">
        <v>0.0</v>
      </c>
      <c r="AT256" s="28">
        <v>1015365.0</v>
      </c>
      <c r="AU256" s="28">
        <v>0.0</v>
      </c>
      <c r="AV256" s="28">
        <v>0.0</v>
      </c>
      <c r="AW256" s="28">
        <v>0.0</v>
      </c>
      <c r="AX256" s="28">
        <v>1106369.9933554817</v>
      </c>
      <c r="AY256" s="28">
        <v>908267.4799250001</v>
      </c>
      <c r="AZ256" s="5" t="s">
        <v>124</v>
      </c>
      <c r="BA256" s="5" t="s">
        <v>125</v>
      </c>
      <c r="BB256" s="5" t="s">
        <v>174</v>
      </c>
      <c r="BC256" s="5" t="s">
        <v>237</v>
      </c>
      <c r="BD256" s="5" t="s">
        <v>355</v>
      </c>
      <c r="BE256" s="5" t="s">
        <v>175</v>
      </c>
      <c r="BF256" s="5" t="s">
        <v>842</v>
      </c>
      <c r="BG256" s="5" t="s">
        <v>131</v>
      </c>
    </row>
    <row r="257" ht="16.5" hidden="1" customHeight="1">
      <c r="A257" s="5" t="s">
        <v>100</v>
      </c>
      <c r="B257" s="5" t="s">
        <v>215</v>
      </c>
      <c r="C257" s="5" t="b">
        <v>0</v>
      </c>
      <c r="D257" s="5" t="s">
        <v>1621</v>
      </c>
      <c r="E257" s="5" t="s">
        <v>1622</v>
      </c>
      <c r="F257" s="5"/>
      <c r="G257" s="5" t="s">
        <v>65</v>
      </c>
      <c r="H257" s="5" t="s">
        <v>76</v>
      </c>
      <c r="I257" s="5" t="s">
        <v>218</v>
      </c>
      <c r="J257" s="25" t="s">
        <v>219</v>
      </c>
      <c r="K257" s="25"/>
      <c r="L257" s="25"/>
      <c r="M257" s="5" t="s">
        <v>66</v>
      </c>
      <c r="N257" s="5" t="s">
        <v>355</v>
      </c>
      <c r="O257" s="5" t="s">
        <v>69</v>
      </c>
      <c r="P257" s="5" t="s">
        <v>107</v>
      </c>
      <c r="Q257" s="5" t="s">
        <v>175</v>
      </c>
      <c r="R257" s="5" t="s">
        <v>110</v>
      </c>
      <c r="S257" s="5"/>
      <c r="T257" s="5"/>
      <c r="U257" s="5"/>
      <c r="V257" s="5">
        <v>4000.0</v>
      </c>
      <c r="W257" s="26">
        <v>2.1</v>
      </c>
      <c r="X257" s="5">
        <v>1905.0</v>
      </c>
      <c r="Y257" s="27">
        <v>0.0</v>
      </c>
      <c r="Z257" s="28">
        <v>1905.0</v>
      </c>
      <c r="AA257" s="27">
        <v>1.0</v>
      </c>
      <c r="AB257" s="5" t="s">
        <v>117</v>
      </c>
      <c r="AC257" s="27"/>
      <c r="AD257" s="5"/>
      <c r="AE257" s="5" t="s">
        <v>359</v>
      </c>
      <c r="AF257" s="5" t="s">
        <v>81</v>
      </c>
      <c r="AG257" s="5"/>
      <c r="AH257" s="5">
        <v>3.0</v>
      </c>
      <c r="AI257" s="5" t="s">
        <v>1623</v>
      </c>
      <c r="AJ257" s="5" t="s">
        <v>0</v>
      </c>
      <c r="AK257" s="30"/>
      <c r="AL257" s="28">
        <v>0.0</v>
      </c>
      <c r="AM257" s="28">
        <v>0.0</v>
      </c>
      <c r="AN257" s="28">
        <v>1254.0</v>
      </c>
      <c r="AO257" s="28">
        <v>1428.0</v>
      </c>
      <c r="AP257" s="28">
        <v>0.0</v>
      </c>
      <c r="AQ257" s="28">
        <v>0.0</v>
      </c>
      <c r="AR257" s="28">
        <v>2720340.0</v>
      </c>
      <c r="AS257" s="28">
        <v>0.0</v>
      </c>
      <c r="AT257" s="28">
        <v>2720340.0</v>
      </c>
      <c r="AU257" s="28">
        <v>0.0</v>
      </c>
      <c r="AV257" s="28">
        <v>0.0</v>
      </c>
      <c r="AW257" s="28">
        <v>0.0</v>
      </c>
      <c r="AX257" s="28">
        <v>2036672.2702104095</v>
      </c>
      <c r="AY257" s="28">
        <v>1975113.388165</v>
      </c>
      <c r="AZ257" s="5" t="s">
        <v>124</v>
      </c>
      <c r="BA257" s="5" t="s">
        <v>125</v>
      </c>
      <c r="BB257" s="5" t="s">
        <v>174</v>
      </c>
      <c r="BC257" s="5" t="s">
        <v>237</v>
      </c>
      <c r="BD257" s="5" t="s">
        <v>355</v>
      </c>
      <c r="BE257" s="5" t="s">
        <v>175</v>
      </c>
      <c r="BF257" s="5" t="s">
        <v>842</v>
      </c>
      <c r="BG257" s="5" t="s">
        <v>131</v>
      </c>
    </row>
    <row r="258" ht="16.5" hidden="1" customHeight="1">
      <c r="A258" s="5" t="s">
        <v>100</v>
      </c>
      <c r="B258" s="5" t="s">
        <v>215</v>
      </c>
      <c r="C258" s="5" t="b">
        <v>0</v>
      </c>
      <c r="D258" s="5" t="s">
        <v>1625</v>
      </c>
      <c r="E258" s="5" t="s">
        <v>1626</v>
      </c>
      <c r="F258" s="5"/>
      <c r="G258" s="5" t="s">
        <v>65</v>
      </c>
      <c r="H258" s="5" t="s">
        <v>76</v>
      </c>
      <c r="I258" s="5" t="s">
        <v>218</v>
      </c>
      <c r="J258" s="25" t="s">
        <v>219</v>
      </c>
      <c r="K258" s="25"/>
      <c r="L258" s="25"/>
      <c r="M258" s="5" t="s">
        <v>66</v>
      </c>
      <c r="N258" s="5" t="s">
        <v>248</v>
      </c>
      <c r="O258" s="5" t="s">
        <v>69</v>
      </c>
      <c r="P258" s="5" t="s">
        <v>249</v>
      </c>
      <c r="Q258" s="5" t="s">
        <v>755</v>
      </c>
      <c r="R258" s="5" t="s">
        <v>23</v>
      </c>
      <c r="S258" s="5"/>
      <c r="T258" s="5"/>
      <c r="U258" s="5"/>
      <c r="V258" s="5">
        <v>350.0</v>
      </c>
      <c r="W258" s="26">
        <v>2.1</v>
      </c>
      <c r="X258" s="5">
        <v>167.0</v>
      </c>
      <c r="Y258" s="27">
        <v>0.0</v>
      </c>
      <c r="Z258" s="28">
        <v>167.0</v>
      </c>
      <c r="AA258" s="27">
        <v>1.0</v>
      </c>
      <c r="AB258" s="5" t="s">
        <v>117</v>
      </c>
      <c r="AC258" s="27"/>
      <c r="AD258" s="5"/>
      <c r="AE258" s="5" t="s">
        <v>81</v>
      </c>
      <c r="AF258" s="5" t="s">
        <v>81</v>
      </c>
      <c r="AG258" s="5"/>
      <c r="AH258" s="5">
        <v>2.0</v>
      </c>
      <c r="AI258" s="5" t="s">
        <v>1627</v>
      </c>
      <c r="AJ258" s="5" t="s">
        <v>0</v>
      </c>
      <c r="AK258" s="30"/>
      <c r="AL258" s="28">
        <v>0.0</v>
      </c>
      <c r="AM258" s="28">
        <v>0.0</v>
      </c>
      <c r="AN258" s="28">
        <v>1917.0</v>
      </c>
      <c r="AO258" s="28">
        <v>0.0</v>
      </c>
      <c r="AP258" s="28">
        <v>0.0</v>
      </c>
      <c r="AQ258" s="28">
        <v>0.0</v>
      </c>
      <c r="AR258" s="28">
        <v>0.0</v>
      </c>
      <c r="AS258" s="28">
        <v>0.0</v>
      </c>
      <c r="AT258" s="28">
        <v>0.0</v>
      </c>
      <c r="AU258" s="28">
        <v>0.0</v>
      </c>
      <c r="AV258" s="28">
        <v>0.0</v>
      </c>
      <c r="AW258" s="28">
        <v>0.0</v>
      </c>
      <c r="AX258" s="28">
        <v>272493.88552048727</v>
      </c>
      <c r="AY258" s="28">
        <v>0.0</v>
      </c>
      <c r="AZ258" s="5" t="s">
        <v>124</v>
      </c>
      <c r="BA258" s="5" t="s">
        <v>125</v>
      </c>
      <c r="BB258" s="5" t="s">
        <v>127</v>
      </c>
      <c r="BD258" s="5" t="s">
        <v>248</v>
      </c>
      <c r="BE258" s="5" t="s">
        <v>253</v>
      </c>
      <c r="BF258" s="5" t="s">
        <v>1628</v>
      </c>
      <c r="BG258" s="5" t="s">
        <v>131</v>
      </c>
    </row>
    <row r="259" ht="16.5" hidden="1" customHeight="1">
      <c r="A259" s="5" t="s">
        <v>100</v>
      </c>
      <c r="B259" s="45" t="s">
        <v>137</v>
      </c>
      <c r="C259" s="45" t="b">
        <v>0</v>
      </c>
      <c r="D259" s="45" t="s">
        <v>1629</v>
      </c>
      <c r="E259" s="45" t="s">
        <v>1630</v>
      </c>
      <c r="F259" s="45"/>
      <c r="G259" s="45" t="s">
        <v>65</v>
      </c>
      <c r="H259" s="45" t="s">
        <v>76</v>
      </c>
      <c r="I259" s="45" t="s">
        <v>218</v>
      </c>
      <c r="J259" s="46" t="s">
        <v>1370</v>
      </c>
      <c r="K259" s="25"/>
      <c r="L259" s="5"/>
      <c r="M259" s="5" t="s">
        <v>66</v>
      </c>
      <c r="N259" s="5" t="s">
        <v>270</v>
      </c>
      <c r="O259" s="5" t="s">
        <v>69</v>
      </c>
      <c r="P259" s="5" t="s">
        <v>70</v>
      </c>
      <c r="Q259" s="5" t="s">
        <v>1032</v>
      </c>
      <c r="R259" s="5" t="s">
        <v>181</v>
      </c>
      <c r="S259" s="5"/>
      <c r="T259" s="5"/>
      <c r="U259" s="5"/>
      <c r="V259" s="5">
        <v>1000.0</v>
      </c>
      <c r="W259" s="5">
        <v>2.1</v>
      </c>
      <c r="X259" s="5">
        <v>476.0</v>
      </c>
      <c r="Y259" s="27">
        <v>0.2</v>
      </c>
      <c r="Z259" s="5">
        <v>380.8</v>
      </c>
      <c r="AA259" s="27">
        <v>1.0</v>
      </c>
      <c r="AB259" s="5" t="s">
        <v>78</v>
      </c>
      <c r="AC259" s="27"/>
      <c r="AD259" s="5"/>
      <c r="AE259" s="24" t="s">
        <v>81</v>
      </c>
      <c r="AF259" s="5" t="s">
        <v>81</v>
      </c>
      <c r="AG259" s="5"/>
      <c r="AH259" s="5">
        <v>1.0</v>
      </c>
      <c r="AI259" s="5" t="s">
        <v>0</v>
      </c>
      <c r="AJ259" s="5" t="s">
        <v>0</v>
      </c>
      <c r="AK259" s="52"/>
      <c r="AL259" s="5">
        <v>0.0</v>
      </c>
      <c r="AM259" s="5">
        <v>0.0</v>
      </c>
      <c r="AN259" s="5">
        <v>0.0</v>
      </c>
      <c r="AO259" s="5">
        <v>0.0</v>
      </c>
      <c r="AP259" s="5">
        <v>0.0</v>
      </c>
      <c r="AQ259" s="5">
        <v>0.0</v>
      </c>
      <c r="AR259" s="28">
        <v>0.0</v>
      </c>
      <c r="AS259" s="28">
        <v>0.0</v>
      </c>
      <c r="AT259" s="28">
        <v>0.0</v>
      </c>
      <c r="AU259" s="28">
        <v>0.0</v>
      </c>
      <c r="AV259" s="28">
        <v>0.0</v>
      </c>
      <c r="AW259" s="28">
        <v>0.0</v>
      </c>
      <c r="AX259" s="28">
        <v>0.0</v>
      </c>
      <c r="AY259" s="28">
        <v>0.0</v>
      </c>
      <c r="AZ259" s="5" t="s">
        <v>124</v>
      </c>
      <c r="BA259" s="5" t="s">
        <v>125</v>
      </c>
      <c r="BB259" s="5" t="s">
        <v>127</v>
      </c>
      <c r="BD259" s="5" t="s">
        <v>276</v>
      </c>
      <c r="BE259" s="5" t="s">
        <v>1032</v>
      </c>
      <c r="BF259" s="5" t="s">
        <v>277</v>
      </c>
      <c r="BG259" s="5" t="s">
        <v>131</v>
      </c>
    </row>
    <row r="260" ht="16.5" hidden="1" customHeight="1">
      <c r="A260" s="5" t="s">
        <v>100</v>
      </c>
      <c r="B260" s="45" t="s">
        <v>137</v>
      </c>
      <c r="C260" s="45" t="b">
        <v>0</v>
      </c>
      <c r="D260" s="45" t="s">
        <v>1631</v>
      </c>
      <c r="E260" s="45" t="s">
        <v>1632</v>
      </c>
      <c r="F260" s="45"/>
      <c r="G260" s="45" t="s">
        <v>65</v>
      </c>
      <c r="H260" s="45" t="s">
        <v>76</v>
      </c>
      <c r="I260" s="45" t="s">
        <v>218</v>
      </c>
      <c r="J260" s="46" t="s">
        <v>1370</v>
      </c>
      <c r="K260" s="25"/>
      <c r="L260" s="5"/>
      <c r="M260" s="5" t="s">
        <v>66</v>
      </c>
      <c r="N260" s="5" t="s">
        <v>270</v>
      </c>
      <c r="O260" s="5" t="s">
        <v>69</v>
      </c>
      <c r="P260" s="5" t="s">
        <v>107</v>
      </c>
      <c r="Q260" s="5" t="s">
        <v>1032</v>
      </c>
      <c r="R260" s="5" t="s">
        <v>181</v>
      </c>
      <c r="S260" s="5"/>
      <c r="T260" s="5"/>
      <c r="U260" s="5"/>
      <c r="V260" s="5">
        <v>1000.0</v>
      </c>
      <c r="W260" s="5">
        <v>2.1</v>
      </c>
      <c r="X260" s="5">
        <v>476.0</v>
      </c>
      <c r="Y260" s="27">
        <v>0.2</v>
      </c>
      <c r="Z260" s="5">
        <v>380.8</v>
      </c>
      <c r="AA260" s="27">
        <v>1.0</v>
      </c>
      <c r="AB260" s="5" t="s">
        <v>78</v>
      </c>
      <c r="AC260" s="27"/>
      <c r="AD260" s="5"/>
      <c r="AE260" s="24" t="s">
        <v>81</v>
      </c>
      <c r="AF260" s="5" t="s">
        <v>81</v>
      </c>
      <c r="AG260" s="5"/>
      <c r="AH260" s="5">
        <v>1.0</v>
      </c>
      <c r="AI260" s="5" t="s">
        <v>0</v>
      </c>
      <c r="AJ260" s="5" t="s">
        <v>0</v>
      </c>
      <c r="AK260" s="52"/>
      <c r="AL260" s="5">
        <v>0.0</v>
      </c>
      <c r="AM260" s="5">
        <v>0.0</v>
      </c>
      <c r="AN260" s="5">
        <v>0.0</v>
      </c>
      <c r="AO260" s="5">
        <v>0.0</v>
      </c>
      <c r="AP260" s="5">
        <v>0.0</v>
      </c>
      <c r="AQ260" s="5">
        <v>0.0</v>
      </c>
      <c r="AR260" s="28">
        <v>0.0</v>
      </c>
      <c r="AS260" s="28">
        <v>0.0</v>
      </c>
      <c r="AT260" s="28">
        <v>0.0</v>
      </c>
      <c r="AU260" s="28">
        <v>0.0</v>
      </c>
      <c r="AV260" s="28">
        <v>0.0</v>
      </c>
      <c r="AW260" s="28">
        <v>0.0</v>
      </c>
      <c r="AX260" s="28">
        <v>0.0</v>
      </c>
      <c r="AY260" s="28">
        <v>0.0</v>
      </c>
      <c r="AZ260" s="5" t="s">
        <v>124</v>
      </c>
      <c r="BA260" s="5" t="s">
        <v>125</v>
      </c>
      <c r="BB260" s="5" t="s">
        <v>127</v>
      </c>
      <c r="BD260" s="5" t="s">
        <v>276</v>
      </c>
      <c r="BE260" s="5" t="s">
        <v>1032</v>
      </c>
      <c r="BF260" s="5" t="s">
        <v>277</v>
      </c>
      <c r="BG260" s="5" t="s">
        <v>131</v>
      </c>
    </row>
    <row r="261" ht="16.5" hidden="1" customHeight="1">
      <c r="A261" s="5" t="s">
        <v>100</v>
      </c>
      <c r="B261" s="5" t="s">
        <v>137</v>
      </c>
      <c r="C261" s="5" t="b">
        <v>1</v>
      </c>
      <c r="D261" s="5" t="s">
        <v>832</v>
      </c>
      <c r="E261" s="5" t="s">
        <v>833</v>
      </c>
      <c r="F261" s="5"/>
      <c r="G261" s="5" t="s">
        <v>65</v>
      </c>
      <c r="H261" s="5" t="s">
        <v>76</v>
      </c>
      <c r="I261" s="5" t="s">
        <v>82</v>
      </c>
      <c r="J261" s="25"/>
      <c r="K261" s="25"/>
      <c r="L261" s="25"/>
      <c r="M261" s="5" t="s">
        <v>66</v>
      </c>
      <c r="N261" s="5" t="s">
        <v>270</v>
      </c>
      <c r="O261" s="5" t="s">
        <v>69</v>
      </c>
      <c r="P261" s="5" t="s">
        <v>70</v>
      </c>
      <c r="Q261" s="5" t="s">
        <v>502</v>
      </c>
      <c r="R261" s="5" t="s">
        <v>110</v>
      </c>
      <c r="S261" s="5"/>
      <c r="T261" s="5"/>
      <c r="U261" s="5"/>
      <c r="V261" s="5">
        <v>1400.0</v>
      </c>
      <c r="W261" s="26">
        <v>2.1</v>
      </c>
      <c r="X261" s="5">
        <v>667.0</v>
      </c>
      <c r="Y261" s="27">
        <v>0.2</v>
      </c>
      <c r="Z261" s="28">
        <v>533.6</v>
      </c>
      <c r="AA261" s="27">
        <v>1.0</v>
      </c>
      <c r="AB261" s="5" t="s">
        <v>117</v>
      </c>
      <c r="AC261" s="27">
        <v>0.64</v>
      </c>
      <c r="AD261" s="5"/>
      <c r="AE261" s="5" t="s">
        <v>81</v>
      </c>
      <c r="AF261" s="5" t="s">
        <v>81</v>
      </c>
      <c r="AG261" s="5">
        <v>5.0</v>
      </c>
      <c r="AH261" s="5">
        <v>5.0</v>
      </c>
      <c r="AI261" s="5" t="s">
        <v>1634</v>
      </c>
      <c r="AJ261" s="5" t="s">
        <v>0</v>
      </c>
      <c r="AK261" s="30">
        <v>3000.0</v>
      </c>
      <c r="AL261" s="28">
        <v>2507.0</v>
      </c>
      <c r="AM261" s="28">
        <v>0.0</v>
      </c>
      <c r="AN261" s="28">
        <v>4468.0</v>
      </c>
      <c r="AO261" s="28">
        <v>0.0</v>
      </c>
      <c r="AP261" s="28">
        <v>2001000.0</v>
      </c>
      <c r="AQ261" s="28">
        <v>1671341.6899999992</v>
      </c>
      <c r="AR261" s="28">
        <v>0.0</v>
      </c>
      <c r="AS261" s="28">
        <v>0.0</v>
      </c>
      <c r="AT261" s="28">
        <v>0.0</v>
      </c>
      <c r="AU261" s="28">
        <v>1600800.0</v>
      </c>
      <c r="AV261" s="28">
        <v>1438611.94496124</v>
      </c>
      <c r="AW261" s="28">
        <v>0.0</v>
      </c>
      <c r="AX261" s="28">
        <v>2158738.264894795</v>
      </c>
      <c r="AY261" s="28">
        <v>0.0</v>
      </c>
      <c r="AZ261" s="5"/>
      <c r="BA261" s="5" t="s">
        <v>125</v>
      </c>
      <c r="BB261" s="5" t="s">
        <v>127</v>
      </c>
      <c r="BC261" s="5" t="s">
        <v>237</v>
      </c>
      <c r="BD261" s="5" t="s">
        <v>276</v>
      </c>
      <c r="BE261" s="5" t="s">
        <v>161</v>
      </c>
      <c r="BF261" s="5" t="s">
        <v>277</v>
      </c>
      <c r="BG261" s="5" t="s">
        <v>131</v>
      </c>
    </row>
    <row r="262" ht="16.5" hidden="1" customHeight="1">
      <c r="A262" s="5" t="s">
        <v>100</v>
      </c>
      <c r="B262" s="5" t="s">
        <v>137</v>
      </c>
      <c r="C262" s="5" t="b">
        <v>1</v>
      </c>
      <c r="D262" s="5" t="s">
        <v>837</v>
      </c>
      <c r="E262" s="5" t="s">
        <v>839</v>
      </c>
      <c r="F262" s="5"/>
      <c r="G262" s="5" t="s">
        <v>65</v>
      </c>
      <c r="H262" s="5" t="s">
        <v>76</v>
      </c>
      <c r="I262" s="5" t="s">
        <v>82</v>
      </c>
      <c r="J262" s="25"/>
      <c r="K262" s="25"/>
      <c r="L262" s="25"/>
      <c r="M262" s="5" t="s">
        <v>66</v>
      </c>
      <c r="N262" s="5" t="s">
        <v>270</v>
      </c>
      <c r="O262" s="5" t="s">
        <v>69</v>
      </c>
      <c r="P262" s="5" t="s">
        <v>107</v>
      </c>
      <c r="Q262" s="5" t="s">
        <v>502</v>
      </c>
      <c r="R262" s="5" t="s">
        <v>110</v>
      </c>
      <c r="S262" s="5"/>
      <c r="T262" s="5"/>
      <c r="U262" s="5"/>
      <c r="V262" s="5">
        <v>1400.0</v>
      </c>
      <c r="W262" s="26">
        <v>2.1</v>
      </c>
      <c r="X262" s="5">
        <v>667.0</v>
      </c>
      <c r="Y262" s="27">
        <v>0.2</v>
      </c>
      <c r="Z262" s="28">
        <v>533.6</v>
      </c>
      <c r="AA262" s="27">
        <v>1.0</v>
      </c>
      <c r="AB262" s="5" t="s">
        <v>117</v>
      </c>
      <c r="AC262" s="27">
        <v>0.65</v>
      </c>
      <c r="AD262" s="5"/>
      <c r="AE262" s="5" t="s">
        <v>81</v>
      </c>
      <c r="AF262" s="5" t="s">
        <v>81</v>
      </c>
      <c r="AG262" s="5">
        <v>6.0</v>
      </c>
      <c r="AH262" s="5">
        <v>6.0</v>
      </c>
      <c r="AI262" s="5" t="s">
        <v>1636</v>
      </c>
      <c r="AJ262" s="5" t="s">
        <v>0</v>
      </c>
      <c r="AK262" s="30">
        <v>2800.0</v>
      </c>
      <c r="AL262" s="28">
        <v>2899.0</v>
      </c>
      <c r="AM262" s="28">
        <v>0.0</v>
      </c>
      <c r="AN262" s="28">
        <v>3539.0</v>
      </c>
      <c r="AO262" s="28">
        <v>0.0</v>
      </c>
      <c r="AP262" s="28">
        <v>1867600.0</v>
      </c>
      <c r="AQ262" s="28">
        <v>1932676.3299999991</v>
      </c>
      <c r="AR262" s="28">
        <v>0.0</v>
      </c>
      <c r="AS262" s="28">
        <v>0.0</v>
      </c>
      <c r="AT262" s="28">
        <v>0.0</v>
      </c>
      <c r="AU262" s="28">
        <v>1494080.0</v>
      </c>
      <c r="AV262" s="28">
        <v>1678801.7544850493</v>
      </c>
      <c r="AW262" s="28">
        <v>0.0</v>
      </c>
      <c r="AX262" s="28">
        <v>1794840.9661129564</v>
      </c>
      <c r="AY262" s="28">
        <v>0.0</v>
      </c>
      <c r="AZ262" s="5"/>
      <c r="BA262" s="5" t="s">
        <v>125</v>
      </c>
      <c r="BB262" s="5" t="s">
        <v>127</v>
      </c>
      <c r="BC262" s="5" t="s">
        <v>237</v>
      </c>
      <c r="BD262" s="5" t="s">
        <v>276</v>
      </c>
      <c r="BE262" s="5" t="s">
        <v>161</v>
      </c>
      <c r="BF262" s="5" t="s">
        <v>277</v>
      </c>
      <c r="BG262" s="5" t="s">
        <v>131</v>
      </c>
    </row>
    <row r="263" ht="16.5" hidden="1" customHeight="1">
      <c r="A263" s="5" t="s">
        <v>100</v>
      </c>
      <c r="B263" s="5" t="s">
        <v>137</v>
      </c>
      <c r="C263" s="5" t="b">
        <v>1</v>
      </c>
      <c r="D263" s="5" t="s">
        <v>845</v>
      </c>
      <c r="E263" s="5" t="s">
        <v>846</v>
      </c>
      <c r="F263" s="5"/>
      <c r="G263" s="5" t="s">
        <v>65</v>
      </c>
      <c r="H263" s="5" t="s">
        <v>76</v>
      </c>
      <c r="I263" s="5" t="s">
        <v>82</v>
      </c>
      <c r="J263" s="25"/>
      <c r="K263" s="25"/>
      <c r="L263" s="25"/>
      <c r="M263" s="5" t="s">
        <v>66</v>
      </c>
      <c r="N263" s="5" t="s">
        <v>270</v>
      </c>
      <c r="O263" s="5" t="s">
        <v>69</v>
      </c>
      <c r="P263" s="5" t="s">
        <v>70</v>
      </c>
      <c r="Q263" s="5" t="s">
        <v>526</v>
      </c>
      <c r="R263" s="5" t="s">
        <v>110</v>
      </c>
      <c r="S263" s="5"/>
      <c r="T263" s="5"/>
      <c r="U263" s="5"/>
      <c r="V263" s="5">
        <v>1200.0</v>
      </c>
      <c r="W263" s="26">
        <v>2.1</v>
      </c>
      <c r="X263" s="5">
        <v>571.0</v>
      </c>
      <c r="Y263" s="27">
        <v>0.2</v>
      </c>
      <c r="Z263" s="28">
        <v>456.8</v>
      </c>
      <c r="AA263" s="27">
        <v>1.0</v>
      </c>
      <c r="AB263" s="5" t="s">
        <v>117</v>
      </c>
      <c r="AC263" s="27">
        <v>0.64</v>
      </c>
      <c r="AD263" s="5"/>
      <c r="AE263" s="5" t="s">
        <v>81</v>
      </c>
      <c r="AF263" s="5" t="s">
        <v>81</v>
      </c>
      <c r="AG263" s="5">
        <v>5.0</v>
      </c>
      <c r="AH263" s="5">
        <v>5.0</v>
      </c>
      <c r="AI263" s="5" t="s">
        <v>1638</v>
      </c>
      <c r="AJ263" s="5" t="s">
        <v>0</v>
      </c>
      <c r="AK263" s="30">
        <v>3100.0</v>
      </c>
      <c r="AL263" s="28">
        <v>2972.0</v>
      </c>
      <c r="AM263" s="28">
        <v>0.0</v>
      </c>
      <c r="AN263" s="28">
        <v>5529.0</v>
      </c>
      <c r="AO263" s="28">
        <v>0.0</v>
      </c>
      <c r="AP263" s="28">
        <v>1770100.0</v>
      </c>
      <c r="AQ263" s="28">
        <v>1698289.96</v>
      </c>
      <c r="AR263" s="28">
        <v>0.0</v>
      </c>
      <c r="AS263" s="28">
        <v>0.0</v>
      </c>
      <c r="AT263" s="28">
        <v>0.0</v>
      </c>
      <c r="AU263" s="28">
        <v>1416080.0</v>
      </c>
      <c r="AV263" s="28">
        <v>1490255.4545957916</v>
      </c>
      <c r="AW263" s="28">
        <v>0.0</v>
      </c>
      <c r="AX263" s="28">
        <v>2269125.373200443</v>
      </c>
      <c r="AY263" s="28">
        <v>0.0</v>
      </c>
      <c r="AZ263" s="5"/>
      <c r="BA263" s="5" t="s">
        <v>125</v>
      </c>
      <c r="BB263" s="5" t="s">
        <v>127</v>
      </c>
      <c r="BC263" s="5" t="s">
        <v>237</v>
      </c>
      <c r="BD263" s="5" t="s">
        <v>276</v>
      </c>
      <c r="BE263" s="5" t="s">
        <v>89</v>
      </c>
      <c r="BF263" s="5" t="s">
        <v>277</v>
      </c>
      <c r="BG263" s="5" t="s">
        <v>131</v>
      </c>
    </row>
    <row r="264" ht="16.5" hidden="1" customHeight="1">
      <c r="A264" s="5" t="s">
        <v>100</v>
      </c>
      <c r="B264" s="5" t="s">
        <v>137</v>
      </c>
      <c r="C264" s="5" t="b">
        <v>1</v>
      </c>
      <c r="D264" s="5" t="s">
        <v>850</v>
      </c>
      <c r="E264" s="5" t="s">
        <v>851</v>
      </c>
      <c r="F264" s="5"/>
      <c r="G264" s="5" t="s">
        <v>65</v>
      </c>
      <c r="H264" s="5" t="s">
        <v>76</v>
      </c>
      <c r="I264" s="5" t="s">
        <v>82</v>
      </c>
      <c r="J264" s="25"/>
      <c r="K264" s="25"/>
      <c r="L264" s="25"/>
      <c r="M264" s="5" t="s">
        <v>66</v>
      </c>
      <c r="N264" s="5" t="s">
        <v>270</v>
      </c>
      <c r="O264" s="5" t="s">
        <v>69</v>
      </c>
      <c r="P264" s="5" t="s">
        <v>107</v>
      </c>
      <c r="Q264" s="5" t="s">
        <v>526</v>
      </c>
      <c r="R264" s="5" t="s">
        <v>110</v>
      </c>
      <c r="S264" s="5"/>
      <c r="T264" s="5"/>
      <c r="U264" s="5"/>
      <c r="V264" s="5">
        <v>1200.0</v>
      </c>
      <c r="W264" s="26">
        <v>2.1</v>
      </c>
      <c r="X264" s="5">
        <v>571.0</v>
      </c>
      <c r="Y264" s="27">
        <v>0.2</v>
      </c>
      <c r="Z264" s="28">
        <v>456.8</v>
      </c>
      <c r="AA264" s="27">
        <v>1.0</v>
      </c>
      <c r="AB264" s="5" t="s">
        <v>117</v>
      </c>
      <c r="AC264" s="27">
        <v>0.65</v>
      </c>
      <c r="AD264" s="5"/>
      <c r="AE264" s="5" t="s">
        <v>81</v>
      </c>
      <c r="AF264" s="5" t="s">
        <v>81</v>
      </c>
      <c r="AG264" s="5">
        <v>5.0</v>
      </c>
      <c r="AH264" s="5">
        <v>5.0</v>
      </c>
      <c r="AI264" s="5" t="s">
        <v>1645</v>
      </c>
      <c r="AJ264" s="5" t="s">
        <v>0</v>
      </c>
      <c r="AK264" s="30">
        <v>2100.0</v>
      </c>
      <c r="AL264" s="28">
        <v>1984.0</v>
      </c>
      <c r="AM264" s="28">
        <v>0.0</v>
      </c>
      <c r="AN264" s="28">
        <v>3059.0</v>
      </c>
      <c r="AO264" s="28">
        <v>0.0</v>
      </c>
      <c r="AP264" s="28">
        <v>1199100.0</v>
      </c>
      <c r="AQ264" s="28">
        <v>1133717.12</v>
      </c>
      <c r="AR264" s="28">
        <v>0.0</v>
      </c>
      <c r="AS264" s="28">
        <v>0.0</v>
      </c>
      <c r="AT264" s="28">
        <v>0.0</v>
      </c>
      <c r="AU264" s="28">
        <v>959280.0</v>
      </c>
      <c r="AV264" s="28">
        <v>997589.0736434109</v>
      </c>
      <c r="AW264" s="28">
        <v>0.0</v>
      </c>
      <c r="AX264" s="28">
        <v>1331646.9562569214</v>
      </c>
      <c r="AY264" s="28">
        <v>0.0</v>
      </c>
      <c r="AZ264" s="5"/>
      <c r="BA264" s="5" t="s">
        <v>125</v>
      </c>
      <c r="BB264" s="5" t="s">
        <v>127</v>
      </c>
      <c r="BC264" s="5" t="s">
        <v>237</v>
      </c>
      <c r="BD264" s="5" t="s">
        <v>276</v>
      </c>
      <c r="BE264" s="5" t="s">
        <v>89</v>
      </c>
      <c r="BF264" s="5" t="s">
        <v>277</v>
      </c>
      <c r="BG264" s="5" t="s">
        <v>131</v>
      </c>
    </row>
    <row r="265" ht="16.5" hidden="1" customHeight="1">
      <c r="A265" s="5" t="s">
        <v>100</v>
      </c>
      <c r="B265" s="5" t="s">
        <v>137</v>
      </c>
      <c r="C265" s="5" t="b">
        <v>0</v>
      </c>
      <c r="D265" s="5" t="s">
        <v>854</v>
      </c>
      <c r="E265" s="5" t="s">
        <v>855</v>
      </c>
      <c r="F265" s="5"/>
      <c r="G265" s="5" t="s">
        <v>65</v>
      </c>
      <c r="H265" s="5" t="s">
        <v>74</v>
      </c>
      <c r="I265" s="5" t="s">
        <v>106</v>
      </c>
      <c r="J265" s="25" t="s">
        <v>1452</v>
      </c>
      <c r="K265" s="25"/>
      <c r="L265" s="25"/>
      <c r="M265" s="5" t="s">
        <v>66</v>
      </c>
      <c r="N265" s="5" t="s">
        <v>126</v>
      </c>
      <c r="O265" s="5" t="s">
        <v>69</v>
      </c>
      <c r="P265" s="5" t="s">
        <v>70</v>
      </c>
      <c r="Q265" s="5" t="s">
        <v>282</v>
      </c>
      <c r="R265" s="5" t="s">
        <v>110</v>
      </c>
      <c r="S265" s="5"/>
      <c r="T265" s="5"/>
      <c r="U265" s="5"/>
      <c r="V265" s="5">
        <v>2000.0</v>
      </c>
      <c r="W265" s="26">
        <v>2.1</v>
      </c>
      <c r="X265" s="5">
        <v>952.0</v>
      </c>
      <c r="Y265" s="27">
        <v>0.0</v>
      </c>
      <c r="Z265" s="28">
        <v>952.0</v>
      </c>
      <c r="AA265" s="27">
        <v>1.0</v>
      </c>
      <c r="AB265" s="5" t="s">
        <v>117</v>
      </c>
      <c r="AC265" s="27"/>
      <c r="AD265" s="5"/>
      <c r="AE265" s="5" t="s">
        <v>546</v>
      </c>
      <c r="AF265" s="5" t="s">
        <v>81</v>
      </c>
      <c r="AG265" s="5"/>
      <c r="AH265" s="5">
        <v>4.0</v>
      </c>
      <c r="AI265" s="5" t="s">
        <v>0</v>
      </c>
      <c r="AJ265" s="5" t="s">
        <v>0</v>
      </c>
      <c r="AK265" s="30"/>
      <c r="AL265" s="28">
        <v>2045.0</v>
      </c>
      <c r="AM265" s="28">
        <v>2120.0</v>
      </c>
      <c r="AN265" s="28">
        <v>0.0</v>
      </c>
      <c r="AO265" s="28">
        <v>0.0</v>
      </c>
      <c r="AP265" s="28">
        <v>0.0</v>
      </c>
      <c r="AQ265" s="28">
        <v>1947617.0999999996</v>
      </c>
      <c r="AR265" s="28">
        <v>0.0</v>
      </c>
      <c r="AS265" s="28">
        <v>0.0</v>
      </c>
      <c r="AT265" s="28">
        <v>0.0</v>
      </c>
      <c r="AU265" s="28">
        <v>0.0</v>
      </c>
      <c r="AV265" s="28">
        <v>1110501.864894795</v>
      </c>
      <c r="AW265" s="28">
        <v>1692577.7621690005</v>
      </c>
      <c r="AX265" s="28">
        <v>0.0</v>
      </c>
      <c r="AY265" s="28">
        <v>0.0</v>
      </c>
      <c r="AZ265" s="5" t="s">
        <v>124</v>
      </c>
      <c r="BA265" s="5" t="s">
        <v>125</v>
      </c>
      <c r="BB265" s="5" t="s">
        <v>127</v>
      </c>
      <c r="BC265" s="32" t="s">
        <v>264</v>
      </c>
      <c r="BD265" s="5" t="s">
        <v>126</v>
      </c>
      <c r="BE265" s="5" t="s">
        <v>161</v>
      </c>
      <c r="BF265" s="5" t="s">
        <v>130</v>
      </c>
      <c r="BG265" s="5" t="s">
        <v>131</v>
      </c>
      <c r="BH265" s="5" t="s">
        <v>910</v>
      </c>
    </row>
    <row r="266" ht="16.5" hidden="1" customHeight="1">
      <c r="A266" s="5" t="s">
        <v>100</v>
      </c>
      <c r="B266" s="35" t="s">
        <v>137</v>
      </c>
      <c r="C266" s="35" t="b">
        <v>0</v>
      </c>
      <c r="D266" s="35" t="s">
        <v>1460</v>
      </c>
      <c r="E266" s="35" t="s">
        <v>1461</v>
      </c>
      <c r="F266" s="35"/>
      <c r="G266" s="35" t="s">
        <v>65</v>
      </c>
      <c r="H266" s="35" t="s">
        <v>74</v>
      </c>
      <c r="I266" s="35" t="s">
        <v>106</v>
      </c>
      <c r="J266" s="36" t="s">
        <v>150</v>
      </c>
      <c r="K266" s="25"/>
      <c r="L266" s="25"/>
      <c r="M266" s="5" t="s">
        <v>66</v>
      </c>
      <c r="N266" s="5" t="s">
        <v>126</v>
      </c>
      <c r="O266" s="5" t="s">
        <v>96</v>
      </c>
      <c r="P266" s="5" t="s">
        <v>70</v>
      </c>
      <c r="Q266" s="5" t="s">
        <v>282</v>
      </c>
      <c r="R266" s="5" t="s">
        <v>110</v>
      </c>
      <c r="S266" s="5"/>
      <c r="T266" s="5"/>
      <c r="U266" s="5"/>
      <c r="V266" s="5">
        <v>2000.0</v>
      </c>
      <c r="W266" s="26">
        <v>2.1</v>
      </c>
      <c r="X266" s="5">
        <v>952.0</v>
      </c>
      <c r="Y266" s="27">
        <v>0.2</v>
      </c>
      <c r="Z266" s="28">
        <v>761.6</v>
      </c>
      <c r="AA266" s="27">
        <v>1.0</v>
      </c>
      <c r="AB266" s="5" t="s">
        <v>117</v>
      </c>
      <c r="AC266" s="27"/>
      <c r="AD266" s="5"/>
      <c r="AE266" s="5" t="s">
        <v>81</v>
      </c>
      <c r="AF266" s="5" t="s">
        <v>81</v>
      </c>
      <c r="AG266" s="5"/>
      <c r="AH266" s="5">
        <v>4.0</v>
      </c>
      <c r="AI266" s="5" t="s">
        <v>0</v>
      </c>
      <c r="AJ266" s="5" t="s">
        <v>471</v>
      </c>
      <c r="AK266" s="30"/>
      <c r="AL266" s="28">
        <v>0.0</v>
      </c>
      <c r="AM266" s="28">
        <v>0.0</v>
      </c>
      <c r="AN266" s="28">
        <v>0.0</v>
      </c>
      <c r="AO266" s="28">
        <v>0.0</v>
      </c>
      <c r="AP266" s="28">
        <v>0.0</v>
      </c>
      <c r="AQ266" s="28">
        <v>0.0</v>
      </c>
      <c r="AR266" s="28">
        <v>0.0</v>
      </c>
      <c r="AS266" s="28">
        <v>0.0</v>
      </c>
      <c r="AT266" s="28">
        <v>0.0</v>
      </c>
      <c r="AU266" s="28">
        <v>0.0</v>
      </c>
      <c r="AV266" s="28">
        <v>0.0</v>
      </c>
      <c r="AW266" s="28">
        <v>0.0</v>
      </c>
      <c r="AX266" s="28">
        <v>0.0</v>
      </c>
      <c r="AY266" s="28">
        <v>0.0</v>
      </c>
      <c r="AZ266" s="5" t="s">
        <v>124</v>
      </c>
      <c r="BA266" s="5" t="s">
        <v>125</v>
      </c>
      <c r="BB266" s="5" t="s">
        <v>127</v>
      </c>
      <c r="BC266" s="32" t="s">
        <v>264</v>
      </c>
      <c r="BD266" s="5" t="s">
        <v>126</v>
      </c>
      <c r="BE266" s="5" t="s">
        <v>161</v>
      </c>
      <c r="BF266" s="5" t="s">
        <v>130</v>
      </c>
      <c r="BG266" s="5" t="s">
        <v>131</v>
      </c>
      <c r="BH266" s="5" t="s">
        <v>910</v>
      </c>
    </row>
    <row r="267" ht="16.5" hidden="1" customHeight="1">
      <c r="A267" s="5" t="s">
        <v>100</v>
      </c>
      <c r="B267" s="5" t="s">
        <v>137</v>
      </c>
      <c r="C267" s="5" t="b">
        <v>0</v>
      </c>
      <c r="D267" s="5" t="s">
        <v>858</v>
      </c>
      <c r="E267" s="5" t="s">
        <v>859</v>
      </c>
      <c r="F267" s="5"/>
      <c r="G267" s="5" t="s">
        <v>65</v>
      </c>
      <c r="H267" s="5" t="s">
        <v>74</v>
      </c>
      <c r="I267" s="5" t="s">
        <v>106</v>
      </c>
      <c r="J267" s="25" t="s">
        <v>1452</v>
      </c>
      <c r="K267" s="25"/>
      <c r="L267" s="25"/>
      <c r="M267" s="5" t="s">
        <v>66</v>
      </c>
      <c r="N267" s="5" t="s">
        <v>126</v>
      </c>
      <c r="O267" s="5" t="s">
        <v>69</v>
      </c>
      <c r="P267" s="5" t="s">
        <v>107</v>
      </c>
      <c r="Q267" s="5" t="s">
        <v>282</v>
      </c>
      <c r="R267" s="5" t="s">
        <v>110</v>
      </c>
      <c r="S267" s="5"/>
      <c r="T267" s="5"/>
      <c r="U267" s="5"/>
      <c r="V267" s="5">
        <v>2000.0</v>
      </c>
      <c r="W267" s="26">
        <v>2.1</v>
      </c>
      <c r="X267" s="5">
        <v>952.0</v>
      </c>
      <c r="Y267" s="27">
        <v>0.0</v>
      </c>
      <c r="Z267" s="28">
        <v>952.0</v>
      </c>
      <c r="AA267" s="27">
        <v>1.0</v>
      </c>
      <c r="AB267" s="5" t="s">
        <v>117</v>
      </c>
      <c r="AC267" s="27"/>
      <c r="AD267" s="5"/>
      <c r="AE267" s="5" t="s">
        <v>546</v>
      </c>
      <c r="AF267" s="5" t="s">
        <v>81</v>
      </c>
      <c r="AG267" s="5"/>
      <c r="AH267" s="5">
        <v>4.0</v>
      </c>
      <c r="AI267" s="5" t="s">
        <v>0</v>
      </c>
      <c r="AJ267" s="5" t="s">
        <v>0</v>
      </c>
      <c r="AK267" s="30"/>
      <c r="AL267" s="28">
        <v>1200.0</v>
      </c>
      <c r="AM267" s="28">
        <v>1892.0</v>
      </c>
      <c r="AN267" s="28">
        <v>0.0</v>
      </c>
      <c r="AO267" s="28">
        <v>0.0</v>
      </c>
      <c r="AP267" s="28">
        <v>0.0</v>
      </c>
      <c r="AQ267" s="28">
        <v>1142856.0</v>
      </c>
      <c r="AR267" s="28">
        <v>0.0</v>
      </c>
      <c r="AS267" s="28">
        <v>0.0</v>
      </c>
      <c r="AT267" s="28">
        <v>0.0</v>
      </c>
      <c r="AU267" s="28">
        <v>0.0</v>
      </c>
      <c r="AV267" s="28">
        <v>708434.0305647842</v>
      </c>
      <c r="AW267" s="28">
        <v>1528848.6306995007</v>
      </c>
      <c r="AX267" s="28">
        <v>0.0</v>
      </c>
      <c r="AY267" s="28">
        <v>0.0</v>
      </c>
      <c r="AZ267" s="5" t="s">
        <v>124</v>
      </c>
      <c r="BA267" s="5" t="s">
        <v>125</v>
      </c>
      <c r="BB267" s="5" t="s">
        <v>127</v>
      </c>
      <c r="BC267" s="32" t="s">
        <v>264</v>
      </c>
      <c r="BD267" s="5" t="s">
        <v>126</v>
      </c>
      <c r="BE267" s="5" t="s">
        <v>161</v>
      </c>
      <c r="BF267" s="5" t="s">
        <v>130</v>
      </c>
      <c r="BG267" s="5" t="s">
        <v>131</v>
      </c>
      <c r="BH267" s="5" t="s">
        <v>910</v>
      </c>
    </row>
    <row r="268" ht="16.5" hidden="1" customHeight="1">
      <c r="A268" s="5" t="s">
        <v>100</v>
      </c>
      <c r="B268" s="35" t="s">
        <v>137</v>
      </c>
      <c r="C268" s="35" t="b">
        <v>0</v>
      </c>
      <c r="D268" s="35" t="s">
        <v>1462</v>
      </c>
      <c r="E268" s="35" t="s">
        <v>1463</v>
      </c>
      <c r="F268" s="35"/>
      <c r="G268" s="35" t="s">
        <v>65</v>
      </c>
      <c r="H268" s="35" t="s">
        <v>74</v>
      </c>
      <c r="I268" s="35" t="s">
        <v>106</v>
      </c>
      <c r="J268" s="36" t="s">
        <v>150</v>
      </c>
      <c r="K268" s="25"/>
      <c r="L268" s="25"/>
      <c r="M268" s="5" t="s">
        <v>66</v>
      </c>
      <c r="N268" s="5" t="s">
        <v>126</v>
      </c>
      <c r="O268" s="5" t="s">
        <v>96</v>
      </c>
      <c r="P268" s="5" t="s">
        <v>107</v>
      </c>
      <c r="Q268" s="5" t="s">
        <v>282</v>
      </c>
      <c r="R268" s="5" t="s">
        <v>110</v>
      </c>
      <c r="S268" s="5"/>
      <c r="T268" s="5"/>
      <c r="U268" s="5"/>
      <c r="V268" s="5">
        <v>2000.0</v>
      </c>
      <c r="W268" s="26">
        <v>2.1</v>
      </c>
      <c r="X268" s="5">
        <v>952.0</v>
      </c>
      <c r="Y268" s="27">
        <v>0.2</v>
      </c>
      <c r="Z268" s="28">
        <v>761.6</v>
      </c>
      <c r="AA268" s="27">
        <v>1.0</v>
      </c>
      <c r="AB268" s="5" t="s">
        <v>117</v>
      </c>
      <c r="AC268" s="27"/>
      <c r="AD268" s="5"/>
      <c r="AE268" s="5" t="s">
        <v>81</v>
      </c>
      <c r="AF268" s="5" t="s">
        <v>81</v>
      </c>
      <c r="AG268" s="5"/>
      <c r="AH268" s="5">
        <v>3.0</v>
      </c>
      <c r="AI268" s="5" t="s">
        <v>0</v>
      </c>
      <c r="AJ268" s="5" t="s">
        <v>471</v>
      </c>
      <c r="AK268" s="30"/>
      <c r="AL268" s="28">
        <v>0.0</v>
      </c>
      <c r="AM268" s="28">
        <v>0.0</v>
      </c>
      <c r="AN268" s="28">
        <v>0.0</v>
      </c>
      <c r="AO268" s="28">
        <v>0.0</v>
      </c>
      <c r="AP268" s="28">
        <v>0.0</v>
      </c>
      <c r="AQ268" s="28">
        <v>0.0</v>
      </c>
      <c r="AR268" s="28">
        <v>0.0</v>
      </c>
      <c r="AS268" s="28">
        <v>0.0</v>
      </c>
      <c r="AT268" s="28">
        <v>0.0</v>
      </c>
      <c r="AU268" s="28">
        <v>0.0</v>
      </c>
      <c r="AV268" s="28">
        <v>0.0</v>
      </c>
      <c r="AW268" s="28">
        <v>0.0</v>
      </c>
      <c r="AX268" s="28">
        <v>0.0</v>
      </c>
      <c r="AY268" s="28">
        <v>0.0</v>
      </c>
      <c r="AZ268" s="5" t="s">
        <v>124</v>
      </c>
      <c r="BA268" s="5" t="s">
        <v>125</v>
      </c>
      <c r="BB268" s="5" t="s">
        <v>127</v>
      </c>
      <c r="BC268" s="32" t="s">
        <v>264</v>
      </c>
      <c r="BD268" s="5" t="s">
        <v>126</v>
      </c>
      <c r="BE268" s="5" t="s">
        <v>161</v>
      </c>
      <c r="BF268" s="5" t="s">
        <v>130</v>
      </c>
      <c r="BG268" s="5" t="s">
        <v>131</v>
      </c>
      <c r="BH268" s="5" t="s">
        <v>910</v>
      </c>
    </row>
    <row r="269" ht="16.5" hidden="1" customHeight="1">
      <c r="A269" s="5" t="s">
        <v>100</v>
      </c>
      <c r="B269" s="35" t="s">
        <v>137</v>
      </c>
      <c r="C269" s="35" t="b">
        <v>0</v>
      </c>
      <c r="D269" s="35" t="s">
        <v>861</v>
      </c>
      <c r="E269" s="35" t="s">
        <v>862</v>
      </c>
      <c r="F269" s="35"/>
      <c r="G269" s="35" t="s">
        <v>65</v>
      </c>
      <c r="H269" s="35" t="s">
        <v>76</v>
      </c>
      <c r="I269" s="35" t="s">
        <v>106</v>
      </c>
      <c r="J269" s="36" t="s">
        <v>1477</v>
      </c>
      <c r="K269" s="25"/>
      <c r="L269" s="25" t="s">
        <v>980</v>
      </c>
      <c r="M269" s="5" t="s">
        <v>66</v>
      </c>
      <c r="N269" s="5" t="s">
        <v>113</v>
      </c>
      <c r="O269" s="5" t="s">
        <v>96</v>
      </c>
      <c r="P269" s="5" t="s">
        <v>70</v>
      </c>
      <c r="Q269" s="5" t="s">
        <v>180</v>
      </c>
      <c r="R269" s="5" t="s">
        <v>181</v>
      </c>
      <c r="S269" s="5"/>
      <c r="T269" s="5"/>
      <c r="U269" s="5"/>
      <c r="V269" s="5">
        <v>2200.0</v>
      </c>
      <c r="W269" s="26">
        <v>2.1</v>
      </c>
      <c r="X269" s="5">
        <v>1048.0</v>
      </c>
      <c r="Y269" s="27">
        <v>0.2</v>
      </c>
      <c r="Z269" s="28">
        <v>838.4000000000001</v>
      </c>
      <c r="AA269" s="27">
        <v>1.0</v>
      </c>
      <c r="AB269" s="5" t="s">
        <v>242</v>
      </c>
      <c r="AC269" s="27"/>
      <c r="AD269" s="5"/>
      <c r="AE269" s="5" t="s">
        <v>81</v>
      </c>
      <c r="AF269" s="5" t="s">
        <v>81</v>
      </c>
      <c r="AG269" s="5"/>
      <c r="AH269" s="5">
        <v>4.0</v>
      </c>
      <c r="AI269" s="5" t="s">
        <v>1649</v>
      </c>
      <c r="AJ269" s="5" t="s">
        <v>97</v>
      </c>
      <c r="AK269" s="30"/>
      <c r="AL269" s="28">
        <v>0.0</v>
      </c>
      <c r="AM269" s="28">
        <v>0.0</v>
      </c>
      <c r="AN269" s="28">
        <v>0.0</v>
      </c>
      <c r="AO269" s="28">
        <v>3125.0</v>
      </c>
      <c r="AP269" s="28">
        <v>0.0</v>
      </c>
      <c r="AQ269" s="28">
        <v>0.0</v>
      </c>
      <c r="AR269" s="28">
        <v>3275000.0</v>
      </c>
      <c r="AS269" s="28">
        <v>0.0</v>
      </c>
      <c r="AT269" s="28">
        <v>3275000.0</v>
      </c>
      <c r="AU269" s="28">
        <v>0.0</v>
      </c>
      <c r="AV269" s="28">
        <v>0.0</v>
      </c>
      <c r="AW269" s="28">
        <v>0.0</v>
      </c>
      <c r="AX269" s="28">
        <v>0.0</v>
      </c>
      <c r="AY269" s="28">
        <v>1369853.325</v>
      </c>
      <c r="AZ269" s="5" t="s">
        <v>124</v>
      </c>
      <c r="BA269" s="5" t="s">
        <v>86</v>
      </c>
      <c r="BB269" s="5" t="s">
        <v>121</v>
      </c>
      <c r="BD269" s="5" t="s">
        <v>126</v>
      </c>
      <c r="BE269" s="5" t="s">
        <v>128</v>
      </c>
      <c r="BF269" s="5" t="s">
        <v>130</v>
      </c>
      <c r="BG269" s="5" t="s">
        <v>131</v>
      </c>
    </row>
    <row r="270" ht="16.5" hidden="1" customHeight="1">
      <c r="A270" s="5" t="s">
        <v>100</v>
      </c>
      <c r="B270" s="35" t="s">
        <v>137</v>
      </c>
      <c r="C270" s="35" t="b">
        <v>0</v>
      </c>
      <c r="D270" s="35" t="s">
        <v>863</v>
      </c>
      <c r="E270" s="35" t="s">
        <v>864</v>
      </c>
      <c r="F270" s="35"/>
      <c r="G270" s="35" t="s">
        <v>65</v>
      </c>
      <c r="H270" s="35" t="s">
        <v>76</v>
      </c>
      <c r="I270" s="35" t="s">
        <v>106</v>
      </c>
      <c r="J270" s="36" t="s">
        <v>1477</v>
      </c>
      <c r="K270" s="25"/>
      <c r="L270" s="25" t="s">
        <v>980</v>
      </c>
      <c r="M270" s="5" t="s">
        <v>66</v>
      </c>
      <c r="N270" s="5" t="s">
        <v>113</v>
      </c>
      <c r="O270" s="5" t="s">
        <v>96</v>
      </c>
      <c r="P270" s="5" t="s">
        <v>107</v>
      </c>
      <c r="Q270" s="5" t="s">
        <v>180</v>
      </c>
      <c r="R270" s="5" t="s">
        <v>181</v>
      </c>
      <c r="S270" s="5"/>
      <c r="T270" s="5"/>
      <c r="U270" s="5"/>
      <c r="V270" s="5">
        <v>2200.0</v>
      </c>
      <c r="W270" s="26">
        <v>2.1</v>
      </c>
      <c r="X270" s="5">
        <v>1048.0</v>
      </c>
      <c r="Y270" s="27">
        <v>0.2</v>
      </c>
      <c r="Z270" s="28">
        <v>838.4000000000001</v>
      </c>
      <c r="AA270" s="27">
        <v>1.0</v>
      </c>
      <c r="AB270" s="5" t="s">
        <v>242</v>
      </c>
      <c r="AC270" s="27"/>
      <c r="AD270" s="5"/>
      <c r="AE270" s="5" t="s">
        <v>81</v>
      </c>
      <c r="AF270" s="5" t="s">
        <v>81</v>
      </c>
      <c r="AG270" s="5"/>
      <c r="AH270" s="5">
        <v>4.0</v>
      </c>
      <c r="AI270" s="5" t="s">
        <v>1651</v>
      </c>
      <c r="AJ270" s="5" t="s">
        <v>97</v>
      </c>
      <c r="AK270" s="30"/>
      <c r="AL270" s="28">
        <v>0.0</v>
      </c>
      <c r="AM270" s="28">
        <v>0.0</v>
      </c>
      <c r="AN270" s="28">
        <v>0.0</v>
      </c>
      <c r="AO270" s="28">
        <v>2121.0</v>
      </c>
      <c r="AP270" s="28">
        <v>0.0</v>
      </c>
      <c r="AQ270" s="28">
        <v>0.0</v>
      </c>
      <c r="AR270" s="28">
        <v>2222808.0</v>
      </c>
      <c r="AS270" s="28">
        <v>0.0</v>
      </c>
      <c r="AT270" s="28">
        <v>2222808.0</v>
      </c>
      <c r="AU270" s="28">
        <v>0.0</v>
      </c>
      <c r="AV270" s="28">
        <v>0.0</v>
      </c>
      <c r="AW270" s="28">
        <v>0.0</v>
      </c>
      <c r="AX270" s="28">
        <v>0.0</v>
      </c>
      <c r="AY270" s="28">
        <v>1151677.4849999999</v>
      </c>
      <c r="AZ270" s="5" t="s">
        <v>124</v>
      </c>
      <c r="BA270" s="5" t="s">
        <v>86</v>
      </c>
      <c r="BB270" s="5" t="s">
        <v>121</v>
      </c>
      <c r="BD270" s="5" t="s">
        <v>126</v>
      </c>
      <c r="BE270" s="5" t="s">
        <v>128</v>
      </c>
      <c r="BF270" s="5" t="s">
        <v>130</v>
      </c>
      <c r="BG270" s="5" t="s">
        <v>131</v>
      </c>
    </row>
    <row r="271" ht="16.5" hidden="1" customHeight="1">
      <c r="A271" s="5" t="s">
        <v>100</v>
      </c>
      <c r="B271" s="5" t="s">
        <v>215</v>
      </c>
      <c r="C271" s="5" t="b">
        <v>0</v>
      </c>
      <c r="D271" s="5" t="s">
        <v>1652</v>
      </c>
      <c r="E271" s="5" t="s">
        <v>1653</v>
      </c>
      <c r="F271" s="5"/>
      <c r="G271" s="5" t="s">
        <v>65</v>
      </c>
      <c r="H271" s="5" t="s">
        <v>76</v>
      </c>
      <c r="I271" s="5" t="s">
        <v>218</v>
      </c>
      <c r="J271" s="25" t="s">
        <v>219</v>
      </c>
      <c r="K271" s="25"/>
      <c r="L271" s="25"/>
      <c r="M271" s="5" t="s">
        <v>66</v>
      </c>
      <c r="N271" s="5" t="s">
        <v>355</v>
      </c>
      <c r="O271" s="5" t="s">
        <v>69</v>
      </c>
      <c r="P271" s="5" t="s">
        <v>70</v>
      </c>
      <c r="Q271" s="5" t="s">
        <v>175</v>
      </c>
      <c r="R271" s="5" t="s">
        <v>110</v>
      </c>
      <c r="S271" s="5"/>
      <c r="T271" s="5"/>
      <c r="U271" s="5"/>
      <c r="V271" s="5">
        <v>2700.0</v>
      </c>
      <c r="W271" s="26">
        <v>2.1</v>
      </c>
      <c r="X271" s="5">
        <v>1286.0</v>
      </c>
      <c r="Y271" s="27">
        <v>0.0</v>
      </c>
      <c r="Z271" s="28">
        <v>1286.0</v>
      </c>
      <c r="AA271" s="27">
        <v>1.0</v>
      </c>
      <c r="AB271" s="5" t="s">
        <v>78</v>
      </c>
      <c r="AC271" s="27"/>
      <c r="AD271" s="5"/>
      <c r="AE271" s="5" t="s">
        <v>198</v>
      </c>
      <c r="AF271" s="5" t="s">
        <v>198</v>
      </c>
      <c r="AG271" s="5"/>
      <c r="AH271" s="5">
        <v>3.0</v>
      </c>
      <c r="AI271" s="5" t="s">
        <v>1654</v>
      </c>
      <c r="AJ271" s="5" t="s">
        <v>0</v>
      </c>
      <c r="AK271" s="30"/>
      <c r="AL271" s="28">
        <v>0.0</v>
      </c>
      <c r="AM271" s="28">
        <v>0.0</v>
      </c>
      <c r="AN271" s="28">
        <v>2207.0</v>
      </c>
      <c r="AO271" s="28">
        <v>2123.0</v>
      </c>
      <c r="AP271" s="28">
        <v>0.0</v>
      </c>
      <c r="AQ271" s="28">
        <v>0.0</v>
      </c>
      <c r="AR271" s="28">
        <v>2730178.0</v>
      </c>
      <c r="AS271" s="28">
        <v>0.0</v>
      </c>
      <c r="AT271" s="28">
        <v>2730178.0</v>
      </c>
      <c r="AU271" s="28">
        <v>0.0</v>
      </c>
      <c r="AV271" s="28">
        <v>0.0</v>
      </c>
      <c r="AW271" s="28">
        <v>0.0</v>
      </c>
      <c r="AX271" s="28">
        <v>2333218.0038759685</v>
      </c>
      <c r="AY271" s="28">
        <v>2281248.812358999</v>
      </c>
      <c r="AZ271" s="5" t="s">
        <v>124</v>
      </c>
      <c r="BA271" s="5" t="s">
        <v>125</v>
      </c>
      <c r="BB271" s="5" t="s">
        <v>174</v>
      </c>
      <c r="BC271" s="32" t="s">
        <v>454</v>
      </c>
      <c r="BD271" s="5" t="s">
        <v>68</v>
      </c>
      <c r="BE271" s="5" t="s">
        <v>175</v>
      </c>
      <c r="BF271" s="5" t="s">
        <v>206</v>
      </c>
      <c r="BG271" s="5" t="s">
        <v>91</v>
      </c>
    </row>
    <row r="272" ht="16.5" hidden="1" customHeight="1">
      <c r="A272" s="5" t="s">
        <v>100</v>
      </c>
      <c r="B272" s="5" t="s">
        <v>215</v>
      </c>
      <c r="C272" s="5" t="b">
        <v>0</v>
      </c>
      <c r="D272" s="5" t="s">
        <v>1656</v>
      </c>
      <c r="E272" s="5" t="s">
        <v>1657</v>
      </c>
      <c r="F272" s="5"/>
      <c r="G272" s="5" t="s">
        <v>65</v>
      </c>
      <c r="H272" s="5" t="s">
        <v>76</v>
      </c>
      <c r="I272" s="5" t="s">
        <v>218</v>
      </c>
      <c r="J272" s="25" t="s">
        <v>219</v>
      </c>
      <c r="K272" s="25"/>
      <c r="L272" s="25"/>
      <c r="M272" s="5" t="s">
        <v>66</v>
      </c>
      <c r="N272" s="5" t="s">
        <v>355</v>
      </c>
      <c r="O272" s="5" t="s">
        <v>69</v>
      </c>
      <c r="P272" s="5" t="s">
        <v>107</v>
      </c>
      <c r="Q272" s="5" t="s">
        <v>175</v>
      </c>
      <c r="R272" s="5" t="s">
        <v>110</v>
      </c>
      <c r="S272" s="5"/>
      <c r="T272" s="5"/>
      <c r="U272" s="5"/>
      <c r="V272" s="5">
        <v>2700.0</v>
      </c>
      <c r="W272" s="26">
        <v>2.1</v>
      </c>
      <c r="X272" s="5">
        <v>1286.0</v>
      </c>
      <c r="Y272" s="27">
        <v>0.0</v>
      </c>
      <c r="Z272" s="28">
        <v>1286.0</v>
      </c>
      <c r="AA272" s="27">
        <v>1.0</v>
      </c>
      <c r="AB272" s="5" t="s">
        <v>78</v>
      </c>
      <c r="AC272" s="27"/>
      <c r="AD272" s="5"/>
      <c r="AE272" s="5" t="s">
        <v>198</v>
      </c>
      <c r="AF272" s="5" t="s">
        <v>198</v>
      </c>
      <c r="AG272" s="5"/>
      <c r="AH272" s="5">
        <v>3.0</v>
      </c>
      <c r="AI272" s="5" t="s">
        <v>1658</v>
      </c>
      <c r="AJ272" s="5" t="s">
        <v>0</v>
      </c>
      <c r="AK272" s="30"/>
      <c r="AL272" s="28">
        <v>0.0</v>
      </c>
      <c r="AM272" s="28">
        <v>0.0</v>
      </c>
      <c r="AN272" s="28">
        <v>1866.0</v>
      </c>
      <c r="AO272" s="28">
        <v>1852.0</v>
      </c>
      <c r="AP272" s="28">
        <v>0.0</v>
      </c>
      <c r="AQ272" s="28">
        <v>0.0</v>
      </c>
      <c r="AR272" s="28">
        <v>2381672.0</v>
      </c>
      <c r="AS272" s="28">
        <v>0.0</v>
      </c>
      <c r="AT272" s="28">
        <v>2381672.0</v>
      </c>
      <c r="AU272" s="28">
        <v>0.0</v>
      </c>
      <c r="AV272" s="28">
        <v>0.0</v>
      </c>
      <c r="AW272" s="28">
        <v>0.0</v>
      </c>
      <c r="AX272" s="28">
        <v>2044367.8272425246</v>
      </c>
      <c r="AY272" s="28">
        <v>2001284.1411710002</v>
      </c>
      <c r="AZ272" s="5" t="s">
        <v>124</v>
      </c>
      <c r="BA272" s="5" t="s">
        <v>125</v>
      </c>
      <c r="BB272" s="5" t="s">
        <v>174</v>
      </c>
      <c r="BC272" s="32" t="s">
        <v>454</v>
      </c>
      <c r="BD272" s="5" t="s">
        <v>68</v>
      </c>
      <c r="BE272" s="5" t="s">
        <v>175</v>
      </c>
      <c r="BF272" s="5" t="s">
        <v>206</v>
      </c>
      <c r="BG272" s="5" t="s">
        <v>91</v>
      </c>
    </row>
    <row r="273" ht="16.5" hidden="1" customHeight="1">
      <c r="A273" s="5" t="s">
        <v>100</v>
      </c>
      <c r="B273" s="5" t="s">
        <v>200</v>
      </c>
      <c r="C273" s="5" t="b">
        <v>1</v>
      </c>
      <c r="D273" s="5" t="s">
        <v>865</v>
      </c>
      <c r="E273" s="5" t="s">
        <v>866</v>
      </c>
      <c r="F273" s="5"/>
      <c r="G273" s="5" t="s">
        <v>65</v>
      </c>
      <c r="H273" s="5" t="s">
        <v>74</v>
      </c>
      <c r="I273" s="5" t="s">
        <v>82</v>
      </c>
      <c r="J273" s="25"/>
      <c r="K273" s="25"/>
      <c r="L273" s="25"/>
      <c r="M273" s="5" t="s">
        <v>66</v>
      </c>
      <c r="N273" s="5" t="s">
        <v>334</v>
      </c>
      <c r="O273" s="5" t="s">
        <v>69</v>
      </c>
      <c r="P273" s="5" t="s">
        <v>107</v>
      </c>
      <c r="Q273" s="5" t="s">
        <v>869</v>
      </c>
      <c r="R273" s="5" t="s">
        <v>23</v>
      </c>
      <c r="S273" s="5"/>
      <c r="T273" s="5"/>
      <c r="U273" s="5"/>
      <c r="V273" s="5">
        <v>1200.0</v>
      </c>
      <c r="W273" s="26">
        <v>2.1</v>
      </c>
      <c r="X273" s="5">
        <v>571.0</v>
      </c>
      <c r="Y273" s="27">
        <v>0.2</v>
      </c>
      <c r="Z273" s="28">
        <v>456.8</v>
      </c>
      <c r="AA273" s="27">
        <v>1.0</v>
      </c>
      <c r="AB273" s="5" t="s">
        <v>78</v>
      </c>
      <c r="AC273" s="27">
        <v>0.57</v>
      </c>
      <c r="AD273" s="5"/>
      <c r="AE273" s="5" t="s">
        <v>81</v>
      </c>
      <c r="AF273" s="5" t="s">
        <v>81</v>
      </c>
      <c r="AG273" s="5">
        <v>3.0</v>
      </c>
      <c r="AH273" s="5">
        <v>3.0</v>
      </c>
      <c r="AI273" s="5" t="s">
        <v>0</v>
      </c>
      <c r="AJ273" s="5" t="s">
        <v>0</v>
      </c>
      <c r="AK273" s="30">
        <v>1800.0</v>
      </c>
      <c r="AL273" s="28">
        <v>1826.0</v>
      </c>
      <c r="AM273" s="28">
        <v>1740.0</v>
      </c>
      <c r="AN273" s="28">
        <v>0.0</v>
      </c>
      <c r="AO273" s="28">
        <v>0.0</v>
      </c>
      <c r="AP273" s="28">
        <v>1027800.0</v>
      </c>
      <c r="AQ273" s="28">
        <v>1043431.1799999997</v>
      </c>
      <c r="AR273" s="28">
        <v>0.0</v>
      </c>
      <c r="AS273" s="28">
        <v>0.0</v>
      </c>
      <c r="AT273" s="28">
        <v>0.0</v>
      </c>
      <c r="AU273" s="28">
        <v>822240.0</v>
      </c>
      <c r="AV273" s="28">
        <v>890075.4108527133</v>
      </c>
      <c r="AW273" s="28">
        <v>855595.9623240998</v>
      </c>
      <c r="AX273" s="28">
        <v>0.0</v>
      </c>
      <c r="AY273" s="28">
        <v>0.0</v>
      </c>
      <c r="AZ273" s="5"/>
      <c r="BA273" s="5" t="s">
        <v>125</v>
      </c>
      <c r="BB273" s="5" t="s">
        <v>174</v>
      </c>
      <c r="BC273" s="32" t="s">
        <v>264</v>
      </c>
      <c r="BD273" s="5" t="s">
        <v>334</v>
      </c>
      <c r="BE273" s="5" t="s">
        <v>869</v>
      </c>
      <c r="BF273" s="5" t="s">
        <v>539</v>
      </c>
      <c r="BG273" s="5" t="s">
        <v>131</v>
      </c>
    </row>
    <row r="274" ht="16.5" hidden="1" customHeight="1">
      <c r="A274" s="5" t="s">
        <v>100</v>
      </c>
      <c r="B274" s="5" t="s">
        <v>200</v>
      </c>
      <c r="C274" s="5" t="b">
        <v>1</v>
      </c>
      <c r="D274" s="5" t="s">
        <v>870</v>
      </c>
      <c r="E274" s="5" t="s">
        <v>871</v>
      </c>
      <c r="F274" s="5"/>
      <c r="G274" s="5" t="s">
        <v>65</v>
      </c>
      <c r="H274" s="5" t="s">
        <v>74</v>
      </c>
      <c r="I274" s="5" t="s">
        <v>82</v>
      </c>
      <c r="J274" s="25"/>
      <c r="K274" s="25"/>
      <c r="L274" s="25"/>
      <c r="M274" s="5" t="s">
        <v>66</v>
      </c>
      <c r="N274" s="5" t="s">
        <v>334</v>
      </c>
      <c r="O274" s="5" t="s">
        <v>69</v>
      </c>
      <c r="P274" s="5" t="s">
        <v>70</v>
      </c>
      <c r="Q274" s="5" t="s">
        <v>1443</v>
      </c>
      <c r="R274" s="5" t="s">
        <v>110</v>
      </c>
      <c r="S274" s="5"/>
      <c r="T274" s="5"/>
      <c r="U274" s="5"/>
      <c r="V274" s="5">
        <v>1000.0</v>
      </c>
      <c r="W274" s="26">
        <v>2.1</v>
      </c>
      <c r="X274" s="5">
        <v>476.0</v>
      </c>
      <c r="Y274" s="27">
        <v>0.2</v>
      </c>
      <c r="Z274" s="28">
        <v>380.8</v>
      </c>
      <c r="AA274" s="27">
        <v>1.0</v>
      </c>
      <c r="AB274" s="5" t="s">
        <v>117</v>
      </c>
      <c r="AC274" s="27">
        <v>0.6</v>
      </c>
      <c r="AD274" s="5"/>
      <c r="AE274" s="5" t="s">
        <v>81</v>
      </c>
      <c r="AF274" s="5" t="s">
        <v>81</v>
      </c>
      <c r="AG274" s="5">
        <v>4.0</v>
      </c>
      <c r="AH274" s="5">
        <v>4.0</v>
      </c>
      <c r="AI274" s="5" t="s">
        <v>0</v>
      </c>
      <c r="AJ274" s="5" t="s">
        <v>0</v>
      </c>
      <c r="AK274" s="30">
        <v>2700.0</v>
      </c>
      <c r="AL274" s="28">
        <v>2740.0</v>
      </c>
      <c r="AM274" s="28">
        <v>2976.0</v>
      </c>
      <c r="AN274" s="28">
        <v>0.0</v>
      </c>
      <c r="AO274" s="28">
        <v>0.0</v>
      </c>
      <c r="AP274" s="28">
        <v>1285200.0</v>
      </c>
      <c r="AQ274" s="28">
        <v>1304760.6</v>
      </c>
      <c r="AR274" s="28">
        <v>0.0</v>
      </c>
      <c r="AS274" s="28">
        <v>0.0</v>
      </c>
      <c r="AT274" s="28">
        <v>0.0</v>
      </c>
      <c r="AU274" s="28">
        <v>1028160.0</v>
      </c>
      <c r="AV274" s="28">
        <v>1087161.4841638978</v>
      </c>
      <c r="AW274" s="28">
        <v>1125906.2719289002</v>
      </c>
      <c r="AX274" s="28">
        <v>0.0</v>
      </c>
      <c r="AY274" s="28">
        <v>0.0</v>
      </c>
      <c r="AZ274" s="5"/>
      <c r="BA274" s="5" t="s">
        <v>125</v>
      </c>
      <c r="BB274" s="5" t="s">
        <v>174</v>
      </c>
      <c r="BC274" s="32" t="s">
        <v>264</v>
      </c>
      <c r="BD274" s="5" t="s">
        <v>334</v>
      </c>
      <c r="BE274" s="5" t="s">
        <v>872</v>
      </c>
      <c r="BF274" s="5" t="s">
        <v>539</v>
      </c>
      <c r="BG274" s="5" t="s">
        <v>131</v>
      </c>
    </row>
    <row r="275" ht="16.5" hidden="1" customHeight="1">
      <c r="A275" s="5" t="s">
        <v>100</v>
      </c>
      <c r="B275" s="5" t="s">
        <v>200</v>
      </c>
      <c r="C275" s="5" t="b">
        <v>1</v>
      </c>
      <c r="D275" s="5" t="s">
        <v>874</v>
      </c>
      <c r="E275" s="5" t="s">
        <v>875</v>
      </c>
      <c r="F275" s="5"/>
      <c r="G275" s="5" t="s">
        <v>65</v>
      </c>
      <c r="H275" s="5" t="s">
        <v>74</v>
      </c>
      <c r="I275" s="5" t="s">
        <v>82</v>
      </c>
      <c r="J275" s="25"/>
      <c r="K275" s="25"/>
      <c r="L275" s="25"/>
      <c r="M275" s="5" t="s">
        <v>66</v>
      </c>
      <c r="N275" s="5" t="s">
        <v>334</v>
      </c>
      <c r="O275" s="5" t="s">
        <v>69</v>
      </c>
      <c r="P275" s="5" t="s">
        <v>107</v>
      </c>
      <c r="Q275" s="5" t="s">
        <v>1443</v>
      </c>
      <c r="R275" s="5" t="s">
        <v>110</v>
      </c>
      <c r="S275" s="5"/>
      <c r="T275" s="5"/>
      <c r="U275" s="5"/>
      <c r="V275" s="5">
        <v>1000.0</v>
      </c>
      <c r="W275" s="26">
        <v>2.1</v>
      </c>
      <c r="X275" s="5">
        <v>476.0</v>
      </c>
      <c r="Y275" s="27">
        <v>0.2</v>
      </c>
      <c r="Z275" s="28">
        <v>380.8</v>
      </c>
      <c r="AA275" s="27">
        <v>1.0</v>
      </c>
      <c r="AB275" s="5" t="s">
        <v>117</v>
      </c>
      <c r="AC275" s="27">
        <v>0.62</v>
      </c>
      <c r="AD275" s="5"/>
      <c r="AE275" s="5" t="s">
        <v>81</v>
      </c>
      <c r="AF275" s="5" t="s">
        <v>81</v>
      </c>
      <c r="AG275" s="5">
        <v>3.0</v>
      </c>
      <c r="AH275" s="5">
        <v>3.0</v>
      </c>
      <c r="AI275" s="5" t="s">
        <v>0</v>
      </c>
      <c r="AJ275" s="5" t="s">
        <v>0</v>
      </c>
      <c r="AK275" s="30">
        <v>1400.0</v>
      </c>
      <c r="AL275" s="28">
        <v>1405.0</v>
      </c>
      <c r="AM275" s="28">
        <v>1759.0</v>
      </c>
      <c r="AN275" s="28">
        <v>0.0</v>
      </c>
      <c r="AO275" s="28">
        <v>0.0</v>
      </c>
      <c r="AP275" s="28">
        <v>666400.0</v>
      </c>
      <c r="AQ275" s="28">
        <v>669046.9500000002</v>
      </c>
      <c r="AR275" s="28">
        <v>0.0</v>
      </c>
      <c r="AS275" s="28">
        <v>0.0</v>
      </c>
      <c r="AT275" s="28">
        <v>0.0</v>
      </c>
      <c r="AU275" s="28">
        <v>533120.0</v>
      </c>
      <c r="AV275" s="28">
        <v>549446.0934662237</v>
      </c>
      <c r="AW275" s="28">
        <v>699314.8271949999</v>
      </c>
      <c r="AX275" s="28">
        <v>0.0</v>
      </c>
      <c r="AY275" s="28">
        <v>0.0</v>
      </c>
      <c r="AZ275" s="5"/>
      <c r="BA275" s="5" t="s">
        <v>125</v>
      </c>
      <c r="BB275" s="5" t="s">
        <v>174</v>
      </c>
      <c r="BC275" s="32" t="s">
        <v>264</v>
      </c>
      <c r="BD275" s="5" t="s">
        <v>334</v>
      </c>
      <c r="BE275" s="5" t="s">
        <v>872</v>
      </c>
      <c r="BF275" s="5" t="s">
        <v>539</v>
      </c>
      <c r="BG275" s="5" t="s">
        <v>131</v>
      </c>
    </row>
    <row r="276" ht="16.5" hidden="1" customHeight="1">
      <c r="A276" s="5" t="s">
        <v>100</v>
      </c>
      <c r="B276" s="5" t="s">
        <v>200</v>
      </c>
      <c r="C276" s="5" t="b">
        <v>1</v>
      </c>
      <c r="D276" s="5" t="s">
        <v>877</v>
      </c>
      <c r="E276" s="5" t="s">
        <v>878</v>
      </c>
      <c r="F276" s="5"/>
      <c r="G276" s="5" t="s">
        <v>65</v>
      </c>
      <c r="H276" s="5" t="s">
        <v>74</v>
      </c>
      <c r="I276" s="5" t="s">
        <v>82</v>
      </c>
      <c r="J276" s="25"/>
      <c r="K276" s="25"/>
      <c r="L276" s="25"/>
      <c r="M276" s="5" t="s">
        <v>66</v>
      </c>
      <c r="N276" s="5" t="s">
        <v>334</v>
      </c>
      <c r="O276" s="5" t="s">
        <v>69</v>
      </c>
      <c r="P276" s="5" t="s">
        <v>70</v>
      </c>
      <c r="Q276" s="5" t="s">
        <v>1443</v>
      </c>
      <c r="R276" s="5" t="s">
        <v>110</v>
      </c>
      <c r="S276" s="5"/>
      <c r="T276" s="5"/>
      <c r="U276" s="5"/>
      <c r="V276" s="5">
        <v>900.0</v>
      </c>
      <c r="W276" s="26">
        <v>2.1</v>
      </c>
      <c r="X276" s="5">
        <v>429.0</v>
      </c>
      <c r="Y276" s="27">
        <v>0.2</v>
      </c>
      <c r="Z276" s="28">
        <v>343.20000000000005</v>
      </c>
      <c r="AA276" s="27">
        <v>1.0</v>
      </c>
      <c r="AB276" s="5" t="s">
        <v>117</v>
      </c>
      <c r="AC276" s="27">
        <v>0.6</v>
      </c>
      <c r="AD276" s="5"/>
      <c r="AE276" s="5" t="s">
        <v>81</v>
      </c>
      <c r="AF276" s="5" t="s">
        <v>81</v>
      </c>
      <c r="AG276" s="5">
        <v>4.0</v>
      </c>
      <c r="AH276" s="5">
        <v>4.0</v>
      </c>
      <c r="AI276" s="5" t="s">
        <v>0</v>
      </c>
      <c r="AJ276" s="5" t="s">
        <v>0</v>
      </c>
      <c r="AK276" s="30">
        <v>2900.0</v>
      </c>
      <c r="AL276" s="28">
        <v>2875.0</v>
      </c>
      <c r="AM276" s="28">
        <v>2690.0</v>
      </c>
      <c r="AN276" s="28">
        <v>0.0</v>
      </c>
      <c r="AO276" s="28">
        <v>0.0</v>
      </c>
      <c r="AP276" s="28">
        <v>1244100.0</v>
      </c>
      <c r="AQ276" s="28">
        <v>1232138.75</v>
      </c>
      <c r="AR276" s="28">
        <v>0.0</v>
      </c>
      <c r="AS276" s="28">
        <v>0.0</v>
      </c>
      <c r="AT276" s="28">
        <v>0.0</v>
      </c>
      <c r="AU276" s="28">
        <v>995280.0000000001</v>
      </c>
      <c r="AV276" s="28">
        <v>947532.663676633</v>
      </c>
      <c r="AW276" s="28">
        <v>913613.2605736</v>
      </c>
      <c r="AX276" s="28">
        <v>0.0</v>
      </c>
      <c r="AY276" s="28">
        <v>0.0</v>
      </c>
      <c r="AZ276" s="5"/>
      <c r="BA276" s="5" t="s">
        <v>125</v>
      </c>
      <c r="BB276" s="5" t="s">
        <v>174</v>
      </c>
      <c r="BC276" s="32" t="s">
        <v>264</v>
      </c>
      <c r="BD276" s="5" t="s">
        <v>334</v>
      </c>
      <c r="BE276" s="5" t="s">
        <v>872</v>
      </c>
      <c r="BF276" s="5" t="s">
        <v>539</v>
      </c>
      <c r="BG276" s="5" t="s">
        <v>131</v>
      </c>
    </row>
    <row r="277" ht="16.5" hidden="1" customHeight="1">
      <c r="A277" s="5" t="s">
        <v>100</v>
      </c>
      <c r="B277" s="5" t="s">
        <v>215</v>
      </c>
      <c r="C277" s="5" t="b">
        <v>0</v>
      </c>
      <c r="D277" s="5" t="s">
        <v>1663</v>
      </c>
      <c r="E277" s="5" t="s">
        <v>1664</v>
      </c>
      <c r="F277" s="5"/>
      <c r="G277" s="5" t="s">
        <v>65</v>
      </c>
      <c r="H277" s="5" t="s">
        <v>76</v>
      </c>
      <c r="I277" s="5" t="s">
        <v>218</v>
      </c>
      <c r="J277" s="25" t="s">
        <v>219</v>
      </c>
      <c r="K277" s="25"/>
      <c r="L277" s="5"/>
      <c r="M277" s="5" t="s">
        <v>220</v>
      </c>
      <c r="N277" s="5" t="s">
        <v>68</v>
      </c>
      <c r="O277" s="5" t="s">
        <v>69</v>
      </c>
      <c r="P277" s="5" t="s">
        <v>70</v>
      </c>
      <c r="Q277" s="5" t="s">
        <v>89</v>
      </c>
      <c r="R277" s="5" t="s">
        <v>110</v>
      </c>
      <c r="S277" s="5"/>
      <c r="T277" s="5"/>
      <c r="U277" s="5"/>
      <c r="V277" s="5">
        <v>3200.0</v>
      </c>
      <c r="W277" s="26">
        <v>2.1</v>
      </c>
      <c r="X277" s="5">
        <v>1524.0</v>
      </c>
      <c r="Y277" s="27">
        <v>0.0</v>
      </c>
      <c r="Z277" s="28">
        <v>1524.0</v>
      </c>
      <c r="AA277" s="27">
        <v>1.0</v>
      </c>
      <c r="AB277" s="5" t="s">
        <v>78</v>
      </c>
      <c r="AC277" s="27"/>
      <c r="AD277" s="5"/>
      <c r="AE277" s="5" t="s">
        <v>166</v>
      </c>
      <c r="AF277" s="5" t="s">
        <v>81</v>
      </c>
      <c r="AG277" s="5"/>
      <c r="AH277" s="5">
        <v>3.0</v>
      </c>
      <c r="AI277" s="5" t="s">
        <v>1665</v>
      </c>
      <c r="AJ277" s="5" t="s">
        <v>0</v>
      </c>
      <c r="AK277" s="30"/>
      <c r="AL277" s="5">
        <v>0.0</v>
      </c>
      <c r="AM277" s="5">
        <v>0.0</v>
      </c>
      <c r="AN277" s="5">
        <v>2089.0</v>
      </c>
      <c r="AO277" s="5">
        <v>0.0</v>
      </c>
      <c r="AP277" s="28">
        <v>0.0</v>
      </c>
      <c r="AQ277" s="28">
        <v>0.0</v>
      </c>
      <c r="AR277" s="28">
        <v>0.0</v>
      </c>
      <c r="AS277" s="28">
        <v>0.0</v>
      </c>
      <c r="AT277" s="28">
        <v>0.0</v>
      </c>
      <c r="AU277" s="28">
        <v>0.0</v>
      </c>
      <c r="AV277" s="28">
        <v>0.0</v>
      </c>
      <c r="AW277" s="28">
        <v>0.0</v>
      </c>
      <c r="AX277" s="28">
        <v>2762584.510520487</v>
      </c>
      <c r="AY277" s="28">
        <v>0.0</v>
      </c>
      <c r="AZ277" s="5" t="s">
        <v>124</v>
      </c>
      <c r="BA277" s="5" t="s">
        <v>226</v>
      </c>
      <c r="BB277" s="5" t="s">
        <v>227</v>
      </c>
      <c r="BC277" s="5" t="s">
        <v>1558</v>
      </c>
      <c r="BD277" s="5" t="s">
        <v>68</v>
      </c>
      <c r="BE277" s="5" t="s">
        <v>89</v>
      </c>
      <c r="BF277" s="5" t="s">
        <v>90</v>
      </c>
      <c r="BG277" s="5" t="s">
        <v>91</v>
      </c>
    </row>
    <row r="278" ht="16.5" hidden="1" customHeight="1">
      <c r="A278" s="5" t="s">
        <v>100</v>
      </c>
      <c r="B278" s="5" t="s">
        <v>215</v>
      </c>
      <c r="C278" s="5" t="b">
        <v>0</v>
      </c>
      <c r="D278" s="5" t="s">
        <v>1666</v>
      </c>
      <c r="E278" s="5" t="s">
        <v>1667</v>
      </c>
      <c r="F278" s="5"/>
      <c r="G278" s="5" t="s">
        <v>65</v>
      </c>
      <c r="H278" s="5" t="s">
        <v>76</v>
      </c>
      <c r="I278" s="5" t="s">
        <v>218</v>
      </c>
      <c r="J278" s="25" t="s">
        <v>219</v>
      </c>
      <c r="K278" s="25"/>
      <c r="L278" s="25"/>
      <c r="M278" s="5" t="s">
        <v>220</v>
      </c>
      <c r="N278" s="5" t="s">
        <v>68</v>
      </c>
      <c r="O278" s="5" t="s">
        <v>69</v>
      </c>
      <c r="P278" s="5" t="s">
        <v>107</v>
      </c>
      <c r="Q278" s="5" t="s">
        <v>89</v>
      </c>
      <c r="R278" s="5" t="s">
        <v>110</v>
      </c>
      <c r="S278" s="5"/>
      <c r="T278" s="5"/>
      <c r="U278" s="5"/>
      <c r="V278" s="5">
        <v>3200.0</v>
      </c>
      <c r="W278" s="26">
        <v>2.1</v>
      </c>
      <c r="X278" s="5">
        <v>1524.0</v>
      </c>
      <c r="Y278" s="27">
        <v>0.0</v>
      </c>
      <c r="Z278" s="28">
        <v>1524.0</v>
      </c>
      <c r="AA278" s="27">
        <v>1.0</v>
      </c>
      <c r="AB278" s="5" t="s">
        <v>78</v>
      </c>
      <c r="AC278" s="27"/>
      <c r="AD278" s="5"/>
      <c r="AE278" s="5" t="s">
        <v>166</v>
      </c>
      <c r="AF278" s="5" t="s">
        <v>81</v>
      </c>
      <c r="AG278" s="5"/>
      <c r="AH278" s="5">
        <v>3.0</v>
      </c>
      <c r="AI278" s="5" t="s">
        <v>1665</v>
      </c>
      <c r="AJ278" s="5" t="s">
        <v>0</v>
      </c>
      <c r="AK278" s="30"/>
      <c r="AL278" s="28">
        <v>0.0</v>
      </c>
      <c r="AM278" s="28">
        <v>0.0</v>
      </c>
      <c r="AN278" s="28">
        <v>1385.0</v>
      </c>
      <c r="AO278" s="28">
        <v>0.0</v>
      </c>
      <c r="AP278" s="28">
        <v>0.0</v>
      </c>
      <c r="AQ278" s="28">
        <v>0.0</v>
      </c>
      <c r="AR278" s="28">
        <v>0.0</v>
      </c>
      <c r="AS278" s="28">
        <v>0.0</v>
      </c>
      <c r="AT278" s="28">
        <v>0.0</v>
      </c>
      <c r="AU278" s="28">
        <v>0.0</v>
      </c>
      <c r="AV278" s="28">
        <v>0.0</v>
      </c>
      <c r="AW278" s="28">
        <v>0.0</v>
      </c>
      <c r="AX278" s="28">
        <v>1872338.0437430786</v>
      </c>
      <c r="AY278" s="28">
        <v>0.0</v>
      </c>
      <c r="AZ278" s="5" t="s">
        <v>124</v>
      </c>
      <c r="BA278" s="5" t="s">
        <v>226</v>
      </c>
      <c r="BB278" s="5" t="s">
        <v>227</v>
      </c>
      <c r="BC278" s="5" t="s">
        <v>1558</v>
      </c>
      <c r="BD278" s="5" t="s">
        <v>68</v>
      </c>
      <c r="BE278" s="5" t="s">
        <v>89</v>
      </c>
      <c r="BF278" s="5" t="s">
        <v>90</v>
      </c>
      <c r="BG278" s="5" t="s">
        <v>91</v>
      </c>
    </row>
    <row r="279" ht="16.5" hidden="1" customHeight="1">
      <c r="A279" s="5" t="s">
        <v>100</v>
      </c>
      <c r="B279" s="5" t="s">
        <v>215</v>
      </c>
      <c r="C279" s="5" t="b">
        <v>0</v>
      </c>
      <c r="D279" s="5" t="s">
        <v>1668</v>
      </c>
      <c r="E279" s="5" t="s">
        <v>1669</v>
      </c>
      <c r="F279" s="5"/>
      <c r="G279" s="5" t="s">
        <v>65</v>
      </c>
      <c r="H279" s="5" t="s">
        <v>76</v>
      </c>
      <c r="I279" s="5" t="s">
        <v>218</v>
      </c>
      <c r="J279" s="25" t="s">
        <v>219</v>
      </c>
      <c r="K279" s="25"/>
      <c r="L279" s="25"/>
      <c r="M279" s="5" t="s">
        <v>220</v>
      </c>
      <c r="N279" s="5" t="s">
        <v>68</v>
      </c>
      <c r="O279" s="5" t="s">
        <v>69</v>
      </c>
      <c r="P279" s="5" t="s">
        <v>70</v>
      </c>
      <c r="Q279" s="5" t="s">
        <v>180</v>
      </c>
      <c r="R279" s="5" t="s">
        <v>181</v>
      </c>
      <c r="S279" s="5"/>
      <c r="T279" s="5"/>
      <c r="U279" s="5"/>
      <c r="V279" s="5">
        <v>2800.0</v>
      </c>
      <c r="W279" s="26">
        <v>2.1</v>
      </c>
      <c r="X279" s="5">
        <v>1333.0</v>
      </c>
      <c r="Y279" s="27">
        <v>0.0</v>
      </c>
      <c r="Z279" s="28">
        <v>1333.0</v>
      </c>
      <c r="AA279" s="27">
        <v>1.0</v>
      </c>
      <c r="AB279" s="5" t="s">
        <v>78</v>
      </c>
      <c r="AC279" s="27"/>
      <c r="AD279" s="5"/>
      <c r="AE279" s="5" t="s">
        <v>166</v>
      </c>
      <c r="AF279" s="5" t="s">
        <v>81</v>
      </c>
      <c r="AG279" s="5"/>
      <c r="AH279" s="5">
        <v>3.0</v>
      </c>
      <c r="AI279" s="5" t="s">
        <v>1665</v>
      </c>
      <c r="AJ279" s="5" t="s">
        <v>0</v>
      </c>
      <c r="AK279" s="52"/>
      <c r="AL279" s="28">
        <v>0.0</v>
      </c>
      <c r="AM279" s="28">
        <v>0.0</v>
      </c>
      <c r="AN279" s="28">
        <v>1555.0</v>
      </c>
      <c r="AO279" s="28">
        <v>0.0</v>
      </c>
      <c r="AP279" s="28">
        <v>0.0</v>
      </c>
      <c r="AQ279" s="28">
        <v>0.0</v>
      </c>
      <c r="AR279" s="28">
        <v>0.0</v>
      </c>
      <c r="AS279" s="28">
        <v>0.0</v>
      </c>
      <c r="AT279" s="28">
        <v>0.0</v>
      </c>
      <c r="AU279" s="28">
        <v>0.0</v>
      </c>
      <c r="AV279" s="28">
        <v>0.0</v>
      </c>
      <c r="AW279" s="28">
        <v>0.0</v>
      </c>
      <c r="AX279" s="28">
        <v>1825746.4158361016</v>
      </c>
      <c r="AY279" s="28">
        <v>0.0</v>
      </c>
      <c r="AZ279" s="5" t="s">
        <v>124</v>
      </c>
      <c r="BA279" s="5" t="s">
        <v>226</v>
      </c>
      <c r="BB279" s="5" t="s">
        <v>227</v>
      </c>
      <c r="BC279" s="5" t="s">
        <v>1558</v>
      </c>
      <c r="BD279" s="5" t="s">
        <v>68</v>
      </c>
      <c r="BE279" s="5" t="s">
        <v>128</v>
      </c>
      <c r="BF279" s="5" t="s">
        <v>90</v>
      </c>
      <c r="BG279" s="5" t="s">
        <v>91</v>
      </c>
    </row>
    <row r="280" ht="16.5" hidden="1" customHeight="1">
      <c r="A280" s="5" t="s">
        <v>100</v>
      </c>
      <c r="B280" s="5" t="s">
        <v>215</v>
      </c>
      <c r="C280" s="5" t="b">
        <v>0</v>
      </c>
      <c r="D280" s="5" t="s">
        <v>1670</v>
      </c>
      <c r="E280" s="5" t="s">
        <v>1671</v>
      </c>
      <c r="F280" s="5"/>
      <c r="G280" s="5" t="s">
        <v>65</v>
      </c>
      <c r="H280" s="5" t="s">
        <v>76</v>
      </c>
      <c r="I280" s="5" t="s">
        <v>218</v>
      </c>
      <c r="J280" s="25" t="s">
        <v>219</v>
      </c>
      <c r="K280" s="25"/>
      <c r="L280" s="25"/>
      <c r="M280" s="5" t="s">
        <v>220</v>
      </c>
      <c r="N280" s="5" t="s">
        <v>68</v>
      </c>
      <c r="O280" s="5" t="s">
        <v>69</v>
      </c>
      <c r="P280" s="5" t="s">
        <v>107</v>
      </c>
      <c r="Q280" s="5" t="s">
        <v>180</v>
      </c>
      <c r="R280" s="5" t="s">
        <v>181</v>
      </c>
      <c r="S280" s="5"/>
      <c r="T280" s="5"/>
      <c r="U280" s="5"/>
      <c r="V280" s="5">
        <v>2800.0</v>
      </c>
      <c r="W280" s="26">
        <v>2.1</v>
      </c>
      <c r="X280" s="5">
        <v>1333.0</v>
      </c>
      <c r="Y280" s="27">
        <v>0.0</v>
      </c>
      <c r="Z280" s="28">
        <v>1333.0</v>
      </c>
      <c r="AA280" s="27">
        <v>1.0</v>
      </c>
      <c r="AB280" s="5" t="s">
        <v>78</v>
      </c>
      <c r="AC280" s="27"/>
      <c r="AD280" s="5"/>
      <c r="AE280" s="5" t="s">
        <v>166</v>
      </c>
      <c r="AF280" s="5" t="s">
        <v>81</v>
      </c>
      <c r="AG280" s="5"/>
      <c r="AH280" s="5">
        <v>3.0</v>
      </c>
      <c r="AI280" s="5" t="s">
        <v>1665</v>
      </c>
      <c r="AJ280" s="5" t="s">
        <v>0</v>
      </c>
      <c r="AK280" s="30"/>
      <c r="AL280" s="28">
        <v>0.0</v>
      </c>
      <c r="AM280" s="28">
        <v>0.0</v>
      </c>
      <c r="AN280" s="28">
        <v>1157.0</v>
      </c>
      <c r="AO280" s="28">
        <v>0.0</v>
      </c>
      <c r="AP280" s="28">
        <v>0.0</v>
      </c>
      <c r="AQ280" s="28">
        <v>0.0</v>
      </c>
      <c r="AR280" s="28">
        <v>0.0</v>
      </c>
      <c r="AS280" s="28">
        <v>0.0</v>
      </c>
      <c r="AT280" s="28">
        <v>0.0</v>
      </c>
      <c r="AU280" s="28">
        <v>0.0</v>
      </c>
      <c r="AV280" s="28">
        <v>0.0</v>
      </c>
      <c r="AW280" s="28">
        <v>0.0</v>
      </c>
      <c r="AX280" s="28">
        <v>1378011.7923588038</v>
      </c>
      <c r="AY280" s="28">
        <v>0.0</v>
      </c>
      <c r="AZ280" s="5" t="s">
        <v>124</v>
      </c>
      <c r="BA280" s="5" t="s">
        <v>226</v>
      </c>
      <c r="BB280" s="5" t="s">
        <v>227</v>
      </c>
      <c r="BC280" s="5" t="s">
        <v>1558</v>
      </c>
      <c r="BD280" s="5" t="s">
        <v>68</v>
      </c>
      <c r="BE280" s="5" t="s">
        <v>128</v>
      </c>
      <c r="BF280" s="5" t="s">
        <v>90</v>
      </c>
      <c r="BG280" s="5" t="s">
        <v>91</v>
      </c>
    </row>
    <row r="281" ht="16.5" hidden="1" customHeight="1">
      <c r="A281" s="5" t="s">
        <v>100</v>
      </c>
      <c r="B281" s="5" t="s">
        <v>137</v>
      </c>
      <c r="C281" s="5" t="b">
        <v>0</v>
      </c>
      <c r="D281" s="5" t="s">
        <v>892</v>
      </c>
      <c r="E281" s="5" t="s">
        <v>893</v>
      </c>
      <c r="F281" s="5"/>
      <c r="G281" s="5" t="s">
        <v>65</v>
      </c>
      <c r="H281" s="5" t="s">
        <v>74</v>
      </c>
      <c r="I281" s="5" t="s">
        <v>106</v>
      </c>
      <c r="J281" s="25" t="s">
        <v>267</v>
      </c>
      <c r="K281" s="25"/>
      <c r="L281" s="25" t="s">
        <v>156</v>
      </c>
      <c r="M281" s="5" t="s">
        <v>66</v>
      </c>
      <c r="N281" s="5" t="s">
        <v>68</v>
      </c>
      <c r="O281" s="5" t="s">
        <v>69</v>
      </c>
      <c r="P281" s="5" t="s">
        <v>70</v>
      </c>
      <c r="Q281" s="5" t="s">
        <v>180</v>
      </c>
      <c r="R281" s="5" t="s">
        <v>181</v>
      </c>
      <c r="S281" s="5"/>
      <c r="T281" s="5"/>
      <c r="U281" s="5"/>
      <c r="V281" s="5">
        <v>2000.0</v>
      </c>
      <c r="W281" s="26">
        <v>2.1</v>
      </c>
      <c r="X281" s="5">
        <v>952.0</v>
      </c>
      <c r="Y281" s="27">
        <v>0.0</v>
      </c>
      <c r="Z281" s="28">
        <v>952.0</v>
      </c>
      <c r="AA281" s="27">
        <v>1.0</v>
      </c>
      <c r="AB281" s="5" t="s">
        <v>78</v>
      </c>
      <c r="AC281" s="27"/>
      <c r="AD281" s="5"/>
      <c r="AE281" s="5" t="s">
        <v>166</v>
      </c>
      <c r="AF281" s="5" t="s">
        <v>81</v>
      </c>
      <c r="AG281" s="5"/>
      <c r="AH281" s="5">
        <v>1.0</v>
      </c>
      <c r="AI281" s="5" t="s">
        <v>0</v>
      </c>
      <c r="AJ281" s="5" t="s">
        <v>156</v>
      </c>
      <c r="AK281" s="30"/>
      <c r="AL281" s="28">
        <v>300.0</v>
      </c>
      <c r="AM281" s="28">
        <v>1200.0</v>
      </c>
      <c r="AN281" s="28">
        <v>0.0</v>
      </c>
      <c r="AO281" s="28">
        <v>0.0</v>
      </c>
      <c r="AP281" s="28">
        <v>0.0</v>
      </c>
      <c r="AQ281" s="28">
        <v>285714.0</v>
      </c>
      <c r="AR281" s="28">
        <v>0.0</v>
      </c>
      <c r="AS281" s="28">
        <v>0.0</v>
      </c>
      <c r="AT281" s="28">
        <v>0.0</v>
      </c>
      <c r="AU281" s="28">
        <v>0.0</v>
      </c>
      <c r="AV281" s="28">
        <v>210240.0</v>
      </c>
      <c r="AW281" s="28">
        <v>855975.0</v>
      </c>
      <c r="AX281" s="28">
        <v>0.0</v>
      </c>
      <c r="AY281" s="28">
        <v>0.0</v>
      </c>
      <c r="AZ281" s="5" t="s">
        <v>124</v>
      </c>
      <c r="BA281" s="5" t="s">
        <v>125</v>
      </c>
      <c r="BB281" s="5" t="s">
        <v>127</v>
      </c>
      <c r="BD281" s="5" t="s">
        <v>68</v>
      </c>
      <c r="BE281" s="5" t="s">
        <v>128</v>
      </c>
      <c r="BF281" s="5" t="s">
        <v>90</v>
      </c>
      <c r="BG281" s="5" t="s">
        <v>91</v>
      </c>
      <c r="BH281" s="5" t="s">
        <v>281</v>
      </c>
    </row>
    <row r="282" ht="16.5" hidden="1" customHeight="1">
      <c r="A282" s="5" t="s">
        <v>100</v>
      </c>
      <c r="B282" s="5" t="s">
        <v>137</v>
      </c>
      <c r="C282" s="5" t="b">
        <v>0</v>
      </c>
      <c r="D282" s="5" t="s">
        <v>894</v>
      </c>
      <c r="E282" s="5" t="s">
        <v>895</v>
      </c>
      <c r="F282" s="5"/>
      <c r="G282" s="5" t="s">
        <v>65</v>
      </c>
      <c r="H282" s="5" t="s">
        <v>74</v>
      </c>
      <c r="I282" s="5" t="s">
        <v>106</v>
      </c>
      <c r="J282" s="25" t="s">
        <v>267</v>
      </c>
      <c r="K282" s="25"/>
      <c r="L282" s="25" t="s">
        <v>156</v>
      </c>
      <c r="M282" s="5" t="s">
        <v>66</v>
      </c>
      <c r="N282" s="5" t="s">
        <v>68</v>
      </c>
      <c r="O282" s="5" t="s">
        <v>69</v>
      </c>
      <c r="P282" s="5" t="s">
        <v>107</v>
      </c>
      <c r="Q282" s="5" t="s">
        <v>180</v>
      </c>
      <c r="R282" s="5" t="s">
        <v>181</v>
      </c>
      <c r="S282" s="5"/>
      <c r="T282" s="5"/>
      <c r="U282" s="5"/>
      <c r="V282" s="5">
        <v>2000.0</v>
      </c>
      <c r="W282" s="26">
        <v>2.1</v>
      </c>
      <c r="X282" s="5">
        <v>952.0</v>
      </c>
      <c r="Y282" s="27">
        <v>0.0</v>
      </c>
      <c r="Z282" s="28">
        <v>952.0</v>
      </c>
      <c r="AA282" s="27">
        <v>1.0</v>
      </c>
      <c r="AB282" s="5" t="s">
        <v>78</v>
      </c>
      <c r="AC282" s="27"/>
      <c r="AD282" s="5"/>
      <c r="AE282" s="5" t="s">
        <v>166</v>
      </c>
      <c r="AF282" s="5" t="s">
        <v>81</v>
      </c>
      <c r="AG282" s="5"/>
      <c r="AH282" s="5">
        <v>1.0</v>
      </c>
      <c r="AI282" s="5" t="s">
        <v>0</v>
      </c>
      <c r="AJ282" s="5" t="s">
        <v>156</v>
      </c>
      <c r="AK282" s="30"/>
      <c r="AL282" s="28">
        <v>200.0</v>
      </c>
      <c r="AM282" s="28">
        <v>983.0</v>
      </c>
      <c r="AN282" s="28">
        <v>0.0</v>
      </c>
      <c r="AO282" s="28">
        <v>0.0</v>
      </c>
      <c r="AP282" s="28">
        <v>0.0</v>
      </c>
      <c r="AQ282" s="28">
        <v>190476.0</v>
      </c>
      <c r="AR282" s="28">
        <v>0.0</v>
      </c>
      <c r="AS282" s="28">
        <v>0.0</v>
      </c>
      <c r="AT282" s="28">
        <v>0.0</v>
      </c>
      <c r="AU282" s="28">
        <v>0.0</v>
      </c>
      <c r="AV282" s="28">
        <v>140160.0</v>
      </c>
      <c r="AW282" s="28">
        <v>701211.0</v>
      </c>
      <c r="AX282" s="28">
        <v>0.0</v>
      </c>
      <c r="AY282" s="28">
        <v>0.0</v>
      </c>
      <c r="AZ282" s="5" t="s">
        <v>124</v>
      </c>
      <c r="BA282" s="5" t="s">
        <v>125</v>
      </c>
      <c r="BB282" s="5" t="s">
        <v>127</v>
      </c>
      <c r="BD282" s="5" t="s">
        <v>68</v>
      </c>
      <c r="BE282" s="5" t="s">
        <v>128</v>
      </c>
      <c r="BF282" s="5" t="s">
        <v>90</v>
      </c>
      <c r="BG282" s="5" t="s">
        <v>91</v>
      </c>
      <c r="BH282" s="5" t="s">
        <v>281</v>
      </c>
    </row>
    <row r="283" ht="16.5" hidden="1" customHeight="1">
      <c r="A283" s="5" t="s">
        <v>100</v>
      </c>
      <c r="B283" s="45" t="s">
        <v>215</v>
      </c>
      <c r="C283" s="45" t="b">
        <v>1</v>
      </c>
      <c r="D283" s="45" t="s">
        <v>1673</v>
      </c>
      <c r="E283" s="45" t="s">
        <v>1674</v>
      </c>
      <c r="F283" s="45"/>
      <c r="G283" s="45" t="s">
        <v>65</v>
      </c>
      <c r="H283" s="45" t="s">
        <v>76</v>
      </c>
      <c r="I283" s="45" t="s">
        <v>82</v>
      </c>
      <c r="J283" s="46" t="s">
        <v>219</v>
      </c>
      <c r="K283" s="25"/>
      <c r="L283" s="25"/>
      <c r="M283" s="5" t="s">
        <v>247</v>
      </c>
      <c r="N283" s="5" t="s">
        <v>68</v>
      </c>
      <c r="O283" s="5" t="s">
        <v>69</v>
      </c>
      <c r="P283" s="5" t="s">
        <v>70</v>
      </c>
      <c r="Q283" s="5" t="s">
        <v>89</v>
      </c>
      <c r="R283" s="5" t="s">
        <v>110</v>
      </c>
      <c r="S283" s="5"/>
      <c r="T283" s="5"/>
      <c r="U283" s="5"/>
      <c r="V283" s="5">
        <v>4000.0</v>
      </c>
      <c r="W283" s="26">
        <v>2.1</v>
      </c>
      <c r="X283" s="5">
        <v>1905.0</v>
      </c>
      <c r="Y283" s="27">
        <v>0.2</v>
      </c>
      <c r="Z283" s="28">
        <v>1524.0</v>
      </c>
      <c r="AA283" s="27">
        <v>1.0</v>
      </c>
      <c r="AB283" s="5" t="s">
        <v>117</v>
      </c>
      <c r="AC283" s="27">
        <v>0.58</v>
      </c>
      <c r="AD283" s="5"/>
      <c r="AE283" s="5" t="s">
        <v>647</v>
      </c>
      <c r="AF283" s="5" t="s">
        <v>81</v>
      </c>
      <c r="AG283" s="5">
        <v>2.0</v>
      </c>
      <c r="AH283" s="5">
        <v>2.0</v>
      </c>
      <c r="AI283" s="5" t="s">
        <v>1444</v>
      </c>
      <c r="AJ283" s="5" t="s">
        <v>0</v>
      </c>
      <c r="AK283" s="30">
        <v>700.0</v>
      </c>
      <c r="AL283" s="28">
        <v>0.0</v>
      </c>
      <c r="AM283" s="28">
        <v>0.0</v>
      </c>
      <c r="AN283" s="28">
        <v>505.0</v>
      </c>
      <c r="AO283" s="28">
        <v>0.0</v>
      </c>
      <c r="AP283" s="28">
        <v>1333500.0</v>
      </c>
      <c r="AQ283" s="28">
        <v>0.0</v>
      </c>
      <c r="AR283" s="28">
        <v>0.0</v>
      </c>
      <c r="AS283" s="28">
        <v>0.0</v>
      </c>
      <c r="AT283" s="28">
        <v>0.0</v>
      </c>
      <c r="AU283" s="28">
        <v>1066800.0</v>
      </c>
      <c r="AV283" s="28">
        <v>0.0</v>
      </c>
      <c r="AW283" s="28">
        <v>0.0</v>
      </c>
      <c r="AX283" s="28">
        <v>869723.9006644518</v>
      </c>
      <c r="AY283" s="28">
        <v>0.0</v>
      </c>
      <c r="AZ283" s="5"/>
      <c r="BA283" s="5" t="s">
        <v>125</v>
      </c>
      <c r="BB283" s="5" t="s">
        <v>174</v>
      </c>
      <c r="BC283" s="5" t="s">
        <v>237</v>
      </c>
      <c r="BD283" s="5" t="s">
        <v>126</v>
      </c>
      <c r="BE283" s="5" t="s">
        <v>175</v>
      </c>
      <c r="BF283" s="5" t="s">
        <v>130</v>
      </c>
      <c r="BG283" s="5" t="s">
        <v>131</v>
      </c>
    </row>
    <row r="284" ht="16.5" hidden="1" customHeight="1">
      <c r="A284" s="5" t="s">
        <v>100</v>
      </c>
      <c r="B284" s="45" t="s">
        <v>215</v>
      </c>
      <c r="C284" s="45" t="b">
        <v>1</v>
      </c>
      <c r="D284" s="45" t="s">
        <v>1677</v>
      </c>
      <c r="E284" s="45" t="s">
        <v>1678</v>
      </c>
      <c r="F284" s="45"/>
      <c r="G284" s="45" t="s">
        <v>65</v>
      </c>
      <c r="H284" s="45" t="s">
        <v>76</v>
      </c>
      <c r="I284" s="45" t="s">
        <v>82</v>
      </c>
      <c r="J284" s="46" t="s">
        <v>219</v>
      </c>
      <c r="K284" s="25"/>
      <c r="L284" s="25"/>
      <c r="M284" s="5" t="s">
        <v>247</v>
      </c>
      <c r="N284" s="5" t="s">
        <v>68</v>
      </c>
      <c r="O284" s="5" t="s">
        <v>69</v>
      </c>
      <c r="P284" s="5" t="s">
        <v>107</v>
      </c>
      <c r="Q284" s="5" t="s">
        <v>89</v>
      </c>
      <c r="R284" s="5" t="s">
        <v>110</v>
      </c>
      <c r="S284" s="5"/>
      <c r="T284" s="5"/>
      <c r="U284" s="5"/>
      <c r="V284" s="5">
        <v>4000.0</v>
      </c>
      <c r="W284" s="26">
        <v>2.1</v>
      </c>
      <c r="X284" s="5">
        <v>1905.0</v>
      </c>
      <c r="Y284" s="27">
        <v>0.2</v>
      </c>
      <c r="Z284" s="28">
        <v>1524.0</v>
      </c>
      <c r="AA284" s="27">
        <v>1.0</v>
      </c>
      <c r="AB284" s="5" t="s">
        <v>117</v>
      </c>
      <c r="AC284" s="27">
        <v>0.6</v>
      </c>
      <c r="AD284" s="5"/>
      <c r="AE284" s="5" t="s">
        <v>647</v>
      </c>
      <c r="AF284" s="5" t="s">
        <v>81</v>
      </c>
      <c r="AG284" s="5">
        <v>2.0</v>
      </c>
      <c r="AH284" s="5">
        <v>2.0</v>
      </c>
      <c r="AI284" s="5" t="s">
        <v>1444</v>
      </c>
      <c r="AJ284" s="5" t="s">
        <v>0</v>
      </c>
      <c r="AK284" s="30">
        <v>500.0</v>
      </c>
      <c r="AL284" s="28">
        <v>0.0</v>
      </c>
      <c r="AM284" s="28">
        <v>0.0</v>
      </c>
      <c r="AN284" s="28">
        <v>381.0</v>
      </c>
      <c r="AO284" s="28">
        <v>0.0</v>
      </c>
      <c r="AP284" s="28">
        <v>952500.0</v>
      </c>
      <c r="AQ284" s="28">
        <v>0.0</v>
      </c>
      <c r="AR284" s="28">
        <v>0.0</v>
      </c>
      <c r="AS284" s="28">
        <v>0.0</v>
      </c>
      <c r="AT284" s="28">
        <v>0.0</v>
      </c>
      <c r="AU284" s="28">
        <v>762000.0</v>
      </c>
      <c r="AV284" s="28">
        <v>0.0</v>
      </c>
      <c r="AW284" s="28">
        <v>0.0</v>
      </c>
      <c r="AX284" s="28">
        <v>656798.5158361017</v>
      </c>
      <c r="AY284" s="28">
        <v>0.0</v>
      </c>
      <c r="AZ284" s="5"/>
      <c r="BA284" s="5" t="s">
        <v>125</v>
      </c>
      <c r="BB284" s="5" t="s">
        <v>174</v>
      </c>
      <c r="BC284" s="5" t="s">
        <v>237</v>
      </c>
      <c r="BD284" s="5" t="s">
        <v>126</v>
      </c>
      <c r="BE284" s="5" t="s">
        <v>175</v>
      </c>
      <c r="BF284" s="5" t="s">
        <v>130</v>
      </c>
      <c r="BG284" s="5" t="s">
        <v>131</v>
      </c>
    </row>
    <row r="285" ht="16.5" hidden="1" customHeight="1">
      <c r="A285" s="5" t="s">
        <v>100</v>
      </c>
      <c r="B285" s="5" t="s">
        <v>137</v>
      </c>
      <c r="C285" s="5" t="b">
        <v>0</v>
      </c>
      <c r="D285" s="5" t="s">
        <v>517</v>
      </c>
      <c r="E285" s="5" t="s">
        <v>518</v>
      </c>
      <c r="F285" s="5"/>
      <c r="G285" s="5" t="s">
        <v>65</v>
      </c>
      <c r="H285" s="5" t="s">
        <v>76</v>
      </c>
      <c r="I285" s="5" t="s">
        <v>106</v>
      </c>
      <c r="J285" s="25" t="s">
        <v>267</v>
      </c>
      <c r="K285" s="25"/>
      <c r="L285" s="25" t="s">
        <v>156</v>
      </c>
      <c r="M285" s="5" t="s">
        <v>66</v>
      </c>
      <c r="N285" s="5" t="s">
        <v>68</v>
      </c>
      <c r="O285" s="5" t="s">
        <v>141</v>
      </c>
      <c r="P285" s="5" t="s">
        <v>70</v>
      </c>
      <c r="Q285" s="5" t="s">
        <v>89</v>
      </c>
      <c r="R285" s="5" t="s">
        <v>110</v>
      </c>
      <c r="S285" s="5"/>
      <c r="T285" s="5"/>
      <c r="U285" s="5"/>
      <c r="V285" s="5">
        <v>2500.0</v>
      </c>
      <c r="W285" s="26">
        <v>2.1</v>
      </c>
      <c r="X285" s="5">
        <v>1190.0</v>
      </c>
      <c r="Y285" s="27">
        <v>0.0</v>
      </c>
      <c r="Z285" s="28">
        <v>1190.0</v>
      </c>
      <c r="AA285" s="27">
        <v>1.0</v>
      </c>
      <c r="AB285" s="5" t="s">
        <v>78</v>
      </c>
      <c r="AC285" s="27">
        <v>0.5920000000000001</v>
      </c>
      <c r="AD285" s="5"/>
      <c r="AE285" s="5" t="s">
        <v>166</v>
      </c>
      <c r="AF285" s="5" t="s">
        <v>81</v>
      </c>
      <c r="AG285" s="5">
        <v>0.0</v>
      </c>
      <c r="AH285" s="5">
        <v>3.0</v>
      </c>
      <c r="AI285" s="5" t="s">
        <v>0</v>
      </c>
      <c r="AJ285" s="5" t="s">
        <v>0</v>
      </c>
      <c r="AK285" s="30"/>
      <c r="AL285" s="28">
        <v>0.0</v>
      </c>
      <c r="AM285" s="28">
        <v>0.0</v>
      </c>
      <c r="AN285" s="28">
        <v>0.0</v>
      </c>
      <c r="AO285" s="28">
        <v>0.0</v>
      </c>
      <c r="AP285" s="28">
        <v>0.0</v>
      </c>
      <c r="AQ285" s="28">
        <v>0.0</v>
      </c>
      <c r="AR285" s="28">
        <v>0.0</v>
      </c>
      <c r="AS285" s="28">
        <v>0.0</v>
      </c>
      <c r="AT285" s="28">
        <v>0.0</v>
      </c>
      <c r="AU285" s="28">
        <v>0.0</v>
      </c>
      <c r="AV285" s="28">
        <v>0.0</v>
      </c>
      <c r="AW285" s="28">
        <v>0.0</v>
      </c>
      <c r="AX285" s="28">
        <v>0.0</v>
      </c>
      <c r="AY285" s="28">
        <v>0.0</v>
      </c>
      <c r="AZ285" s="5"/>
      <c r="BA285" s="5" t="s">
        <v>125</v>
      </c>
      <c r="BB285" s="5" t="s">
        <v>127</v>
      </c>
      <c r="BD285" s="5" t="s">
        <v>68</v>
      </c>
      <c r="BE285" s="5" t="s">
        <v>89</v>
      </c>
      <c r="BF285" s="5" t="s">
        <v>90</v>
      </c>
      <c r="BG285" s="5" t="s">
        <v>91</v>
      </c>
    </row>
    <row r="286" ht="16.5" hidden="1" customHeight="1">
      <c r="A286" s="5" t="s">
        <v>100</v>
      </c>
      <c r="B286" s="5" t="s">
        <v>137</v>
      </c>
      <c r="C286" s="5" t="b">
        <v>0</v>
      </c>
      <c r="D286" s="5" t="s">
        <v>527</v>
      </c>
      <c r="E286" s="5" t="s">
        <v>528</v>
      </c>
      <c r="F286" s="5"/>
      <c r="G286" s="5" t="s">
        <v>65</v>
      </c>
      <c r="H286" s="5" t="s">
        <v>76</v>
      </c>
      <c r="I286" s="5" t="s">
        <v>106</v>
      </c>
      <c r="J286" s="25" t="s">
        <v>267</v>
      </c>
      <c r="K286" s="25"/>
      <c r="L286" s="25" t="s">
        <v>156</v>
      </c>
      <c r="M286" s="5" t="s">
        <v>66</v>
      </c>
      <c r="N286" s="5" t="s">
        <v>68</v>
      </c>
      <c r="O286" s="5" t="s">
        <v>141</v>
      </c>
      <c r="P286" s="5" t="s">
        <v>107</v>
      </c>
      <c r="Q286" s="5" t="s">
        <v>89</v>
      </c>
      <c r="R286" s="5" t="s">
        <v>110</v>
      </c>
      <c r="S286" s="5"/>
      <c r="T286" s="5"/>
      <c r="U286" s="5"/>
      <c r="V286" s="5">
        <v>2500.0</v>
      </c>
      <c r="W286" s="26">
        <v>2.1</v>
      </c>
      <c r="X286" s="5">
        <v>1190.0</v>
      </c>
      <c r="Y286" s="27">
        <v>0.0</v>
      </c>
      <c r="Z286" s="28">
        <v>1190.0</v>
      </c>
      <c r="AA286" s="27">
        <v>1.0</v>
      </c>
      <c r="AB286" s="5" t="s">
        <v>78</v>
      </c>
      <c r="AC286" s="27">
        <v>0.575</v>
      </c>
      <c r="AD286" s="5"/>
      <c r="AE286" s="5" t="s">
        <v>166</v>
      </c>
      <c r="AF286" s="5" t="s">
        <v>81</v>
      </c>
      <c r="AG286" s="5">
        <v>0.0</v>
      </c>
      <c r="AH286" s="5">
        <v>3.0</v>
      </c>
      <c r="AI286" s="5" t="s">
        <v>0</v>
      </c>
      <c r="AJ286" s="5" t="s">
        <v>0</v>
      </c>
      <c r="AK286" s="30"/>
      <c r="AL286" s="28">
        <v>0.0</v>
      </c>
      <c r="AM286" s="28">
        <v>0.0</v>
      </c>
      <c r="AN286" s="28">
        <v>0.0</v>
      </c>
      <c r="AO286" s="28">
        <v>0.0</v>
      </c>
      <c r="AP286" s="28">
        <v>0.0</v>
      </c>
      <c r="AQ286" s="28">
        <v>0.0</v>
      </c>
      <c r="AR286" s="28">
        <v>0.0</v>
      </c>
      <c r="AS286" s="28">
        <v>0.0</v>
      </c>
      <c r="AT286" s="28">
        <v>0.0</v>
      </c>
      <c r="AU286" s="28">
        <v>0.0</v>
      </c>
      <c r="AV286" s="28">
        <v>0.0</v>
      </c>
      <c r="AW286" s="28">
        <v>0.0</v>
      </c>
      <c r="AX286" s="28">
        <v>0.0</v>
      </c>
      <c r="AY286" s="28">
        <v>0.0</v>
      </c>
      <c r="AZ286" s="5"/>
      <c r="BA286" s="5" t="s">
        <v>125</v>
      </c>
      <c r="BB286" s="5" t="s">
        <v>127</v>
      </c>
      <c r="BD286" s="5" t="s">
        <v>68</v>
      </c>
      <c r="BE286" s="5" t="s">
        <v>89</v>
      </c>
      <c r="BF286" s="5" t="s">
        <v>90</v>
      </c>
      <c r="BG286" s="5" t="s">
        <v>91</v>
      </c>
    </row>
    <row r="287" ht="16.5" hidden="1" customHeight="1">
      <c r="A287" s="5" t="s">
        <v>100</v>
      </c>
      <c r="B287" s="5" t="s">
        <v>200</v>
      </c>
      <c r="C287" s="5" t="b">
        <v>1</v>
      </c>
      <c r="D287" s="5" t="s">
        <v>897</v>
      </c>
      <c r="E287" s="5" t="s">
        <v>898</v>
      </c>
      <c r="F287" s="5"/>
      <c r="G287" s="5" t="s">
        <v>65</v>
      </c>
      <c r="H287" s="5" t="s">
        <v>74</v>
      </c>
      <c r="I287" s="5" t="s">
        <v>82</v>
      </c>
      <c r="J287" s="25"/>
      <c r="K287" s="25"/>
      <c r="L287" s="25"/>
      <c r="M287" s="5" t="s">
        <v>66</v>
      </c>
      <c r="N287" s="5" t="s">
        <v>248</v>
      </c>
      <c r="O287" s="5" t="s">
        <v>69</v>
      </c>
      <c r="P287" s="5" t="s">
        <v>249</v>
      </c>
      <c r="Q287" s="5" t="s">
        <v>793</v>
      </c>
      <c r="R287" s="5" t="s">
        <v>23</v>
      </c>
      <c r="S287" s="5"/>
      <c r="T287" s="5"/>
      <c r="U287" s="5"/>
      <c r="V287" s="5">
        <v>600.0</v>
      </c>
      <c r="W287" s="26">
        <v>2.1</v>
      </c>
      <c r="X287" s="5">
        <v>286.0</v>
      </c>
      <c r="Y287" s="27">
        <v>0.2</v>
      </c>
      <c r="Z287" s="28">
        <v>228.8</v>
      </c>
      <c r="AA287" s="27">
        <v>1.0</v>
      </c>
      <c r="AB287" s="5" t="s">
        <v>78</v>
      </c>
      <c r="AC287" s="27">
        <v>0.6</v>
      </c>
      <c r="AD287" s="5"/>
      <c r="AE287" s="5" t="s">
        <v>81</v>
      </c>
      <c r="AF287" s="5" t="s">
        <v>81</v>
      </c>
      <c r="AG287" s="5">
        <v>2.0</v>
      </c>
      <c r="AH287" s="5">
        <v>2.0</v>
      </c>
      <c r="AI287" s="5" t="s">
        <v>0</v>
      </c>
      <c r="AJ287" s="5" t="s">
        <v>0</v>
      </c>
      <c r="AK287" s="30">
        <v>1600.0</v>
      </c>
      <c r="AL287" s="28">
        <v>1559.0</v>
      </c>
      <c r="AM287" s="28">
        <v>1722.0</v>
      </c>
      <c r="AN287" s="28">
        <v>0.0</v>
      </c>
      <c r="AO287" s="28">
        <v>16.0</v>
      </c>
      <c r="AP287" s="28">
        <v>457600.0</v>
      </c>
      <c r="AQ287" s="28">
        <v>445421.8899999998</v>
      </c>
      <c r="AR287" s="28">
        <v>4576.0</v>
      </c>
      <c r="AS287" s="28">
        <v>0.0</v>
      </c>
      <c r="AT287" s="28">
        <v>4576.0</v>
      </c>
      <c r="AU287" s="28">
        <v>366080.0</v>
      </c>
      <c r="AV287" s="28">
        <v>369011.9087486157</v>
      </c>
      <c r="AW287" s="28">
        <v>343858.00272800005</v>
      </c>
      <c r="AX287" s="28">
        <v>0.0</v>
      </c>
      <c r="AY287" s="28">
        <v>3759.68</v>
      </c>
      <c r="AZ287" s="5"/>
      <c r="BA287" s="5" t="s">
        <v>125</v>
      </c>
      <c r="BB287" s="5" t="s">
        <v>87</v>
      </c>
      <c r="BD287" s="5" t="s">
        <v>248</v>
      </c>
      <c r="BE287" s="5" t="s">
        <v>253</v>
      </c>
      <c r="BF287" s="5" t="s">
        <v>254</v>
      </c>
      <c r="BG287" s="5" t="s">
        <v>131</v>
      </c>
    </row>
    <row r="288" ht="16.5" hidden="1" customHeight="1">
      <c r="A288" s="5" t="s">
        <v>100</v>
      </c>
      <c r="B288" s="45" t="s">
        <v>200</v>
      </c>
      <c r="C288" s="45" t="b">
        <v>0</v>
      </c>
      <c r="D288" s="45" t="s">
        <v>899</v>
      </c>
      <c r="E288" s="45" t="s">
        <v>900</v>
      </c>
      <c r="F288" s="45"/>
      <c r="G288" s="45" t="s">
        <v>65</v>
      </c>
      <c r="H288" s="45" t="s">
        <v>74</v>
      </c>
      <c r="I288" s="45" t="s">
        <v>106</v>
      </c>
      <c r="J288" s="46" t="s">
        <v>1685</v>
      </c>
      <c r="K288" s="25"/>
      <c r="L288" s="25"/>
      <c r="M288" s="5" t="s">
        <v>66</v>
      </c>
      <c r="N288" s="5" t="s">
        <v>334</v>
      </c>
      <c r="O288" s="5" t="s">
        <v>69</v>
      </c>
      <c r="P288" s="5" t="s">
        <v>70</v>
      </c>
      <c r="Q288" s="5" t="s">
        <v>89</v>
      </c>
      <c r="R288" s="5" t="s">
        <v>110</v>
      </c>
      <c r="S288" s="5"/>
      <c r="T288" s="5"/>
      <c r="U288" s="5"/>
      <c r="V288" s="5">
        <v>2500.0</v>
      </c>
      <c r="W288" s="26">
        <v>2.1</v>
      </c>
      <c r="X288" s="5">
        <v>1190.0</v>
      </c>
      <c r="Y288" s="27">
        <v>0.2</v>
      </c>
      <c r="Z288" s="28">
        <v>952.0</v>
      </c>
      <c r="AA288" s="27">
        <v>1.0</v>
      </c>
      <c r="AB288" s="5" t="s">
        <v>117</v>
      </c>
      <c r="AC288" s="27"/>
      <c r="AD288" s="26"/>
      <c r="AE288" s="5" t="s">
        <v>81</v>
      </c>
      <c r="AF288" s="5" t="s">
        <v>81</v>
      </c>
      <c r="AG288" s="5"/>
      <c r="AH288" s="5">
        <v>2.0</v>
      </c>
      <c r="AI288" s="5" t="s">
        <v>0</v>
      </c>
      <c r="AJ288" s="5" t="s">
        <v>0</v>
      </c>
      <c r="AK288" s="30"/>
      <c r="AL288" s="28">
        <v>1260.0</v>
      </c>
      <c r="AM288" s="28">
        <v>1094.0</v>
      </c>
      <c r="AN288" s="28">
        <v>0.0</v>
      </c>
      <c r="AO288" s="28">
        <v>0.0</v>
      </c>
      <c r="AP288" s="28">
        <v>0.0</v>
      </c>
      <c r="AQ288" s="28">
        <v>1500004.7999999998</v>
      </c>
      <c r="AR288" s="28">
        <v>0.0</v>
      </c>
      <c r="AS288" s="28">
        <v>0.0</v>
      </c>
      <c r="AT288" s="28">
        <v>0.0</v>
      </c>
      <c r="AU288" s="28">
        <v>0.0</v>
      </c>
      <c r="AV288" s="28">
        <v>1078762.3658914727</v>
      </c>
      <c r="AW288" s="28">
        <v>875725.97751</v>
      </c>
      <c r="AX288" s="28">
        <v>0.0</v>
      </c>
      <c r="AY288" s="28">
        <v>0.0</v>
      </c>
      <c r="AZ288" s="5" t="s">
        <v>124</v>
      </c>
      <c r="BA288" s="5" t="s">
        <v>86</v>
      </c>
      <c r="BB288" s="5" t="s">
        <v>87</v>
      </c>
      <c r="BC288" s="5" t="s">
        <v>88</v>
      </c>
      <c r="BD288" s="5" t="s">
        <v>334</v>
      </c>
      <c r="BE288" s="5" t="s">
        <v>89</v>
      </c>
      <c r="BF288" s="5" t="s">
        <v>539</v>
      </c>
      <c r="BG288" s="5" t="s">
        <v>131</v>
      </c>
      <c r="BH288" s="5" t="s">
        <v>1687</v>
      </c>
    </row>
    <row r="289" ht="16.5" hidden="1" customHeight="1">
      <c r="A289" s="5" t="s">
        <v>100</v>
      </c>
      <c r="B289" s="45" t="s">
        <v>200</v>
      </c>
      <c r="C289" s="45" t="b">
        <v>0</v>
      </c>
      <c r="D289" s="45" t="s">
        <v>903</v>
      </c>
      <c r="E289" s="45" t="s">
        <v>904</v>
      </c>
      <c r="F289" s="45"/>
      <c r="G289" s="45" t="s">
        <v>65</v>
      </c>
      <c r="H289" s="45" t="s">
        <v>74</v>
      </c>
      <c r="I289" s="45" t="s">
        <v>106</v>
      </c>
      <c r="J289" s="46" t="s">
        <v>1685</v>
      </c>
      <c r="K289" s="25"/>
      <c r="L289" s="25"/>
      <c r="M289" s="5" t="s">
        <v>66</v>
      </c>
      <c r="N289" s="5" t="s">
        <v>334</v>
      </c>
      <c r="O289" s="5" t="s">
        <v>69</v>
      </c>
      <c r="P289" s="5" t="s">
        <v>107</v>
      </c>
      <c r="Q289" s="5" t="s">
        <v>89</v>
      </c>
      <c r="R289" s="5" t="s">
        <v>110</v>
      </c>
      <c r="S289" s="5"/>
      <c r="T289" s="5"/>
      <c r="U289" s="5"/>
      <c r="V289" s="5">
        <v>2500.0</v>
      </c>
      <c r="W289" s="26">
        <v>2.1</v>
      </c>
      <c r="X289" s="5">
        <v>1190.0</v>
      </c>
      <c r="Y289" s="27">
        <v>0.2</v>
      </c>
      <c r="Z289" s="28">
        <v>952.0</v>
      </c>
      <c r="AA289" s="27">
        <v>1.0</v>
      </c>
      <c r="AB289" s="5" t="s">
        <v>117</v>
      </c>
      <c r="AC289" s="27"/>
      <c r="AD289" s="26"/>
      <c r="AE289" s="5" t="s">
        <v>81</v>
      </c>
      <c r="AF289" s="5" t="s">
        <v>81</v>
      </c>
      <c r="AG289" s="5"/>
      <c r="AH289" s="5">
        <v>2.0</v>
      </c>
      <c r="AI289" s="5" t="s">
        <v>0</v>
      </c>
      <c r="AJ289" s="5" t="s">
        <v>0</v>
      </c>
      <c r="AK289" s="30"/>
      <c r="AL289" s="28">
        <v>984.0</v>
      </c>
      <c r="AM289" s="28">
        <v>878.0</v>
      </c>
      <c r="AN289" s="28">
        <v>0.0</v>
      </c>
      <c r="AO289" s="28">
        <v>0.0</v>
      </c>
      <c r="AP289" s="28">
        <v>0.0</v>
      </c>
      <c r="AQ289" s="28">
        <v>1171432.3199999998</v>
      </c>
      <c r="AR289" s="28">
        <v>0.0</v>
      </c>
      <c r="AS289" s="28">
        <v>0.0</v>
      </c>
      <c r="AT289" s="28">
        <v>0.0</v>
      </c>
      <c r="AU289" s="28">
        <v>0.0</v>
      </c>
      <c r="AV289" s="28">
        <v>852795.4563676633</v>
      </c>
      <c r="AW289" s="28">
        <v>701765.4323395</v>
      </c>
      <c r="AX289" s="28">
        <v>0.0</v>
      </c>
      <c r="AY289" s="28">
        <v>0.0</v>
      </c>
      <c r="AZ289" s="5" t="s">
        <v>124</v>
      </c>
      <c r="BA289" s="5" t="s">
        <v>86</v>
      </c>
      <c r="BB289" s="5" t="s">
        <v>87</v>
      </c>
      <c r="BC289" s="5" t="s">
        <v>88</v>
      </c>
      <c r="BD289" s="5" t="s">
        <v>334</v>
      </c>
      <c r="BE289" s="5" t="s">
        <v>89</v>
      </c>
      <c r="BF289" s="5" t="s">
        <v>539</v>
      </c>
      <c r="BG289" s="5" t="s">
        <v>131</v>
      </c>
      <c r="BH289" s="5" t="s">
        <v>1687</v>
      </c>
    </row>
    <row r="290" ht="16.5" hidden="1" customHeight="1">
      <c r="A290" s="5" t="s">
        <v>100</v>
      </c>
      <c r="B290" s="5" t="s">
        <v>200</v>
      </c>
      <c r="C290" s="5" t="b">
        <v>1</v>
      </c>
      <c r="D290" s="5" t="s">
        <v>905</v>
      </c>
      <c r="E290" s="5" t="s">
        <v>906</v>
      </c>
      <c r="F290" s="5"/>
      <c r="G290" s="5" t="s">
        <v>65</v>
      </c>
      <c r="H290" s="5" t="s">
        <v>76</v>
      </c>
      <c r="I290" s="5" t="s">
        <v>82</v>
      </c>
      <c r="J290" s="25"/>
      <c r="K290" s="25"/>
      <c r="L290" s="25"/>
      <c r="M290" s="5" t="s">
        <v>66</v>
      </c>
      <c r="N290" s="5" t="s">
        <v>113</v>
      </c>
      <c r="O290" s="5" t="s">
        <v>69</v>
      </c>
      <c r="P290" s="5" t="s">
        <v>70</v>
      </c>
      <c r="Q290" s="5" t="s">
        <v>1421</v>
      </c>
      <c r="R290" s="5" t="s">
        <v>181</v>
      </c>
      <c r="S290" s="5"/>
      <c r="T290" s="5"/>
      <c r="U290" s="5"/>
      <c r="V290" s="5">
        <v>2200.0</v>
      </c>
      <c r="W290" s="26">
        <v>2.1</v>
      </c>
      <c r="X290" s="5">
        <v>1048.0</v>
      </c>
      <c r="Y290" s="27">
        <v>0.2</v>
      </c>
      <c r="Z290" s="28">
        <v>838.4000000000001</v>
      </c>
      <c r="AA290" s="27">
        <v>1.0</v>
      </c>
      <c r="AB290" s="5" t="s">
        <v>117</v>
      </c>
      <c r="AC290" s="27">
        <v>0.65</v>
      </c>
      <c r="AD290" s="5"/>
      <c r="AE290" s="5" t="s">
        <v>81</v>
      </c>
      <c r="AF290" s="5" t="s">
        <v>81</v>
      </c>
      <c r="AG290" s="5">
        <v>3.0</v>
      </c>
      <c r="AH290" s="5">
        <v>3.0</v>
      </c>
      <c r="AI290" s="5" t="s">
        <v>0</v>
      </c>
      <c r="AJ290" s="5" t="s">
        <v>0</v>
      </c>
      <c r="AK290" s="30">
        <v>700.0</v>
      </c>
      <c r="AL290" s="28">
        <v>744.0</v>
      </c>
      <c r="AM290" s="28">
        <v>1088.0</v>
      </c>
      <c r="AN290" s="28">
        <v>0.0</v>
      </c>
      <c r="AO290" s="28">
        <v>0.0</v>
      </c>
      <c r="AP290" s="28">
        <v>733600.0</v>
      </c>
      <c r="AQ290" s="28">
        <v>779429.2799999998</v>
      </c>
      <c r="AR290" s="28">
        <v>0.0</v>
      </c>
      <c r="AS290" s="28">
        <v>0.0</v>
      </c>
      <c r="AT290" s="28">
        <v>0.0</v>
      </c>
      <c r="AU290" s="28">
        <v>586880.0000000001</v>
      </c>
      <c r="AV290" s="28">
        <v>655113.7652270208</v>
      </c>
      <c r="AW290" s="28">
        <v>778742.04375</v>
      </c>
      <c r="AX290" s="28">
        <v>0.0</v>
      </c>
      <c r="AY290" s="28">
        <v>0.0</v>
      </c>
      <c r="AZ290" s="5"/>
      <c r="BA290" s="5" t="s">
        <v>86</v>
      </c>
      <c r="BB290" s="5" t="s">
        <v>87</v>
      </c>
      <c r="BC290" s="32" t="s">
        <v>429</v>
      </c>
      <c r="BD290" s="5" t="s">
        <v>126</v>
      </c>
      <c r="BE290" s="5" t="s">
        <v>128</v>
      </c>
      <c r="BF290" s="5" t="s">
        <v>539</v>
      </c>
      <c r="BG290" s="5" t="s">
        <v>131</v>
      </c>
    </row>
    <row r="291" ht="16.5" hidden="1" customHeight="1">
      <c r="A291" s="5" t="s">
        <v>100</v>
      </c>
      <c r="B291" s="5" t="s">
        <v>200</v>
      </c>
      <c r="C291" s="5" t="b">
        <v>1</v>
      </c>
      <c r="D291" s="5" t="s">
        <v>908</v>
      </c>
      <c r="E291" s="5" t="s">
        <v>909</v>
      </c>
      <c r="F291" s="5"/>
      <c r="G291" s="5" t="s">
        <v>65</v>
      </c>
      <c r="H291" s="5" t="s">
        <v>76</v>
      </c>
      <c r="I291" s="5" t="s">
        <v>82</v>
      </c>
      <c r="J291" s="25"/>
      <c r="K291" s="25"/>
      <c r="L291" s="25"/>
      <c r="M291" s="5" t="s">
        <v>66</v>
      </c>
      <c r="N291" s="5" t="s">
        <v>113</v>
      </c>
      <c r="O291" s="5" t="s">
        <v>69</v>
      </c>
      <c r="P291" s="5" t="s">
        <v>107</v>
      </c>
      <c r="Q291" s="5" t="s">
        <v>1421</v>
      </c>
      <c r="R291" s="5" t="s">
        <v>181</v>
      </c>
      <c r="S291" s="5"/>
      <c r="T291" s="5"/>
      <c r="U291" s="5"/>
      <c r="V291" s="5">
        <v>2200.0</v>
      </c>
      <c r="W291" s="26">
        <v>2.1</v>
      </c>
      <c r="X291" s="5">
        <v>1048.0</v>
      </c>
      <c r="Y291" s="27">
        <v>0.2</v>
      </c>
      <c r="Z291" s="28">
        <v>838.4000000000001</v>
      </c>
      <c r="AA291" s="27">
        <v>1.0</v>
      </c>
      <c r="AB291" s="5" t="s">
        <v>117</v>
      </c>
      <c r="AC291" s="27">
        <v>0.66</v>
      </c>
      <c r="AD291" s="5"/>
      <c r="AE291" s="5" t="s">
        <v>81</v>
      </c>
      <c r="AF291" s="5" t="s">
        <v>81</v>
      </c>
      <c r="AG291" s="5">
        <v>3.0</v>
      </c>
      <c r="AH291" s="5">
        <v>3.0</v>
      </c>
      <c r="AI291" s="5" t="s">
        <v>0</v>
      </c>
      <c r="AJ291" s="5" t="s">
        <v>0</v>
      </c>
      <c r="AK291" s="30">
        <v>600.0</v>
      </c>
      <c r="AL291" s="28">
        <v>557.0</v>
      </c>
      <c r="AM291" s="28">
        <v>751.0</v>
      </c>
      <c r="AN291" s="28">
        <v>0.0</v>
      </c>
      <c r="AO291" s="28">
        <v>0.0</v>
      </c>
      <c r="AP291" s="28">
        <v>628800.0</v>
      </c>
      <c r="AQ291" s="28">
        <v>583524.3399999999</v>
      </c>
      <c r="AR291" s="28">
        <v>0.0</v>
      </c>
      <c r="AS291" s="28">
        <v>0.0</v>
      </c>
      <c r="AT291" s="28">
        <v>0.0</v>
      </c>
      <c r="AU291" s="28">
        <v>503040.00000000006</v>
      </c>
      <c r="AV291" s="28">
        <v>501924.00332225906</v>
      </c>
      <c r="AW291" s="28">
        <v>590850.3244824999</v>
      </c>
      <c r="AX291" s="28">
        <v>0.0</v>
      </c>
      <c r="AY291" s="28">
        <v>0.0</v>
      </c>
      <c r="AZ291" s="5"/>
      <c r="BA291" s="5" t="s">
        <v>86</v>
      </c>
      <c r="BB291" s="5" t="s">
        <v>87</v>
      </c>
      <c r="BC291" s="32" t="s">
        <v>429</v>
      </c>
      <c r="BD291" s="5" t="s">
        <v>126</v>
      </c>
      <c r="BE291" s="5" t="s">
        <v>128</v>
      </c>
      <c r="BF291" s="5" t="s">
        <v>539</v>
      </c>
      <c r="BG291" s="5" t="s">
        <v>131</v>
      </c>
    </row>
    <row r="292" ht="16.5" hidden="1" customHeight="1">
      <c r="A292" s="5" t="s">
        <v>100</v>
      </c>
      <c r="B292" s="5" t="s">
        <v>200</v>
      </c>
      <c r="C292" s="5" t="b">
        <v>1</v>
      </c>
      <c r="D292" s="5" t="s">
        <v>911</v>
      </c>
      <c r="E292" s="5" t="s">
        <v>912</v>
      </c>
      <c r="F292" s="5"/>
      <c r="G292" s="5" t="s">
        <v>65</v>
      </c>
      <c r="H292" s="5" t="s">
        <v>74</v>
      </c>
      <c r="I292" s="5" t="s">
        <v>82</v>
      </c>
      <c r="J292" s="25"/>
      <c r="K292" s="25"/>
      <c r="L292" s="25"/>
      <c r="M292" s="5" t="s">
        <v>247</v>
      </c>
      <c r="N292" s="5" t="s">
        <v>113</v>
      </c>
      <c r="O292" s="5" t="s">
        <v>69</v>
      </c>
      <c r="P292" s="5" t="s">
        <v>70</v>
      </c>
      <c r="Q292" s="5" t="s">
        <v>147</v>
      </c>
      <c r="R292" s="5" t="s">
        <v>181</v>
      </c>
      <c r="S292" s="5"/>
      <c r="T292" s="5"/>
      <c r="U292" s="5"/>
      <c r="V292" s="5">
        <v>1000.0</v>
      </c>
      <c r="W292" s="26">
        <v>2.1</v>
      </c>
      <c r="X292" s="5">
        <v>476.0</v>
      </c>
      <c r="Y292" s="27">
        <v>0.2</v>
      </c>
      <c r="Z292" s="28">
        <v>380.8</v>
      </c>
      <c r="AA292" s="27">
        <v>1.0</v>
      </c>
      <c r="AB292" s="5" t="s">
        <v>117</v>
      </c>
      <c r="AC292" s="27">
        <v>0.65</v>
      </c>
      <c r="AD292" s="5"/>
      <c r="AE292" s="5" t="s">
        <v>81</v>
      </c>
      <c r="AF292" s="5" t="s">
        <v>81</v>
      </c>
      <c r="AG292" s="5">
        <v>2.0</v>
      </c>
      <c r="AH292" s="5">
        <v>2.0</v>
      </c>
      <c r="AI292" s="5" t="s">
        <v>0</v>
      </c>
      <c r="AJ292" s="5" t="s">
        <v>0</v>
      </c>
      <c r="AK292" s="30">
        <v>1600.0</v>
      </c>
      <c r="AL292" s="28">
        <v>1619.0</v>
      </c>
      <c r="AM292" s="28">
        <v>0.0</v>
      </c>
      <c r="AN292" s="28">
        <v>0.0</v>
      </c>
      <c r="AO292" s="28">
        <v>0.0</v>
      </c>
      <c r="AP292" s="28">
        <v>761600.0</v>
      </c>
      <c r="AQ292" s="28">
        <v>770951.6100000001</v>
      </c>
      <c r="AR292" s="28">
        <v>0.0</v>
      </c>
      <c r="AS292" s="28">
        <v>0.0</v>
      </c>
      <c r="AT292" s="28">
        <v>0.0</v>
      </c>
      <c r="AU292" s="28">
        <v>609280.0</v>
      </c>
      <c r="AV292" s="28">
        <v>503270.14473975624</v>
      </c>
      <c r="AW292" s="28">
        <v>0.0</v>
      </c>
      <c r="AX292" s="28">
        <v>0.0</v>
      </c>
      <c r="AY292" s="28">
        <v>0.0</v>
      </c>
      <c r="AZ292" s="5"/>
      <c r="BA292" s="5" t="s">
        <v>125</v>
      </c>
      <c r="BB292" s="5" t="s">
        <v>174</v>
      </c>
      <c r="BC292" s="5" t="s">
        <v>237</v>
      </c>
      <c r="BD292" s="5" t="s">
        <v>126</v>
      </c>
      <c r="BE292" s="5" t="s">
        <v>147</v>
      </c>
      <c r="BF292" s="5" t="s">
        <v>539</v>
      </c>
      <c r="BG292" s="5" t="s">
        <v>131</v>
      </c>
    </row>
    <row r="293" ht="16.5" hidden="1" customHeight="1">
      <c r="A293" s="5" t="s">
        <v>100</v>
      </c>
      <c r="B293" s="5" t="s">
        <v>200</v>
      </c>
      <c r="C293" s="5" t="b">
        <v>1</v>
      </c>
      <c r="D293" s="5" t="s">
        <v>916</v>
      </c>
      <c r="E293" s="5" t="s">
        <v>917</v>
      </c>
      <c r="F293" s="5"/>
      <c r="G293" s="5" t="s">
        <v>65</v>
      </c>
      <c r="H293" s="5" t="s">
        <v>74</v>
      </c>
      <c r="I293" s="5" t="s">
        <v>82</v>
      </c>
      <c r="J293" s="25"/>
      <c r="K293" s="25"/>
      <c r="L293" s="25"/>
      <c r="M293" s="5" t="s">
        <v>247</v>
      </c>
      <c r="N293" s="5" t="s">
        <v>113</v>
      </c>
      <c r="O293" s="5" t="s">
        <v>69</v>
      </c>
      <c r="P293" s="5" t="s">
        <v>107</v>
      </c>
      <c r="Q293" s="5" t="s">
        <v>147</v>
      </c>
      <c r="R293" s="5" t="s">
        <v>181</v>
      </c>
      <c r="S293" s="5"/>
      <c r="T293" s="5"/>
      <c r="U293" s="5"/>
      <c r="V293" s="5">
        <v>1000.0</v>
      </c>
      <c r="W293" s="26">
        <v>2.1</v>
      </c>
      <c r="X293" s="5">
        <v>476.0</v>
      </c>
      <c r="Y293" s="27">
        <v>0.2</v>
      </c>
      <c r="Z293" s="28">
        <v>380.8</v>
      </c>
      <c r="AA293" s="27">
        <v>1.0</v>
      </c>
      <c r="AB293" s="5" t="s">
        <v>117</v>
      </c>
      <c r="AC293" s="27">
        <v>0.618</v>
      </c>
      <c r="AD293" s="5"/>
      <c r="AE293" s="5" t="s">
        <v>81</v>
      </c>
      <c r="AF293" s="5" t="s">
        <v>81</v>
      </c>
      <c r="AG293" s="5">
        <v>2.0</v>
      </c>
      <c r="AH293" s="5">
        <v>2.0</v>
      </c>
      <c r="AI293" s="5" t="s">
        <v>0</v>
      </c>
      <c r="AJ293" s="5" t="s">
        <v>0</v>
      </c>
      <c r="AK293" s="30">
        <v>1100.0</v>
      </c>
      <c r="AL293" s="28">
        <v>1144.0</v>
      </c>
      <c r="AM293" s="28">
        <v>0.0</v>
      </c>
      <c r="AN293" s="28">
        <v>0.0</v>
      </c>
      <c r="AO293" s="28">
        <v>0.0</v>
      </c>
      <c r="AP293" s="28">
        <v>523600.0</v>
      </c>
      <c r="AQ293" s="28">
        <v>544761.3600000001</v>
      </c>
      <c r="AR293" s="28">
        <v>0.0</v>
      </c>
      <c r="AS293" s="28">
        <v>0.0</v>
      </c>
      <c r="AT293" s="28">
        <v>0.0</v>
      </c>
      <c r="AU293" s="28">
        <v>418880.0</v>
      </c>
      <c r="AV293" s="28">
        <v>396349.09379844955</v>
      </c>
      <c r="AW293" s="28">
        <v>0.0</v>
      </c>
      <c r="AX293" s="28">
        <v>0.0</v>
      </c>
      <c r="AY293" s="28">
        <v>0.0</v>
      </c>
      <c r="AZ293" s="5"/>
      <c r="BA293" s="5" t="s">
        <v>125</v>
      </c>
      <c r="BB293" s="5" t="s">
        <v>174</v>
      </c>
      <c r="BC293" s="5" t="s">
        <v>237</v>
      </c>
      <c r="BD293" s="5" t="s">
        <v>126</v>
      </c>
      <c r="BE293" s="5" t="s">
        <v>147</v>
      </c>
      <c r="BF293" s="5" t="s">
        <v>539</v>
      </c>
      <c r="BG293" s="5" t="s">
        <v>131</v>
      </c>
    </row>
    <row r="294" ht="16.5" hidden="1" customHeight="1">
      <c r="A294" s="5" t="s">
        <v>100</v>
      </c>
      <c r="B294" s="5" t="s">
        <v>200</v>
      </c>
      <c r="C294" s="5" t="b">
        <v>1</v>
      </c>
      <c r="D294" s="5" t="s">
        <v>919</v>
      </c>
      <c r="E294" s="5" t="s">
        <v>920</v>
      </c>
      <c r="F294" s="5"/>
      <c r="G294" s="5" t="s">
        <v>65</v>
      </c>
      <c r="H294" s="5" t="s">
        <v>74</v>
      </c>
      <c r="I294" s="5" t="s">
        <v>82</v>
      </c>
      <c r="J294" s="25"/>
      <c r="K294" s="25"/>
      <c r="L294" s="25"/>
      <c r="M294" s="5" t="s">
        <v>247</v>
      </c>
      <c r="N294" s="5" t="s">
        <v>334</v>
      </c>
      <c r="O294" s="5" t="s">
        <v>69</v>
      </c>
      <c r="P294" s="5" t="s">
        <v>70</v>
      </c>
      <c r="Q294" s="5" t="s">
        <v>1720</v>
      </c>
      <c r="R294" s="5" t="s">
        <v>110</v>
      </c>
      <c r="S294" s="5"/>
      <c r="T294" s="5"/>
      <c r="U294" s="5"/>
      <c r="V294" s="5">
        <v>1100.0</v>
      </c>
      <c r="W294" s="26">
        <v>2.1</v>
      </c>
      <c r="X294" s="5">
        <v>524.0</v>
      </c>
      <c r="Y294" s="27">
        <v>0.2</v>
      </c>
      <c r="Z294" s="28">
        <v>419.20000000000005</v>
      </c>
      <c r="AA294" s="27">
        <v>1.0</v>
      </c>
      <c r="AB294" s="5" t="s">
        <v>117</v>
      </c>
      <c r="AC294" s="27">
        <v>0.584</v>
      </c>
      <c r="AD294" s="5"/>
      <c r="AE294" s="5" t="s">
        <v>81</v>
      </c>
      <c r="AF294" s="5" t="s">
        <v>81</v>
      </c>
      <c r="AG294" s="5">
        <v>2.0</v>
      </c>
      <c r="AH294" s="5">
        <v>2.0</v>
      </c>
      <c r="AI294" s="5" t="s">
        <v>0</v>
      </c>
      <c r="AJ294" s="5" t="s">
        <v>0</v>
      </c>
      <c r="AK294" s="30">
        <v>1900.0</v>
      </c>
      <c r="AL294" s="28">
        <v>1882.0</v>
      </c>
      <c r="AM294" s="28">
        <v>0.0</v>
      </c>
      <c r="AN294" s="28">
        <v>0.0</v>
      </c>
      <c r="AO294" s="28">
        <v>0.0</v>
      </c>
      <c r="AP294" s="28">
        <v>995600.0</v>
      </c>
      <c r="AQ294" s="28">
        <v>985810.4199999999</v>
      </c>
      <c r="AR294" s="28">
        <v>0.0</v>
      </c>
      <c r="AS294" s="28">
        <v>0.0</v>
      </c>
      <c r="AT294" s="28">
        <v>0.0</v>
      </c>
      <c r="AU294" s="28">
        <v>796480.0000000001</v>
      </c>
      <c r="AV294" s="28">
        <v>673341.5960686599</v>
      </c>
      <c r="AW294" s="28">
        <v>0.0</v>
      </c>
      <c r="AX294" s="28">
        <v>0.0</v>
      </c>
      <c r="AY294" s="28">
        <v>0.0</v>
      </c>
      <c r="AZ294" s="5"/>
      <c r="BA294" s="5" t="s">
        <v>125</v>
      </c>
      <c r="BB294" s="5" t="s">
        <v>174</v>
      </c>
      <c r="BC294" s="5" t="s">
        <v>237</v>
      </c>
      <c r="BD294" s="5" t="s">
        <v>334</v>
      </c>
      <c r="BE294" s="5" t="s">
        <v>872</v>
      </c>
      <c r="BF294" s="5" t="s">
        <v>539</v>
      </c>
      <c r="BG294" s="5" t="s">
        <v>131</v>
      </c>
    </row>
    <row r="295" ht="16.5" hidden="1" customHeight="1">
      <c r="A295" s="5" t="s">
        <v>100</v>
      </c>
      <c r="B295" s="5" t="s">
        <v>200</v>
      </c>
      <c r="C295" s="5" t="b">
        <v>1</v>
      </c>
      <c r="D295" s="5" t="s">
        <v>922</v>
      </c>
      <c r="E295" s="5" t="s">
        <v>923</v>
      </c>
      <c r="F295" s="5"/>
      <c r="G295" s="5" t="s">
        <v>65</v>
      </c>
      <c r="H295" s="5" t="s">
        <v>74</v>
      </c>
      <c r="I295" s="5" t="s">
        <v>82</v>
      </c>
      <c r="J295" s="25"/>
      <c r="K295" s="25"/>
      <c r="L295" s="25"/>
      <c r="M295" s="5" t="s">
        <v>247</v>
      </c>
      <c r="N295" s="5" t="s">
        <v>334</v>
      </c>
      <c r="O295" s="5" t="s">
        <v>69</v>
      </c>
      <c r="P295" s="5" t="s">
        <v>107</v>
      </c>
      <c r="Q295" s="5" t="s">
        <v>805</v>
      </c>
      <c r="R295" s="5" t="s">
        <v>110</v>
      </c>
      <c r="S295" s="5"/>
      <c r="T295" s="5"/>
      <c r="U295" s="5"/>
      <c r="V295" s="5">
        <v>1100.0</v>
      </c>
      <c r="W295" s="26">
        <v>2.1</v>
      </c>
      <c r="X295" s="5">
        <v>524.0</v>
      </c>
      <c r="Y295" s="27">
        <v>0.2</v>
      </c>
      <c r="Z295" s="28">
        <v>419.20000000000005</v>
      </c>
      <c r="AA295" s="27">
        <v>1.0</v>
      </c>
      <c r="AB295" s="5" t="s">
        <v>117</v>
      </c>
      <c r="AC295" s="27">
        <v>0.62</v>
      </c>
      <c r="AD295" s="5"/>
      <c r="AE295" s="5" t="s">
        <v>81</v>
      </c>
      <c r="AF295" s="5" t="s">
        <v>81</v>
      </c>
      <c r="AG295" s="5">
        <v>2.0</v>
      </c>
      <c r="AH295" s="5">
        <v>2.0</v>
      </c>
      <c r="AI295" s="5" t="s">
        <v>0</v>
      </c>
      <c r="AJ295" s="5" t="s">
        <v>0</v>
      </c>
      <c r="AK295" s="30">
        <v>900.0</v>
      </c>
      <c r="AL295" s="28">
        <v>945.0</v>
      </c>
      <c r="AM295" s="28">
        <v>0.0</v>
      </c>
      <c r="AN295" s="28">
        <v>0.0</v>
      </c>
      <c r="AO295" s="28">
        <v>0.0</v>
      </c>
      <c r="AP295" s="28">
        <v>471600.0</v>
      </c>
      <c r="AQ295" s="28">
        <v>495000.44999999984</v>
      </c>
      <c r="AR295" s="28">
        <v>0.0</v>
      </c>
      <c r="AS295" s="28">
        <v>0.0</v>
      </c>
      <c r="AT295" s="28">
        <v>0.0</v>
      </c>
      <c r="AU295" s="28">
        <v>377280.00000000006</v>
      </c>
      <c r="AV295" s="28">
        <v>406212.18410852714</v>
      </c>
      <c r="AW295" s="28">
        <v>0.0</v>
      </c>
      <c r="AX295" s="28">
        <v>0.0</v>
      </c>
      <c r="AY295" s="28">
        <v>0.0</v>
      </c>
      <c r="AZ295" s="5"/>
      <c r="BA295" s="5" t="s">
        <v>125</v>
      </c>
      <c r="BB295" s="5" t="s">
        <v>174</v>
      </c>
      <c r="BC295" s="5" t="s">
        <v>237</v>
      </c>
      <c r="BD295" s="5" t="s">
        <v>334</v>
      </c>
      <c r="BE295" s="5" t="s">
        <v>872</v>
      </c>
      <c r="BF295" s="5" t="s">
        <v>539</v>
      </c>
      <c r="BG295" s="5" t="s">
        <v>131</v>
      </c>
    </row>
    <row r="296" ht="16.5" hidden="1" customHeight="1">
      <c r="A296" s="5" t="s">
        <v>100</v>
      </c>
      <c r="B296" s="5" t="s">
        <v>215</v>
      </c>
      <c r="C296" s="5" t="b">
        <v>0</v>
      </c>
      <c r="D296" s="5" t="s">
        <v>1732</v>
      </c>
      <c r="E296" s="5" t="s">
        <v>1733</v>
      </c>
      <c r="F296" s="5"/>
      <c r="G296" s="5" t="s">
        <v>65</v>
      </c>
      <c r="H296" s="5" t="s">
        <v>76</v>
      </c>
      <c r="I296" s="5" t="s">
        <v>218</v>
      </c>
      <c r="J296" s="25" t="s">
        <v>219</v>
      </c>
      <c r="K296" s="25"/>
      <c r="L296" s="25"/>
      <c r="M296" s="5" t="s">
        <v>500</v>
      </c>
      <c r="N296" s="5" t="s">
        <v>355</v>
      </c>
      <c r="O296" s="5" t="s">
        <v>69</v>
      </c>
      <c r="P296" s="5" t="s">
        <v>70</v>
      </c>
      <c r="Q296" s="5" t="s">
        <v>282</v>
      </c>
      <c r="R296" s="5" t="s">
        <v>110</v>
      </c>
      <c r="S296" s="5"/>
      <c r="T296" s="5"/>
      <c r="U296" s="5"/>
      <c r="V296" s="5">
        <v>4500.0</v>
      </c>
      <c r="W296" s="26">
        <v>2.1</v>
      </c>
      <c r="X296" s="5">
        <v>2143.0</v>
      </c>
      <c r="Y296" s="27">
        <v>0.0</v>
      </c>
      <c r="Z296" s="28">
        <v>2143.0</v>
      </c>
      <c r="AA296" s="27">
        <v>1.0</v>
      </c>
      <c r="AB296" s="5" t="s">
        <v>242</v>
      </c>
      <c r="AC296" s="27"/>
      <c r="AD296" s="5"/>
      <c r="AE296" s="5" t="s">
        <v>359</v>
      </c>
      <c r="AF296" s="5" t="s">
        <v>81</v>
      </c>
      <c r="AG296" s="5"/>
      <c r="AH296" s="5">
        <v>4.0</v>
      </c>
      <c r="AI296" s="5" t="s">
        <v>1734</v>
      </c>
      <c r="AJ296" s="5" t="s">
        <v>0</v>
      </c>
      <c r="AK296" s="30"/>
      <c r="AL296" s="28">
        <v>0.0</v>
      </c>
      <c r="AM296" s="28">
        <v>0.0</v>
      </c>
      <c r="AN296" s="28">
        <v>2778.0</v>
      </c>
      <c r="AO296" s="28">
        <v>2504.0</v>
      </c>
      <c r="AP296" s="28">
        <v>0.0</v>
      </c>
      <c r="AQ296" s="28">
        <v>0.0</v>
      </c>
      <c r="AR296" s="28">
        <v>5366072.0</v>
      </c>
      <c r="AS296" s="28">
        <v>0.0</v>
      </c>
      <c r="AT296" s="28">
        <v>5366072.0</v>
      </c>
      <c r="AU296" s="28">
        <v>0.0</v>
      </c>
      <c r="AV296" s="28">
        <v>0.0</v>
      </c>
      <c r="AW296" s="28">
        <v>0.0</v>
      </c>
      <c r="AX296" s="28">
        <v>4446305.52358804</v>
      </c>
      <c r="AY296" s="28">
        <v>4162819.8573749997</v>
      </c>
      <c r="AZ296" s="5" t="s">
        <v>124</v>
      </c>
      <c r="BA296" s="5" t="s">
        <v>125</v>
      </c>
      <c r="BB296" s="5" t="s">
        <v>127</v>
      </c>
      <c r="BC296" s="32" t="s">
        <v>584</v>
      </c>
      <c r="BD296" s="5" t="s">
        <v>355</v>
      </c>
      <c r="BE296" s="5" t="s">
        <v>161</v>
      </c>
      <c r="BF296" s="5" t="s">
        <v>448</v>
      </c>
      <c r="BG296" s="5" t="s">
        <v>131</v>
      </c>
    </row>
    <row r="297" ht="16.5" hidden="1" customHeight="1">
      <c r="A297" s="5" t="s">
        <v>100</v>
      </c>
      <c r="B297" s="5" t="s">
        <v>215</v>
      </c>
      <c r="C297" s="5" t="b">
        <v>0</v>
      </c>
      <c r="D297" s="5" t="s">
        <v>1736</v>
      </c>
      <c r="E297" s="5" t="s">
        <v>1737</v>
      </c>
      <c r="F297" s="5"/>
      <c r="G297" s="5" t="s">
        <v>65</v>
      </c>
      <c r="H297" s="5" t="s">
        <v>76</v>
      </c>
      <c r="I297" s="5" t="s">
        <v>218</v>
      </c>
      <c r="J297" s="25" t="s">
        <v>219</v>
      </c>
      <c r="K297" s="25"/>
      <c r="L297" s="25"/>
      <c r="M297" s="5" t="s">
        <v>500</v>
      </c>
      <c r="N297" s="5" t="s">
        <v>355</v>
      </c>
      <c r="O297" s="5" t="s">
        <v>69</v>
      </c>
      <c r="P297" s="5" t="s">
        <v>107</v>
      </c>
      <c r="Q297" s="5" t="s">
        <v>282</v>
      </c>
      <c r="R297" s="5" t="s">
        <v>110</v>
      </c>
      <c r="S297" s="5"/>
      <c r="T297" s="5"/>
      <c r="U297" s="5"/>
      <c r="V297" s="5">
        <v>4500.0</v>
      </c>
      <c r="W297" s="26">
        <v>2.1</v>
      </c>
      <c r="X297" s="5">
        <v>2143.0</v>
      </c>
      <c r="Y297" s="27">
        <v>0.0</v>
      </c>
      <c r="Z297" s="28">
        <v>2143.0</v>
      </c>
      <c r="AA297" s="27">
        <v>1.0</v>
      </c>
      <c r="AB297" s="5" t="s">
        <v>242</v>
      </c>
      <c r="AC297" s="27"/>
      <c r="AD297" s="5"/>
      <c r="AE297" s="5" t="s">
        <v>359</v>
      </c>
      <c r="AF297" s="5" t="s">
        <v>81</v>
      </c>
      <c r="AG297" s="5"/>
      <c r="AH297" s="5">
        <v>4.0</v>
      </c>
      <c r="AI297" s="5" t="s">
        <v>1738</v>
      </c>
      <c r="AJ297" s="5" t="s">
        <v>0</v>
      </c>
      <c r="AK297" s="30"/>
      <c r="AL297" s="28">
        <v>0.0</v>
      </c>
      <c r="AM297" s="28">
        <v>2.0</v>
      </c>
      <c r="AN297" s="28">
        <v>1708.0</v>
      </c>
      <c r="AO297" s="28">
        <v>1651.0</v>
      </c>
      <c r="AP297" s="28">
        <v>0.0</v>
      </c>
      <c r="AQ297" s="28">
        <v>0.0</v>
      </c>
      <c r="AR297" s="28">
        <v>3538093.0</v>
      </c>
      <c r="AS297" s="28">
        <v>0.0</v>
      </c>
      <c r="AT297" s="28">
        <v>3538093.0</v>
      </c>
      <c r="AU297" s="28">
        <v>0.0</v>
      </c>
      <c r="AV297" s="28">
        <v>0.0</v>
      </c>
      <c r="AW297" s="28">
        <v>3401.92864</v>
      </c>
      <c r="AX297" s="28">
        <v>2719363.5048726466</v>
      </c>
      <c r="AY297" s="28">
        <v>2717597.018580001</v>
      </c>
      <c r="AZ297" s="5" t="s">
        <v>124</v>
      </c>
      <c r="BA297" s="5" t="s">
        <v>125</v>
      </c>
      <c r="BB297" s="5" t="s">
        <v>127</v>
      </c>
      <c r="BC297" s="32" t="s">
        <v>584</v>
      </c>
      <c r="BD297" s="5" t="s">
        <v>355</v>
      </c>
      <c r="BE297" s="5" t="s">
        <v>161</v>
      </c>
      <c r="BF297" s="5" t="s">
        <v>448</v>
      </c>
      <c r="BG297" s="5" t="s">
        <v>131</v>
      </c>
    </row>
    <row r="298" ht="16.5" hidden="1" customHeight="1">
      <c r="A298" s="5" t="s">
        <v>100</v>
      </c>
      <c r="B298" s="5" t="s">
        <v>137</v>
      </c>
      <c r="C298" s="5" t="b">
        <v>1</v>
      </c>
      <c r="D298" s="5" t="s">
        <v>925</v>
      </c>
      <c r="E298" s="5" t="s">
        <v>926</v>
      </c>
      <c r="F298" s="5"/>
      <c r="G298" s="5" t="s">
        <v>65</v>
      </c>
      <c r="H298" s="5" t="s">
        <v>76</v>
      </c>
      <c r="I298" s="5" t="s">
        <v>82</v>
      </c>
      <c r="J298" s="25"/>
      <c r="K298" s="25"/>
      <c r="L298" s="25"/>
      <c r="M298" s="5" t="s">
        <v>500</v>
      </c>
      <c r="N298" s="5" t="s">
        <v>68</v>
      </c>
      <c r="O298" s="5" t="s">
        <v>69</v>
      </c>
      <c r="P298" s="5" t="s">
        <v>70</v>
      </c>
      <c r="Q298" s="5" t="s">
        <v>89</v>
      </c>
      <c r="R298" s="5" t="s">
        <v>110</v>
      </c>
      <c r="S298" s="5"/>
      <c r="T298" s="5"/>
      <c r="U298" s="5"/>
      <c r="V298" s="5">
        <v>7500.0</v>
      </c>
      <c r="W298" s="26">
        <v>2.1</v>
      </c>
      <c r="X298" s="5">
        <v>3571.0</v>
      </c>
      <c r="Y298" s="27">
        <v>0.2</v>
      </c>
      <c r="Z298" s="28">
        <v>2856.8</v>
      </c>
      <c r="AA298" s="27">
        <v>1.0</v>
      </c>
      <c r="AB298" s="5" t="s">
        <v>242</v>
      </c>
      <c r="AC298" s="27">
        <v>0.55</v>
      </c>
      <c r="AD298" s="5"/>
      <c r="AE298" s="5" t="s">
        <v>80</v>
      </c>
      <c r="AF298" s="5" t="s">
        <v>81</v>
      </c>
      <c r="AG298" s="5">
        <v>2.0</v>
      </c>
      <c r="AH298" s="5">
        <v>2.0</v>
      </c>
      <c r="AI298" s="5" t="s">
        <v>1743</v>
      </c>
      <c r="AJ298" s="5" t="s">
        <v>0</v>
      </c>
      <c r="AK298" s="30">
        <v>1100.0</v>
      </c>
      <c r="AL298" s="28">
        <v>1052.0</v>
      </c>
      <c r="AM298" s="28">
        <v>656.0</v>
      </c>
      <c r="AN298" s="28">
        <v>1233.0</v>
      </c>
      <c r="AO298" s="28">
        <v>1041.0</v>
      </c>
      <c r="AP298" s="28">
        <v>3928100.0</v>
      </c>
      <c r="AQ298" s="28">
        <v>3757144.3599999994</v>
      </c>
      <c r="AR298" s="28">
        <v>3717411.0</v>
      </c>
      <c r="AS298" s="28">
        <v>0.0</v>
      </c>
      <c r="AT298" s="28">
        <v>3717411.0</v>
      </c>
      <c r="AU298" s="28">
        <v>3142480.0</v>
      </c>
      <c r="AV298" s="28">
        <v>2965282.079180509</v>
      </c>
      <c r="AW298" s="28">
        <v>1755293.8311861998</v>
      </c>
      <c r="AX298" s="28">
        <v>3403682.1539313397</v>
      </c>
      <c r="AY298" s="28">
        <v>2864383.2260170006</v>
      </c>
      <c r="AZ298" s="5"/>
      <c r="BA298" s="5" t="s">
        <v>86</v>
      </c>
      <c r="BB298" s="5" t="s">
        <v>826</v>
      </c>
      <c r="BC298" s="5" t="s">
        <v>827</v>
      </c>
      <c r="BD298" s="5" t="s">
        <v>68</v>
      </c>
      <c r="BE298" s="5" t="s">
        <v>89</v>
      </c>
      <c r="BF298" s="5" t="s">
        <v>132</v>
      </c>
      <c r="BG298" s="5" t="s">
        <v>91</v>
      </c>
    </row>
    <row r="299" ht="16.5" hidden="1" customHeight="1">
      <c r="A299" s="5" t="s">
        <v>100</v>
      </c>
      <c r="B299" s="5" t="s">
        <v>137</v>
      </c>
      <c r="C299" s="5" t="b">
        <v>1</v>
      </c>
      <c r="D299" s="5" t="s">
        <v>929</v>
      </c>
      <c r="E299" s="5" t="s">
        <v>930</v>
      </c>
      <c r="F299" s="5"/>
      <c r="G299" s="5" t="s">
        <v>65</v>
      </c>
      <c r="H299" s="5" t="s">
        <v>76</v>
      </c>
      <c r="I299" s="5" t="s">
        <v>82</v>
      </c>
      <c r="J299" s="25"/>
      <c r="K299" s="25"/>
      <c r="L299" s="25"/>
      <c r="M299" s="5" t="s">
        <v>500</v>
      </c>
      <c r="N299" s="5" t="s">
        <v>68</v>
      </c>
      <c r="O299" s="5" t="s">
        <v>69</v>
      </c>
      <c r="P299" s="5" t="s">
        <v>107</v>
      </c>
      <c r="Q299" s="5" t="s">
        <v>89</v>
      </c>
      <c r="R299" s="5" t="s">
        <v>110</v>
      </c>
      <c r="S299" s="5"/>
      <c r="T299" s="5"/>
      <c r="U299" s="5"/>
      <c r="V299" s="5">
        <v>7500.0</v>
      </c>
      <c r="W299" s="26">
        <v>2.1</v>
      </c>
      <c r="X299" s="5">
        <v>3571.0</v>
      </c>
      <c r="Y299" s="27">
        <v>0.2</v>
      </c>
      <c r="Z299" s="28">
        <v>2856.8</v>
      </c>
      <c r="AA299" s="27">
        <v>1.0</v>
      </c>
      <c r="AB299" s="5" t="s">
        <v>242</v>
      </c>
      <c r="AC299" s="27">
        <v>0.57</v>
      </c>
      <c r="AD299" s="5"/>
      <c r="AE299" s="5" t="s">
        <v>80</v>
      </c>
      <c r="AF299" s="5" t="s">
        <v>81</v>
      </c>
      <c r="AG299" s="5">
        <v>2.0</v>
      </c>
      <c r="AH299" s="5">
        <v>2.0</v>
      </c>
      <c r="AI299" s="5" t="s">
        <v>1747</v>
      </c>
      <c r="AJ299" s="5" t="s">
        <v>0</v>
      </c>
      <c r="AK299" s="30">
        <v>500.0</v>
      </c>
      <c r="AL299" s="28">
        <v>534.0</v>
      </c>
      <c r="AM299" s="28">
        <v>427.0</v>
      </c>
      <c r="AN299" s="28">
        <v>672.0</v>
      </c>
      <c r="AO299" s="28">
        <v>372.0</v>
      </c>
      <c r="AP299" s="28">
        <v>1785500.0</v>
      </c>
      <c r="AQ299" s="28">
        <v>1907143.62</v>
      </c>
      <c r="AR299" s="28">
        <v>1328412.0</v>
      </c>
      <c r="AS299" s="28">
        <v>0.0</v>
      </c>
      <c r="AT299" s="28">
        <v>1328412.0</v>
      </c>
      <c r="AU299" s="28">
        <v>1428400.0</v>
      </c>
      <c r="AV299" s="28">
        <v>1513431.5032115167</v>
      </c>
      <c r="AW299" s="28">
        <v>1141597.151304</v>
      </c>
      <c r="AX299" s="28">
        <v>1877463.2878183832</v>
      </c>
      <c r="AY299" s="28">
        <v>1170089.5832200001</v>
      </c>
      <c r="AZ299" s="5"/>
      <c r="BA299" s="5" t="s">
        <v>86</v>
      </c>
      <c r="BB299" s="5" t="s">
        <v>826</v>
      </c>
      <c r="BC299" s="5" t="s">
        <v>827</v>
      </c>
      <c r="BD299" s="5" t="s">
        <v>68</v>
      </c>
      <c r="BE299" s="5" t="s">
        <v>89</v>
      </c>
      <c r="BF299" s="5" t="s">
        <v>132</v>
      </c>
      <c r="BG299" s="5" t="s">
        <v>91</v>
      </c>
    </row>
    <row r="300" ht="16.5" hidden="1" customHeight="1">
      <c r="A300" s="5" t="s">
        <v>100</v>
      </c>
      <c r="B300" s="5" t="s">
        <v>137</v>
      </c>
      <c r="C300" s="5" t="b">
        <v>0</v>
      </c>
      <c r="D300" s="5" t="s">
        <v>604</v>
      </c>
      <c r="E300" s="5" t="s">
        <v>605</v>
      </c>
      <c r="F300" s="5"/>
      <c r="G300" s="5" t="s">
        <v>65</v>
      </c>
      <c r="H300" s="5" t="s">
        <v>76</v>
      </c>
      <c r="I300" s="5" t="s">
        <v>106</v>
      </c>
      <c r="J300" s="25" t="s">
        <v>267</v>
      </c>
      <c r="K300" s="25"/>
      <c r="L300" s="25" t="s">
        <v>156</v>
      </c>
      <c r="M300" s="5" t="s">
        <v>66</v>
      </c>
      <c r="N300" s="5" t="s">
        <v>68</v>
      </c>
      <c r="O300" s="5" t="s">
        <v>141</v>
      </c>
      <c r="P300" s="5" t="s">
        <v>107</v>
      </c>
      <c r="Q300" s="5" t="s">
        <v>89</v>
      </c>
      <c r="R300" s="5" t="s">
        <v>110</v>
      </c>
      <c r="S300" s="5"/>
      <c r="T300" s="5"/>
      <c r="U300" s="5"/>
      <c r="V300" s="5">
        <v>4000.0</v>
      </c>
      <c r="W300" s="26">
        <v>2.1</v>
      </c>
      <c r="X300" s="5">
        <v>1905.0</v>
      </c>
      <c r="Y300" s="27">
        <v>0.0</v>
      </c>
      <c r="Z300" s="28">
        <v>1905.0</v>
      </c>
      <c r="AA300" s="27">
        <v>1.0</v>
      </c>
      <c r="AB300" s="5" t="s">
        <v>117</v>
      </c>
      <c r="AC300" s="27">
        <v>0.575</v>
      </c>
      <c r="AD300" s="5"/>
      <c r="AE300" s="5" t="s">
        <v>80</v>
      </c>
      <c r="AF300" s="5" t="s">
        <v>81</v>
      </c>
      <c r="AG300" s="5">
        <v>0.0</v>
      </c>
      <c r="AH300" s="5">
        <v>3.0</v>
      </c>
      <c r="AI300" s="5" t="s">
        <v>0</v>
      </c>
      <c r="AJ300" s="5" t="s">
        <v>0</v>
      </c>
      <c r="AK300" s="30"/>
      <c r="AL300" s="28">
        <v>0.0</v>
      </c>
      <c r="AM300" s="28">
        <v>0.0</v>
      </c>
      <c r="AN300" s="28">
        <v>0.0</v>
      </c>
      <c r="AO300" s="28">
        <v>0.0</v>
      </c>
      <c r="AP300" s="28">
        <v>0.0</v>
      </c>
      <c r="AQ300" s="28">
        <v>0.0</v>
      </c>
      <c r="AR300" s="28">
        <v>0.0</v>
      </c>
      <c r="AS300" s="28">
        <v>0.0</v>
      </c>
      <c r="AT300" s="28">
        <v>0.0</v>
      </c>
      <c r="AU300" s="28">
        <v>0.0</v>
      </c>
      <c r="AV300" s="28">
        <v>0.0</v>
      </c>
      <c r="AW300" s="28">
        <v>0.0</v>
      </c>
      <c r="AX300" s="28">
        <v>0.0</v>
      </c>
      <c r="AY300" s="28">
        <v>0.0</v>
      </c>
      <c r="AZ300" s="5"/>
      <c r="BA300" s="5" t="s">
        <v>125</v>
      </c>
      <c r="BB300" s="5" t="s">
        <v>127</v>
      </c>
      <c r="BC300" s="5" t="s">
        <v>237</v>
      </c>
      <c r="BD300" s="5" t="s">
        <v>68</v>
      </c>
      <c r="BE300" s="5" t="s">
        <v>89</v>
      </c>
      <c r="BF300" s="5" t="s">
        <v>90</v>
      </c>
      <c r="BG300" s="5" t="s">
        <v>91</v>
      </c>
    </row>
    <row r="301" ht="16.5" hidden="1" customHeight="1">
      <c r="A301" s="5" t="s">
        <v>100</v>
      </c>
      <c r="B301" s="5" t="s">
        <v>137</v>
      </c>
      <c r="C301" s="5" t="b">
        <v>0</v>
      </c>
      <c r="D301" s="5" t="s">
        <v>590</v>
      </c>
      <c r="E301" s="5" t="s">
        <v>591</v>
      </c>
      <c r="F301" s="5"/>
      <c r="G301" s="5" t="s">
        <v>65</v>
      </c>
      <c r="H301" s="5" t="s">
        <v>76</v>
      </c>
      <c r="I301" s="5" t="s">
        <v>106</v>
      </c>
      <c r="J301" s="25" t="s">
        <v>267</v>
      </c>
      <c r="K301" s="25"/>
      <c r="L301" s="25" t="s">
        <v>156</v>
      </c>
      <c r="M301" s="5" t="s">
        <v>66</v>
      </c>
      <c r="N301" s="5" t="s">
        <v>68</v>
      </c>
      <c r="O301" s="5" t="s">
        <v>141</v>
      </c>
      <c r="P301" s="5" t="s">
        <v>70</v>
      </c>
      <c r="Q301" s="5" t="s">
        <v>89</v>
      </c>
      <c r="R301" s="5" t="s">
        <v>110</v>
      </c>
      <c r="S301" s="5"/>
      <c r="T301" s="5"/>
      <c r="U301" s="5"/>
      <c r="V301" s="5">
        <v>4000.0</v>
      </c>
      <c r="W301" s="26">
        <v>2.1</v>
      </c>
      <c r="X301" s="5">
        <v>1905.0</v>
      </c>
      <c r="Y301" s="27">
        <v>0.0</v>
      </c>
      <c r="Z301" s="28">
        <v>1905.0</v>
      </c>
      <c r="AA301" s="27">
        <v>1.0</v>
      </c>
      <c r="AB301" s="5" t="s">
        <v>117</v>
      </c>
      <c r="AC301" s="27">
        <v>0.5920000000000001</v>
      </c>
      <c r="AD301" s="5"/>
      <c r="AE301" s="5" t="s">
        <v>80</v>
      </c>
      <c r="AF301" s="5" t="s">
        <v>81</v>
      </c>
      <c r="AG301" s="5">
        <v>0.0</v>
      </c>
      <c r="AH301" s="5">
        <v>3.0</v>
      </c>
      <c r="AI301" s="5" t="s">
        <v>0</v>
      </c>
      <c r="AJ301" s="5" t="s">
        <v>0</v>
      </c>
      <c r="AK301" s="30"/>
      <c r="AL301" s="28">
        <v>0.0</v>
      </c>
      <c r="AM301" s="28">
        <v>0.0</v>
      </c>
      <c r="AN301" s="28">
        <v>0.0</v>
      </c>
      <c r="AO301" s="28">
        <v>0.0</v>
      </c>
      <c r="AP301" s="28">
        <v>0.0</v>
      </c>
      <c r="AQ301" s="28">
        <v>0.0</v>
      </c>
      <c r="AR301" s="28">
        <v>0.0</v>
      </c>
      <c r="AS301" s="28">
        <v>0.0</v>
      </c>
      <c r="AT301" s="28">
        <v>0.0</v>
      </c>
      <c r="AU301" s="28">
        <v>0.0</v>
      </c>
      <c r="AV301" s="28">
        <v>0.0</v>
      </c>
      <c r="AW301" s="28">
        <v>0.0</v>
      </c>
      <c r="AX301" s="28">
        <v>0.0</v>
      </c>
      <c r="AY301" s="28">
        <v>0.0</v>
      </c>
      <c r="AZ301" s="5"/>
      <c r="BA301" s="5" t="s">
        <v>125</v>
      </c>
      <c r="BB301" s="5" t="s">
        <v>127</v>
      </c>
      <c r="BC301" s="5" t="s">
        <v>237</v>
      </c>
      <c r="BD301" s="5" t="s">
        <v>68</v>
      </c>
      <c r="BE301" s="5" t="s">
        <v>89</v>
      </c>
      <c r="BF301" s="5" t="s">
        <v>90</v>
      </c>
      <c r="BG301" s="5" t="s">
        <v>91</v>
      </c>
    </row>
    <row r="302" ht="16.5" hidden="1" customHeight="1">
      <c r="A302" s="5" t="s">
        <v>100</v>
      </c>
      <c r="B302" s="5" t="s">
        <v>137</v>
      </c>
      <c r="C302" s="5" t="b">
        <v>0</v>
      </c>
      <c r="D302" s="5" t="s">
        <v>931</v>
      </c>
      <c r="E302" s="5" t="s">
        <v>932</v>
      </c>
      <c r="F302" s="5"/>
      <c r="G302" s="5" t="s">
        <v>65</v>
      </c>
      <c r="H302" s="5" t="s">
        <v>74</v>
      </c>
      <c r="I302" s="5" t="s">
        <v>106</v>
      </c>
      <c r="J302" s="25" t="s">
        <v>267</v>
      </c>
      <c r="K302" s="25"/>
      <c r="L302" s="25" t="s">
        <v>156</v>
      </c>
      <c r="M302" s="5" t="s">
        <v>66</v>
      </c>
      <c r="N302" s="5" t="s">
        <v>68</v>
      </c>
      <c r="O302" s="5" t="s">
        <v>141</v>
      </c>
      <c r="P302" s="5" t="s">
        <v>70</v>
      </c>
      <c r="Q302" s="5" t="s">
        <v>89</v>
      </c>
      <c r="R302" s="5" t="s">
        <v>110</v>
      </c>
      <c r="S302" s="5"/>
      <c r="T302" s="5"/>
      <c r="U302" s="5"/>
      <c r="V302" s="5">
        <v>3500.0</v>
      </c>
      <c r="W302" s="26">
        <v>2.1</v>
      </c>
      <c r="X302" s="5">
        <v>1667.0</v>
      </c>
      <c r="Y302" s="27">
        <v>0.0</v>
      </c>
      <c r="Z302" s="28">
        <v>1667.0</v>
      </c>
      <c r="AA302" s="27">
        <v>1.0</v>
      </c>
      <c r="AB302" s="5" t="s">
        <v>117</v>
      </c>
      <c r="AC302" s="27"/>
      <c r="AD302" s="5"/>
      <c r="AE302" s="5" t="s">
        <v>166</v>
      </c>
      <c r="AF302" s="5" t="s">
        <v>81</v>
      </c>
      <c r="AG302" s="5"/>
      <c r="AH302" s="5">
        <v>2.0</v>
      </c>
      <c r="AI302" s="5" t="s">
        <v>934</v>
      </c>
      <c r="AJ302" s="5" t="s">
        <v>156</v>
      </c>
      <c r="AK302" s="30"/>
      <c r="AL302" s="28">
        <v>0.0</v>
      </c>
      <c r="AM302" s="28">
        <v>1200.0</v>
      </c>
      <c r="AN302" s="28">
        <v>500.0</v>
      </c>
      <c r="AO302" s="28">
        <v>0.0</v>
      </c>
      <c r="AP302" s="28">
        <v>0.0</v>
      </c>
      <c r="AQ302" s="28">
        <v>0.0</v>
      </c>
      <c r="AR302" s="28">
        <v>0.0</v>
      </c>
      <c r="AS302" s="28">
        <v>0.0</v>
      </c>
      <c r="AT302" s="28">
        <v>0.0</v>
      </c>
      <c r="AU302" s="28">
        <v>0.0</v>
      </c>
      <c r="AV302" s="28">
        <v>0.0</v>
      </c>
      <c r="AW302" s="28">
        <v>1498008.75</v>
      </c>
      <c r="AX302" s="28">
        <v>719400.0</v>
      </c>
      <c r="AY302" s="28">
        <v>0.0</v>
      </c>
      <c r="AZ302" s="5" t="s">
        <v>124</v>
      </c>
      <c r="BA302" s="5" t="s">
        <v>125</v>
      </c>
      <c r="BB302" s="5" t="s">
        <v>127</v>
      </c>
      <c r="BD302" s="5" t="s">
        <v>68</v>
      </c>
      <c r="BE302" s="5" t="s">
        <v>89</v>
      </c>
      <c r="BF302" s="5" t="s">
        <v>132</v>
      </c>
      <c r="BG302" s="5" t="s">
        <v>91</v>
      </c>
      <c r="BH302" s="5" t="s">
        <v>1775</v>
      </c>
    </row>
    <row r="303" ht="16.5" hidden="1" customHeight="1">
      <c r="A303" s="5" t="s">
        <v>100</v>
      </c>
      <c r="B303" s="5" t="s">
        <v>137</v>
      </c>
      <c r="C303" s="5" t="b">
        <v>0</v>
      </c>
      <c r="D303" s="5" t="s">
        <v>936</v>
      </c>
      <c r="E303" s="5" t="s">
        <v>937</v>
      </c>
      <c r="F303" s="5"/>
      <c r="G303" s="5" t="s">
        <v>65</v>
      </c>
      <c r="H303" s="5" t="s">
        <v>74</v>
      </c>
      <c r="I303" s="5" t="s">
        <v>106</v>
      </c>
      <c r="J303" s="25" t="s">
        <v>267</v>
      </c>
      <c r="K303" s="25"/>
      <c r="L303" s="25" t="s">
        <v>156</v>
      </c>
      <c r="M303" s="5" t="s">
        <v>66</v>
      </c>
      <c r="N303" s="5" t="s">
        <v>68</v>
      </c>
      <c r="O303" s="5" t="s">
        <v>141</v>
      </c>
      <c r="P303" s="5" t="s">
        <v>107</v>
      </c>
      <c r="Q303" s="5" t="s">
        <v>89</v>
      </c>
      <c r="R303" s="5" t="s">
        <v>110</v>
      </c>
      <c r="S303" s="5"/>
      <c r="T303" s="5"/>
      <c r="U303" s="5"/>
      <c r="V303" s="5">
        <v>3500.0</v>
      </c>
      <c r="W303" s="26">
        <v>2.1</v>
      </c>
      <c r="X303" s="5">
        <v>1667.0</v>
      </c>
      <c r="Y303" s="27">
        <v>0.0</v>
      </c>
      <c r="Z303" s="28">
        <v>1667.0</v>
      </c>
      <c r="AA303" s="27">
        <v>1.0</v>
      </c>
      <c r="AB303" s="5" t="s">
        <v>117</v>
      </c>
      <c r="AC303" s="27"/>
      <c r="AD303" s="5"/>
      <c r="AE303" s="5" t="s">
        <v>166</v>
      </c>
      <c r="AF303" s="5" t="s">
        <v>81</v>
      </c>
      <c r="AG303" s="5"/>
      <c r="AH303" s="5">
        <v>2.0</v>
      </c>
      <c r="AI303" s="5" t="s">
        <v>941</v>
      </c>
      <c r="AJ303" s="5" t="s">
        <v>156</v>
      </c>
      <c r="AK303" s="30"/>
      <c r="AL303" s="28">
        <v>0.0</v>
      </c>
      <c r="AM303" s="28">
        <v>1156.0</v>
      </c>
      <c r="AN303" s="28">
        <v>400.0</v>
      </c>
      <c r="AO303" s="28">
        <v>0.0</v>
      </c>
      <c r="AP303" s="28">
        <v>0.0</v>
      </c>
      <c r="AQ303" s="28">
        <v>0.0</v>
      </c>
      <c r="AR303" s="28">
        <v>0.0</v>
      </c>
      <c r="AS303" s="28">
        <v>0.0</v>
      </c>
      <c r="AT303" s="28">
        <v>0.0</v>
      </c>
      <c r="AU303" s="28">
        <v>0.0</v>
      </c>
      <c r="AV303" s="28">
        <v>0.0</v>
      </c>
      <c r="AW303" s="28">
        <v>1422602.48915</v>
      </c>
      <c r="AX303" s="28">
        <v>575520.0</v>
      </c>
      <c r="AY303" s="28">
        <v>0.0</v>
      </c>
      <c r="AZ303" s="5" t="s">
        <v>124</v>
      </c>
      <c r="BA303" s="5" t="s">
        <v>125</v>
      </c>
      <c r="BB303" s="5" t="s">
        <v>127</v>
      </c>
      <c r="BD303" s="5" t="s">
        <v>68</v>
      </c>
      <c r="BE303" s="5" t="s">
        <v>89</v>
      </c>
      <c r="BF303" s="5" t="s">
        <v>132</v>
      </c>
      <c r="BG303" s="5" t="s">
        <v>91</v>
      </c>
      <c r="BH303" s="5" t="s">
        <v>1775</v>
      </c>
    </row>
    <row r="304" ht="16.5" hidden="1" customHeight="1">
      <c r="A304" s="5" t="s">
        <v>100</v>
      </c>
      <c r="B304" s="5" t="s">
        <v>137</v>
      </c>
      <c r="C304" s="5" t="b">
        <v>1</v>
      </c>
      <c r="D304" s="5" t="s">
        <v>944</v>
      </c>
      <c r="E304" s="5" t="s">
        <v>945</v>
      </c>
      <c r="F304" s="5"/>
      <c r="G304" s="5" t="s">
        <v>65</v>
      </c>
      <c r="H304" s="5" t="s">
        <v>76</v>
      </c>
      <c r="I304" s="5" t="s">
        <v>82</v>
      </c>
      <c r="J304" s="25"/>
      <c r="K304" s="25"/>
      <c r="L304" s="25"/>
      <c r="M304" s="5" t="s">
        <v>66</v>
      </c>
      <c r="N304" s="5" t="s">
        <v>248</v>
      </c>
      <c r="O304" s="5" t="s">
        <v>69</v>
      </c>
      <c r="P304" s="5" t="s">
        <v>249</v>
      </c>
      <c r="Q304" s="5" t="s">
        <v>1816</v>
      </c>
      <c r="R304" s="5" t="s">
        <v>23</v>
      </c>
      <c r="S304" s="5"/>
      <c r="T304" s="5"/>
      <c r="U304" s="5"/>
      <c r="V304" s="5">
        <v>400.0</v>
      </c>
      <c r="W304" s="26">
        <v>2.1</v>
      </c>
      <c r="X304" s="5">
        <v>190.0</v>
      </c>
      <c r="Y304" s="27">
        <v>0.2</v>
      </c>
      <c r="Z304" s="28">
        <v>152.0</v>
      </c>
      <c r="AA304" s="27">
        <v>1.0</v>
      </c>
      <c r="AB304" s="5" t="s">
        <v>117</v>
      </c>
      <c r="AC304" s="27">
        <v>0.62</v>
      </c>
      <c r="AD304" s="5"/>
      <c r="AE304" s="5" t="s">
        <v>81</v>
      </c>
      <c r="AF304" s="5" t="s">
        <v>81</v>
      </c>
      <c r="AG304" s="5">
        <v>2.0</v>
      </c>
      <c r="AH304" s="5">
        <v>2.0</v>
      </c>
      <c r="AI304" s="5" t="s">
        <v>0</v>
      </c>
      <c r="AJ304" s="5" t="s">
        <v>0</v>
      </c>
      <c r="AK304" s="30">
        <v>1800.0</v>
      </c>
      <c r="AL304" s="28">
        <v>1783.0</v>
      </c>
      <c r="AM304" s="28">
        <v>936.0</v>
      </c>
      <c r="AN304" s="28">
        <v>1309.0</v>
      </c>
      <c r="AO304" s="28">
        <v>912.0</v>
      </c>
      <c r="AP304" s="28">
        <v>342000.0</v>
      </c>
      <c r="AQ304" s="28">
        <v>339625.84</v>
      </c>
      <c r="AR304" s="28">
        <v>173280.0</v>
      </c>
      <c r="AS304" s="28">
        <v>0.0</v>
      </c>
      <c r="AT304" s="28">
        <v>173280.0</v>
      </c>
      <c r="AU304" s="28">
        <v>273600.0</v>
      </c>
      <c r="AV304" s="28">
        <v>305770.75902547064</v>
      </c>
      <c r="AW304" s="28">
        <v>155943.41731</v>
      </c>
      <c r="AX304" s="28">
        <v>219605.5995570321</v>
      </c>
      <c r="AY304" s="28">
        <v>154441.64495</v>
      </c>
      <c r="AZ304" s="5"/>
      <c r="BA304" s="5" t="s">
        <v>125</v>
      </c>
      <c r="BB304" s="5" t="s">
        <v>127</v>
      </c>
      <c r="BD304" s="5" t="s">
        <v>248</v>
      </c>
      <c r="BE304" s="5" t="s">
        <v>946</v>
      </c>
      <c r="BF304" s="5">
        <v>0.0</v>
      </c>
      <c r="BG304" s="5" t="s">
        <v>131</v>
      </c>
    </row>
    <row r="305" ht="16.5" hidden="1" customHeight="1">
      <c r="A305" s="5" t="s">
        <v>100</v>
      </c>
      <c r="B305" s="24" t="s">
        <v>0</v>
      </c>
      <c r="C305" s="5" t="b">
        <v>0</v>
      </c>
      <c r="D305" s="5" t="s">
        <v>1828</v>
      </c>
      <c r="E305" s="5" t="s">
        <v>1829</v>
      </c>
      <c r="F305" s="5"/>
      <c r="G305" s="5" t="s">
        <v>65</v>
      </c>
      <c r="H305" s="5" t="s">
        <v>74</v>
      </c>
      <c r="I305" s="5" t="s">
        <v>106</v>
      </c>
      <c r="J305" s="25" t="s">
        <v>108</v>
      </c>
      <c r="K305" s="25"/>
      <c r="L305" s="25"/>
      <c r="M305" s="5" t="s">
        <v>66</v>
      </c>
      <c r="N305" s="5" t="s">
        <v>334</v>
      </c>
      <c r="O305" s="24" t="s">
        <v>0</v>
      </c>
      <c r="P305" s="5" t="s">
        <v>249</v>
      </c>
      <c r="Q305" s="5" t="s">
        <v>981</v>
      </c>
      <c r="R305" s="5" t="s">
        <v>110</v>
      </c>
      <c r="S305" s="5"/>
      <c r="T305" s="5"/>
      <c r="U305" s="5"/>
      <c r="V305" s="5">
        <v>0.0</v>
      </c>
      <c r="W305" s="26">
        <v>2.1</v>
      </c>
      <c r="X305" s="5">
        <v>0.0</v>
      </c>
      <c r="Y305" s="27">
        <v>0.0</v>
      </c>
      <c r="Z305" s="28">
        <v>0.0</v>
      </c>
      <c r="AA305" s="27">
        <v>0.0</v>
      </c>
      <c r="AB305" s="24" t="s">
        <v>0</v>
      </c>
      <c r="AC305" s="27"/>
      <c r="AD305" s="5"/>
      <c r="AE305" s="24" t="s">
        <v>0</v>
      </c>
      <c r="AF305" s="24" t="s">
        <v>0</v>
      </c>
      <c r="AG305" s="5"/>
      <c r="AH305" s="5">
        <v>1.0</v>
      </c>
      <c r="AI305" s="5" t="s">
        <v>0</v>
      </c>
      <c r="AJ305" s="5" t="s">
        <v>0</v>
      </c>
      <c r="AK305" s="30"/>
      <c r="AL305" s="28">
        <v>0.0</v>
      </c>
      <c r="AM305" s="28">
        <v>0.0</v>
      </c>
      <c r="AN305" s="28">
        <v>0.0</v>
      </c>
      <c r="AO305" s="28">
        <v>0.0</v>
      </c>
      <c r="AP305" s="28">
        <v>0.0</v>
      </c>
      <c r="AQ305" s="28">
        <v>0.0</v>
      </c>
      <c r="AR305" s="28">
        <v>0.0</v>
      </c>
      <c r="AS305" s="28">
        <v>0.0</v>
      </c>
      <c r="AT305" s="28">
        <v>0.0</v>
      </c>
      <c r="AU305" s="28">
        <v>0.0</v>
      </c>
      <c r="AV305" s="28">
        <v>0.0</v>
      </c>
      <c r="AW305" s="28">
        <v>0.0</v>
      </c>
      <c r="AX305" s="28">
        <v>0.0</v>
      </c>
      <c r="AY305" s="28">
        <v>0.0</v>
      </c>
      <c r="AZ305" s="5" t="s">
        <v>124</v>
      </c>
      <c r="BA305" s="5" t="s">
        <v>125</v>
      </c>
      <c r="BB305" s="5" t="s">
        <v>127</v>
      </c>
      <c r="BD305" s="5" t="s">
        <v>334</v>
      </c>
      <c r="BE305" s="5" t="s">
        <v>457</v>
      </c>
      <c r="BF305" s="5" t="s">
        <v>338</v>
      </c>
      <c r="BG305" s="5" t="s">
        <v>131</v>
      </c>
      <c r="BH305" s="5" t="s">
        <v>868</v>
      </c>
    </row>
    <row r="306" ht="16.5" hidden="1" customHeight="1">
      <c r="A306" s="5" t="s">
        <v>100</v>
      </c>
      <c r="B306" s="24" t="s">
        <v>0</v>
      </c>
      <c r="C306" s="5" t="b">
        <v>0</v>
      </c>
      <c r="D306" s="5" t="s">
        <v>1833</v>
      </c>
      <c r="E306" s="5" t="s">
        <v>1834</v>
      </c>
      <c r="F306" s="5"/>
      <c r="G306" s="5" t="s">
        <v>65</v>
      </c>
      <c r="H306" s="5" t="s">
        <v>74</v>
      </c>
      <c r="I306" s="5" t="s">
        <v>106</v>
      </c>
      <c r="J306" s="25" t="s">
        <v>108</v>
      </c>
      <c r="K306" s="25"/>
      <c r="L306" s="25"/>
      <c r="M306" s="5" t="s">
        <v>66</v>
      </c>
      <c r="N306" s="5" t="s">
        <v>248</v>
      </c>
      <c r="O306" s="24" t="s">
        <v>0</v>
      </c>
      <c r="P306" s="5" t="s">
        <v>249</v>
      </c>
      <c r="Q306" s="24" t="s">
        <v>0</v>
      </c>
      <c r="R306" s="5" t="s">
        <v>1836</v>
      </c>
      <c r="S306" s="5"/>
      <c r="T306" s="5"/>
      <c r="U306" s="5"/>
      <c r="V306" s="5">
        <v>0.0</v>
      </c>
      <c r="W306" s="26">
        <v>2.1</v>
      </c>
      <c r="X306" s="5">
        <v>0.0</v>
      </c>
      <c r="Y306" s="27">
        <v>0.0</v>
      </c>
      <c r="Z306" s="28">
        <v>0.0</v>
      </c>
      <c r="AA306" s="27">
        <v>0.0</v>
      </c>
      <c r="AB306" s="24" t="s">
        <v>0</v>
      </c>
      <c r="AC306" s="27"/>
      <c r="AD306" s="5"/>
      <c r="AE306" s="24" t="s">
        <v>0</v>
      </c>
      <c r="AF306" s="24" t="s">
        <v>0</v>
      </c>
      <c r="AG306" s="5"/>
      <c r="AH306" s="5">
        <v>1.0</v>
      </c>
      <c r="AI306" s="5" t="s">
        <v>0</v>
      </c>
      <c r="AJ306" s="5" t="s">
        <v>0</v>
      </c>
      <c r="AK306" s="30"/>
      <c r="AL306" s="28">
        <v>0.0</v>
      </c>
      <c r="AM306" s="28">
        <v>0.0</v>
      </c>
      <c r="AN306" s="28">
        <v>0.0</v>
      </c>
      <c r="AO306" s="28">
        <v>0.0</v>
      </c>
      <c r="AP306" s="28">
        <v>0.0</v>
      </c>
      <c r="AQ306" s="28">
        <v>0.0</v>
      </c>
      <c r="AR306" s="28">
        <v>0.0</v>
      </c>
      <c r="AS306" s="28">
        <v>0.0</v>
      </c>
      <c r="AT306" s="28">
        <v>0.0</v>
      </c>
      <c r="AU306" s="28">
        <v>0.0</v>
      </c>
      <c r="AV306" s="28">
        <v>0.0</v>
      </c>
      <c r="AW306" s="28">
        <v>0.0</v>
      </c>
      <c r="AX306" s="28">
        <v>0.0</v>
      </c>
      <c r="AY306" s="28">
        <v>0.0</v>
      </c>
      <c r="AZ306" s="5" t="s">
        <v>124</v>
      </c>
      <c r="BA306" s="5" t="s">
        <v>125</v>
      </c>
      <c r="BB306" s="5" t="s">
        <v>127</v>
      </c>
      <c r="BD306" s="5" t="s">
        <v>248</v>
      </c>
      <c r="BE306" s="5" t="s">
        <v>253</v>
      </c>
      <c r="BF306" s="5" t="s">
        <v>254</v>
      </c>
      <c r="BG306" s="5" t="s">
        <v>131</v>
      </c>
      <c r="BH306" s="5" t="s">
        <v>1839</v>
      </c>
    </row>
    <row r="307" ht="16.5" hidden="1" customHeight="1">
      <c r="A307" s="5" t="s">
        <v>100</v>
      </c>
      <c r="B307" s="24" t="s">
        <v>0</v>
      </c>
      <c r="C307" s="5" t="b">
        <v>0</v>
      </c>
      <c r="D307" s="5" t="s">
        <v>1840</v>
      </c>
      <c r="E307" s="5" t="s">
        <v>1841</v>
      </c>
      <c r="F307" s="5"/>
      <c r="G307" s="5" t="s">
        <v>65</v>
      </c>
      <c r="H307" s="5" t="s">
        <v>74</v>
      </c>
      <c r="I307" s="5" t="s">
        <v>106</v>
      </c>
      <c r="J307" s="25" t="s">
        <v>108</v>
      </c>
      <c r="K307" s="25"/>
      <c r="L307" s="25"/>
      <c r="M307" s="5" t="s">
        <v>66</v>
      </c>
      <c r="N307" s="5" t="s">
        <v>113</v>
      </c>
      <c r="O307" s="24" t="s">
        <v>0</v>
      </c>
      <c r="P307" s="5" t="s">
        <v>249</v>
      </c>
      <c r="Q307" s="5" t="s">
        <v>180</v>
      </c>
      <c r="R307" s="5" t="s">
        <v>181</v>
      </c>
      <c r="S307" s="5"/>
      <c r="T307" s="5"/>
      <c r="U307" s="5"/>
      <c r="V307" s="5">
        <v>0.0</v>
      </c>
      <c r="W307" s="26">
        <v>2.1</v>
      </c>
      <c r="X307" s="5">
        <v>0.0</v>
      </c>
      <c r="Y307" s="27">
        <v>0.0</v>
      </c>
      <c r="Z307" s="28">
        <v>0.0</v>
      </c>
      <c r="AA307" s="27">
        <v>0.0</v>
      </c>
      <c r="AB307" s="24" t="s">
        <v>0</v>
      </c>
      <c r="AC307" s="27"/>
      <c r="AD307" s="26"/>
      <c r="AE307" s="24" t="s">
        <v>0</v>
      </c>
      <c r="AF307" s="24" t="s">
        <v>0</v>
      </c>
      <c r="AG307" s="5"/>
      <c r="AH307" s="5">
        <v>1.0</v>
      </c>
      <c r="AI307" s="5" t="s">
        <v>0</v>
      </c>
      <c r="AJ307" s="5" t="s">
        <v>0</v>
      </c>
      <c r="AK307" s="30"/>
      <c r="AL307" s="28">
        <v>0.0</v>
      </c>
      <c r="AM307" s="28">
        <v>0.0</v>
      </c>
      <c r="AN307" s="28">
        <v>0.0</v>
      </c>
      <c r="AO307" s="28">
        <v>0.0</v>
      </c>
      <c r="AP307" s="28">
        <v>0.0</v>
      </c>
      <c r="AQ307" s="28">
        <v>0.0</v>
      </c>
      <c r="AR307" s="28">
        <v>0.0</v>
      </c>
      <c r="AS307" s="28">
        <v>0.0</v>
      </c>
      <c r="AT307" s="28">
        <v>0.0</v>
      </c>
      <c r="AU307" s="28">
        <v>0.0</v>
      </c>
      <c r="AV307" s="28">
        <v>0.0</v>
      </c>
      <c r="AW307" s="28">
        <v>0.0</v>
      </c>
      <c r="AX307" s="28">
        <v>0.0</v>
      </c>
      <c r="AY307" s="28">
        <v>0.0</v>
      </c>
      <c r="AZ307" s="5" t="s">
        <v>124</v>
      </c>
      <c r="BA307" s="5" t="s">
        <v>125</v>
      </c>
      <c r="BB307" s="5" t="s">
        <v>127</v>
      </c>
      <c r="BD307" s="5" t="s">
        <v>126</v>
      </c>
      <c r="BE307" s="5" t="s">
        <v>128</v>
      </c>
      <c r="BF307" s="5" t="s">
        <v>130</v>
      </c>
      <c r="BG307" s="5" t="s">
        <v>131</v>
      </c>
      <c r="BH307" s="5" t="s">
        <v>868</v>
      </c>
    </row>
    <row r="308" ht="16.5" hidden="1" customHeight="1">
      <c r="A308" s="5" t="s">
        <v>100</v>
      </c>
      <c r="B308" s="5" t="s">
        <v>137</v>
      </c>
      <c r="C308" s="5" t="b">
        <v>1</v>
      </c>
      <c r="D308" s="5" t="s">
        <v>1753</v>
      </c>
      <c r="E308" s="5" t="s">
        <v>1845</v>
      </c>
      <c r="F308" s="5"/>
      <c r="G308" s="5" t="s">
        <v>65</v>
      </c>
      <c r="H308" s="5" t="s">
        <v>76</v>
      </c>
      <c r="I308" s="5" t="s">
        <v>82</v>
      </c>
      <c r="J308" s="25"/>
      <c r="K308" s="25"/>
      <c r="L308" s="25"/>
      <c r="M308" s="5" t="s">
        <v>247</v>
      </c>
      <c r="N308" s="5" t="s">
        <v>334</v>
      </c>
      <c r="O308" s="5" t="s">
        <v>69</v>
      </c>
      <c r="P308" s="5" t="s">
        <v>70</v>
      </c>
      <c r="Q308" s="5" t="s">
        <v>746</v>
      </c>
      <c r="R308" s="5" t="s">
        <v>110</v>
      </c>
      <c r="S308" s="5"/>
      <c r="T308" s="5"/>
      <c r="U308" s="5"/>
      <c r="V308" s="5">
        <v>1200.0</v>
      </c>
      <c r="W308" s="26">
        <v>2.1</v>
      </c>
      <c r="X308" s="5">
        <v>571.0</v>
      </c>
      <c r="Y308" s="27">
        <v>0.2</v>
      </c>
      <c r="Z308" s="28">
        <v>456.8</v>
      </c>
      <c r="AA308" s="27">
        <v>1.0</v>
      </c>
      <c r="AB308" s="5" t="s">
        <v>242</v>
      </c>
      <c r="AC308" s="27">
        <v>0.56</v>
      </c>
      <c r="AD308" s="5"/>
      <c r="AE308" s="5" t="s">
        <v>81</v>
      </c>
      <c r="AF308" s="5" t="s">
        <v>81</v>
      </c>
      <c r="AG308" s="5">
        <v>3.0</v>
      </c>
      <c r="AH308" s="5">
        <v>3.0</v>
      </c>
      <c r="AI308" s="5" t="s">
        <v>1444</v>
      </c>
      <c r="AJ308" s="5" t="s">
        <v>0</v>
      </c>
      <c r="AK308" s="30">
        <v>1800.0</v>
      </c>
      <c r="AL308" s="28">
        <v>0.0</v>
      </c>
      <c r="AM308" s="28">
        <v>0.0</v>
      </c>
      <c r="AN308" s="28">
        <v>1761.0</v>
      </c>
      <c r="AO308" s="28">
        <v>0.0</v>
      </c>
      <c r="AP308" s="28">
        <v>1027800.0</v>
      </c>
      <c r="AQ308" s="28">
        <v>0.0</v>
      </c>
      <c r="AR308" s="28">
        <v>0.0</v>
      </c>
      <c r="AS308" s="28">
        <v>0.0</v>
      </c>
      <c r="AT308" s="28">
        <v>0.0</v>
      </c>
      <c r="AU308" s="28">
        <v>822240.0</v>
      </c>
      <c r="AV308" s="28">
        <v>0.0</v>
      </c>
      <c r="AW308" s="28">
        <v>0.0</v>
      </c>
      <c r="AX308" s="28">
        <v>631368.4261351053</v>
      </c>
      <c r="AY308" s="28">
        <v>0.0</v>
      </c>
      <c r="AZ308" s="5"/>
      <c r="BA308" s="5" t="s">
        <v>125</v>
      </c>
      <c r="BB308" s="5" t="s">
        <v>127</v>
      </c>
      <c r="BC308" s="5" t="s">
        <v>237</v>
      </c>
      <c r="BD308" s="5" t="s">
        <v>334</v>
      </c>
      <c r="BE308" s="5" t="s">
        <v>751</v>
      </c>
      <c r="BF308" s="5" t="s">
        <v>338</v>
      </c>
      <c r="BG308" s="5" t="s">
        <v>131</v>
      </c>
    </row>
    <row r="309" ht="16.5" hidden="1" customHeight="1">
      <c r="A309" s="5" t="s">
        <v>100</v>
      </c>
      <c r="B309" s="5" t="s">
        <v>137</v>
      </c>
      <c r="C309" s="5" t="b">
        <v>1</v>
      </c>
      <c r="D309" s="5" t="s">
        <v>1755</v>
      </c>
      <c r="E309" s="5" t="s">
        <v>1846</v>
      </c>
      <c r="F309" s="5"/>
      <c r="G309" s="5" t="s">
        <v>65</v>
      </c>
      <c r="H309" s="5" t="s">
        <v>76</v>
      </c>
      <c r="I309" s="5" t="s">
        <v>82</v>
      </c>
      <c r="J309" s="25"/>
      <c r="K309" s="25"/>
      <c r="L309" s="25"/>
      <c r="M309" s="5" t="s">
        <v>247</v>
      </c>
      <c r="N309" s="5" t="s">
        <v>334</v>
      </c>
      <c r="O309" s="5" t="s">
        <v>69</v>
      </c>
      <c r="P309" s="5" t="s">
        <v>107</v>
      </c>
      <c r="Q309" s="5" t="s">
        <v>746</v>
      </c>
      <c r="R309" s="5" t="s">
        <v>110</v>
      </c>
      <c r="S309" s="5"/>
      <c r="T309" s="5"/>
      <c r="U309" s="5"/>
      <c r="V309" s="5">
        <v>1200.0</v>
      </c>
      <c r="W309" s="26">
        <v>2.1</v>
      </c>
      <c r="X309" s="5">
        <v>571.0</v>
      </c>
      <c r="Y309" s="27">
        <v>0.2</v>
      </c>
      <c r="Z309" s="28">
        <v>456.8</v>
      </c>
      <c r="AA309" s="27">
        <v>1.0</v>
      </c>
      <c r="AB309" s="5" t="s">
        <v>242</v>
      </c>
      <c r="AC309" s="27">
        <v>0.58</v>
      </c>
      <c r="AD309" s="5"/>
      <c r="AE309" s="5" t="s">
        <v>81</v>
      </c>
      <c r="AF309" s="5" t="s">
        <v>81</v>
      </c>
      <c r="AG309" s="5">
        <v>3.0</v>
      </c>
      <c r="AH309" s="5">
        <v>3.0</v>
      </c>
      <c r="AI309" s="5" t="s">
        <v>1444</v>
      </c>
      <c r="AJ309" s="5" t="s">
        <v>0</v>
      </c>
      <c r="AK309" s="30">
        <v>1400.0</v>
      </c>
      <c r="AL309" s="28">
        <v>0.0</v>
      </c>
      <c r="AM309" s="28">
        <v>0.0</v>
      </c>
      <c r="AN309" s="28">
        <v>1434.0</v>
      </c>
      <c r="AO309" s="28">
        <v>0.0</v>
      </c>
      <c r="AP309" s="28">
        <v>799400.0</v>
      </c>
      <c r="AQ309" s="28">
        <v>0.0</v>
      </c>
      <c r="AR309" s="28">
        <v>0.0</v>
      </c>
      <c r="AS309" s="28">
        <v>0.0</v>
      </c>
      <c r="AT309" s="28">
        <v>0.0</v>
      </c>
      <c r="AU309" s="28">
        <v>639520.0</v>
      </c>
      <c r="AV309" s="28">
        <v>0.0</v>
      </c>
      <c r="AW309" s="28">
        <v>0.0</v>
      </c>
      <c r="AX309" s="28">
        <v>551588.5479512735</v>
      </c>
      <c r="AY309" s="28">
        <v>0.0</v>
      </c>
      <c r="AZ309" s="5"/>
      <c r="BA309" s="5" t="s">
        <v>125</v>
      </c>
      <c r="BB309" s="5" t="s">
        <v>127</v>
      </c>
      <c r="BC309" s="5" t="s">
        <v>237</v>
      </c>
      <c r="BD309" s="5" t="s">
        <v>334</v>
      </c>
      <c r="BE309" s="5" t="s">
        <v>751</v>
      </c>
      <c r="BF309" s="5" t="s">
        <v>338</v>
      </c>
      <c r="BG309" s="5" t="s">
        <v>131</v>
      </c>
    </row>
    <row r="310" ht="16.5" hidden="1" customHeight="1">
      <c r="A310" s="5" t="s">
        <v>100</v>
      </c>
      <c r="B310" s="24" t="s">
        <v>0</v>
      </c>
      <c r="C310" s="5" t="b">
        <v>0</v>
      </c>
      <c r="D310" s="5" t="s">
        <v>698</v>
      </c>
      <c r="E310" s="5" t="s">
        <v>699</v>
      </c>
      <c r="F310" s="5"/>
      <c r="G310" s="5" t="s">
        <v>65</v>
      </c>
      <c r="H310" s="5" t="s">
        <v>76</v>
      </c>
      <c r="I310" s="5" t="s">
        <v>106</v>
      </c>
      <c r="J310" s="25" t="s">
        <v>108</v>
      </c>
      <c r="K310" s="25"/>
      <c r="L310" s="25"/>
      <c r="M310" s="5" t="s">
        <v>109</v>
      </c>
      <c r="N310" s="5" t="s">
        <v>334</v>
      </c>
      <c r="O310" s="5" t="s">
        <v>96</v>
      </c>
      <c r="P310" s="5" t="s">
        <v>70</v>
      </c>
      <c r="Q310" s="5" t="s">
        <v>282</v>
      </c>
      <c r="R310" s="5" t="s">
        <v>110</v>
      </c>
      <c r="S310" s="5"/>
      <c r="T310" s="5"/>
      <c r="U310" s="5"/>
      <c r="V310" s="5">
        <v>0.0</v>
      </c>
      <c r="W310" s="26">
        <v>2.1</v>
      </c>
      <c r="X310" s="5">
        <v>0.0</v>
      </c>
      <c r="Y310" s="27">
        <v>0.0</v>
      </c>
      <c r="Z310" s="28">
        <v>0.0</v>
      </c>
      <c r="AA310" s="27">
        <v>0.0</v>
      </c>
      <c r="AB310" s="5" t="s">
        <v>0</v>
      </c>
      <c r="AC310" s="27"/>
      <c r="AD310" s="5"/>
      <c r="AE310" s="5" t="s">
        <v>81</v>
      </c>
      <c r="AF310" s="5" t="s">
        <v>0</v>
      </c>
      <c r="AG310" s="5"/>
      <c r="AH310" s="5">
        <v>1.0</v>
      </c>
      <c r="AI310" s="5" t="s">
        <v>0</v>
      </c>
      <c r="AJ310" s="5" t="s">
        <v>116</v>
      </c>
      <c r="AK310" s="30"/>
      <c r="AL310" s="28">
        <v>0.0</v>
      </c>
      <c r="AM310" s="28">
        <v>0.0</v>
      </c>
      <c r="AN310" s="28">
        <v>0.0</v>
      </c>
      <c r="AO310" s="28">
        <v>0.0</v>
      </c>
      <c r="AP310" s="28">
        <v>0.0</v>
      </c>
      <c r="AQ310" s="28">
        <v>0.0</v>
      </c>
      <c r="AR310" s="28">
        <v>0.0</v>
      </c>
      <c r="AS310" s="28">
        <v>0.0</v>
      </c>
      <c r="AT310" s="28">
        <v>0.0</v>
      </c>
      <c r="AU310" s="28">
        <v>0.0</v>
      </c>
      <c r="AV310" s="28">
        <v>0.0</v>
      </c>
      <c r="AW310" s="28">
        <v>0.0</v>
      </c>
      <c r="AX310" s="28">
        <v>0.0</v>
      </c>
      <c r="AY310" s="28">
        <v>0.0</v>
      </c>
      <c r="AZ310" s="5" t="s">
        <v>124</v>
      </c>
      <c r="BA310" s="5" t="s">
        <v>125</v>
      </c>
      <c r="BB310" s="5" t="s">
        <v>127</v>
      </c>
      <c r="BD310" s="5" t="s">
        <v>334</v>
      </c>
      <c r="BE310" s="5" t="s">
        <v>161</v>
      </c>
      <c r="BF310" s="5" t="s">
        <v>338</v>
      </c>
      <c r="BG310" s="5" t="s">
        <v>131</v>
      </c>
    </row>
    <row r="311" ht="16.5" hidden="1" customHeight="1">
      <c r="A311" s="5" t="s">
        <v>100</v>
      </c>
      <c r="B311" s="5" t="s">
        <v>137</v>
      </c>
      <c r="C311" s="5" t="b">
        <v>1</v>
      </c>
      <c r="D311" s="5" t="s">
        <v>947</v>
      </c>
      <c r="E311" s="5" t="s">
        <v>948</v>
      </c>
      <c r="F311" s="5"/>
      <c r="G311" s="5" t="s">
        <v>65</v>
      </c>
      <c r="H311" s="5" t="s">
        <v>76</v>
      </c>
      <c r="I311" s="5" t="s">
        <v>82</v>
      </c>
      <c r="J311" s="25"/>
      <c r="K311" s="25"/>
      <c r="L311" s="25"/>
      <c r="M311" s="5" t="s">
        <v>66</v>
      </c>
      <c r="N311" s="5" t="s">
        <v>270</v>
      </c>
      <c r="O311" s="5" t="s">
        <v>69</v>
      </c>
      <c r="P311" s="5" t="s">
        <v>70</v>
      </c>
      <c r="Q311" s="5" t="s">
        <v>502</v>
      </c>
      <c r="R311" s="5" t="s">
        <v>110</v>
      </c>
      <c r="S311" s="5"/>
      <c r="T311" s="5"/>
      <c r="U311" s="5"/>
      <c r="V311" s="5">
        <v>1700.0</v>
      </c>
      <c r="W311" s="26">
        <v>2.1</v>
      </c>
      <c r="X311" s="5">
        <v>810.0</v>
      </c>
      <c r="Y311" s="27">
        <v>0.2</v>
      </c>
      <c r="Z311" s="28">
        <v>648.0</v>
      </c>
      <c r="AA311" s="27">
        <v>1.0</v>
      </c>
      <c r="AB311" s="5" t="s">
        <v>117</v>
      </c>
      <c r="AC311" s="27">
        <v>0.6</v>
      </c>
      <c r="AD311" s="5"/>
      <c r="AE311" s="5" t="s">
        <v>81</v>
      </c>
      <c r="AF311" s="5" t="s">
        <v>81</v>
      </c>
      <c r="AG311" s="5">
        <v>3.0</v>
      </c>
      <c r="AH311" s="5">
        <v>3.0</v>
      </c>
      <c r="AI311" s="5" t="s">
        <v>1849</v>
      </c>
      <c r="AJ311" s="5" t="s">
        <v>0</v>
      </c>
      <c r="AK311" s="30">
        <v>2000.0</v>
      </c>
      <c r="AL311" s="28">
        <v>1831.0</v>
      </c>
      <c r="AM311" s="28">
        <v>3327.0</v>
      </c>
      <c r="AN311" s="28">
        <v>2671.0</v>
      </c>
      <c r="AO311" s="28">
        <v>1559.0</v>
      </c>
      <c r="AP311" s="28">
        <v>1620000.0</v>
      </c>
      <c r="AQ311" s="28">
        <v>1482231.12</v>
      </c>
      <c r="AR311" s="28">
        <v>1262790.0</v>
      </c>
      <c r="AS311" s="28">
        <v>0.0</v>
      </c>
      <c r="AT311" s="28">
        <v>1262790.0</v>
      </c>
      <c r="AU311" s="28">
        <v>1296000.0</v>
      </c>
      <c r="AV311" s="28">
        <v>1228473.5373200444</v>
      </c>
      <c r="AW311" s="28">
        <v>1827125.7001219997</v>
      </c>
      <c r="AX311" s="28">
        <v>1446869.892857143</v>
      </c>
      <c r="AY311" s="28">
        <v>1040043.95624</v>
      </c>
      <c r="AZ311" s="5"/>
      <c r="BA311" s="5" t="s">
        <v>125</v>
      </c>
      <c r="BB311" s="5" t="s">
        <v>174</v>
      </c>
      <c r="BC311" s="5" t="s">
        <v>237</v>
      </c>
      <c r="BD311" s="5" t="s">
        <v>276</v>
      </c>
      <c r="BE311" s="5" t="s">
        <v>161</v>
      </c>
      <c r="BF311" s="5" t="s">
        <v>277</v>
      </c>
      <c r="BG311" s="5" t="s">
        <v>131</v>
      </c>
    </row>
    <row r="312" ht="16.5" hidden="1" customHeight="1">
      <c r="A312" s="5" t="s">
        <v>100</v>
      </c>
      <c r="B312" s="35" t="s">
        <v>137</v>
      </c>
      <c r="C312" s="35" t="b">
        <v>1</v>
      </c>
      <c r="D312" s="35" t="s">
        <v>1466</v>
      </c>
      <c r="E312" s="35" t="s">
        <v>1467</v>
      </c>
      <c r="F312" s="35"/>
      <c r="G312" s="35" t="s">
        <v>65</v>
      </c>
      <c r="H312" s="35" t="s">
        <v>74</v>
      </c>
      <c r="I312" s="35" t="s">
        <v>82</v>
      </c>
      <c r="J312" s="36" t="s">
        <v>150</v>
      </c>
      <c r="K312" s="25"/>
      <c r="L312" s="25"/>
      <c r="M312" s="5" t="s">
        <v>66</v>
      </c>
      <c r="N312" s="5" t="s">
        <v>270</v>
      </c>
      <c r="O312" s="5" t="s">
        <v>96</v>
      </c>
      <c r="P312" s="5" t="s">
        <v>70</v>
      </c>
      <c r="Q312" s="5" t="s">
        <v>502</v>
      </c>
      <c r="R312" s="5" t="s">
        <v>110</v>
      </c>
      <c r="S312" s="5"/>
      <c r="T312" s="5"/>
      <c r="U312" s="5"/>
      <c r="V312" s="5">
        <v>1700.0</v>
      </c>
      <c r="W312" s="26">
        <v>2.1</v>
      </c>
      <c r="X312" s="5">
        <v>810.0</v>
      </c>
      <c r="Y312" s="27">
        <v>0.2</v>
      </c>
      <c r="Z312" s="28">
        <v>648.0</v>
      </c>
      <c r="AA312" s="27">
        <v>1.0</v>
      </c>
      <c r="AB312" s="5" t="s">
        <v>117</v>
      </c>
      <c r="AC312" s="27"/>
      <c r="AD312" s="5"/>
      <c r="AE312" s="5" t="s">
        <v>81</v>
      </c>
      <c r="AF312" s="5" t="s">
        <v>81</v>
      </c>
      <c r="AG312" s="5"/>
      <c r="AH312" s="5">
        <v>0.0</v>
      </c>
      <c r="AI312" s="5" t="s">
        <v>0</v>
      </c>
      <c r="AJ312" s="5" t="s">
        <v>471</v>
      </c>
      <c r="AK312" s="30">
        <v>0.0</v>
      </c>
      <c r="AL312" s="28">
        <v>0.0</v>
      </c>
      <c r="AM312" s="28">
        <v>0.0</v>
      </c>
      <c r="AN312" s="28">
        <v>0.0</v>
      </c>
      <c r="AO312" s="28">
        <v>0.0</v>
      </c>
      <c r="AP312" s="28">
        <v>0.0</v>
      </c>
      <c r="AQ312" s="28">
        <v>0.0</v>
      </c>
      <c r="AR312" s="28">
        <v>0.0</v>
      </c>
      <c r="AS312" s="28">
        <v>0.0</v>
      </c>
      <c r="AT312" s="28">
        <v>0.0</v>
      </c>
      <c r="AU312" s="28">
        <v>0.0</v>
      </c>
      <c r="AV312" s="28">
        <v>0.0</v>
      </c>
      <c r="AW312" s="28">
        <v>0.0</v>
      </c>
      <c r="AX312" s="28">
        <v>0.0</v>
      </c>
      <c r="AY312" s="28">
        <v>0.0</v>
      </c>
      <c r="AZ312" s="5" t="s">
        <v>124</v>
      </c>
      <c r="BA312" s="5" t="s">
        <v>125</v>
      </c>
      <c r="BB312" s="5" t="s">
        <v>174</v>
      </c>
      <c r="BC312" s="5" t="s">
        <v>237</v>
      </c>
      <c r="BD312" s="5" t="s">
        <v>276</v>
      </c>
      <c r="BE312" s="5" t="s">
        <v>161</v>
      </c>
      <c r="BF312" s="5" t="s">
        <v>277</v>
      </c>
      <c r="BG312" s="5" t="s">
        <v>131</v>
      </c>
    </row>
    <row r="313" ht="16.5" hidden="1" customHeight="1">
      <c r="A313" s="5" t="s">
        <v>100</v>
      </c>
      <c r="B313" s="5" t="s">
        <v>137</v>
      </c>
      <c r="C313" s="5" t="b">
        <v>1</v>
      </c>
      <c r="D313" s="5" t="s">
        <v>952</v>
      </c>
      <c r="E313" s="5" t="s">
        <v>953</v>
      </c>
      <c r="F313" s="5"/>
      <c r="G313" s="5" t="s">
        <v>65</v>
      </c>
      <c r="H313" s="5" t="s">
        <v>76</v>
      </c>
      <c r="I313" s="5" t="s">
        <v>82</v>
      </c>
      <c r="J313" s="25"/>
      <c r="K313" s="25"/>
      <c r="L313" s="25"/>
      <c r="M313" s="5" t="s">
        <v>66</v>
      </c>
      <c r="N313" s="5" t="s">
        <v>270</v>
      </c>
      <c r="O313" s="5" t="s">
        <v>69</v>
      </c>
      <c r="P313" s="5" t="s">
        <v>107</v>
      </c>
      <c r="Q313" s="5" t="s">
        <v>502</v>
      </c>
      <c r="R313" s="5" t="s">
        <v>110</v>
      </c>
      <c r="S313" s="5"/>
      <c r="T313" s="5"/>
      <c r="U313" s="5"/>
      <c r="V313" s="5">
        <v>1700.0</v>
      </c>
      <c r="W313" s="26">
        <v>2.1</v>
      </c>
      <c r="X313" s="5">
        <v>810.0</v>
      </c>
      <c r="Y313" s="27">
        <v>0.2</v>
      </c>
      <c r="Z313" s="28">
        <v>648.0</v>
      </c>
      <c r="AA313" s="27">
        <v>1.0</v>
      </c>
      <c r="AB313" s="5" t="s">
        <v>117</v>
      </c>
      <c r="AC313" s="27">
        <v>0.63</v>
      </c>
      <c r="AD313" s="5"/>
      <c r="AE313" s="5" t="s">
        <v>81</v>
      </c>
      <c r="AF313" s="5" t="s">
        <v>81</v>
      </c>
      <c r="AG313" s="5">
        <v>3.0</v>
      </c>
      <c r="AH313" s="5">
        <v>3.0</v>
      </c>
      <c r="AI313" s="5" t="s">
        <v>1851</v>
      </c>
      <c r="AJ313" s="5" t="s">
        <v>0</v>
      </c>
      <c r="AK313" s="30">
        <v>1800.0</v>
      </c>
      <c r="AL313" s="28">
        <v>1796.0</v>
      </c>
      <c r="AM313" s="28">
        <v>2420.0</v>
      </c>
      <c r="AN313" s="28">
        <v>2038.0</v>
      </c>
      <c r="AO313" s="28">
        <v>1395.0</v>
      </c>
      <c r="AP313" s="28">
        <v>1458000.0</v>
      </c>
      <c r="AQ313" s="28">
        <v>1453897.92</v>
      </c>
      <c r="AR313" s="28">
        <v>1129950.0</v>
      </c>
      <c r="AS313" s="28">
        <v>0.0</v>
      </c>
      <c r="AT313" s="28">
        <v>1129950.0</v>
      </c>
      <c r="AU313" s="28">
        <v>1166400.0</v>
      </c>
      <c r="AV313" s="28">
        <v>1201326.3060354374</v>
      </c>
      <c r="AW313" s="28">
        <v>1481179.5658999998</v>
      </c>
      <c r="AX313" s="28">
        <v>1209785.9150055372</v>
      </c>
      <c r="AY313" s="28">
        <v>962277.0553200002</v>
      </c>
      <c r="AZ313" s="5"/>
      <c r="BA313" s="5" t="s">
        <v>125</v>
      </c>
      <c r="BB313" s="5" t="s">
        <v>174</v>
      </c>
      <c r="BC313" s="5" t="s">
        <v>237</v>
      </c>
      <c r="BD313" s="5" t="s">
        <v>276</v>
      </c>
      <c r="BE313" s="5" t="s">
        <v>161</v>
      </c>
      <c r="BF313" s="5" t="s">
        <v>277</v>
      </c>
      <c r="BG313" s="5" t="s">
        <v>131</v>
      </c>
    </row>
    <row r="314" ht="16.5" hidden="1" customHeight="1">
      <c r="A314" s="5" t="s">
        <v>100</v>
      </c>
      <c r="B314" s="35" t="s">
        <v>137</v>
      </c>
      <c r="C314" s="35" t="b">
        <v>1</v>
      </c>
      <c r="D314" s="35" t="s">
        <v>1469</v>
      </c>
      <c r="E314" s="35" t="s">
        <v>1470</v>
      </c>
      <c r="F314" s="35"/>
      <c r="G314" s="35" t="s">
        <v>65</v>
      </c>
      <c r="H314" s="35" t="s">
        <v>74</v>
      </c>
      <c r="I314" s="35" t="s">
        <v>82</v>
      </c>
      <c r="J314" s="36" t="s">
        <v>150</v>
      </c>
      <c r="K314" s="25"/>
      <c r="L314" s="25"/>
      <c r="M314" s="5" t="s">
        <v>66</v>
      </c>
      <c r="N314" s="5" t="s">
        <v>270</v>
      </c>
      <c r="O314" s="5" t="s">
        <v>96</v>
      </c>
      <c r="P314" s="5" t="s">
        <v>107</v>
      </c>
      <c r="Q314" s="5" t="s">
        <v>502</v>
      </c>
      <c r="R314" s="5" t="s">
        <v>110</v>
      </c>
      <c r="S314" s="5"/>
      <c r="T314" s="5"/>
      <c r="U314" s="5"/>
      <c r="V314" s="5">
        <v>1700.0</v>
      </c>
      <c r="W314" s="26">
        <v>2.1</v>
      </c>
      <c r="X314" s="5">
        <v>810.0</v>
      </c>
      <c r="Y314" s="27">
        <v>0.2</v>
      </c>
      <c r="Z314" s="28">
        <v>648.0</v>
      </c>
      <c r="AA314" s="27">
        <v>1.0</v>
      </c>
      <c r="AB314" s="5" t="s">
        <v>117</v>
      </c>
      <c r="AC314" s="27"/>
      <c r="AD314" s="5"/>
      <c r="AE314" s="5" t="s">
        <v>81</v>
      </c>
      <c r="AF314" s="5" t="s">
        <v>81</v>
      </c>
      <c r="AG314" s="5"/>
      <c r="AH314" s="5">
        <v>0.0</v>
      </c>
      <c r="AI314" s="5" t="s">
        <v>0</v>
      </c>
      <c r="AJ314" s="5" t="s">
        <v>471</v>
      </c>
      <c r="AK314" s="30">
        <v>0.0</v>
      </c>
      <c r="AL314" s="28">
        <v>0.0</v>
      </c>
      <c r="AM314" s="28">
        <v>0.0</v>
      </c>
      <c r="AN314" s="28">
        <v>0.0</v>
      </c>
      <c r="AO314" s="28">
        <v>0.0</v>
      </c>
      <c r="AP314" s="28">
        <v>0.0</v>
      </c>
      <c r="AQ314" s="28">
        <v>0.0</v>
      </c>
      <c r="AR314" s="28">
        <v>0.0</v>
      </c>
      <c r="AS314" s="28">
        <v>0.0</v>
      </c>
      <c r="AT314" s="28">
        <v>0.0</v>
      </c>
      <c r="AU314" s="28">
        <v>0.0</v>
      </c>
      <c r="AV314" s="28">
        <v>0.0</v>
      </c>
      <c r="AW314" s="28">
        <v>0.0</v>
      </c>
      <c r="AX314" s="28">
        <v>0.0</v>
      </c>
      <c r="AY314" s="28">
        <v>0.0</v>
      </c>
      <c r="AZ314" s="5" t="s">
        <v>124</v>
      </c>
      <c r="BA314" s="5" t="s">
        <v>125</v>
      </c>
      <c r="BB314" s="5" t="s">
        <v>174</v>
      </c>
      <c r="BC314" s="5" t="s">
        <v>237</v>
      </c>
      <c r="BD314" s="5" t="s">
        <v>276</v>
      </c>
      <c r="BE314" s="5" t="s">
        <v>161</v>
      </c>
      <c r="BF314" s="5" t="s">
        <v>277</v>
      </c>
      <c r="BG314" s="5" t="s">
        <v>131</v>
      </c>
    </row>
    <row r="315" ht="16.5" hidden="1" customHeight="1">
      <c r="A315" s="5" t="s">
        <v>100</v>
      </c>
      <c r="B315" s="5" t="s">
        <v>137</v>
      </c>
      <c r="C315" s="5" t="b">
        <v>1</v>
      </c>
      <c r="D315" s="5" t="s">
        <v>955</v>
      </c>
      <c r="E315" s="5" t="s">
        <v>956</v>
      </c>
      <c r="F315" s="5"/>
      <c r="G315" s="5" t="s">
        <v>65</v>
      </c>
      <c r="H315" s="5" t="s">
        <v>76</v>
      </c>
      <c r="I315" s="5" t="s">
        <v>82</v>
      </c>
      <c r="J315" s="25"/>
      <c r="K315" s="25"/>
      <c r="L315" s="25"/>
      <c r="M315" s="5" t="s">
        <v>66</v>
      </c>
      <c r="N315" s="5" t="s">
        <v>270</v>
      </c>
      <c r="O315" s="5" t="s">
        <v>69</v>
      </c>
      <c r="P315" s="5" t="s">
        <v>70</v>
      </c>
      <c r="Q315" s="5" t="s">
        <v>526</v>
      </c>
      <c r="R315" s="5" t="s">
        <v>110</v>
      </c>
      <c r="S315" s="5"/>
      <c r="T315" s="5"/>
      <c r="U315" s="5"/>
      <c r="V315" s="5">
        <v>1500.0</v>
      </c>
      <c r="W315" s="26">
        <v>2.1</v>
      </c>
      <c r="X315" s="5">
        <v>714.0</v>
      </c>
      <c r="Y315" s="27">
        <v>0.2</v>
      </c>
      <c r="Z315" s="28">
        <v>571.2</v>
      </c>
      <c r="AA315" s="27">
        <v>1.0</v>
      </c>
      <c r="AB315" s="5" t="s">
        <v>117</v>
      </c>
      <c r="AC315" s="27">
        <v>0.6</v>
      </c>
      <c r="AD315" s="5"/>
      <c r="AE315" s="5" t="s">
        <v>81</v>
      </c>
      <c r="AF315" s="5" t="s">
        <v>81</v>
      </c>
      <c r="AG315" s="5">
        <v>3.0</v>
      </c>
      <c r="AH315" s="5">
        <v>3.0</v>
      </c>
      <c r="AI315" s="5" t="s">
        <v>1851</v>
      </c>
      <c r="AJ315" s="5" t="s">
        <v>0</v>
      </c>
      <c r="AK315" s="30">
        <v>1600.0</v>
      </c>
      <c r="AL315" s="28">
        <v>2523.0</v>
      </c>
      <c r="AM315" s="28">
        <v>3680.0</v>
      </c>
      <c r="AN315" s="28">
        <v>3335.0</v>
      </c>
      <c r="AO315" s="28">
        <v>2151.0</v>
      </c>
      <c r="AP315" s="28">
        <v>1142400.0</v>
      </c>
      <c r="AQ315" s="28">
        <v>1802153.67</v>
      </c>
      <c r="AR315" s="28">
        <v>1535814.0</v>
      </c>
      <c r="AS315" s="28">
        <v>0.0</v>
      </c>
      <c r="AT315" s="28">
        <v>1535814.0</v>
      </c>
      <c r="AU315" s="28">
        <v>913920.0000000001</v>
      </c>
      <c r="AV315" s="28">
        <v>1484053.932890365</v>
      </c>
      <c r="AW315" s="28">
        <v>1912918.6270831998</v>
      </c>
      <c r="AX315" s="28">
        <v>1599179.3673864896</v>
      </c>
      <c r="AY315" s="28">
        <v>1222594.7118300002</v>
      </c>
      <c r="AZ315" s="5"/>
      <c r="BA315" s="5" t="s">
        <v>125</v>
      </c>
      <c r="BB315" s="5" t="s">
        <v>174</v>
      </c>
      <c r="BC315" s="5" t="s">
        <v>237</v>
      </c>
      <c r="BD315" s="5" t="s">
        <v>276</v>
      </c>
      <c r="BE315" s="5" t="s">
        <v>89</v>
      </c>
      <c r="BF315" s="5" t="s">
        <v>277</v>
      </c>
      <c r="BG315" s="5" t="s">
        <v>131</v>
      </c>
    </row>
    <row r="316" ht="16.5" hidden="1" customHeight="1">
      <c r="A316" s="5" t="s">
        <v>100</v>
      </c>
      <c r="B316" s="35" t="s">
        <v>137</v>
      </c>
      <c r="C316" s="35" t="b">
        <v>1</v>
      </c>
      <c r="D316" s="35" t="s">
        <v>1473</v>
      </c>
      <c r="E316" s="35" t="s">
        <v>1474</v>
      </c>
      <c r="F316" s="35"/>
      <c r="G316" s="35" t="s">
        <v>65</v>
      </c>
      <c r="H316" s="35" t="s">
        <v>74</v>
      </c>
      <c r="I316" s="35" t="s">
        <v>82</v>
      </c>
      <c r="J316" s="36" t="s">
        <v>150</v>
      </c>
      <c r="K316" s="25"/>
      <c r="L316" s="25"/>
      <c r="M316" s="5" t="s">
        <v>66</v>
      </c>
      <c r="N316" s="5" t="s">
        <v>270</v>
      </c>
      <c r="O316" s="5" t="s">
        <v>96</v>
      </c>
      <c r="P316" s="5" t="s">
        <v>70</v>
      </c>
      <c r="Q316" s="5" t="s">
        <v>526</v>
      </c>
      <c r="R316" s="5" t="s">
        <v>110</v>
      </c>
      <c r="S316" s="5"/>
      <c r="T316" s="5"/>
      <c r="U316" s="5"/>
      <c r="V316" s="5">
        <v>1500.0</v>
      </c>
      <c r="W316" s="26">
        <v>2.1</v>
      </c>
      <c r="X316" s="5">
        <v>714.0</v>
      </c>
      <c r="Y316" s="27">
        <v>0.2</v>
      </c>
      <c r="Z316" s="28">
        <v>571.2</v>
      </c>
      <c r="AA316" s="27">
        <v>1.0</v>
      </c>
      <c r="AB316" s="5" t="s">
        <v>117</v>
      </c>
      <c r="AC316" s="27"/>
      <c r="AD316" s="5"/>
      <c r="AE316" s="5" t="s">
        <v>81</v>
      </c>
      <c r="AF316" s="5" t="s">
        <v>81</v>
      </c>
      <c r="AG316" s="5"/>
      <c r="AH316" s="5">
        <v>0.0</v>
      </c>
      <c r="AI316" s="5" t="s">
        <v>0</v>
      </c>
      <c r="AJ316" s="5" t="s">
        <v>471</v>
      </c>
      <c r="AK316" s="30">
        <v>0.0</v>
      </c>
      <c r="AL316" s="28">
        <v>0.0</v>
      </c>
      <c r="AM316" s="28">
        <v>0.0</v>
      </c>
      <c r="AN316" s="28">
        <v>0.0</v>
      </c>
      <c r="AO316" s="28">
        <v>0.0</v>
      </c>
      <c r="AP316" s="28">
        <v>0.0</v>
      </c>
      <c r="AQ316" s="28">
        <v>0.0</v>
      </c>
      <c r="AR316" s="28">
        <v>0.0</v>
      </c>
      <c r="AS316" s="28">
        <v>0.0</v>
      </c>
      <c r="AT316" s="28">
        <v>0.0</v>
      </c>
      <c r="AU316" s="28">
        <v>0.0</v>
      </c>
      <c r="AV316" s="28">
        <v>0.0</v>
      </c>
      <c r="AW316" s="28">
        <v>0.0</v>
      </c>
      <c r="AX316" s="28">
        <v>0.0</v>
      </c>
      <c r="AY316" s="28">
        <v>0.0</v>
      </c>
      <c r="AZ316" s="5" t="s">
        <v>124</v>
      </c>
      <c r="BA316" s="5" t="s">
        <v>125</v>
      </c>
      <c r="BB316" s="5" t="s">
        <v>174</v>
      </c>
      <c r="BC316" s="5" t="s">
        <v>237</v>
      </c>
      <c r="BD316" s="5" t="s">
        <v>276</v>
      </c>
      <c r="BE316" s="5" t="s">
        <v>89</v>
      </c>
      <c r="BF316" s="5" t="s">
        <v>277</v>
      </c>
      <c r="BG316" s="5" t="s">
        <v>131</v>
      </c>
    </row>
    <row r="317" ht="16.5" hidden="1" customHeight="1">
      <c r="A317" s="5" t="s">
        <v>100</v>
      </c>
      <c r="B317" s="5" t="s">
        <v>137</v>
      </c>
      <c r="C317" s="5" t="b">
        <v>1</v>
      </c>
      <c r="D317" s="5" t="s">
        <v>957</v>
      </c>
      <c r="E317" s="5" t="s">
        <v>958</v>
      </c>
      <c r="F317" s="5"/>
      <c r="G317" s="5" t="s">
        <v>65</v>
      </c>
      <c r="H317" s="5" t="s">
        <v>76</v>
      </c>
      <c r="I317" s="5" t="s">
        <v>82</v>
      </c>
      <c r="J317" s="25"/>
      <c r="K317" s="25"/>
      <c r="L317" s="25"/>
      <c r="M317" s="5" t="s">
        <v>66</v>
      </c>
      <c r="N317" s="5" t="s">
        <v>270</v>
      </c>
      <c r="O317" s="5" t="s">
        <v>69</v>
      </c>
      <c r="P317" s="5" t="s">
        <v>107</v>
      </c>
      <c r="Q317" s="5" t="s">
        <v>526</v>
      </c>
      <c r="R317" s="5" t="s">
        <v>110</v>
      </c>
      <c r="S317" s="5"/>
      <c r="T317" s="5"/>
      <c r="U317" s="5"/>
      <c r="V317" s="5">
        <v>1500.0</v>
      </c>
      <c r="W317" s="26">
        <v>2.1</v>
      </c>
      <c r="X317" s="5">
        <v>714.0</v>
      </c>
      <c r="Y317" s="27">
        <v>0.2</v>
      </c>
      <c r="Z317" s="28">
        <v>571.2</v>
      </c>
      <c r="AA317" s="27">
        <v>1.0</v>
      </c>
      <c r="AB317" s="5" t="s">
        <v>117</v>
      </c>
      <c r="AC317" s="27">
        <v>0.63</v>
      </c>
      <c r="AD317" s="5"/>
      <c r="AE317" s="5" t="s">
        <v>81</v>
      </c>
      <c r="AF317" s="5" t="s">
        <v>81</v>
      </c>
      <c r="AG317" s="5">
        <v>3.0</v>
      </c>
      <c r="AH317" s="5">
        <v>3.0</v>
      </c>
      <c r="AI317" s="5" t="s">
        <v>1851</v>
      </c>
      <c r="AJ317" s="5" t="s">
        <v>0</v>
      </c>
      <c r="AK317" s="30">
        <v>2000.0</v>
      </c>
      <c r="AL317" s="28">
        <v>2071.0</v>
      </c>
      <c r="AM317" s="28">
        <v>2390.0</v>
      </c>
      <c r="AN317" s="28">
        <v>1933.0</v>
      </c>
      <c r="AO317" s="28">
        <v>1523.0</v>
      </c>
      <c r="AP317" s="28">
        <v>1428000.0</v>
      </c>
      <c r="AQ317" s="28">
        <v>1479294.5899999999</v>
      </c>
      <c r="AR317" s="28">
        <v>1087422.0</v>
      </c>
      <c r="AS317" s="28">
        <v>0.0</v>
      </c>
      <c r="AT317" s="28">
        <v>1087422.0</v>
      </c>
      <c r="AU317" s="28">
        <v>1142400.0</v>
      </c>
      <c r="AV317" s="28">
        <v>1213174.6757475082</v>
      </c>
      <c r="AW317" s="28">
        <v>1258185.6495499997</v>
      </c>
      <c r="AX317" s="28">
        <v>1048164.6789036543</v>
      </c>
      <c r="AY317" s="28">
        <v>874458.1407600001</v>
      </c>
      <c r="AZ317" s="5"/>
      <c r="BA317" s="5" t="s">
        <v>125</v>
      </c>
      <c r="BB317" s="5" t="s">
        <v>174</v>
      </c>
      <c r="BC317" s="5" t="s">
        <v>237</v>
      </c>
      <c r="BD317" s="5" t="s">
        <v>276</v>
      </c>
      <c r="BE317" s="5" t="s">
        <v>89</v>
      </c>
      <c r="BF317" s="5" t="s">
        <v>277</v>
      </c>
      <c r="BG317" s="5" t="s">
        <v>131</v>
      </c>
    </row>
    <row r="318" ht="16.5" hidden="1" customHeight="1">
      <c r="A318" s="5" t="s">
        <v>100</v>
      </c>
      <c r="B318" s="35" t="s">
        <v>137</v>
      </c>
      <c r="C318" s="35" t="b">
        <v>1</v>
      </c>
      <c r="D318" s="35" t="s">
        <v>1475</v>
      </c>
      <c r="E318" s="35" t="s">
        <v>1476</v>
      </c>
      <c r="F318" s="35"/>
      <c r="G318" s="35" t="s">
        <v>65</v>
      </c>
      <c r="H318" s="35" t="s">
        <v>74</v>
      </c>
      <c r="I318" s="35" t="s">
        <v>82</v>
      </c>
      <c r="J318" s="36" t="s">
        <v>150</v>
      </c>
      <c r="K318" s="25"/>
      <c r="L318" s="25"/>
      <c r="M318" s="5" t="s">
        <v>66</v>
      </c>
      <c r="N318" s="5" t="s">
        <v>270</v>
      </c>
      <c r="O318" s="5" t="s">
        <v>96</v>
      </c>
      <c r="P318" s="5" t="s">
        <v>107</v>
      </c>
      <c r="Q318" s="5" t="s">
        <v>526</v>
      </c>
      <c r="R318" s="5" t="s">
        <v>110</v>
      </c>
      <c r="S318" s="5"/>
      <c r="T318" s="5"/>
      <c r="U318" s="5"/>
      <c r="V318" s="5">
        <v>1500.0</v>
      </c>
      <c r="W318" s="26">
        <v>2.1</v>
      </c>
      <c r="X318" s="5">
        <v>714.0</v>
      </c>
      <c r="Y318" s="27">
        <v>0.2</v>
      </c>
      <c r="Z318" s="28">
        <v>571.2</v>
      </c>
      <c r="AA318" s="27">
        <v>1.0</v>
      </c>
      <c r="AB318" s="5" t="s">
        <v>117</v>
      </c>
      <c r="AC318" s="27"/>
      <c r="AD318" s="5"/>
      <c r="AE318" s="5" t="s">
        <v>81</v>
      </c>
      <c r="AF318" s="5" t="s">
        <v>81</v>
      </c>
      <c r="AG318" s="5"/>
      <c r="AH318" s="5">
        <v>0.0</v>
      </c>
      <c r="AI318" s="5" t="s">
        <v>0</v>
      </c>
      <c r="AJ318" s="5" t="s">
        <v>471</v>
      </c>
      <c r="AK318" s="30">
        <v>0.0</v>
      </c>
      <c r="AL318" s="28">
        <v>0.0</v>
      </c>
      <c r="AM318" s="28">
        <v>0.0</v>
      </c>
      <c r="AN318" s="28">
        <v>0.0</v>
      </c>
      <c r="AO318" s="28">
        <v>0.0</v>
      </c>
      <c r="AP318" s="28">
        <v>0.0</v>
      </c>
      <c r="AQ318" s="28">
        <v>0.0</v>
      </c>
      <c r="AR318" s="28">
        <v>0.0</v>
      </c>
      <c r="AS318" s="28">
        <v>0.0</v>
      </c>
      <c r="AT318" s="28">
        <v>0.0</v>
      </c>
      <c r="AU318" s="28">
        <v>0.0</v>
      </c>
      <c r="AV318" s="28">
        <v>0.0</v>
      </c>
      <c r="AW318" s="28">
        <v>0.0</v>
      </c>
      <c r="AX318" s="28">
        <v>0.0</v>
      </c>
      <c r="AY318" s="28">
        <v>0.0</v>
      </c>
      <c r="AZ318" s="5" t="s">
        <v>124</v>
      </c>
      <c r="BA318" s="5" t="s">
        <v>125</v>
      </c>
      <c r="BB318" s="5" t="s">
        <v>174</v>
      </c>
      <c r="BC318" s="5" t="s">
        <v>237</v>
      </c>
      <c r="BD318" s="5" t="s">
        <v>276</v>
      </c>
      <c r="BE318" s="5" t="s">
        <v>89</v>
      </c>
      <c r="BF318" s="5" t="s">
        <v>277</v>
      </c>
      <c r="BG318" s="5" t="s">
        <v>131</v>
      </c>
    </row>
    <row r="319" ht="16.5" hidden="1" customHeight="1">
      <c r="A319" s="5" t="s">
        <v>100</v>
      </c>
      <c r="B319" s="5" t="s">
        <v>137</v>
      </c>
      <c r="C319" s="5" t="b">
        <v>1</v>
      </c>
      <c r="D319" s="5" t="s">
        <v>1761</v>
      </c>
      <c r="E319" s="5" t="s">
        <v>1762</v>
      </c>
      <c r="F319" s="5"/>
      <c r="G319" s="5" t="s">
        <v>65</v>
      </c>
      <c r="H319" s="5" t="s">
        <v>76</v>
      </c>
      <c r="I319" s="5" t="s">
        <v>82</v>
      </c>
      <c r="J319" s="25"/>
      <c r="K319" s="25"/>
      <c r="L319" s="25"/>
      <c r="M319" s="5" t="s">
        <v>66</v>
      </c>
      <c r="N319" s="5" t="s">
        <v>270</v>
      </c>
      <c r="O319" s="5" t="s">
        <v>69</v>
      </c>
      <c r="P319" s="5" t="s">
        <v>107</v>
      </c>
      <c r="Q319" s="24" t="s">
        <v>0</v>
      </c>
      <c r="R319" s="5" t="s">
        <v>1836</v>
      </c>
      <c r="S319" s="5"/>
      <c r="T319" s="5"/>
      <c r="U319" s="5"/>
      <c r="V319" s="5">
        <v>1600.0</v>
      </c>
      <c r="W319" s="26">
        <v>2.1</v>
      </c>
      <c r="X319" s="5">
        <v>762.0</v>
      </c>
      <c r="Y319" s="27">
        <v>0.2</v>
      </c>
      <c r="Z319" s="28">
        <v>609.6</v>
      </c>
      <c r="AA319" s="27">
        <v>1.0</v>
      </c>
      <c r="AB319" s="5" t="s">
        <v>117</v>
      </c>
      <c r="AC319" s="27">
        <v>0.65</v>
      </c>
      <c r="AD319" s="5"/>
      <c r="AE319" s="5" t="s">
        <v>81</v>
      </c>
      <c r="AF319" s="5" t="s">
        <v>81</v>
      </c>
      <c r="AG319" s="5">
        <v>3.0</v>
      </c>
      <c r="AH319" s="5">
        <v>3.0</v>
      </c>
      <c r="AI319" s="5" t="s">
        <v>1857</v>
      </c>
      <c r="AJ319" s="5" t="s">
        <v>0</v>
      </c>
      <c r="AK319" s="30">
        <v>1000.0</v>
      </c>
      <c r="AL319" s="28">
        <v>0.0</v>
      </c>
      <c r="AM319" s="28">
        <v>0.0</v>
      </c>
      <c r="AN319" s="28">
        <v>1313.0</v>
      </c>
      <c r="AO319" s="28">
        <v>0.0</v>
      </c>
      <c r="AP319" s="28">
        <v>762000.0</v>
      </c>
      <c r="AQ319" s="28">
        <v>0.0</v>
      </c>
      <c r="AR319" s="28">
        <v>0.0</v>
      </c>
      <c r="AS319" s="28">
        <v>0.0</v>
      </c>
      <c r="AT319" s="28">
        <v>0.0</v>
      </c>
      <c r="AU319" s="28">
        <v>609600.0</v>
      </c>
      <c r="AV319" s="28">
        <v>0.0</v>
      </c>
      <c r="AW319" s="28">
        <v>0.0</v>
      </c>
      <c r="AX319" s="28">
        <v>754675.6459579181</v>
      </c>
      <c r="AY319" s="28">
        <v>0.0</v>
      </c>
      <c r="AZ319" s="5"/>
      <c r="BA319" s="5" t="s">
        <v>125</v>
      </c>
      <c r="BB319" s="5" t="s">
        <v>174</v>
      </c>
      <c r="BC319" s="5" t="s">
        <v>237</v>
      </c>
      <c r="BD319" s="5" t="s">
        <v>276</v>
      </c>
      <c r="BE319" s="5" t="s">
        <v>457</v>
      </c>
      <c r="BF319" s="5" t="s">
        <v>277</v>
      </c>
      <c r="BG319" s="5" t="s">
        <v>131</v>
      </c>
    </row>
    <row r="320" ht="16.5" hidden="1" customHeight="1">
      <c r="A320" s="5" t="s">
        <v>100</v>
      </c>
      <c r="B320" s="5" t="s">
        <v>137</v>
      </c>
      <c r="C320" s="5" t="b">
        <v>1</v>
      </c>
      <c r="D320" s="5" t="s">
        <v>1763</v>
      </c>
      <c r="E320" s="5" t="s">
        <v>1764</v>
      </c>
      <c r="F320" s="5"/>
      <c r="G320" s="5" t="s">
        <v>65</v>
      </c>
      <c r="H320" s="5" t="s">
        <v>76</v>
      </c>
      <c r="I320" s="5" t="s">
        <v>82</v>
      </c>
      <c r="J320" s="25"/>
      <c r="K320" s="25"/>
      <c r="L320" s="25"/>
      <c r="M320" s="5" t="s">
        <v>66</v>
      </c>
      <c r="N320" s="5" t="s">
        <v>270</v>
      </c>
      <c r="O320" s="5" t="s">
        <v>69</v>
      </c>
      <c r="P320" s="5" t="s">
        <v>70</v>
      </c>
      <c r="Q320" s="24" t="s">
        <v>0</v>
      </c>
      <c r="R320" s="5" t="s">
        <v>1836</v>
      </c>
      <c r="S320" s="5"/>
      <c r="T320" s="5"/>
      <c r="U320" s="5"/>
      <c r="V320" s="5">
        <v>1400.0</v>
      </c>
      <c r="W320" s="26">
        <v>2.1</v>
      </c>
      <c r="X320" s="5">
        <v>667.0</v>
      </c>
      <c r="Y320" s="27">
        <v>0.2</v>
      </c>
      <c r="Z320" s="28">
        <v>533.6</v>
      </c>
      <c r="AA320" s="27">
        <v>1.0</v>
      </c>
      <c r="AB320" s="5" t="s">
        <v>117</v>
      </c>
      <c r="AC320" s="27">
        <v>0.64</v>
      </c>
      <c r="AD320" s="5"/>
      <c r="AE320" s="5" t="s">
        <v>81</v>
      </c>
      <c r="AF320" s="5" t="s">
        <v>81</v>
      </c>
      <c r="AG320" s="5">
        <v>3.0</v>
      </c>
      <c r="AH320" s="5">
        <v>3.0</v>
      </c>
      <c r="AI320" s="5" t="s">
        <v>1858</v>
      </c>
      <c r="AJ320" s="5" t="s">
        <v>0</v>
      </c>
      <c r="AK320" s="30">
        <v>1600.0</v>
      </c>
      <c r="AL320" s="28">
        <v>0.0</v>
      </c>
      <c r="AM320" s="28">
        <v>0.0</v>
      </c>
      <c r="AN320" s="28">
        <v>2169.0</v>
      </c>
      <c r="AO320" s="28">
        <v>0.0</v>
      </c>
      <c r="AP320" s="28">
        <v>1067200.0</v>
      </c>
      <c r="AQ320" s="28">
        <v>0.0</v>
      </c>
      <c r="AR320" s="28">
        <v>0.0</v>
      </c>
      <c r="AS320" s="28">
        <v>0.0</v>
      </c>
      <c r="AT320" s="28">
        <v>0.0</v>
      </c>
      <c r="AU320" s="28">
        <v>853760.0</v>
      </c>
      <c r="AV320" s="28">
        <v>0.0</v>
      </c>
      <c r="AW320" s="28">
        <v>0.0</v>
      </c>
      <c r="AX320" s="28">
        <v>839797.0573643411</v>
      </c>
      <c r="AY320" s="28">
        <v>0.0</v>
      </c>
      <c r="AZ320" s="5"/>
      <c r="BA320" s="5" t="s">
        <v>125</v>
      </c>
      <c r="BB320" s="5" t="s">
        <v>174</v>
      </c>
      <c r="BC320" s="5" t="s">
        <v>237</v>
      </c>
      <c r="BD320" s="5" t="s">
        <v>276</v>
      </c>
      <c r="BE320" s="5" t="s">
        <v>751</v>
      </c>
      <c r="BF320" s="5" t="s">
        <v>277</v>
      </c>
      <c r="BG320" s="5" t="s">
        <v>131</v>
      </c>
    </row>
    <row r="321" ht="16.5" hidden="1" customHeight="1">
      <c r="A321" s="5" t="s">
        <v>100</v>
      </c>
      <c r="B321" s="5" t="s">
        <v>137</v>
      </c>
      <c r="C321" s="5" t="b">
        <v>1</v>
      </c>
      <c r="D321" s="5" t="s">
        <v>879</v>
      </c>
      <c r="E321" s="5" t="s">
        <v>880</v>
      </c>
      <c r="F321" s="5"/>
      <c r="G321" s="5" t="s">
        <v>65</v>
      </c>
      <c r="H321" s="5" t="s">
        <v>76</v>
      </c>
      <c r="I321" s="5" t="s">
        <v>82</v>
      </c>
      <c r="J321" s="25"/>
      <c r="K321" s="25"/>
      <c r="L321" s="25"/>
      <c r="M321" s="5" t="s">
        <v>66</v>
      </c>
      <c r="N321" s="5" t="s">
        <v>355</v>
      </c>
      <c r="O321" s="5" t="s">
        <v>69</v>
      </c>
      <c r="P321" s="5" t="s">
        <v>70</v>
      </c>
      <c r="Q321" s="5" t="s">
        <v>282</v>
      </c>
      <c r="R321" s="5" t="s">
        <v>110</v>
      </c>
      <c r="S321" s="5"/>
      <c r="T321" s="5"/>
      <c r="U321" s="5"/>
      <c r="V321" s="5">
        <v>2200.0</v>
      </c>
      <c r="W321" s="26">
        <v>2.1</v>
      </c>
      <c r="X321" s="5">
        <v>1048.0</v>
      </c>
      <c r="Y321" s="27">
        <v>0.2</v>
      </c>
      <c r="Z321" s="28">
        <v>838.4000000000001</v>
      </c>
      <c r="AA321" s="27">
        <v>1.0</v>
      </c>
      <c r="AB321" s="5" t="s">
        <v>78</v>
      </c>
      <c r="AC321" s="27">
        <v>0.7</v>
      </c>
      <c r="AD321" s="5"/>
      <c r="AE321" s="5" t="s">
        <v>198</v>
      </c>
      <c r="AF321" s="5" t="s">
        <v>81</v>
      </c>
      <c r="AG321" s="5">
        <v>3.0</v>
      </c>
      <c r="AH321" s="5">
        <v>3.0</v>
      </c>
      <c r="AI321" s="5" t="s">
        <v>1860</v>
      </c>
      <c r="AJ321" s="5" t="s">
        <v>146</v>
      </c>
      <c r="AK321" s="30">
        <v>2000.0</v>
      </c>
      <c r="AL321" s="28">
        <v>2000.0</v>
      </c>
      <c r="AM321" s="28">
        <v>0.0</v>
      </c>
      <c r="AN321" s="28">
        <v>11011.0</v>
      </c>
      <c r="AO321" s="28">
        <v>10545.0</v>
      </c>
      <c r="AP321" s="28">
        <v>2096000.0</v>
      </c>
      <c r="AQ321" s="28">
        <v>2095240.0</v>
      </c>
      <c r="AR321" s="28">
        <v>1.105116E7</v>
      </c>
      <c r="AS321" s="28">
        <v>0.0</v>
      </c>
      <c r="AT321" s="28">
        <v>1.105116E7</v>
      </c>
      <c r="AU321" s="28">
        <v>1676800.0000000002</v>
      </c>
      <c r="AV321" s="28">
        <v>1644406.5675526024</v>
      </c>
      <c r="AW321" s="28">
        <v>0.0</v>
      </c>
      <c r="AX321" s="28">
        <v>8962042.61904762</v>
      </c>
      <c r="AY321" s="28">
        <v>7551878.844934996</v>
      </c>
      <c r="AZ321" s="5"/>
      <c r="BA321" s="5" t="s">
        <v>125</v>
      </c>
      <c r="BB321" s="5" t="s">
        <v>127</v>
      </c>
      <c r="BC321" s="5" t="s">
        <v>410</v>
      </c>
      <c r="BD321" s="5" t="s">
        <v>355</v>
      </c>
      <c r="BE321" s="5" t="s">
        <v>161</v>
      </c>
      <c r="BF321" s="5" t="s">
        <v>367</v>
      </c>
      <c r="BG321" s="5" t="s">
        <v>131</v>
      </c>
    </row>
    <row r="322" ht="16.5" hidden="1" customHeight="1">
      <c r="A322" s="5" t="s">
        <v>100</v>
      </c>
      <c r="B322" s="5" t="s">
        <v>137</v>
      </c>
      <c r="C322" s="5" t="b">
        <v>1</v>
      </c>
      <c r="D322" s="5" t="s">
        <v>886</v>
      </c>
      <c r="E322" s="5" t="s">
        <v>887</v>
      </c>
      <c r="F322" s="5"/>
      <c r="G322" s="5" t="s">
        <v>65</v>
      </c>
      <c r="H322" s="5" t="s">
        <v>76</v>
      </c>
      <c r="I322" s="5" t="s">
        <v>82</v>
      </c>
      <c r="J322" s="25"/>
      <c r="K322" s="25"/>
      <c r="L322" s="25"/>
      <c r="M322" s="5" t="s">
        <v>66</v>
      </c>
      <c r="N322" s="5" t="s">
        <v>355</v>
      </c>
      <c r="O322" s="5" t="s">
        <v>69</v>
      </c>
      <c r="P322" s="5" t="s">
        <v>107</v>
      </c>
      <c r="Q322" s="5" t="s">
        <v>282</v>
      </c>
      <c r="R322" s="5" t="s">
        <v>110</v>
      </c>
      <c r="S322" s="5"/>
      <c r="T322" s="5"/>
      <c r="U322" s="5"/>
      <c r="V322" s="5">
        <v>2200.0</v>
      </c>
      <c r="W322" s="26">
        <v>2.1</v>
      </c>
      <c r="X322" s="5">
        <v>1048.0</v>
      </c>
      <c r="Y322" s="27">
        <v>0.2</v>
      </c>
      <c r="Z322" s="28">
        <v>838.4000000000001</v>
      </c>
      <c r="AA322" s="27">
        <v>1.0</v>
      </c>
      <c r="AB322" s="5" t="s">
        <v>78</v>
      </c>
      <c r="AC322" s="27">
        <v>0.71</v>
      </c>
      <c r="AD322" s="5"/>
      <c r="AE322" s="5" t="s">
        <v>198</v>
      </c>
      <c r="AF322" s="5" t="s">
        <v>81</v>
      </c>
      <c r="AG322" s="5">
        <v>3.0</v>
      </c>
      <c r="AH322" s="5">
        <v>3.0</v>
      </c>
      <c r="AI322" s="5" t="s">
        <v>1861</v>
      </c>
      <c r="AJ322" s="5" t="s">
        <v>146</v>
      </c>
      <c r="AK322" s="30">
        <v>1700.0</v>
      </c>
      <c r="AL322" s="28">
        <v>1665.0</v>
      </c>
      <c r="AM322" s="28">
        <v>0.0</v>
      </c>
      <c r="AN322" s="28">
        <v>9279.0</v>
      </c>
      <c r="AO322" s="28">
        <v>8043.0</v>
      </c>
      <c r="AP322" s="28">
        <v>1781600.0</v>
      </c>
      <c r="AQ322" s="28">
        <v>1744287.2999999998</v>
      </c>
      <c r="AR322" s="28">
        <v>8429064.0</v>
      </c>
      <c r="AS322" s="28">
        <v>0.0</v>
      </c>
      <c r="AT322" s="28">
        <v>8429064.0</v>
      </c>
      <c r="AU322" s="28">
        <v>1425280.0000000002</v>
      </c>
      <c r="AV322" s="28">
        <v>1398015.972314507</v>
      </c>
      <c r="AW322" s="28">
        <v>0.0</v>
      </c>
      <c r="AX322" s="28">
        <v>7597431.335105205</v>
      </c>
      <c r="AY322" s="28">
        <v>5844051.736119996</v>
      </c>
      <c r="AZ322" s="5"/>
      <c r="BA322" s="5" t="s">
        <v>125</v>
      </c>
      <c r="BB322" s="5" t="s">
        <v>127</v>
      </c>
      <c r="BC322" s="5" t="s">
        <v>410</v>
      </c>
      <c r="BD322" s="5" t="s">
        <v>355</v>
      </c>
      <c r="BE322" s="5" t="s">
        <v>161</v>
      </c>
      <c r="BF322" s="5" t="s">
        <v>367</v>
      </c>
      <c r="BG322" s="5" t="s">
        <v>131</v>
      </c>
    </row>
    <row r="323" ht="16.5" hidden="1" customHeight="1">
      <c r="A323" s="5" t="s">
        <v>100</v>
      </c>
      <c r="B323" s="5" t="s">
        <v>215</v>
      </c>
      <c r="C323" s="5" t="b">
        <v>0</v>
      </c>
      <c r="D323" s="5" t="s">
        <v>1765</v>
      </c>
      <c r="E323" s="5" t="s">
        <v>1766</v>
      </c>
      <c r="F323" s="5"/>
      <c r="G323" s="5" t="s">
        <v>65</v>
      </c>
      <c r="H323" s="5" t="s">
        <v>76</v>
      </c>
      <c r="I323" s="5" t="s">
        <v>218</v>
      </c>
      <c r="J323" s="25" t="s">
        <v>219</v>
      </c>
      <c r="K323" s="25"/>
      <c r="L323" s="25"/>
      <c r="M323" s="5" t="s">
        <v>220</v>
      </c>
      <c r="N323" s="5" t="s">
        <v>68</v>
      </c>
      <c r="O323" s="5" t="s">
        <v>69</v>
      </c>
      <c r="P323" s="5" t="s">
        <v>70</v>
      </c>
      <c r="Q323" s="5" t="s">
        <v>89</v>
      </c>
      <c r="R323" s="5" t="s">
        <v>110</v>
      </c>
      <c r="S323" s="5"/>
      <c r="T323" s="5"/>
      <c r="U323" s="5"/>
      <c r="V323" s="5">
        <v>3500.0</v>
      </c>
      <c r="W323" s="26">
        <v>2.1</v>
      </c>
      <c r="X323" s="5">
        <v>1667.0</v>
      </c>
      <c r="Y323" s="27">
        <v>0.0</v>
      </c>
      <c r="Z323" s="28">
        <v>1667.0</v>
      </c>
      <c r="AA323" s="27">
        <v>1.0</v>
      </c>
      <c r="AB323" s="5" t="s">
        <v>78</v>
      </c>
      <c r="AC323" s="27"/>
      <c r="AD323" s="5"/>
      <c r="AE323" s="5" t="s">
        <v>198</v>
      </c>
      <c r="AF323" s="5" t="s">
        <v>166</v>
      </c>
      <c r="AG323" s="5"/>
      <c r="AH323" s="5">
        <v>4.0</v>
      </c>
      <c r="AI323" s="5" t="s">
        <v>1665</v>
      </c>
      <c r="AJ323" s="5" t="s">
        <v>0</v>
      </c>
      <c r="AK323" s="30"/>
      <c r="AL323" s="28">
        <v>0.0</v>
      </c>
      <c r="AM323" s="28">
        <v>0.0</v>
      </c>
      <c r="AN323" s="28">
        <v>4673.0</v>
      </c>
      <c r="AO323" s="28">
        <v>0.0</v>
      </c>
      <c r="AP323" s="28">
        <v>0.0</v>
      </c>
      <c r="AQ323" s="28">
        <v>0.0</v>
      </c>
      <c r="AR323" s="28">
        <v>0.0</v>
      </c>
      <c r="AS323" s="28">
        <v>0.0</v>
      </c>
      <c r="AT323" s="28">
        <v>0.0</v>
      </c>
      <c r="AU323" s="28">
        <v>0.0</v>
      </c>
      <c r="AV323" s="28">
        <v>0.0</v>
      </c>
      <c r="AW323" s="28">
        <v>0.0</v>
      </c>
      <c r="AX323" s="28">
        <v>5660885.072314507</v>
      </c>
      <c r="AY323" s="28">
        <v>0.0</v>
      </c>
      <c r="AZ323" s="5" t="s">
        <v>124</v>
      </c>
      <c r="BA323" s="5" t="s">
        <v>226</v>
      </c>
      <c r="BB323" s="5" t="s">
        <v>227</v>
      </c>
      <c r="BC323" s="5" t="s">
        <v>1558</v>
      </c>
      <c r="BD323" s="5" t="s">
        <v>68</v>
      </c>
      <c r="BE323" s="5" t="s">
        <v>89</v>
      </c>
      <c r="BF323" s="5" t="s">
        <v>206</v>
      </c>
      <c r="BG323" s="5" t="s">
        <v>91</v>
      </c>
    </row>
    <row r="324" ht="16.5" hidden="1" customHeight="1">
      <c r="A324" s="5" t="s">
        <v>100</v>
      </c>
      <c r="B324" s="5" t="s">
        <v>215</v>
      </c>
      <c r="C324" s="5" t="b">
        <v>0</v>
      </c>
      <c r="D324" s="5" t="s">
        <v>1767</v>
      </c>
      <c r="E324" s="5" t="s">
        <v>1768</v>
      </c>
      <c r="F324" s="5"/>
      <c r="G324" s="5" t="s">
        <v>65</v>
      </c>
      <c r="H324" s="5" t="s">
        <v>76</v>
      </c>
      <c r="I324" s="5" t="s">
        <v>218</v>
      </c>
      <c r="J324" s="25" t="s">
        <v>219</v>
      </c>
      <c r="K324" s="25"/>
      <c r="L324" s="25"/>
      <c r="M324" s="5" t="s">
        <v>220</v>
      </c>
      <c r="N324" s="5" t="s">
        <v>68</v>
      </c>
      <c r="O324" s="5" t="s">
        <v>69</v>
      </c>
      <c r="P324" s="5" t="s">
        <v>107</v>
      </c>
      <c r="Q324" s="5" t="s">
        <v>89</v>
      </c>
      <c r="R324" s="5" t="s">
        <v>110</v>
      </c>
      <c r="S324" s="5"/>
      <c r="T324" s="5"/>
      <c r="U324" s="5"/>
      <c r="V324" s="5">
        <v>3500.0</v>
      </c>
      <c r="W324" s="26">
        <v>2.1</v>
      </c>
      <c r="X324" s="5">
        <v>1667.0</v>
      </c>
      <c r="Y324" s="27">
        <v>0.0</v>
      </c>
      <c r="Z324" s="28">
        <v>1667.0</v>
      </c>
      <c r="AA324" s="27">
        <v>1.0</v>
      </c>
      <c r="AB324" s="5" t="s">
        <v>78</v>
      </c>
      <c r="AC324" s="27"/>
      <c r="AD324" s="5"/>
      <c r="AE324" s="5" t="s">
        <v>198</v>
      </c>
      <c r="AF324" s="5" t="s">
        <v>166</v>
      </c>
      <c r="AG324" s="5"/>
      <c r="AH324" s="5">
        <v>4.0</v>
      </c>
      <c r="AI324" s="5" t="s">
        <v>1665</v>
      </c>
      <c r="AJ324" s="5" t="s">
        <v>0</v>
      </c>
      <c r="AK324" s="30"/>
      <c r="AL324" s="28">
        <v>0.0</v>
      </c>
      <c r="AM324" s="28">
        <v>0.0</v>
      </c>
      <c r="AN324" s="28">
        <v>3252.0</v>
      </c>
      <c r="AO324" s="28">
        <v>0.0</v>
      </c>
      <c r="AP324" s="28">
        <v>0.0</v>
      </c>
      <c r="AQ324" s="28">
        <v>0.0</v>
      </c>
      <c r="AR324" s="28">
        <v>0.0</v>
      </c>
      <c r="AS324" s="28">
        <v>0.0</v>
      </c>
      <c r="AT324" s="28">
        <v>0.0</v>
      </c>
      <c r="AU324" s="28">
        <v>0.0</v>
      </c>
      <c r="AV324" s="28">
        <v>0.0</v>
      </c>
      <c r="AW324" s="28">
        <v>0.0</v>
      </c>
      <c r="AX324" s="28">
        <v>4201508.273421926</v>
      </c>
      <c r="AY324" s="28">
        <v>0.0</v>
      </c>
      <c r="AZ324" s="5" t="s">
        <v>124</v>
      </c>
      <c r="BA324" s="5" t="s">
        <v>226</v>
      </c>
      <c r="BB324" s="5" t="s">
        <v>227</v>
      </c>
      <c r="BC324" s="5" t="s">
        <v>1558</v>
      </c>
      <c r="BD324" s="5" t="s">
        <v>68</v>
      </c>
      <c r="BE324" s="5" t="s">
        <v>89</v>
      </c>
      <c r="BF324" s="5" t="s">
        <v>206</v>
      </c>
      <c r="BG324" s="5" t="s">
        <v>91</v>
      </c>
    </row>
    <row r="325" ht="16.5" hidden="1" customHeight="1">
      <c r="A325" s="5" t="s">
        <v>100</v>
      </c>
      <c r="B325" s="5" t="s">
        <v>215</v>
      </c>
      <c r="C325" s="5" t="b">
        <v>0</v>
      </c>
      <c r="D325" s="5" t="s">
        <v>1769</v>
      </c>
      <c r="E325" s="5" t="s">
        <v>1770</v>
      </c>
      <c r="F325" s="5"/>
      <c r="G325" s="5" t="s">
        <v>65</v>
      </c>
      <c r="H325" s="5" t="s">
        <v>76</v>
      </c>
      <c r="I325" s="5" t="s">
        <v>218</v>
      </c>
      <c r="J325" s="25" t="s">
        <v>219</v>
      </c>
      <c r="K325" s="25"/>
      <c r="L325" s="25"/>
      <c r="M325" s="5" t="s">
        <v>220</v>
      </c>
      <c r="N325" s="5" t="s">
        <v>68</v>
      </c>
      <c r="O325" s="5" t="s">
        <v>69</v>
      </c>
      <c r="P325" s="5" t="s">
        <v>70</v>
      </c>
      <c r="Q325" s="5" t="s">
        <v>180</v>
      </c>
      <c r="R325" s="5" t="s">
        <v>181</v>
      </c>
      <c r="S325" s="5"/>
      <c r="T325" s="5"/>
      <c r="U325" s="5"/>
      <c r="V325" s="5">
        <v>3000.0</v>
      </c>
      <c r="W325" s="26">
        <v>2.1</v>
      </c>
      <c r="X325" s="5">
        <v>1429.0</v>
      </c>
      <c r="Y325" s="27">
        <v>0.0</v>
      </c>
      <c r="Z325" s="28">
        <v>1429.0</v>
      </c>
      <c r="AA325" s="27">
        <v>1.0</v>
      </c>
      <c r="AB325" s="5" t="s">
        <v>78</v>
      </c>
      <c r="AC325" s="27"/>
      <c r="AD325" s="5"/>
      <c r="AE325" s="5" t="s">
        <v>198</v>
      </c>
      <c r="AF325" s="5" t="s">
        <v>166</v>
      </c>
      <c r="AG325" s="5"/>
      <c r="AH325" s="5">
        <v>4.0</v>
      </c>
      <c r="AI325" s="5" t="s">
        <v>1665</v>
      </c>
      <c r="AJ325" s="5" t="s">
        <v>0</v>
      </c>
      <c r="AK325" s="30"/>
      <c r="AL325" s="28">
        <v>0.0</v>
      </c>
      <c r="AM325" s="28">
        <v>0.0</v>
      </c>
      <c r="AN325" s="28">
        <v>3196.0</v>
      </c>
      <c r="AO325" s="28">
        <v>0.0</v>
      </c>
      <c r="AP325" s="28">
        <v>0.0</v>
      </c>
      <c r="AQ325" s="28">
        <v>0.0</v>
      </c>
      <c r="AR325" s="28">
        <v>0.0</v>
      </c>
      <c r="AS325" s="28">
        <v>0.0</v>
      </c>
      <c r="AT325" s="28">
        <v>0.0</v>
      </c>
      <c r="AU325" s="28">
        <v>0.0</v>
      </c>
      <c r="AV325" s="28">
        <v>0.0</v>
      </c>
      <c r="AW325" s="28">
        <v>0.0</v>
      </c>
      <c r="AX325" s="28">
        <v>3563056.943632337</v>
      </c>
      <c r="AY325" s="28">
        <v>0.0</v>
      </c>
      <c r="AZ325" s="5" t="s">
        <v>124</v>
      </c>
      <c r="BA325" s="5" t="s">
        <v>226</v>
      </c>
      <c r="BB325" s="5" t="s">
        <v>227</v>
      </c>
      <c r="BC325" s="5" t="s">
        <v>1558</v>
      </c>
      <c r="BD325" s="5" t="s">
        <v>68</v>
      </c>
      <c r="BE325" s="5" t="s">
        <v>128</v>
      </c>
      <c r="BF325" s="5" t="s">
        <v>206</v>
      </c>
      <c r="BG325" s="5" t="s">
        <v>91</v>
      </c>
    </row>
    <row r="326" ht="16.5" hidden="1" customHeight="1">
      <c r="A326" s="5" t="s">
        <v>100</v>
      </c>
      <c r="B326" s="5" t="s">
        <v>215</v>
      </c>
      <c r="C326" s="5" t="b">
        <v>0</v>
      </c>
      <c r="D326" s="5" t="s">
        <v>1771</v>
      </c>
      <c r="E326" s="5" t="s">
        <v>1772</v>
      </c>
      <c r="F326" s="5"/>
      <c r="G326" s="5" t="s">
        <v>65</v>
      </c>
      <c r="H326" s="5" t="s">
        <v>76</v>
      </c>
      <c r="I326" s="5" t="s">
        <v>218</v>
      </c>
      <c r="J326" s="25" t="s">
        <v>219</v>
      </c>
      <c r="K326" s="25"/>
      <c r="L326" s="25"/>
      <c r="M326" s="5" t="s">
        <v>220</v>
      </c>
      <c r="N326" s="5" t="s">
        <v>68</v>
      </c>
      <c r="O326" s="5" t="s">
        <v>69</v>
      </c>
      <c r="P326" s="5" t="s">
        <v>107</v>
      </c>
      <c r="Q326" s="5" t="s">
        <v>180</v>
      </c>
      <c r="R326" s="5" t="s">
        <v>181</v>
      </c>
      <c r="S326" s="5"/>
      <c r="T326" s="5"/>
      <c r="U326" s="5"/>
      <c r="V326" s="5">
        <v>3000.0</v>
      </c>
      <c r="W326" s="26">
        <v>2.1</v>
      </c>
      <c r="X326" s="5">
        <v>1429.0</v>
      </c>
      <c r="Y326" s="27">
        <v>0.0</v>
      </c>
      <c r="Z326" s="28">
        <v>1429.0</v>
      </c>
      <c r="AA326" s="27">
        <v>1.0</v>
      </c>
      <c r="AB326" s="5" t="s">
        <v>78</v>
      </c>
      <c r="AC326" s="27"/>
      <c r="AD326" s="5"/>
      <c r="AE326" s="5" t="s">
        <v>198</v>
      </c>
      <c r="AF326" s="5" t="s">
        <v>166</v>
      </c>
      <c r="AG326" s="5"/>
      <c r="AH326" s="5">
        <v>4.0</v>
      </c>
      <c r="AI326" s="5" t="s">
        <v>1665</v>
      </c>
      <c r="AJ326" s="5" t="s">
        <v>0</v>
      </c>
      <c r="AK326" s="30"/>
      <c r="AL326" s="28">
        <v>0.0</v>
      </c>
      <c r="AM326" s="28">
        <v>0.0</v>
      </c>
      <c r="AN326" s="28">
        <v>2515.0</v>
      </c>
      <c r="AO326" s="28">
        <v>0.0</v>
      </c>
      <c r="AP326" s="28">
        <v>0.0</v>
      </c>
      <c r="AQ326" s="28">
        <v>0.0</v>
      </c>
      <c r="AR326" s="28">
        <v>0.0</v>
      </c>
      <c r="AS326" s="28">
        <v>0.0</v>
      </c>
      <c r="AT326" s="28">
        <v>0.0</v>
      </c>
      <c r="AU326" s="28">
        <v>0.0</v>
      </c>
      <c r="AV326" s="28">
        <v>0.0</v>
      </c>
      <c r="AW326" s="28">
        <v>0.0</v>
      </c>
      <c r="AX326" s="28">
        <v>2910800.4031007756</v>
      </c>
      <c r="AY326" s="28">
        <v>0.0</v>
      </c>
      <c r="AZ326" s="5" t="s">
        <v>124</v>
      </c>
      <c r="BA326" s="5" t="s">
        <v>226</v>
      </c>
      <c r="BB326" s="5" t="s">
        <v>227</v>
      </c>
      <c r="BC326" s="5" t="s">
        <v>1558</v>
      </c>
      <c r="BD326" s="5" t="s">
        <v>68</v>
      </c>
      <c r="BE326" s="5" t="s">
        <v>128</v>
      </c>
      <c r="BF326" s="5" t="s">
        <v>206</v>
      </c>
      <c r="BG326" s="5" t="s">
        <v>91</v>
      </c>
    </row>
    <row r="327" ht="16.5" hidden="1" customHeight="1">
      <c r="A327" s="5" t="s">
        <v>100</v>
      </c>
      <c r="B327" s="5" t="s">
        <v>215</v>
      </c>
      <c r="C327" s="5" t="b">
        <v>0</v>
      </c>
      <c r="D327" s="5" t="s">
        <v>1773</v>
      </c>
      <c r="E327" s="5" t="s">
        <v>1774</v>
      </c>
      <c r="F327" s="5"/>
      <c r="G327" s="5" t="s">
        <v>65</v>
      </c>
      <c r="H327" s="5" t="s">
        <v>76</v>
      </c>
      <c r="I327" s="5" t="s">
        <v>218</v>
      </c>
      <c r="J327" s="25" t="s">
        <v>219</v>
      </c>
      <c r="K327" s="25"/>
      <c r="L327" s="25"/>
      <c r="M327" s="5" t="s">
        <v>66</v>
      </c>
      <c r="N327" s="5" t="s">
        <v>248</v>
      </c>
      <c r="O327" s="5" t="s">
        <v>69</v>
      </c>
      <c r="P327" s="5" t="s">
        <v>249</v>
      </c>
      <c r="Q327" s="5" t="s">
        <v>291</v>
      </c>
      <c r="R327" s="5" t="s">
        <v>23</v>
      </c>
      <c r="S327" s="5"/>
      <c r="T327" s="5"/>
      <c r="U327" s="5"/>
      <c r="V327" s="5">
        <v>400.0</v>
      </c>
      <c r="W327" s="26">
        <v>2.1</v>
      </c>
      <c r="X327" s="5">
        <v>190.0</v>
      </c>
      <c r="Y327" s="27">
        <v>0.0</v>
      </c>
      <c r="Z327" s="28">
        <v>190.0</v>
      </c>
      <c r="AA327" s="27">
        <v>1.0</v>
      </c>
      <c r="AB327" s="5" t="s">
        <v>78</v>
      </c>
      <c r="AC327" s="27"/>
      <c r="AD327" s="5"/>
      <c r="AE327" s="5" t="s">
        <v>81</v>
      </c>
      <c r="AF327" s="5" t="s">
        <v>81</v>
      </c>
      <c r="AG327" s="5"/>
      <c r="AH327" s="5">
        <v>3.0</v>
      </c>
      <c r="AI327" s="5" t="s">
        <v>632</v>
      </c>
      <c r="AJ327" s="5" t="s">
        <v>156</v>
      </c>
      <c r="AK327" s="30"/>
      <c r="AL327" s="28">
        <v>0.0</v>
      </c>
      <c r="AM327" s="28">
        <v>0.0</v>
      </c>
      <c r="AN327" s="28">
        <v>2263.0</v>
      </c>
      <c r="AO327" s="28">
        <v>0.0</v>
      </c>
      <c r="AP327" s="28">
        <v>0.0</v>
      </c>
      <c r="AQ327" s="28">
        <v>0.0</v>
      </c>
      <c r="AR327" s="28">
        <v>0.0</v>
      </c>
      <c r="AS327" s="28">
        <v>0.0</v>
      </c>
      <c r="AT327" s="28">
        <v>0.0</v>
      </c>
      <c r="AU327" s="28">
        <v>0.0</v>
      </c>
      <c r="AV327" s="28">
        <v>0.0</v>
      </c>
      <c r="AW327" s="28">
        <v>0.0</v>
      </c>
      <c r="AX327" s="28">
        <v>359821.5083056478</v>
      </c>
      <c r="AY327" s="28">
        <v>0.0</v>
      </c>
      <c r="AZ327" s="5" t="s">
        <v>124</v>
      </c>
      <c r="BA327" s="5" t="s">
        <v>125</v>
      </c>
      <c r="BB327" s="5" t="s">
        <v>127</v>
      </c>
      <c r="BD327" s="5" t="s">
        <v>248</v>
      </c>
      <c r="BE327" s="5" t="s">
        <v>253</v>
      </c>
      <c r="BF327" s="5" t="s">
        <v>291</v>
      </c>
      <c r="BG327" s="5" t="s">
        <v>131</v>
      </c>
    </row>
    <row r="328" ht="16.5" hidden="1" customHeight="1">
      <c r="A328" s="5" t="s">
        <v>100</v>
      </c>
      <c r="B328" s="5" t="s">
        <v>215</v>
      </c>
      <c r="C328" s="5" t="b">
        <v>0</v>
      </c>
      <c r="D328" s="5" t="s">
        <v>1776</v>
      </c>
      <c r="E328" s="5" t="s">
        <v>1777</v>
      </c>
      <c r="F328" s="5"/>
      <c r="G328" s="5" t="s">
        <v>65</v>
      </c>
      <c r="H328" s="5" t="s">
        <v>76</v>
      </c>
      <c r="I328" s="5" t="s">
        <v>218</v>
      </c>
      <c r="J328" s="25" t="s">
        <v>219</v>
      </c>
      <c r="K328" s="25"/>
      <c r="L328" s="25"/>
      <c r="M328" s="5" t="s">
        <v>66</v>
      </c>
      <c r="N328" s="5" t="s">
        <v>248</v>
      </c>
      <c r="O328" s="5" t="s">
        <v>69</v>
      </c>
      <c r="P328" s="5" t="s">
        <v>249</v>
      </c>
      <c r="Q328" s="5" t="s">
        <v>291</v>
      </c>
      <c r="R328" s="5" t="s">
        <v>23</v>
      </c>
      <c r="S328" s="5"/>
      <c r="T328" s="5"/>
      <c r="U328" s="5"/>
      <c r="V328" s="5">
        <v>600.0</v>
      </c>
      <c r="W328" s="26">
        <v>2.1</v>
      </c>
      <c r="X328" s="5">
        <v>286.0</v>
      </c>
      <c r="Y328" s="27">
        <v>0.0</v>
      </c>
      <c r="Z328" s="28">
        <v>286.0</v>
      </c>
      <c r="AA328" s="27">
        <v>1.0</v>
      </c>
      <c r="AB328" s="5" t="s">
        <v>117</v>
      </c>
      <c r="AC328" s="27"/>
      <c r="AD328" s="5"/>
      <c r="AE328" s="5" t="s">
        <v>81</v>
      </c>
      <c r="AF328" s="5" t="s">
        <v>81</v>
      </c>
      <c r="AG328" s="5"/>
      <c r="AH328" s="5">
        <v>4.0</v>
      </c>
      <c r="AI328" s="5" t="s">
        <v>1865</v>
      </c>
      <c r="AJ328" s="5" t="s">
        <v>0</v>
      </c>
      <c r="AK328" s="30"/>
      <c r="AL328" s="28">
        <v>0.0</v>
      </c>
      <c r="AM328" s="28">
        <v>0.0</v>
      </c>
      <c r="AN328" s="28">
        <v>2930.0</v>
      </c>
      <c r="AO328" s="28">
        <v>0.0</v>
      </c>
      <c r="AP328" s="28">
        <v>0.0</v>
      </c>
      <c r="AQ328" s="28">
        <v>0.0</v>
      </c>
      <c r="AR328" s="28">
        <v>0.0</v>
      </c>
      <c r="AS328" s="28">
        <v>0.0</v>
      </c>
      <c r="AT328" s="28">
        <v>0.0</v>
      </c>
      <c r="AU328" s="28">
        <v>0.0</v>
      </c>
      <c r="AV328" s="28">
        <v>0.0</v>
      </c>
      <c r="AW328" s="28">
        <v>0.0</v>
      </c>
      <c r="AX328" s="28">
        <v>658625.7826135105</v>
      </c>
      <c r="AY328" s="28">
        <v>0.0</v>
      </c>
      <c r="AZ328" s="5" t="s">
        <v>124</v>
      </c>
      <c r="BA328" s="5" t="s">
        <v>125</v>
      </c>
      <c r="BB328" s="5" t="s">
        <v>127</v>
      </c>
      <c r="BD328" s="5" t="s">
        <v>248</v>
      </c>
      <c r="BE328" s="5" t="s">
        <v>253</v>
      </c>
      <c r="BF328" s="5" t="s">
        <v>291</v>
      </c>
      <c r="BG328" s="5" t="s">
        <v>131</v>
      </c>
    </row>
    <row r="329" ht="16.5" hidden="1" customHeight="1">
      <c r="A329" s="5" t="s">
        <v>100</v>
      </c>
      <c r="B329" s="5" t="s">
        <v>200</v>
      </c>
      <c r="C329" s="5" t="b">
        <v>0</v>
      </c>
      <c r="D329" s="5" t="s">
        <v>542</v>
      </c>
      <c r="E329" s="5" t="s">
        <v>543</v>
      </c>
      <c r="F329" s="5"/>
      <c r="G329" s="5" t="s">
        <v>65</v>
      </c>
      <c r="H329" s="5" t="s">
        <v>76</v>
      </c>
      <c r="I329" s="5" t="s">
        <v>106</v>
      </c>
      <c r="J329" s="25" t="s">
        <v>164</v>
      </c>
      <c r="K329" s="25"/>
      <c r="L329" s="25"/>
      <c r="M329" s="5" t="s">
        <v>66</v>
      </c>
      <c r="N329" s="5" t="s">
        <v>334</v>
      </c>
      <c r="O329" s="5" t="s">
        <v>141</v>
      </c>
      <c r="P329" s="5" t="s">
        <v>70</v>
      </c>
      <c r="Q329" s="5" t="s">
        <v>778</v>
      </c>
      <c r="R329" s="5" t="s">
        <v>110</v>
      </c>
      <c r="S329" s="5"/>
      <c r="T329" s="5"/>
      <c r="U329" s="5"/>
      <c r="V329" s="5">
        <v>700.0</v>
      </c>
      <c r="W329" s="26">
        <v>2.1</v>
      </c>
      <c r="X329" s="5">
        <v>333.0</v>
      </c>
      <c r="Y329" s="27">
        <v>0.0</v>
      </c>
      <c r="Z329" s="28">
        <v>333.0</v>
      </c>
      <c r="AA329" s="27">
        <v>1.0</v>
      </c>
      <c r="AB329" s="5" t="s">
        <v>78</v>
      </c>
      <c r="AC329" s="27"/>
      <c r="AD329" s="5"/>
      <c r="AE329" s="5" t="s">
        <v>81</v>
      </c>
      <c r="AF329" s="5" t="s">
        <v>81</v>
      </c>
      <c r="AG329" s="5"/>
      <c r="AH329" s="5">
        <v>4.0</v>
      </c>
      <c r="AI329" s="5" t="s">
        <v>1866</v>
      </c>
      <c r="AJ329" s="5" t="s">
        <v>0</v>
      </c>
      <c r="AK329" s="30"/>
      <c r="AL329" s="28">
        <v>1190.0</v>
      </c>
      <c r="AM329" s="28">
        <v>800.0</v>
      </c>
      <c r="AN329" s="28">
        <v>980.0</v>
      </c>
      <c r="AO329" s="28">
        <v>0.0</v>
      </c>
      <c r="AP329" s="28">
        <v>0.0</v>
      </c>
      <c r="AQ329" s="28">
        <v>396662.7</v>
      </c>
      <c r="AR329" s="28">
        <v>0.0</v>
      </c>
      <c r="AS329" s="28">
        <v>0.0</v>
      </c>
      <c r="AT329" s="28">
        <v>0.0</v>
      </c>
      <c r="AU329" s="28">
        <v>0.0</v>
      </c>
      <c r="AV329" s="28">
        <v>326426.76688815065</v>
      </c>
      <c r="AW329" s="28">
        <v>176238.34724500004</v>
      </c>
      <c r="AX329" s="28">
        <v>111386.01129568106</v>
      </c>
      <c r="AY329" s="28">
        <v>0.0</v>
      </c>
      <c r="AZ329" s="5" t="s">
        <v>124</v>
      </c>
      <c r="BA329" s="5" t="s">
        <v>125</v>
      </c>
      <c r="BB329" s="5" t="s">
        <v>127</v>
      </c>
      <c r="BC329" s="5" t="s">
        <v>237</v>
      </c>
      <c r="BD329" s="5" t="s">
        <v>334</v>
      </c>
      <c r="BE329" s="5" t="s">
        <v>348</v>
      </c>
      <c r="BF329" s="5" t="s">
        <v>553</v>
      </c>
      <c r="BG329" s="5" t="s">
        <v>131</v>
      </c>
    </row>
    <row r="330" ht="16.5" hidden="1" customHeight="1">
      <c r="A330" s="5" t="s">
        <v>100</v>
      </c>
      <c r="B330" s="5" t="s">
        <v>200</v>
      </c>
      <c r="C330" s="5" t="b">
        <v>0</v>
      </c>
      <c r="D330" s="5" t="s">
        <v>556</v>
      </c>
      <c r="E330" s="5" t="s">
        <v>557</v>
      </c>
      <c r="F330" s="5"/>
      <c r="G330" s="5" t="s">
        <v>65</v>
      </c>
      <c r="H330" s="5" t="s">
        <v>76</v>
      </c>
      <c r="I330" s="5" t="s">
        <v>106</v>
      </c>
      <c r="J330" s="25" t="s">
        <v>164</v>
      </c>
      <c r="K330" s="25"/>
      <c r="L330" s="25"/>
      <c r="M330" s="5" t="s">
        <v>66</v>
      </c>
      <c r="N330" s="5" t="s">
        <v>334</v>
      </c>
      <c r="O330" s="5" t="s">
        <v>141</v>
      </c>
      <c r="P330" s="5" t="s">
        <v>107</v>
      </c>
      <c r="Q330" s="5" t="s">
        <v>778</v>
      </c>
      <c r="R330" s="5" t="s">
        <v>110</v>
      </c>
      <c r="S330" s="5"/>
      <c r="T330" s="5"/>
      <c r="U330" s="5"/>
      <c r="V330" s="5">
        <v>700.0</v>
      </c>
      <c r="W330" s="26">
        <v>2.1</v>
      </c>
      <c r="X330" s="5">
        <v>333.0</v>
      </c>
      <c r="Y330" s="27">
        <v>0.0</v>
      </c>
      <c r="Z330" s="28">
        <v>333.0</v>
      </c>
      <c r="AA330" s="27">
        <v>1.0</v>
      </c>
      <c r="AB330" s="5" t="s">
        <v>78</v>
      </c>
      <c r="AC330" s="27"/>
      <c r="AD330" s="5"/>
      <c r="AE330" s="5" t="s">
        <v>81</v>
      </c>
      <c r="AF330" s="5" t="s">
        <v>81</v>
      </c>
      <c r="AG330" s="5"/>
      <c r="AH330" s="5">
        <v>4.0</v>
      </c>
      <c r="AI330" s="5" t="s">
        <v>0</v>
      </c>
      <c r="AJ330" s="5" t="s">
        <v>0</v>
      </c>
      <c r="AK330" s="30"/>
      <c r="AL330" s="28">
        <v>875.0</v>
      </c>
      <c r="AM330" s="28">
        <v>754.0</v>
      </c>
      <c r="AN330" s="28">
        <v>620.0</v>
      </c>
      <c r="AO330" s="28">
        <v>0.0</v>
      </c>
      <c r="AP330" s="28">
        <v>0.0</v>
      </c>
      <c r="AQ330" s="28">
        <v>291663.75000000006</v>
      </c>
      <c r="AR330" s="28">
        <v>0.0</v>
      </c>
      <c r="AS330" s="28">
        <v>0.0</v>
      </c>
      <c r="AT330" s="28">
        <v>0.0</v>
      </c>
      <c r="AU330" s="28">
        <v>0.0</v>
      </c>
      <c r="AV330" s="28">
        <v>242062.2070874862</v>
      </c>
      <c r="AW330" s="28">
        <v>165695.73614500003</v>
      </c>
      <c r="AX330" s="28">
        <v>66808.18272425249</v>
      </c>
      <c r="AY330" s="28">
        <v>0.0</v>
      </c>
      <c r="AZ330" s="5" t="s">
        <v>124</v>
      </c>
      <c r="BA330" s="5" t="s">
        <v>125</v>
      </c>
      <c r="BB330" s="5" t="s">
        <v>127</v>
      </c>
      <c r="BC330" s="5" t="s">
        <v>237</v>
      </c>
      <c r="BD330" s="5" t="s">
        <v>334</v>
      </c>
      <c r="BE330" s="5" t="s">
        <v>348</v>
      </c>
      <c r="BF330" s="5" t="s">
        <v>553</v>
      </c>
      <c r="BG330" s="5" t="s">
        <v>131</v>
      </c>
    </row>
    <row r="331" ht="16.5" hidden="1" customHeight="1">
      <c r="A331" s="5" t="s">
        <v>100</v>
      </c>
      <c r="B331" s="5" t="s">
        <v>200</v>
      </c>
      <c r="C331" s="5" t="b">
        <v>0</v>
      </c>
      <c r="D331" s="5" t="s">
        <v>568</v>
      </c>
      <c r="E331" s="5" t="s">
        <v>569</v>
      </c>
      <c r="F331" s="5"/>
      <c r="G331" s="5" t="s">
        <v>65</v>
      </c>
      <c r="H331" s="5" t="s">
        <v>76</v>
      </c>
      <c r="I331" s="5" t="s">
        <v>106</v>
      </c>
      <c r="J331" s="25" t="s">
        <v>164</v>
      </c>
      <c r="K331" s="25"/>
      <c r="L331" s="25"/>
      <c r="M331" s="5" t="s">
        <v>66</v>
      </c>
      <c r="N331" s="5" t="s">
        <v>334</v>
      </c>
      <c r="O331" s="5" t="s">
        <v>141</v>
      </c>
      <c r="P331" s="5" t="s">
        <v>70</v>
      </c>
      <c r="Q331" s="5" t="s">
        <v>778</v>
      </c>
      <c r="R331" s="5" t="s">
        <v>110</v>
      </c>
      <c r="S331" s="5"/>
      <c r="T331" s="5"/>
      <c r="U331" s="5"/>
      <c r="V331" s="5">
        <v>500.0</v>
      </c>
      <c r="W331" s="26">
        <v>2.1</v>
      </c>
      <c r="X331" s="5">
        <v>238.0</v>
      </c>
      <c r="Y331" s="27">
        <v>0.0</v>
      </c>
      <c r="Z331" s="28">
        <v>238.0</v>
      </c>
      <c r="AA331" s="27">
        <v>1.0</v>
      </c>
      <c r="AB331" s="5" t="s">
        <v>78</v>
      </c>
      <c r="AC331" s="27"/>
      <c r="AD331" s="5"/>
      <c r="AE331" s="5" t="s">
        <v>81</v>
      </c>
      <c r="AF331" s="5" t="s">
        <v>81</v>
      </c>
      <c r="AG331" s="5"/>
      <c r="AH331" s="5">
        <v>4.0</v>
      </c>
      <c r="AI331" s="5" t="s">
        <v>1866</v>
      </c>
      <c r="AJ331" s="5" t="s">
        <v>0</v>
      </c>
      <c r="AK331" s="30"/>
      <c r="AL331" s="28">
        <v>2510.0</v>
      </c>
      <c r="AM331" s="28">
        <v>3685.0</v>
      </c>
      <c r="AN331" s="28">
        <v>250.0</v>
      </c>
      <c r="AO331" s="28">
        <v>0.0</v>
      </c>
      <c r="AP331" s="28">
        <v>0.0</v>
      </c>
      <c r="AQ331" s="28">
        <v>597631.0</v>
      </c>
      <c r="AR331" s="28">
        <v>0.0</v>
      </c>
      <c r="AS331" s="28">
        <v>0.0</v>
      </c>
      <c r="AT331" s="28">
        <v>0.0</v>
      </c>
      <c r="AU331" s="28">
        <v>0.0</v>
      </c>
      <c r="AV331" s="28">
        <v>484205.4664451828</v>
      </c>
      <c r="AW331" s="28">
        <v>553361.8794677001</v>
      </c>
      <c r="AX331" s="28">
        <v>47273.30232558139</v>
      </c>
      <c r="AY331" s="28">
        <v>0.0</v>
      </c>
      <c r="AZ331" s="5" t="s">
        <v>124</v>
      </c>
      <c r="BA331" s="5" t="s">
        <v>125</v>
      </c>
      <c r="BB331" s="5" t="s">
        <v>127</v>
      </c>
      <c r="BC331" s="5" t="s">
        <v>237</v>
      </c>
      <c r="BD331" s="5" t="s">
        <v>334</v>
      </c>
      <c r="BE331" s="5" t="s">
        <v>348</v>
      </c>
      <c r="BF331" s="5" t="s">
        <v>553</v>
      </c>
      <c r="BG331" s="5" t="s">
        <v>131</v>
      </c>
    </row>
    <row r="332" ht="16.5" hidden="1" customHeight="1">
      <c r="A332" s="5" t="s">
        <v>100</v>
      </c>
      <c r="B332" s="5" t="s">
        <v>200</v>
      </c>
      <c r="C332" s="5" t="b">
        <v>0</v>
      </c>
      <c r="D332" s="5" t="s">
        <v>579</v>
      </c>
      <c r="E332" s="5" t="s">
        <v>580</v>
      </c>
      <c r="F332" s="5"/>
      <c r="G332" s="5" t="s">
        <v>65</v>
      </c>
      <c r="H332" s="5" t="s">
        <v>76</v>
      </c>
      <c r="I332" s="5" t="s">
        <v>106</v>
      </c>
      <c r="J332" s="25" t="s">
        <v>164</v>
      </c>
      <c r="K332" s="25"/>
      <c r="L332" s="25"/>
      <c r="M332" s="5" t="s">
        <v>66</v>
      </c>
      <c r="N332" s="5" t="s">
        <v>334</v>
      </c>
      <c r="O332" s="5" t="s">
        <v>141</v>
      </c>
      <c r="P332" s="5" t="s">
        <v>107</v>
      </c>
      <c r="Q332" s="5" t="s">
        <v>778</v>
      </c>
      <c r="R332" s="5" t="s">
        <v>110</v>
      </c>
      <c r="S332" s="5"/>
      <c r="T332" s="5"/>
      <c r="U332" s="5"/>
      <c r="V332" s="5">
        <v>500.0</v>
      </c>
      <c r="W332" s="26">
        <v>2.1</v>
      </c>
      <c r="X332" s="5">
        <v>238.0</v>
      </c>
      <c r="Y332" s="27">
        <v>0.0</v>
      </c>
      <c r="Z332" s="28">
        <v>238.0</v>
      </c>
      <c r="AA332" s="27">
        <v>1.0</v>
      </c>
      <c r="AB332" s="5" t="s">
        <v>78</v>
      </c>
      <c r="AC332" s="27"/>
      <c r="AD332" s="5"/>
      <c r="AE332" s="5" t="s">
        <v>81</v>
      </c>
      <c r="AF332" s="5" t="s">
        <v>81</v>
      </c>
      <c r="AG332" s="5"/>
      <c r="AH332" s="5">
        <v>4.0</v>
      </c>
      <c r="AI332" s="5" t="s">
        <v>0</v>
      </c>
      <c r="AJ332" s="5" t="s">
        <v>0</v>
      </c>
      <c r="AK332" s="30"/>
      <c r="AL332" s="28">
        <v>2070.0</v>
      </c>
      <c r="AM332" s="28">
        <v>2760.0</v>
      </c>
      <c r="AN332" s="28">
        <v>190.0</v>
      </c>
      <c r="AO332" s="28">
        <v>0.0</v>
      </c>
      <c r="AP332" s="28">
        <v>0.0</v>
      </c>
      <c r="AQ332" s="28">
        <v>492867.0</v>
      </c>
      <c r="AR332" s="28">
        <v>0.0</v>
      </c>
      <c r="AS332" s="28">
        <v>0.0</v>
      </c>
      <c r="AT332" s="28">
        <v>0.0</v>
      </c>
      <c r="AU332" s="28">
        <v>0.0</v>
      </c>
      <c r="AV332" s="28">
        <v>399786.304540421</v>
      </c>
      <c r="AW332" s="28">
        <v>425969.48259600013</v>
      </c>
      <c r="AX332" s="28">
        <v>35713.30232558139</v>
      </c>
      <c r="AY332" s="28">
        <v>0.0</v>
      </c>
      <c r="AZ332" s="5" t="s">
        <v>124</v>
      </c>
      <c r="BA332" s="5" t="s">
        <v>125</v>
      </c>
      <c r="BB332" s="5" t="s">
        <v>127</v>
      </c>
      <c r="BC332" s="5" t="s">
        <v>237</v>
      </c>
      <c r="BD332" s="5" t="s">
        <v>334</v>
      </c>
      <c r="BE332" s="5" t="s">
        <v>348</v>
      </c>
      <c r="BF332" s="5" t="s">
        <v>553</v>
      </c>
      <c r="BG332" s="5" t="s">
        <v>131</v>
      </c>
    </row>
    <row r="333" ht="16.5" hidden="1" customHeight="1">
      <c r="A333" s="5" t="s">
        <v>100</v>
      </c>
      <c r="B333" s="5" t="s">
        <v>137</v>
      </c>
      <c r="C333" s="5" t="b">
        <v>1</v>
      </c>
      <c r="D333" s="5" t="s">
        <v>1779</v>
      </c>
      <c r="E333" s="5" t="s">
        <v>1780</v>
      </c>
      <c r="F333" s="5"/>
      <c r="G333" s="5" t="s">
        <v>65</v>
      </c>
      <c r="H333" s="5" t="s">
        <v>76</v>
      </c>
      <c r="I333" s="5" t="s">
        <v>82</v>
      </c>
      <c r="J333" s="25"/>
      <c r="K333" s="25"/>
      <c r="L333" s="25"/>
      <c r="M333" s="5" t="s">
        <v>247</v>
      </c>
      <c r="N333" s="5" t="s">
        <v>248</v>
      </c>
      <c r="O333" s="5" t="s">
        <v>69</v>
      </c>
      <c r="P333" s="5" t="s">
        <v>249</v>
      </c>
      <c r="Q333" s="5" t="s">
        <v>254</v>
      </c>
      <c r="R333" s="5" t="s">
        <v>23</v>
      </c>
      <c r="S333" s="5"/>
      <c r="T333" s="5"/>
      <c r="U333" s="5"/>
      <c r="V333" s="5">
        <v>550.0</v>
      </c>
      <c r="W333" s="26">
        <v>2.1</v>
      </c>
      <c r="X333" s="5">
        <v>262.0</v>
      </c>
      <c r="Y333" s="27">
        <v>0.2</v>
      </c>
      <c r="Z333" s="28">
        <v>209.60000000000002</v>
      </c>
      <c r="AA333" s="27">
        <v>1.0</v>
      </c>
      <c r="AB333" s="5" t="s">
        <v>117</v>
      </c>
      <c r="AC333" s="27"/>
      <c r="AD333" s="5"/>
      <c r="AE333" s="5" t="s">
        <v>81</v>
      </c>
      <c r="AF333" s="5" t="s">
        <v>81</v>
      </c>
      <c r="AG333" s="5"/>
      <c r="AH333" s="5">
        <v>0.0</v>
      </c>
      <c r="AI333" s="5" t="s">
        <v>1869</v>
      </c>
      <c r="AJ333" s="5" t="s">
        <v>0</v>
      </c>
      <c r="AK333" s="52">
        <v>500.0</v>
      </c>
      <c r="AL333" s="28">
        <v>0.0</v>
      </c>
      <c r="AM333" s="28">
        <v>0.0</v>
      </c>
      <c r="AN333" s="28">
        <v>679.0</v>
      </c>
      <c r="AO333" s="28">
        <v>1165.0</v>
      </c>
      <c r="AP333" s="28">
        <v>131000.0</v>
      </c>
      <c r="AQ333" s="28">
        <v>0.0</v>
      </c>
      <c r="AR333" s="28">
        <v>305230.0</v>
      </c>
      <c r="AS333" s="28">
        <v>0.0</v>
      </c>
      <c r="AT333" s="28">
        <v>305230.0</v>
      </c>
      <c r="AU333" s="28">
        <v>104800.00000000001</v>
      </c>
      <c r="AV333" s="28">
        <v>0.0</v>
      </c>
      <c r="AW333" s="28">
        <v>0.0</v>
      </c>
      <c r="AX333" s="28">
        <v>156624.33665559246</v>
      </c>
      <c r="AY333" s="28">
        <v>199894.99365000002</v>
      </c>
      <c r="AZ333" s="5" t="s">
        <v>124</v>
      </c>
      <c r="BA333" s="5" t="s">
        <v>125</v>
      </c>
      <c r="BB333" s="5" t="s">
        <v>127</v>
      </c>
      <c r="BD333" s="5" t="s">
        <v>248</v>
      </c>
      <c r="BE333" s="5" t="s">
        <v>253</v>
      </c>
      <c r="BF333" s="5" t="s">
        <v>254</v>
      </c>
      <c r="BG333" s="5" t="s">
        <v>131</v>
      </c>
    </row>
    <row r="334" ht="16.5" hidden="1" customHeight="1">
      <c r="A334" s="5" t="s">
        <v>100</v>
      </c>
      <c r="B334" s="5" t="s">
        <v>137</v>
      </c>
      <c r="C334" s="5" t="b">
        <v>1</v>
      </c>
      <c r="D334" s="5" t="s">
        <v>1781</v>
      </c>
      <c r="E334" s="5" t="s">
        <v>1782</v>
      </c>
      <c r="F334" s="5"/>
      <c r="G334" s="5" t="s">
        <v>65</v>
      </c>
      <c r="H334" s="5" t="s">
        <v>76</v>
      </c>
      <c r="I334" s="5" t="s">
        <v>82</v>
      </c>
      <c r="J334" s="25"/>
      <c r="K334" s="25"/>
      <c r="L334" s="25"/>
      <c r="M334" s="5" t="s">
        <v>247</v>
      </c>
      <c r="N334" s="5" t="s">
        <v>270</v>
      </c>
      <c r="O334" s="5" t="s">
        <v>69</v>
      </c>
      <c r="P334" s="5" t="s">
        <v>70</v>
      </c>
      <c r="Q334" s="5" t="s">
        <v>746</v>
      </c>
      <c r="R334" s="5" t="s">
        <v>110</v>
      </c>
      <c r="S334" s="5"/>
      <c r="T334" s="5"/>
      <c r="U334" s="5"/>
      <c r="V334" s="5">
        <v>1500.0</v>
      </c>
      <c r="W334" s="26">
        <v>2.1</v>
      </c>
      <c r="X334" s="5">
        <v>714.0</v>
      </c>
      <c r="Y334" s="27">
        <v>0.2</v>
      </c>
      <c r="Z334" s="28">
        <v>571.2</v>
      </c>
      <c r="AA334" s="27">
        <v>1.0</v>
      </c>
      <c r="AB334" s="5" t="s">
        <v>117</v>
      </c>
      <c r="AC334" s="27">
        <v>0.55</v>
      </c>
      <c r="AD334" s="5"/>
      <c r="AE334" s="5" t="s">
        <v>81</v>
      </c>
      <c r="AF334" s="5" t="s">
        <v>81</v>
      </c>
      <c r="AG334" s="5">
        <v>2.0</v>
      </c>
      <c r="AH334" s="5">
        <v>2.0</v>
      </c>
      <c r="AI334" s="5" t="s">
        <v>1871</v>
      </c>
      <c r="AJ334" s="5" t="s">
        <v>0</v>
      </c>
      <c r="AK334" s="30">
        <v>1200.0</v>
      </c>
      <c r="AL334" s="28">
        <v>0.0</v>
      </c>
      <c r="AM334" s="28">
        <v>0.0</v>
      </c>
      <c r="AN334" s="28">
        <v>1173.0</v>
      </c>
      <c r="AO334" s="28">
        <v>1803.0</v>
      </c>
      <c r="AP334" s="28">
        <v>856800.0</v>
      </c>
      <c r="AQ334" s="28">
        <v>0.0</v>
      </c>
      <c r="AR334" s="28">
        <v>1287342.0</v>
      </c>
      <c r="AS334" s="28">
        <v>0.0</v>
      </c>
      <c r="AT334" s="28">
        <v>1287342.0</v>
      </c>
      <c r="AU334" s="28">
        <v>685440.0</v>
      </c>
      <c r="AV334" s="28">
        <v>0.0</v>
      </c>
      <c r="AW334" s="28">
        <v>0.0</v>
      </c>
      <c r="AX334" s="28">
        <v>645535.4451827242</v>
      </c>
      <c r="AY334" s="28">
        <v>850285.6522799999</v>
      </c>
      <c r="AZ334" s="5"/>
      <c r="BA334" s="5" t="s">
        <v>125</v>
      </c>
      <c r="BB334" s="5" t="s">
        <v>174</v>
      </c>
      <c r="BC334" s="5" t="s">
        <v>237</v>
      </c>
      <c r="BD334" s="5" t="s">
        <v>276</v>
      </c>
      <c r="BE334" s="5" t="s">
        <v>751</v>
      </c>
      <c r="BF334" s="5" t="s">
        <v>501</v>
      </c>
      <c r="BG334" s="5" t="s">
        <v>131</v>
      </c>
    </row>
    <row r="335" ht="16.5" hidden="1" customHeight="1">
      <c r="A335" s="5" t="s">
        <v>100</v>
      </c>
      <c r="B335" s="5" t="s">
        <v>137</v>
      </c>
      <c r="C335" s="5" t="b">
        <v>1</v>
      </c>
      <c r="D335" s="5" t="s">
        <v>1783</v>
      </c>
      <c r="E335" s="5" t="s">
        <v>1785</v>
      </c>
      <c r="F335" s="5"/>
      <c r="G335" s="5" t="s">
        <v>65</v>
      </c>
      <c r="H335" s="5" t="s">
        <v>76</v>
      </c>
      <c r="I335" s="5" t="s">
        <v>82</v>
      </c>
      <c r="J335" s="25"/>
      <c r="K335" s="25"/>
      <c r="L335" s="25"/>
      <c r="M335" s="5" t="s">
        <v>247</v>
      </c>
      <c r="N335" s="5" t="s">
        <v>270</v>
      </c>
      <c r="O335" s="5" t="s">
        <v>69</v>
      </c>
      <c r="P335" s="5" t="s">
        <v>107</v>
      </c>
      <c r="Q335" s="5" t="s">
        <v>746</v>
      </c>
      <c r="R335" s="5" t="s">
        <v>110</v>
      </c>
      <c r="S335" s="5"/>
      <c r="T335" s="5"/>
      <c r="U335" s="5"/>
      <c r="V335" s="5">
        <v>1500.0</v>
      </c>
      <c r="W335" s="26">
        <v>2.1</v>
      </c>
      <c r="X335" s="5">
        <v>714.0</v>
      </c>
      <c r="Y335" s="27">
        <v>0.2</v>
      </c>
      <c r="Z335" s="28">
        <v>571.2</v>
      </c>
      <c r="AA335" s="27">
        <v>1.0</v>
      </c>
      <c r="AB335" s="5" t="s">
        <v>117</v>
      </c>
      <c r="AC335" s="27">
        <v>0.58</v>
      </c>
      <c r="AD335" s="5"/>
      <c r="AE335" s="5" t="s">
        <v>81</v>
      </c>
      <c r="AF335" s="5" t="s">
        <v>81</v>
      </c>
      <c r="AG335" s="5">
        <v>2.0</v>
      </c>
      <c r="AH335" s="5">
        <v>2.0</v>
      </c>
      <c r="AI335" s="5" t="s">
        <v>1871</v>
      </c>
      <c r="AJ335" s="5" t="s">
        <v>0</v>
      </c>
      <c r="AK335" s="52">
        <v>800.0</v>
      </c>
      <c r="AL335" s="28">
        <v>0.0</v>
      </c>
      <c r="AM335" s="28">
        <v>0.0</v>
      </c>
      <c r="AN335" s="28">
        <v>780.0</v>
      </c>
      <c r="AO335" s="28">
        <v>1387.0</v>
      </c>
      <c r="AP335" s="28">
        <v>571200.0</v>
      </c>
      <c r="AQ335" s="28">
        <v>0.0</v>
      </c>
      <c r="AR335" s="28">
        <v>990318.0</v>
      </c>
      <c r="AS335" s="28">
        <v>0.0</v>
      </c>
      <c r="AT335" s="28">
        <v>990318.0</v>
      </c>
      <c r="AU335" s="28">
        <v>456960.00000000006</v>
      </c>
      <c r="AV335" s="28">
        <v>0.0</v>
      </c>
      <c r="AW335" s="28">
        <v>0.0</v>
      </c>
      <c r="AX335" s="28">
        <v>441855.78427464</v>
      </c>
      <c r="AY335" s="28">
        <v>632588.3586549998</v>
      </c>
      <c r="AZ335" s="5"/>
      <c r="BA335" s="5" t="s">
        <v>125</v>
      </c>
      <c r="BB335" s="5" t="s">
        <v>174</v>
      </c>
      <c r="BC335" s="5" t="s">
        <v>237</v>
      </c>
      <c r="BD335" s="5" t="s">
        <v>276</v>
      </c>
      <c r="BE335" s="5" t="s">
        <v>751</v>
      </c>
      <c r="BF335" s="5" t="s">
        <v>501</v>
      </c>
      <c r="BG335" s="5" t="s">
        <v>131</v>
      </c>
    </row>
    <row r="336" ht="16.5" hidden="1" customHeight="1">
      <c r="A336" s="5" t="s">
        <v>100</v>
      </c>
      <c r="B336" s="5" t="s">
        <v>215</v>
      </c>
      <c r="C336" s="5" t="b">
        <v>0</v>
      </c>
      <c r="D336" s="5" t="s">
        <v>1786</v>
      </c>
      <c r="E336" s="5" t="s">
        <v>1787</v>
      </c>
      <c r="F336" s="5"/>
      <c r="G336" s="5" t="s">
        <v>65</v>
      </c>
      <c r="H336" s="5" t="s">
        <v>76</v>
      </c>
      <c r="I336" s="5" t="s">
        <v>218</v>
      </c>
      <c r="J336" s="25" t="s">
        <v>219</v>
      </c>
      <c r="K336" s="25"/>
      <c r="L336" s="25"/>
      <c r="M336" s="5" t="s">
        <v>247</v>
      </c>
      <c r="N336" s="5" t="s">
        <v>68</v>
      </c>
      <c r="O336" s="5" t="s">
        <v>69</v>
      </c>
      <c r="P336" s="5" t="s">
        <v>70</v>
      </c>
      <c r="Q336" s="5" t="s">
        <v>175</v>
      </c>
      <c r="R336" s="5" t="s">
        <v>110</v>
      </c>
      <c r="S336" s="5"/>
      <c r="T336" s="5"/>
      <c r="U336" s="5"/>
      <c r="V336" s="5">
        <v>8000.0</v>
      </c>
      <c r="W336" s="26">
        <v>2.1</v>
      </c>
      <c r="X336" s="5">
        <v>3810.0</v>
      </c>
      <c r="Y336" s="27">
        <v>0.0</v>
      </c>
      <c r="Z336" s="28">
        <v>3810.0</v>
      </c>
      <c r="AA336" s="27">
        <v>1.0</v>
      </c>
      <c r="AB336" s="5" t="s">
        <v>242</v>
      </c>
      <c r="AC336" s="27"/>
      <c r="AD336" s="5"/>
      <c r="AE336" s="5" t="s">
        <v>80</v>
      </c>
      <c r="AF336" s="5" t="s">
        <v>359</v>
      </c>
      <c r="AG336" s="5"/>
      <c r="AH336" s="5">
        <v>2.0</v>
      </c>
      <c r="AI336" s="5" t="s">
        <v>1873</v>
      </c>
      <c r="AJ336" s="5" t="s">
        <v>0</v>
      </c>
      <c r="AK336" s="30"/>
      <c r="AL336" s="28">
        <v>0.0</v>
      </c>
      <c r="AM336" s="28">
        <v>0.0</v>
      </c>
      <c r="AN336" s="28">
        <v>1149.0</v>
      </c>
      <c r="AO336" s="28">
        <v>1122.0</v>
      </c>
      <c r="AP336" s="28">
        <v>0.0</v>
      </c>
      <c r="AQ336" s="28">
        <v>0.0</v>
      </c>
      <c r="AR336" s="28">
        <v>4274820.0</v>
      </c>
      <c r="AS336" s="28">
        <v>0.0</v>
      </c>
      <c r="AT336" s="28">
        <v>4274820.0</v>
      </c>
      <c r="AU336" s="28">
        <v>0.0</v>
      </c>
      <c r="AV336" s="28">
        <v>0.0</v>
      </c>
      <c r="AW336" s="28">
        <v>0.0</v>
      </c>
      <c r="AX336" s="28">
        <v>3502854.1617940194</v>
      </c>
      <c r="AY336" s="28">
        <v>3933520.3995</v>
      </c>
      <c r="AZ336" s="5" t="s">
        <v>124</v>
      </c>
      <c r="BA336" s="5" t="s">
        <v>125</v>
      </c>
      <c r="BB336" s="5" t="s">
        <v>174</v>
      </c>
      <c r="BC336" s="5" t="s">
        <v>237</v>
      </c>
      <c r="BD336" s="5" t="s">
        <v>68</v>
      </c>
      <c r="BE336" s="5" t="s">
        <v>175</v>
      </c>
      <c r="BF336" s="5" t="s">
        <v>206</v>
      </c>
      <c r="BG336" s="5" t="s">
        <v>91</v>
      </c>
    </row>
    <row r="337" ht="16.5" hidden="1" customHeight="1">
      <c r="A337" s="5" t="s">
        <v>100</v>
      </c>
      <c r="B337" s="5" t="s">
        <v>215</v>
      </c>
      <c r="C337" s="5" t="b">
        <v>0</v>
      </c>
      <c r="D337" s="5" t="s">
        <v>1788</v>
      </c>
      <c r="E337" s="5" t="s">
        <v>1789</v>
      </c>
      <c r="F337" s="5"/>
      <c r="G337" s="5" t="s">
        <v>65</v>
      </c>
      <c r="H337" s="5" t="s">
        <v>76</v>
      </c>
      <c r="I337" s="5" t="s">
        <v>218</v>
      </c>
      <c r="J337" s="25" t="s">
        <v>219</v>
      </c>
      <c r="K337" s="25"/>
      <c r="L337" s="25"/>
      <c r="M337" s="5" t="s">
        <v>247</v>
      </c>
      <c r="N337" s="5" t="s">
        <v>68</v>
      </c>
      <c r="O337" s="5" t="s">
        <v>69</v>
      </c>
      <c r="P337" s="5" t="s">
        <v>107</v>
      </c>
      <c r="Q337" s="5" t="s">
        <v>175</v>
      </c>
      <c r="R337" s="5" t="s">
        <v>110</v>
      </c>
      <c r="S337" s="5"/>
      <c r="T337" s="5"/>
      <c r="U337" s="5"/>
      <c r="V337" s="5">
        <v>8000.0</v>
      </c>
      <c r="W337" s="26">
        <v>2.1</v>
      </c>
      <c r="X337" s="5">
        <v>3810.0</v>
      </c>
      <c r="Y337" s="27">
        <v>0.0</v>
      </c>
      <c r="Z337" s="28">
        <v>3810.0</v>
      </c>
      <c r="AA337" s="27">
        <v>1.0</v>
      </c>
      <c r="AB337" s="5" t="s">
        <v>242</v>
      </c>
      <c r="AC337" s="27"/>
      <c r="AD337" s="5"/>
      <c r="AE337" s="5" t="s">
        <v>80</v>
      </c>
      <c r="AF337" s="5" t="s">
        <v>359</v>
      </c>
      <c r="AG337" s="5"/>
      <c r="AH337" s="5">
        <v>2.0</v>
      </c>
      <c r="AI337" s="5" t="s">
        <v>1873</v>
      </c>
      <c r="AJ337" s="5" t="s">
        <v>0</v>
      </c>
      <c r="AK337" s="30"/>
      <c r="AL337" s="28">
        <v>0.0</v>
      </c>
      <c r="AM337" s="28">
        <v>0.0</v>
      </c>
      <c r="AN337" s="28">
        <v>926.0</v>
      </c>
      <c r="AO337" s="28">
        <v>1397.0</v>
      </c>
      <c r="AP337" s="28">
        <v>0.0</v>
      </c>
      <c r="AQ337" s="28">
        <v>0.0</v>
      </c>
      <c r="AR337" s="28">
        <v>5322570.0</v>
      </c>
      <c r="AS337" s="28">
        <v>0.0</v>
      </c>
      <c r="AT337" s="28">
        <v>5322570.0</v>
      </c>
      <c r="AU337" s="28">
        <v>0.0</v>
      </c>
      <c r="AV337" s="28">
        <v>0.0</v>
      </c>
      <c r="AW337" s="28">
        <v>0.0</v>
      </c>
      <c r="AX337" s="28">
        <v>2977640.0568106305</v>
      </c>
      <c r="AY337" s="28">
        <v>3384386.7337450003</v>
      </c>
      <c r="AZ337" s="5" t="s">
        <v>124</v>
      </c>
      <c r="BA337" s="5" t="s">
        <v>125</v>
      </c>
      <c r="BB337" s="5" t="s">
        <v>174</v>
      </c>
      <c r="BC337" s="5" t="s">
        <v>237</v>
      </c>
      <c r="BD337" s="5" t="s">
        <v>68</v>
      </c>
      <c r="BE337" s="5" t="s">
        <v>175</v>
      </c>
      <c r="BF337" s="5" t="s">
        <v>206</v>
      </c>
      <c r="BG337" s="5" t="s">
        <v>91</v>
      </c>
    </row>
    <row r="338" ht="16.5" hidden="1" customHeight="1">
      <c r="A338" s="5" t="s">
        <v>100</v>
      </c>
      <c r="B338" s="5" t="s">
        <v>215</v>
      </c>
      <c r="C338" s="5" t="b">
        <v>0</v>
      </c>
      <c r="D338" s="5" t="s">
        <v>1790</v>
      </c>
      <c r="E338" s="5" t="s">
        <v>1791</v>
      </c>
      <c r="F338" s="5"/>
      <c r="G338" s="5" t="s">
        <v>65</v>
      </c>
      <c r="H338" s="5" t="s">
        <v>76</v>
      </c>
      <c r="I338" s="5" t="s">
        <v>218</v>
      </c>
      <c r="J338" s="25" t="s">
        <v>219</v>
      </c>
      <c r="K338" s="25"/>
      <c r="L338" s="25"/>
      <c r="M338" s="5" t="s">
        <v>220</v>
      </c>
      <c r="N338" s="5" t="s">
        <v>248</v>
      </c>
      <c r="O338" s="5" t="s">
        <v>69</v>
      </c>
      <c r="P338" s="5" t="s">
        <v>249</v>
      </c>
      <c r="Q338" s="5" t="s">
        <v>291</v>
      </c>
      <c r="R338" s="5" t="s">
        <v>23</v>
      </c>
      <c r="S338" s="5"/>
      <c r="T338" s="5"/>
      <c r="U338" s="5"/>
      <c r="V338" s="5">
        <v>500.0</v>
      </c>
      <c r="W338" s="26">
        <v>1.9</v>
      </c>
      <c r="X338" s="5">
        <v>263.0</v>
      </c>
      <c r="Y338" s="27">
        <v>0.0</v>
      </c>
      <c r="Z338" s="28">
        <v>263.0</v>
      </c>
      <c r="AA338" s="27">
        <v>1.0</v>
      </c>
      <c r="AB338" s="5" t="s">
        <v>117</v>
      </c>
      <c r="AC338" s="27"/>
      <c r="AD338" s="5"/>
      <c r="AE338" s="5" t="s">
        <v>81</v>
      </c>
      <c r="AF338" s="5" t="s">
        <v>81</v>
      </c>
      <c r="AG338" s="5"/>
      <c r="AH338" s="5">
        <v>5.0</v>
      </c>
      <c r="AI338" s="5" t="s">
        <v>1875</v>
      </c>
      <c r="AJ338" s="5" t="s">
        <v>0</v>
      </c>
      <c r="AK338" s="30"/>
      <c r="AL338" s="28">
        <v>0.0</v>
      </c>
      <c r="AM338" s="28">
        <v>0.0</v>
      </c>
      <c r="AN338" s="28">
        <v>3491.0</v>
      </c>
      <c r="AO338" s="28">
        <v>0.0</v>
      </c>
      <c r="AP338" s="28">
        <v>0.0</v>
      </c>
      <c r="AQ338" s="28">
        <v>0.0</v>
      </c>
      <c r="AR338" s="28">
        <v>0.0</v>
      </c>
      <c r="AS338" s="28">
        <v>0.0</v>
      </c>
      <c r="AT338" s="28">
        <v>0.0</v>
      </c>
      <c r="AU338" s="28">
        <v>0.0</v>
      </c>
      <c r="AV338" s="28">
        <v>0.0</v>
      </c>
      <c r="AW338" s="28">
        <v>0.0</v>
      </c>
      <c r="AX338" s="28">
        <v>774049.1710526318</v>
      </c>
      <c r="AY338" s="28">
        <v>0.0</v>
      </c>
      <c r="AZ338" s="5" t="s">
        <v>124</v>
      </c>
      <c r="BA338" s="5" t="s">
        <v>125</v>
      </c>
      <c r="BB338" s="5" t="s">
        <v>127</v>
      </c>
      <c r="BD338" s="5" t="s">
        <v>248</v>
      </c>
      <c r="BE338" s="5" t="s">
        <v>253</v>
      </c>
      <c r="BF338" s="5" t="s">
        <v>291</v>
      </c>
      <c r="BG338" s="5" t="s">
        <v>131</v>
      </c>
    </row>
    <row r="339" ht="16.5" hidden="1" customHeight="1">
      <c r="A339" s="5" t="s">
        <v>100</v>
      </c>
      <c r="B339" s="5" t="s">
        <v>215</v>
      </c>
      <c r="C339" s="5" t="b">
        <v>0</v>
      </c>
      <c r="D339" s="5" t="s">
        <v>1792</v>
      </c>
      <c r="E339" s="5" t="s">
        <v>1793</v>
      </c>
      <c r="F339" s="5"/>
      <c r="G339" s="5" t="s">
        <v>65</v>
      </c>
      <c r="H339" s="5" t="s">
        <v>76</v>
      </c>
      <c r="I339" s="5" t="s">
        <v>218</v>
      </c>
      <c r="J339" s="25" t="s">
        <v>219</v>
      </c>
      <c r="K339" s="25"/>
      <c r="L339" s="25"/>
      <c r="M339" s="5" t="s">
        <v>220</v>
      </c>
      <c r="N339" s="5" t="s">
        <v>68</v>
      </c>
      <c r="O339" s="5" t="s">
        <v>69</v>
      </c>
      <c r="P339" s="5" t="s">
        <v>70</v>
      </c>
      <c r="Q339" s="5" t="s">
        <v>89</v>
      </c>
      <c r="R339" s="5" t="s">
        <v>110</v>
      </c>
      <c r="S339" s="5"/>
      <c r="T339" s="5"/>
      <c r="U339" s="5"/>
      <c r="V339" s="5">
        <v>6500.0</v>
      </c>
      <c r="W339" s="26">
        <v>1.9</v>
      </c>
      <c r="X339" s="5">
        <v>3421.0</v>
      </c>
      <c r="Y339" s="27">
        <v>0.0</v>
      </c>
      <c r="Z339" s="28">
        <v>3421.0</v>
      </c>
      <c r="AA339" s="27">
        <v>1.0</v>
      </c>
      <c r="AB339" s="5" t="s">
        <v>117</v>
      </c>
      <c r="AC339" s="27"/>
      <c r="AD339" s="5"/>
      <c r="AE339" s="5" t="s">
        <v>80</v>
      </c>
      <c r="AF339" s="5" t="s">
        <v>81</v>
      </c>
      <c r="AG339" s="5"/>
      <c r="AH339" s="5">
        <v>4.0</v>
      </c>
      <c r="AI339" s="5" t="s">
        <v>1877</v>
      </c>
      <c r="AJ339" s="5" t="s">
        <v>0</v>
      </c>
      <c r="AK339" s="30"/>
      <c r="AL339" s="28">
        <v>0.0</v>
      </c>
      <c r="AM339" s="28">
        <v>0.0</v>
      </c>
      <c r="AN339" s="28">
        <v>1590.0</v>
      </c>
      <c r="AO339" s="28">
        <v>1523.0</v>
      </c>
      <c r="AP339" s="28">
        <v>0.0</v>
      </c>
      <c r="AQ339" s="28">
        <v>0.0</v>
      </c>
      <c r="AR339" s="28">
        <v>5210183.0</v>
      </c>
      <c r="AS339" s="28">
        <v>0.0</v>
      </c>
      <c r="AT339" s="28">
        <v>5210183.0</v>
      </c>
      <c r="AU339" s="28">
        <v>0.0</v>
      </c>
      <c r="AV339" s="28">
        <v>0.0</v>
      </c>
      <c r="AW339" s="28">
        <v>0.0</v>
      </c>
      <c r="AX339" s="28">
        <v>4506855.210526316</v>
      </c>
      <c r="AY339" s="28">
        <v>4409143.818538</v>
      </c>
      <c r="AZ339" s="5" t="s">
        <v>124</v>
      </c>
      <c r="BA339" s="5" t="s">
        <v>226</v>
      </c>
      <c r="BB339" s="5" t="s">
        <v>1641</v>
      </c>
      <c r="BC339" s="5" t="s">
        <v>1878</v>
      </c>
      <c r="BD339" s="5" t="s">
        <v>68</v>
      </c>
      <c r="BE339" s="5" t="s">
        <v>89</v>
      </c>
      <c r="BF339" s="5" t="s">
        <v>132</v>
      </c>
      <c r="BG339" s="5" t="s">
        <v>91</v>
      </c>
    </row>
    <row r="340" ht="16.5" hidden="1" customHeight="1">
      <c r="A340" s="5" t="s">
        <v>100</v>
      </c>
      <c r="B340" s="5" t="s">
        <v>215</v>
      </c>
      <c r="C340" s="5" t="b">
        <v>0</v>
      </c>
      <c r="D340" s="5" t="s">
        <v>1794</v>
      </c>
      <c r="E340" s="5" t="s">
        <v>1795</v>
      </c>
      <c r="F340" s="5"/>
      <c r="G340" s="5" t="s">
        <v>65</v>
      </c>
      <c r="H340" s="5" t="s">
        <v>76</v>
      </c>
      <c r="I340" s="5" t="s">
        <v>218</v>
      </c>
      <c r="J340" s="25" t="s">
        <v>219</v>
      </c>
      <c r="K340" s="25"/>
      <c r="L340" s="25"/>
      <c r="M340" s="5" t="s">
        <v>220</v>
      </c>
      <c r="N340" s="5" t="s">
        <v>68</v>
      </c>
      <c r="O340" s="5" t="s">
        <v>69</v>
      </c>
      <c r="P340" s="5" t="s">
        <v>107</v>
      </c>
      <c r="Q340" s="5" t="s">
        <v>89</v>
      </c>
      <c r="R340" s="5" t="s">
        <v>110</v>
      </c>
      <c r="S340" s="5"/>
      <c r="T340" s="5"/>
      <c r="U340" s="5"/>
      <c r="V340" s="5">
        <v>6500.0</v>
      </c>
      <c r="W340" s="26">
        <v>1.9</v>
      </c>
      <c r="X340" s="5">
        <v>3421.0</v>
      </c>
      <c r="Y340" s="27">
        <v>0.0</v>
      </c>
      <c r="Z340" s="28">
        <v>3421.0</v>
      </c>
      <c r="AA340" s="27">
        <v>1.0</v>
      </c>
      <c r="AB340" s="5" t="s">
        <v>117</v>
      </c>
      <c r="AC340" s="27"/>
      <c r="AD340" s="5"/>
      <c r="AE340" s="5" t="s">
        <v>80</v>
      </c>
      <c r="AF340" s="5" t="s">
        <v>81</v>
      </c>
      <c r="AG340" s="5"/>
      <c r="AH340" s="5">
        <v>3.0</v>
      </c>
      <c r="AI340" s="5" t="s">
        <v>1879</v>
      </c>
      <c r="AJ340" s="5" t="s">
        <v>0</v>
      </c>
      <c r="AK340" s="30"/>
      <c r="AL340" s="28">
        <v>0.0</v>
      </c>
      <c r="AM340" s="28">
        <v>0.0</v>
      </c>
      <c r="AN340" s="28">
        <v>1099.0</v>
      </c>
      <c r="AO340" s="28">
        <v>994.0</v>
      </c>
      <c r="AP340" s="28">
        <v>0.0</v>
      </c>
      <c r="AQ340" s="28">
        <v>0.0</v>
      </c>
      <c r="AR340" s="28">
        <v>3400474.0</v>
      </c>
      <c r="AS340" s="28">
        <v>0.0</v>
      </c>
      <c r="AT340" s="28">
        <v>3400474.0</v>
      </c>
      <c r="AU340" s="28">
        <v>0.0</v>
      </c>
      <c r="AV340" s="28">
        <v>0.0</v>
      </c>
      <c r="AW340" s="28">
        <v>0.0</v>
      </c>
      <c r="AX340" s="28">
        <v>3232701.7763157897</v>
      </c>
      <c r="AY340" s="28">
        <v>2972263.5255599995</v>
      </c>
      <c r="AZ340" s="5" t="s">
        <v>124</v>
      </c>
      <c r="BA340" s="5" t="s">
        <v>226</v>
      </c>
      <c r="BB340" s="5" t="s">
        <v>1641</v>
      </c>
      <c r="BC340" s="5" t="s">
        <v>1878</v>
      </c>
      <c r="BD340" s="5" t="s">
        <v>68</v>
      </c>
      <c r="BE340" s="5" t="s">
        <v>89</v>
      </c>
      <c r="BF340" s="5" t="s">
        <v>132</v>
      </c>
      <c r="BG340" s="5" t="s">
        <v>91</v>
      </c>
    </row>
    <row r="341" ht="16.5" hidden="1" customHeight="1">
      <c r="A341" s="5" t="s">
        <v>100</v>
      </c>
      <c r="B341" s="5" t="s">
        <v>215</v>
      </c>
      <c r="C341" s="5" t="b">
        <v>0</v>
      </c>
      <c r="D341" s="5" t="s">
        <v>1796</v>
      </c>
      <c r="E341" s="5" t="s">
        <v>1797</v>
      </c>
      <c r="F341" s="5"/>
      <c r="G341" s="5" t="s">
        <v>65</v>
      </c>
      <c r="H341" s="5" t="s">
        <v>76</v>
      </c>
      <c r="I341" s="5" t="s">
        <v>218</v>
      </c>
      <c r="J341" s="25" t="s">
        <v>219</v>
      </c>
      <c r="K341" s="25"/>
      <c r="L341" s="25"/>
      <c r="M341" s="5" t="s">
        <v>220</v>
      </c>
      <c r="N341" s="5" t="s">
        <v>68</v>
      </c>
      <c r="O341" s="5" t="s">
        <v>69</v>
      </c>
      <c r="P341" s="5" t="s">
        <v>70</v>
      </c>
      <c r="Q341" s="5" t="s">
        <v>180</v>
      </c>
      <c r="R341" s="5" t="s">
        <v>181</v>
      </c>
      <c r="S341" s="5"/>
      <c r="T341" s="5"/>
      <c r="U341" s="5"/>
      <c r="V341" s="5">
        <v>5500.0</v>
      </c>
      <c r="W341" s="26">
        <v>1.9</v>
      </c>
      <c r="X341" s="5">
        <v>2895.0</v>
      </c>
      <c r="Y341" s="27">
        <v>0.0</v>
      </c>
      <c r="Z341" s="28">
        <v>2895.0</v>
      </c>
      <c r="AA341" s="27">
        <v>1.0</v>
      </c>
      <c r="AB341" s="5" t="s">
        <v>117</v>
      </c>
      <c r="AC341" s="27"/>
      <c r="AD341" s="5"/>
      <c r="AE341" s="5" t="s">
        <v>80</v>
      </c>
      <c r="AF341" s="5" t="s">
        <v>81</v>
      </c>
      <c r="AG341" s="5"/>
      <c r="AH341" s="5">
        <v>3.0</v>
      </c>
      <c r="AI341" s="5" t="s">
        <v>1881</v>
      </c>
      <c r="AJ341" s="5" t="s">
        <v>0</v>
      </c>
      <c r="AK341" s="30"/>
      <c r="AL341" s="28">
        <v>0.0</v>
      </c>
      <c r="AM341" s="28">
        <v>0.0</v>
      </c>
      <c r="AN341" s="28">
        <v>1372.0</v>
      </c>
      <c r="AO341" s="28">
        <v>1286.0</v>
      </c>
      <c r="AP341" s="28">
        <v>0.0</v>
      </c>
      <c r="AQ341" s="28">
        <v>0.0</v>
      </c>
      <c r="AR341" s="28">
        <v>3722970.0</v>
      </c>
      <c r="AS341" s="28">
        <v>0.0</v>
      </c>
      <c r="AT341" s="28">
        <v>3722970.0</v>
      </c>
      <c r="AU341" s="28">
        <v>0.0</v>
      </c>
      <c r="AV341" s="28">
        <v>0.0</v>
      </c>
      <c r="AW341" s="28">
        <v>0.0</v>
      </c>
      <c r="AX341" s="28">
        <v>3461147.521052632</v>
      </c>
      <c r="AY341" s="28">
        <v>3302417.8787230006</v>
      </c>
      <c r="AZ341" s="5" t="s">
        <v>124</v>
      </c>
      <c r="BA341" s="5" t="s">
        <v>226</v>
      </c>
      <c r="BB341" s="5" t="s">
        <v>1641</v>
      </c>
      <c r="BC341" s="5" t="s">
        <v>1878</v>
      </c>
      <c r="BD341" s="5" t="s">
        <v>68</v>
      </c>
      <c r="BE341" s="5" t="s">
        <v>128</v>
      </c>
      <c r="BF341" s="5" t="s">
        <v>132</v>
      </c>
      <c r="BG341" s="5" t="s">
        <v>91</v>
      </c>
    </row>
    <row r="342" ht="16.5" hidden="1" customHeight="1">
      <c r="A342" s="5" t="s">
        <v>100</v>
      </c>
      <c r="B342" s="5" t="s">
        <v>215</v>
      </c>
      <c r="C342" s="5" t="b">
        <v>0</v>
      </c>
      <c r="D342" s="5" t="s">
        <v>1798</v>
      </c>
      <c r="E342" s="5" t="s">
        <v>1799</v>
      </c>
      <c r="F342" s="5"/>
      <c r="G342" s="5" t="s">
        <v>65</v>
      </c>
      <c r="H342" s="5" t="s">
        <v>76</v>
      </c>
      <c r="I342" s="5" t="s">
        <v>218</v>
      </c>
      <c r="J342" s="25" t="s">
        <v>219</v>
      </c>
      <c r="K342" s="25"/>
      <c r="L342" s="25"/>
      <c r="M342" s="5" t="s">
        <v>220</v>
      </c>
      <c r="N342" s="5" t="s">
        <v>68</v>
      </c>
      <c r="O342" s="5" t="s">
        <v>69</v>
      </c>
      <c r="P342" s="5" t="s">
        <v>107</v>
      </c>
      <c r="Q342" s="5" t="s">
        <v>180</v>
      </c>
      <c r="R342" s="5" t="s">
        <v>181</v>
      </c>
      <c r="S342" s="5"/>
      <c r="T342" s="5"/>
      <c r="U342" s="5"/>
      <c r="V342" s="5">
        <v>5500.0</v>
      </c>
      <c r="W342" s="26">
        <v>1.9</v>
      </c>
      <c r="X342" s="5">
        <v>2895.0</v>
      </c>
      <c r="Y342" s="27">
        <v>0.0</v>
      </c>
      <c r="Z342" s="28">
        <v>2895.0</v>
      </c>
      <c r="AA342" s="27">
        <v>1.0</v>
      </c>
      <c r="AB342" s="5" t="s">
        <v>117</v>
      </c>
      <c r="AC342" s="27"/>
      <c r="AD342" s="5"/>
      <c r="AE342" s="5" t="s">
        <v>80</v>
      </c>
      <c r="AF342" s="5" t="s">
        <v>81</v>
      </c>
      <c r="AG342" s="5"/>
      <c r="AH342" s="5">
        <v>3.0</v>
      </c>
      <c r="AI342" s="5" t="s">
        <v>1882</v>
      </c>
      <c r="AJ342" s="5" t="s">
        <v>0</v>
      </c>
      <c r="AK342" s="30"/>
      <c r="AL342" s="28">
        <v>0.0</v>
      </c>
      <c r="AM342" s="28">
        <v>0.0</v>
      </c>
      <c r="AN342" s="28">
        <v>1019.0</v>
      </c>
      <c r="AO342" s="28">
        <v>895.0</v>
      </c>
      <c r="AP342" s="28">
        <v>0.0</v>
      </c>
      <c r="AQ342" s="28">
        <v>0.0</v>
      </c>
      <c r="AR342" s="28">
        <v>2591025.0</v>
      </c>
      <c r="AS342" s="28">
        <v>0.0</v>
      </c>
      <c r="AT342" s="28">
        <v>2591025.0</v>
      </c>
      <c r="AU342" s="28">
        <v>0.0</v>
      </c>
      <c r="AV342" s="28">
        <v>0.0</v>
      </c>
      <c r="AW342" s="28">
        <v>0.0</v>
      </c>
      <c r="AX342" s="28">
        <v>2667074.6842105268</v>
      </c>
      <c r="AY342" s="28">
        <v>2372101.748295</v>
      </c>
      <c r="AZ342" s="5" t="s">
        <v>124</v>
      </c>
      <c r="BA342" s="5" t="s">
        <v>226</v>
      </c>
      <c r="BB342" s="5" t="s">
        <v>1641</v>
      </c>
      <c r="BC342" s="5" t="s">
        <v>1878</v>
      </c>
      <c r="BD342" s="5" t="s">
        <v>68</v>
      </c>
      <c r="BE342" s="5" t="s">
        <v>128</v>
      </c>
      <c r="BF342" s="5" t="s">
        <v>132</v>
      </c>
      <c r="BG342" s="5" t="s">
        <v>91</v>
      </c>
    </row>
    <row r="343" ht="16.5" hidden="1" customHeight="1">
      <c r="A343" s="5" t="s">
        <v>100</v>
      </c>
      <c r="B343" s="5" t="s">
        <v>215</v>
      </c>
      <c r="C343" s="5" t="b">
        <v>0</v>
      </c>
      <c r="D343" s="5" t="s">
        <v>1800</v>
      </c>
      <c r="E343" s="5" t="s">
        <v>1801</v>
      </c>
      <c r="F343" s="5"/>
      <c r="G343" s="5" t="s">
        <v>65</v>
      </c>
      <c r="H343" s="5" t="s">
        <v>76</v>
      </c>
      <c r="I343" s="5" t="s">
        <v>218</v>
      </c>
      <c r="J343" s="25" t="s">
        <v>219</v>
      </c>
      <c r="K343" s="25"/>
      <c r="L343" s="25"/>
      <c r="M343" s="5" t="s">
        <v>220</v>
      </c>
      <c r="N343" s="5" t="s">
        <v>68</v>
      </c>
      <c r="O343" s="5" t="s">
        <v>69</v>
      </c>
      <c r="P343" s="5" t="s">
        <v>70</v>
      </c>
      <c r="Q343" s="5" t="s">
        <v>180</v>
      </c>
      <c r="R343" s="5" t="s">
        <v>181</v>
      </c>
      <c r="S343" s="5"/>
      <c r="T343" s="5"/>
      <c r="U343" s="5"/>
      <c r="V343" s="5">
        <v>6500.0</v>
      </c>
      <c r="W343" s="26">
        <v>1.9</v>
      </c>
      <c r="X343" s="5">
        <v>3421.0</v>
      </c>
      <c r="Y343" s="27">
        <v>0.0</v>
      </c>
      <c r="Z343" s="28">
        <v>3421.0</v>
      </c>
      <c r="AA343" s="27">
        <v>1.0</v>
      </c>
      <c r="AB343" s="5" t="s">
        <v>242</v>
      </c>
      <c r="AC343" s="27"/>
      <c r="AD343" s="5"/>
      <c r="AE343" s="5" t="s">
        <v>80</v>
      </c>
      <c r="AF343" s="5" t="s">
        <v>81</v>
      </c>
      <c r="AG343" s="5"/>
      <c r="AH343" s="5">
        <v>3.0</v>
      </c>
      <c r="AI343" s="5" t="s">
        <v>1884</v>
      </c>
      <c r="AJ343" s="5" t="s">
        <v>0</v>
      </c>
      <c r="AK343" s="30"/>
      <c r="AL343" s="28">
        <v>0.0</v>
      </c>
      <c r="AM343" s="28">
        <v>0.0</v>
      </c>
      <c r="AN343" s="28">
        <v>1504.0</v>
      </c>
      <c r="AO343" s="28">
        <v>1203.0</v>
      </c>
      <c r="AP343" s="28">
        <v>0.0</v>
      </c>
      <c r="AQ343" s="28">
        <v>0.0</v>
      </c>
      <c r="AR343" s="28">
        <v>4115463.0</v>
      </c>
      <c r="AS343" s="28">
        <v>0.0</v>
      </c>
      <c r="AT343" s="28">
        <v>4115463.0</v>
      </c>
      <c r="AU343" s="28">
        <v>0.0</v>
      </c>
      <c r="AV343" s="28">
        <v>0.0</v>
      </c>
      <c r="AW343" s="28">
        <v>0.0</v>
      </c>
      <c r="AX343" s="28">
        <v>4361856.2105263155</v>
      </c>
      <c r="AY343" s="28">
        <v>3544111.6430599997</v>
      </c>
      <c r="AZ343" s="5" t="s">
        <v>124</v>
      </c>
      <c r="BA343" s="5" t="s">
        <v>226</v>
      </c>
      <c r="BB343" s="5" t="s">
        <v>1641</v>
      </c>
      <c r="BC343" s="5" t="s">
        <v>1878</v>
      </c>
      <c r="BD343" s="5" t="s">
        <v>68</v>
      </c>
      <c r="BE343" s="5" t="s">
        <v>1885</v>
      </c>
      <c r="BF343" s="5" t="s">
        <v>132</v>
      </c>
      <c r="BG343" s="5" t="s">
        <v>91</v>
      </c>
    </row>
    <row r="344" ht="16.5" hidden="1" customHeight="1">
      <c r="A344" s="5" t="s">
        <v>100</v>
      </c>
      <c r="B344" s="5" t="s">
        <v>215</v>
      </c>
      <c r="C344" s="5" t="b">
        <v>0</v>
      </c>
      <c r="D344" s="5" t="s">
        <v>1802</v>
      </c>
      <c r="E344" s="5" t="s">
        <v>1803</v>
      </c>
      <c r="F344" s="5"/>
      <c r="G344" s="5" t="s">
        <v>65</v>
      </c>
      <c r="H344" s="5" t="s">
        <v>76</v>
      </c>
      <c r="I344" s="5" t="s">
        <v>218</v>
      </c>
      <c r="J344" s="25" t="s">
        <v>219</v>
      </c>
      <c r="K344" s="25"/>
      <c r="L344" s="25"/>
      <c r="M344" s="5" t="s">
        <v>220</v>
      </c>
      <c r="N344" s="5" t="s">
        <v>68</v>
      </c>
      <c r="O344" s="5" t="s">
        <v>69</v>
      </c>
      <c r="P344" s="5" t="s">
        <v>107</v>
      </c>
      <c r="Q344" s="5" t="s">
        <v>180</v>
      </c>
      <c r="R344" s="5" t="s">
        <v>181</v>
      </c>
      <c r="S344" s="5"/>
      <c r="T344" s="5"/>
      <c r="U344" s="5"/>
      <c r="V344" s="5">
        <v>6500.0</v>
      </c>
      <c r="W344" s="26">
        <v>1.9</v>
      </c>
      <c r="X344" s="5">
        <v>3421.0</v>
      </c>
      <c r="Y344" s="27">
        <v>0.0</v>
      </c>
      <c r="Z344" s="28">
        <v>3421.0</v>
      </c>
      <c r="AA344" s="27">
        <v>1.0</v>
      </c>
      <c r="AB344" s="5" t="s">
        <v>242</v>
      </c>
      <c r="AC344" s="27"/>
      <c r="AD344" s="5"/>
      <c r="AE344" s="5" t="s">
        <v>80</v>
      </c>
      <c r="AF344" s="5" t="s">
        <v>81</v>
      </c>
      <c r="AG344" s="5"/>
      <c r="AH344" s="5">
        <v>3.0</v>
      </c>
      <c r="AI344" s="5" t="s">
        <v>1886</v>
      </c>
      <c r="AJ344" s="5" t="s">
        <v>0</v>
      </c>
      <c r="AK344" s="30"/>
      <c r="AL344" s="28">
        <v>0.0</v>
      </c>
      <c r="AM344" s="28">
        <v>0.0</v>
      </c>
      <c r="AN344" s="28">
        <v>1008.0</v>
      </c>
      <c r="AO344" s="28">
        <v>904.0</v>
      </c>
      <c r="AP344" s="28">
        <v>0.0</v>
      </c>
      <c r="AQ344" s="28">
        <v>0.0</v>
      </c>
      <c r="AR344" s="28">
        <v>3092584.0</v>
      </c>
      <c r="AS344" s="28">
        <v>0.0</v>
      </c>
      <c r="AT344" s="28">
        <v>3092584.0</v>
      </c>
      <c r="AU344" s="28">
        <v>0.0</v>
      </c>
      <c r="AV344" s="28">
        <v>0.0</v>
      </c>
      <c r="AW344" s="28">
        <v>0.0</v>
      </c>
      <c r="AX344" s="28">
        <v>3009763.578947369</v>
      </c>
      <c r="AY344" s="28">
        <v>2768395.0954399994</v>
      </c>
      <c r="AZ344" s="5" t="s">
        <v>124</v>
      </c>
      <c r="BA344" s="5" t="s">
        <v>226</v>
      </c>
      <c r="BB344" s="5" t="s">
        <v>1641</v>
      </c>
      <c r="BC344" s="5" t="s">
        <v>1878</v>
      </c>
      <c r="BD344" s="5" t="s">
        <v>68</v>
      </c>
      <c r="BE344" s="5" t="s">
        <v>1885</v>
      </c>
      <c r="BF344" s="5" t="s">
        <v>132</v>
      </c>
      <c r="BG344" s="5" t="s">
        <v>91</v>
      </c>
    </row>
    <row r="345" ht="16.5" hidden="1" customHeight="1">
      <c r="A345" s="5" t="s">
        <v>100</v>
      </c>
      <c r="B345" s="5" t="s">
        <v>215</v>
      </c>
      <c r="C345" s="5" t="b">
        <v>0</v>
      </c>
      <c r="D345" s="5" t="s">
        <v>1804</v>
      </c>
      <c r="E345" s="5" t="s">
        <v>1805</v>
      </c>
      <c r="F345" s="5"/>
      <c r="G345" s="5" t="s">
        <v>65</v>
      </c>
      <c r="H345" s="5" t="s">
        <v>76</v>
      </c>
      <c r="I345" s="5" t="s">
        <v>218</v>
      </c>
      <c r="J345" s="25" t="s">
        <v>219</v>
      </c>
      <c r="K345" s="25"/>
      <c r="L345" s="25"/>
      <c r="M345" s="5" t="s">
        <v>220</v>
      </c>
      <c r="N345" s="5" t="s">
        <v>68</v>
      </c>
      <c r="O345" s="5" t="s">
        <v>69</v>
      </c>
      <c r="P345" s="5" t="s">
        <v>70</v>
      </c>
      <c r="Q345" s="5" t="s">
        <v>89</v>
      </c>
      <c r="R345" s="5" t="s">
        <v>110</v>
      </c>
      <c r="S345" s="5"/>
      <c r="T345" s="5"/>
      <c r="U345" s="5"/>
      <c r="V345" s="5">
        <v>8500.0</v>
      </c>
      <c r="W345" s="26">
        <v>1.9</v>
      </c>
      <c r="X345" s="5">
        <v>4474.0</v>
      </c>
      <c r="Y345" s="27">
        <v>0.0</v>
      </c>
      <c r="Z345" s="28">
        <v>4474.0</v>
      </c>
      <c r="AA345" s="27">
        <v>1.0</v>
      </c>
      <c r="AB345" s="5" t="s">
        <v>242</v>
      </c>
      <c r="AC345" s="27"/>
      <c r="AD345" s="5"/>
      <c r="AE345" s="5" t="s">
        <v>80</v>
      </c>
      <c r="AF345" s="5" t="s">
        <v>81</v>
      </c>
      <c r="AG345" s="5"/>
      <c r="AH345" s="5">
        <v>3.0</v>
      </c>
      <c r="AI345" s="5" t="s">
        <v>1888</v>
      </c>
      <c r="AJ345" s="5" t="s">
        <v>0</v>
      </c>
      <c r="AK345" s="30"/>
      <c r="AL345" s="28">
        <v>0.0</v>
      </c>
      <c r="AM345" s="28">
        <v>0.0</v>
      </c>
      <c r="AN345" s="28">
        <v>1100.0</v>
      </c>
      <c r="AO345" s="28">
        <v>1019.0</v>
      </c>
      <c r="AP345" s="28">
        <v>0.0</v>
      </c>
      <c r="AQ345" s="28">
        <v>0.0</v>
      </c>
      <c r="AR345" s="28">
        <v>4559006.0</v>
      </c>
      <c r="AS345" s="28">
        <v>0.0</v>
      </c>
      <c r="AT345" s="28">
        <v>4559006.0</v>
      </c>
      <c r="AU345" s="28">
        <v>0.0</v>
      </c>
      <c r="AV345" s="28">
        <v>0.0</v>
      </c>
      <c r="AW345" s="28">
        <v>0.0</v>
      </c>
      <c r="AX345" s="28">
        <v>3883145.2473684214</v>
      </c>
      <c r="AY345" s="28">
        <v>3475177.616759999</v>
      </c>
      <c r="AZ345" s="5" t="s">
        <v>124</v>
      </c>
      <c r="BA345" s="5" t="s">
        <v>226</v>
      </c>
      <c r="BB345" s="5" t="s">
        <v>1641</v>
      </c>
      <c r="BC345" s="5" t="s">
        <v>1878</v>
      </c>
      <c r="BD345" s="5" t="s">
        <v>68</v>
      </c>
      <c r="BE345" s="5" t="s">
        <v>89</v>
      </c>
      <c r="BF345" s="5" t="s">
        <v>132</v>
      </c>
      <c r="BG345" s="5" t="s">
        <v>91</v>
      </c>
    </row>
    <row r="346" ht="16.5" hidden="1" customHeight="1">
      <c r="A346" s="5" t="s">
        <v>100</v>
      </c>
      <c r="B346" s="5" t="s">
        <v>215</v>
      </c>
      <c r="C346" s="5" t="b">
        <v>0</v>
      </c>
      <c r="D346" s="5" t="s">
        <v>1806</v>
      </c>
      <c r="E346" s="5" t="s">
        <v>1807</v>
      </c>
      <c r="F346" s="5"/>
      <c r="G346" s="5" t="s">
        <v>65</v>
      </c>
      <c r="H346" s="5" t="s">
        <v>76</v>
      </c>
      <c r="I346" s="5" t="s">
        <v>218</v>
      </c>
      <c r="J346" s="25" t="s">
        <v>219</v>
      </c>
      <c r="K346" s="25"/>
      <c r="L346" s="25"/>
      <c r="M346" s="5" t="s">
        <v>220</v>
      </c>
      <c r="N346" s="5" t="s">
        <v>68</v>
      </c>
      <c r="O346" s="5" t="s">
        <v>69</v>
      </c>
      <c r="P346" s="5" t="s">
        <v>107</v>
      </c>
      <c r="Q346" s="5" t="s">
        <v>89</v>
      </c>
      <c r="R346" s="5" t="s">
        <v>110</v>
      </c>
      <c r="S346" s="5"/>
      <c r="T346" s="5"/>
      <c r="U346" s="5"/>
      <c r="V346" s="5">
        <v>8500.0</v>
      </c>
      <c r="W346" s="26">
        <v>1.9</v>
      </c>
      <c r="X346" s="5">
        <v>4474.0</v>
      </c>
      <c r="Y346" s="27">
        <v>0.0</v>
      </c>
      <c r="Z346" s="28">
        <v>4474.0</v>
      </c>
      <c r="AA346" s="27">
        <v>1.0</v>
      </c>
      <c r="AB346" s="5" t="s">
        <v>242</v>
      </c>
      <c r="AC346" s="27"/>
      <c r="AD346" s="5"/>
      <c r="AE346" s="5" t="s">
        <v>80</v>
      </c>
      <c r="AF346" s="5" t="s">
        <v>81</v>
      </c>
      <c r="AG346" s="5"/>
      <c r="AH346" s="5">
        <v>3.0</v>
      </c>
      <c r="AI346" s="5" t="s">
        <v>1889</v>
      </c>
      <c r="AJ346" s="5" t="s">
        <v>0</v>
      </c>
      <c r="AK346" s="30"/>
      <c r="AL346" s="28">
        <v>0.0</v>
      </c>
      <c r="AM346" s="28">
        <v>0.0</v>
      </c>
      <c r="AN346" s="28">
        <v>840.0</v>
      </c>
      <c r="AO346" s="28">
        <v>839.0</v>
      </c>
      <c r="AP346" s="28">
        <v>0.0</v>
      </c>
      <c r="AQ346" s="28">
        <v>0.0</v>
      </c>
      <c r="AR346" s="28">
        <v>3753686.0</v>
      </c>
      <c r="AS346" s="28">
        <v>0.0</v>
      </c>
      <c r="AT346" s="28">
        <v>3753686.0</v>
      </c>
      <c r="AU346" s="28">
        <v>0.0</v>
      </c>
      <c r="AV346" s="28">
        <v>0.0</v>
      </c>
      <c r="AW346" s="28">
        <v>0.0</v>
      </c>
      <c r="AX346" s="28">
        <v>3046820.2605263162</v>
      </c>
      <c r="AY346" s="28">
        <v>2869944.432558</v>
      </c>
      <c r="AZ346" s="5" t="s">
        <v>124</v>
      </c>
      <c r="BA346" s="5" t="s">
        <v>226</v>
      </c>
      <c r="BB346" s="5" t="s">
        <v>1641</v>
      </c>
      <c r="BC346" s="5" t="s">
        <v>1878</v>
      </c>
      <c r="BD346" s="5" t="s">
        <v>68</v>
      </c>
      <c r="BE346" s="5" t="s">
        <v>89</v>
      </c>
      <c r="BF346" s="5" t="s">
        <v>132</v>
      </c>
      <c r="BG346" s="5" t="s">
        <v>91</v>
      </c>
    </row>
    <row r="347" ht="16.5" hidden="1" customHeight="1">
      <c r="A347" s="5" t="s">
        <v>100</v>
      </c>
      <c r="B347" s="5" t="s">
        <v>215</v>
      </c>
      <c r="C347" s="5" t="b">
        <v>0</v>
      </c>
      <c r="D347" s="5" t="s">
        <v>1808</v>
      </c>
      <c r="E347" s="5" t="s">
        <v>1809</v>
      </c>
      <c r="F347" s="5"/>
      <c r="G347" s="5" t="s">
        <v>65</v>
      </c>
      <c r="H347" s="5" t="s">
        <v>76</v>
      </c>
      <c r="I347" s="5" t="s">
        <v>218</v>
      </c>
      <c r="J347" s="25" t="s">
        <v>219</v>
      </c>
      <c r="K347" s="25"/>
      <c r="L347" s="25"/>
      <c r="M347" s="5" t="s">
        <v>220</v>
      </c>
      <c r="N347" s="5" t="s">
        <v>248</v>
      </c>
      <c r="O347" s="5" t="s">
        <v>69</v>
      </c>
      <c r="P347" s="5" t="s">
        <v>249</v>
      </c>
      <c r="Q347" s="5" t="s">
        <v>1891</v>
      </c>
      <c r="R347" s="5" t="s">
        <v>23</v>
      </c>
      <c r="S347" s="5"/>
      <c r="T347" s="5"/>
      <c r="U347" s="5"/>
      <c r="V347" s="5">
        <v>400.0</v>
      </c>
      <c r="W347" s="26">
        <v>1.9</v>
      </c>
      <c r="X347" s="5">
        <v>211.0</v>
      </c>
      <c r="Y347" s="27">
        <v>0.0</v>
      </c>
      <c r="Z347" s="28">
        <v>211.0</v>
      </c>
      <c r="AA347" s="27">
        <v>1.0</v>
      </c>
      <c r="AB347" s="5" t="s">
        <v>117</v>
      </c>
      <c r="AC347" s="27"/>
      <c r="AD347" s="5"/>
      <c r="AE347" s="5" t="s">
        <v>81</v>
      </c>
      <c r="AF347" s="5" t="s">
        <v>81</v>
      </c>
      <c r="AG347" s="5"/>
      <c r="AH347" s="5">
        <v>4.0</v>
      </c>
      <c r="AI347" s="5" t="s">
        <v>1892</v>
      </c>
      <c r="AJ347" s="5" t="s">
        <v>0</v>
      </c>
      <c r="AK347" s="30"/>
      <c r="AL347" s="28">
        <v>0.0</v>
      </c>
      <c r="AM347" s="28">
        <v>0.0</v>
      </c>
      <c r="AN347" s="28">
        <v>1913.0</v>
      </c>
      <c r="AO347" s="28">
        <v>1729.0</v>
      </c>
      <c r="AP347" s="28">
        <v>0.0</v>
      </c>
      <c r="AQ347" s="28">
        <v>0.0</v>
      </c>
      <c r="AR347" s="28">
        <v>364819.0</v>
      </c>
      <c r="AS347" s="28">
        <v>0.0</v>
      </c>
      <c r="AT347" s="28">
        <v>364819.0</v>
      </c>
      <c r="AU347" s="28">
        <v>0.0</v>
      </c>
      <c r="AV347" s="28">
        <v>0.0</v>
      </c>
      <c r="AW347" s="28">
        <v>0.0</v>
      </c>
      <c r="AX347" s="28">
        <v>347946.71052631584</v>
      </c>
      <c r="AY347" s="28">
        <v>322813.04601</v>
      </c>
      <c r="AZ347" s="5" t="s">
        <v>124</v>
      </c>
      <c r="BA347" s="5" t="s">
        <v>125</v>
      </c>
      <c r="BB347" s="5" t="s">
        <v>127</v>
      </c>
      <c r="BD347" s="5" t="s">
        <v>248</v>
      </c>
      <c r="BE347" s="5" t="s">
        <v>253</v>
      </c>
      <c r="BF347" s="5" t="s">
        <v>1891</v>
      </c>
      <c r="BG347" s="5" t="s">
        <v>131</v>
      </c>
    </row>
    <row r="348" ht="16.5" hidden="1" customHeight="1">
      <c r="A348" s="5" t="s">
        <v>100</v>
      </c>
      <c r="B348" s="5" t="s">
        <v>215</v>
      </c>
      <c r="C348" s="5" t="b">
        <v>0</v>
      </c>
      <c r="D348" s="5" t="s">
        <v>1810</v>
      </c>
      <c r="E348" s="5" t="s">
        <v>1811</v>
      </c>
      <c r="F348" s="5"/>
      <c r="G348" s="5" t="s">
        <v>65</v>
      </c>
      <c r="H348" s="5" t="s">
        <v>76</v>
      </c>
      <c r="I348" s="5" t="s">
        <v>218</v>
      </c>
      <c r="J348" s="25" t="s">
        <v>219</v>
      </c>
      <c r="K348" s="25"/>
      <c r="L348" s="25"/>
      <c r="M348" s="5" t="s">
        <v>220</v>
      </c>
      <c r="N348" s="5" t="s">
        <v>270</v>
      </c>
      <c r="O348" s="5" t="s">
        <v>69</v>
      </c>
      <c r="P348" s="5" t="s">
        <v>70</v>
      </c>
      <c r="Q348" s="5" t="s">
        <v>502</v>
      </c>
      <c r="R348" s="5" t="s">
        <v>110</v>
      </c>
      <c r="S348" s="5"/>
      <c r="T348" s="5"/>
      <c r="U348" s="5"/>
      <c r="V348" s="5">
        <v>2200.0</v>
      </c>
      <c r="W348" s="26">
        <v>1.9</v>
      </c>
      <c r="X348" s="5">
        <v>1158.0</v>
      </c>
      <c r="Y348" s="27">
        <v>0.0</v>
      </c>
      <c r="Z348" s="28">
        <v>1158.0</v>
      </c>
      <c r="AA348" s="27">
        <v>1.0</v>
      </c>
      <c r="AB348" s="5" t="s">
        <v>117</v>
      </c>
      <c r="AC348" s="27"/>
      <c r="AD348" s="5"/>
      <c r="AE348" s="5" t="s">
        <v>273</v>
      </c>
      <c r="AF348" s="5" t="s">
        <v>81</v>
      </c>
      <c r="AG348" s="5"/>
      <c r="AH348" s="5">
        <v>2.0</v>
      </c>
      <c r="AI348" s="5" t="s">
        <v>1894</v>
      </c>
      <c r="AJ348" s="5" t="s">
        <v>0</v>
      </c>
      <c r="AK348" s="30"/>
      <c r="AL348" s="28">
        <v>0.0</v>
      </c>
      <c r="AM348" s="28">
        <v>0.0</v>
      </c>
      <c r="AN348" s="28">
        <v>1813.0</v>
      </c>
      <c r="AO348" s="28">
        <v>1995.0</v>
      </c>
      <c r="AP348" s="28">
        <v>0.0</v>
      </c>
      <c r="AQ348" s="28">
        <v>0.0</v>
      </c>
      <c r="AR348" s="28">
        <v>2310210.0</v>
      </c>
      <c r="AS348" s="28">
        <v>0.0</v>
      </c>
      <c r="AT348" s="28">
        <v>2310210.0</v>
      </c>
      <c r="AU348" s="28">
        <v>0.0</v>
      </c>
      <c r="AV348" s="28">
        <v>0.0</v>
      </c>
      <c r="AW348" s="28">
        <v>0.0</v>
      </c>
      <c r="AX348" s="28">
        <v>1521468.5263157894</v>
      </c>
      <c r="AY348" s="28">
        <v>1586269.7331449997</v>
      </c>
      <c r="AZ348" s="5" t="s">
        <v>124</v>
      </c>
      <c r="BA348" s="5" t="s">
        <v>226</v>
      </c>
      <c r="BB348" s="5" t="s">
        <v>1641</v>
      </c>
      <c r="BC348" s="5" t="s">
        <v>1878</v>
      </c>
      <c r="BD348" s="5" t="s">
        <v>276</v>
      </c>
      <c r="BE348" s="5" t="s">
        <v>161</v>
      </c>
      <c r="BF348" s="5" t="s">
        <v>501</v>
      </c>
      <c r="BG348" s="5" t="s">
        <v>131</v>
      </c>
    </row>
    <row r="349" ht="16.5" hidden="1" customHeight="1">
      <c r="A349" s="5" t="s">
        <v>100</v>
      </c>
      <c r="B349" s="5" t="s">
        <v>215</v>
      </c>
      <c r="C349" s="5" t="b">
        <v>0</v>
      </c>
      <c r="D349" s="5" t="s">
        <v>1812</v>
      </c>
      <c r="E349" s="5" t="s">
        <v>1813</v>
      </c>
      <c r="F349" s="5"/>
      <c r="G349" s="5" t="s">
        <v>65</v>
      </c>
      <c r="H349" s="5" t="s">
        <v>76</v>
      </c>
      <c r="I349" s="5" t="s">
        <v>218</v>
      </c>
      <c r="J349" s="25" t="s">
        <v>219</v>
      </c>
      <c r="K349" s="25"/>
      <c r="L349" s="25"/>
      <c r="M349" s="5" t="s">
        <v>220</v>
      </c>
      <c r="N349" s="5" t="s">
        <v>270</v>
      </c>
      <c r="O349" s="5" t="s">
        <v>69</v>
      </c>
      <c r="P349" s="5" t="s">
        <v>107</v>
      </c>
      <c r="Q349" s="5" t="s">
        <v>502</v>
      </c>
      <c r="R349" s="5" t="s">
        <v>110</v>
      </c>
      <c r="S349" s="5"/>
      <c r="T349" s="5"/>
      <c r="U349" s="5"/>
      <c r="V349" s="5">
        <v>2200.0</v>
      </c>
      <c r="W349" s="26">
        <v>1.9</v>
      </c>
      <c r="X349" s="5">
        <v>1158.0</v>
      </c>
      <c r="Y349" s="27">
        <v>0.0</v>
      </c>
      <c r="Z349" s="28">
        <v>1158.0</v>
      </c>
      <c r="AA349" s="27">
        <v>1.0</v>
      </c>
      <c r="AB349" s="5" t="s">
        <v>117</v>
      </c>
      <c r="AC349" s="27"/>
      <c r="AD349" s="5"/>
      <c r="AE349" s="5" t="s">
        <v>273</v>
      </c>
      <c r="AF349" s="5" t="s">
        <v>81</v>
      </c>
      <c r="AG349" s="5"/>
      <c r="AH349" s="5">
        <v>2.0</v>
      </c>
      <c r="AI349" s="5" t="s">
        <v>1894</v>
      </c>
      <c r="AJ349" s="5" t="s">
        <v>0</v>
      </c>
      <c r="AK349" s="30"/>
      <c r="AL349" s="28">
        <v>0.0</v>
      </c>
      <c r="AM349" s="28">
        <v>0.0</v>
      </c>
      <c r="AN349" s="28">
        <v>1364.0</v>
      </c>
      <c r="AO349" s="28">
        <v>1424.0</v>
      </c>
      <c r="AP349" s="28">
        <v>0.0</v>
      </c>
      <c r="AQ349" s="28">
        <v>0.0</v>
      </c>
      <c r="AR349" s="28">
        <v>1648992.0</v>
      </c>
      <c r="AS349" s="28">
        <v>0.0</v>
      </c>
      <c r="AT349" s="28">
        <v>1648992.0</v>
      </c>
      <c r="AU349" s="28">
        <v>0.0</v>
      </c>
      <c r="AV349" s="28">
        <v>0.0</v>
      </c>
      <c r="AW349" s="28">
        <v>0.0</v>
      </c>
      <c r="AX349" s="28">
        <v>1208059.9315789475</v>
      </c>
      <c r="AY349" s="28">
        <v>1182663.4753249995</v>
      </c>
      <c r="AZ349" s="5" t="s">
        <v>124</v>
      </c>
      <c r="BA349" s="5" t="s">
        <v>226</v>
      </c>
      <c r="BB349" s="5" t="s">
        <v>1641</v>
      </c>
      <c r="BC349" s="5" t="s">
        <v>1878</v>
      </c>
      <c r="BD349" s="5" t="s">
        <v>276</v>
      </c>
      <c r="BE349" s="5" t="s">
        <v>161</v>
      </c>
      <c r="BF349" s="5" t="s">
        <v>501</v>
      </c>
      <c r="BG349" s="5" t="s">
        <v>131</v>
      </c>
    </row>
    <row r="350" ht="16.5" hidden="1" customHeight="1">
      <c r="A350" s="5" t="s">
        <v>100</v>
      </c>
      <c r="B350" s="5" t="s">
        <v>137</v>
      </c>
      <c r="C350" s="5" t="b">
        <v>0</v>
      </c>
      <c r="D350" s="5" t="s">
        <v>965</v>
      </c>
      <c r="E350" s="5" t="s">
        <v>1895</v>
      </c>
      <c r="F350" s="5"/>
      <c r="G350" s="5" t="s">
        <v>65</v>
      </c>
      <c r="H350" s="5" t="s">
        <v>74</v>
      </c>
      <c r="I350" s="5" t="s">
        <v>106</v>
      </c>
      <c r="J350" s="25" t="s">
        <v>267</v>
      </c>
      <c r="K350" s="25"/>
      <c r="L350" s="25" t="s">
        <v>156</v>
      </c>
      <c r="M350" s="5" t="s">
        <v>66</v>
      </c>
      <c r="N350" s="5" t="s">
        <v>68</v>
      </c>
      <c r="O350" s="5" t="s">
        <v>69</v>
      </c>
      <c r="P350" s="5" t="s">
        <v>70</v>
      </c>
      <c r="Q350" s="5" t="s">
        <v>89</v>
      </c>
      <c r="R350" s="5" t="s">
        <v>110</v>
      </c>
      <c r="S350" s="5"/>
      <c r="T350" s="5"/>
      <c r="U350" s="5"/>
      <c r="V350" s="5">
        <v>2500.0</v>
      </c>
      <c r="W350" s="26">
        <v>2.1</v>
      </c>
      <c r="X350" s="5">
        <v>1190.0</v>
      </c>
      <c r="Y350" s="27">
        <v>0.0</v>
      </c>
      <c r="Z350" s="28">
        <v>1190.0</v>
      </c>
      <c r="AA350" s="27">
        <v>1.0</v>
      </c>
      <c r="AB350" s="5" t="s">
        <v>78</v>
      </c>
      <c r="AC350" s="27"/>
      <c r="AD350" s="5"/>
      <c r="AE350" s="5" t="s">
        <v>166</v>
      </c>
      <c r="AF350" s="5" t="s">
        <v>81</v>
      </c>
      <c r="AG350" s="5"/>
      <c r="AH350" s="5">
        <v>3.0</v>
      </c>
      <c r="AI350" s="5" t="s">
        <v>0</v>
      </c>
      <c r="AJ350" s="5" t="s">
        <v>156</v>
      </c>
      <c r="AK350" s="30"/>
      <c r="AL350" s="28">
        <v>0.0</v>
      </c>
      <c r="AM350" s="28">
        <v>3957.0</v>
      </c>
      <c r="AN350" s="28">
        <v>0.0</v>
      </c>
      <c r="AO350" s="28">
        <v>1025.0</v>
      </c>
      <c r="AP350" s="28">
        <v>0.0</v>
      </c>
      <c r="AQ350" s="28">
        <v>0.0</v>
      </c>
      <c r="AR350" s="28">
        <v>1219750.0</v>
      </c>
      <c r="AS350" s="28">
        <v>0.0</v>
      </c>
      <c r="AT350" s="28">
        <v>1219750.0</v>
      </c>
      <c r="AU350" s="28">
        <v>0.0</v>
      </c>
      <c r="AV350" s="28">
        <v>0.0</v>
      </c>
      <c r="AW350" s="28">
        <v>2822523.0</v>
      </c>
      <c r="AX350" s="28">
        <v>0.0</v>
      </c>
      <c r="AY350" s="28">
        <v>731137.5</v>
      </c>
      <c r="AZ350" s="5" t="s">
        <v>124</v>
      </c>
      <c r="BA350" s="5" t="s">
        <v>125</v>
      </c>
      <c r="BB350" s="5" t="s">
        <v>127</v>
      </c>
      <c r="BD350" s="5" t="s">
        <v>68</v>
      </c>
      <c r="BE350" s="5" t="s">
        <v>89</v>
      </c>
      <c r="BF350" s="5" t="s">
        <v>90</v>
      </c>
      <c r="BG350" s="5" t="s">
        <v>91</v>
      </c>
      <c r="BH350" s="5" t="s">
        <v>1897</v>
      </c>
    </row>
    <row r="351" ht="16.5" hidden="1" customHeight="1">
      <c r="A351" s="5" t="s">
        <v>100</v>
      </c>
      <c r="B351" s="5" t="s">
        <v>137</v>
      </c>
      <c r="C351" s="5" t="b">
        <v>0</v>
      </c>
      <c r="D351" s="5" t="s">
        <v>967</v>
      </c>
      <c r="E351" s="5" t="s">
        <v>1898</v>
      </c>
      <c r="F351" s="5"/>
      <c r="G351" s="5" t="s">
        <v>65</v>
      </c>
      <c r="H351" s="5" t="s">
        <v>74</v>
      </c>
      <c r="I351" s="5" t="s">
        <v>106</v>
      </c>
      <c r="J351" s="25" t="s">
        <v>267</v>
      </c>
      <c r="K351" s="25"/>
      <c r="L351" s="25" t="s">
        <v>156</v>
      </c>
      <c r="M351" s="5" t="s">
        <v>66</v>
      </c>
      <c r="N351" s="5" t="s">
        <v>68</v>
      </c>
      <c r="O351" s="5" t="s">
        <v>69</v>
      </c>
      <c r="P351" s="5" t="s">
        <v>107</v>
      </c>
      <c r="Q351" s="5" t="s">
        <v>89</v>
      </c>
      <c r="R351" s="5" t="s">
        <v>110</v>
      </c>
      <c r="S351" s="5"/>
      <c r="T351" s="5"/>
      <c r="U351" s="5"/>
      <c r="V351" s="5">
        <v>2500.0</v>
      </c>
      <c r="W351" s="26">
        <v>2.1</v>
      </c>
      <c r="X351" s="5">
        <v>1190.0</v>
      </c>
      <c r="Y351" s="27">
        <v>0.0</v>
      </c>
      <c r="Z351" s="28">
        <v>1190.0</v>
      </c>
      <c r="AA351" s="27">
        <v>1.0</v>
      </c>
      <c r="AB351" s="5" t="s">
        <v>78</v>
      </c>
      <c r="AC351" s="27"/>
      <c r="AD351" s="5"/>
      <c r="AE351" s="5" t="s">
        <v>166</v>
      </c>
      <c r="AF351" s="5" t="s">
        <v>81</v>
      </c>
      <c r="AG351" s="5"/>
      <c r="AH351" s="5">
        <v>3.0</v>
      </c>
      <c r="AI351" s="5" t="s">
        <v>0</v>
      </c>
      <c r="AJ351" s="5" t="s">
        <v>156</v>
      </c>
      <c r="AK351" s="30"/>
      <c r="AL351" s="28">
        <v>0.0</v>
      </c>
      <c r="AM351" s="28">
        <v>2855.0</v>
      </c>
      <c r="AN351" s="28">
        <v>0.0</v>
      </c>
      <c r="AO351" s="28">
        <v>1000.0</v>
      </c>
      <c r="AP351" s="28">
        <v>0.0</v>
      </c>
      <c r="AQ351" s="28">
        <v>0.0</v>
      </c>
      <c r="AR351" s="28">
        <v>1190000.0</v>
      </c>
      <c r="AS351" s="28">
        <v>0.0</v>
      </c>
      <c r="AT351" s="28">
        <v>1190000.0</v>
      </c>
      <c r="AU351" s="28">
        <v>0.0</v>
      </c>
      <c r="AV351" s="28">
        <v>0.0</v>
      </c>
      <c r="AW351" s="28">
        <v>2037107.0688</v>
      </c>
      <c r="AX351" s="28">
        <v>0.0</v>
      </c>
      <c r="AY351" s="28">
        <v>713325.0</v>
      </c>
      <c r="AZ351" s="5" t="s">
        <v>124</v>
      </c>
      <c r="BA351" s="5" t="s">
        <v>125</v>
      </c>
      <c r="BB351" s="5" t="s">
        <v>127</v>
      </c>
      <c r="BD351" s="5" t="s">
        <v>68</v>
      </c>
      <c r="BE351" s="5" t="s">
        <v>89</v>
      </c>
      <c r="BF351" s="5" t="s">
        <v>90</v>
      </c>
      <c r="BG351" s="5" t="s">
        <v>91</v>
      </c>
      <c r="BH351" s="5" t="s">
        <v>1897</v>
      </c>
    </row>
    <row r="352" ht="16.5" hidden="1" customHeight="1">
      <c r="A352" s="5" t="s">
        <v>100</v>
      </c>
      <c r="B352" s="5" t="s">
        <v>215</v>
      </c>
      <c r="C352" s="5" t="b">
        <v>0</v>
      </c>
      <c r="D352" s="5" t="s">
        <v>1817</v>
      </c>
      <c r="E352" s="5" t="s">
        <v>1818</v>
      </c>
      <c r="F352" s="5"/>
      <c r="G352" s="5" t="s">
        <v>65</v>
      </c>
      <c r="H352" s="5" t="s">
        <v>76</v>
      </c>
      <c r="I352" s="5" t="s">
        <v>218</v>
      </c>
      <c r="J352" s="25" t="s">
        <v>219</v>
      </c>
      <c r="K352" s="25"/>
      <c r="L352" s="25"/>
      <c r="M352" s="5" t="s">
        <v>66</v>
      </c>
      <c r="N352" s="5" t="s">
        <v>126</v>
      </c>
      <c r="O352" s="5" t="s">
        <v>69</v>
      </c>
      <c r="P352" s="5" t="s">
        <v>70</v>
      </c>
      <c r="Q352" s="5" t="s">
        <v>180</v>
      </c>
      <c r="R352" s="5" t="s">
        <v>181</v>
      </c>
      <c r="S352" s="5"/>
      <c r="T352" s="5"/>
      <c r="U352" s="5"/>
      <c r="V352" s="5">
        <v>2000.0</v>
      </c>
      <c r="W352" s="26">
        <v>2.1</v>
      </c>
      <c r="X352" s="5">
        <v>952.0</v>
      </c>
      <c r="Y352" s="27">
        <v>0.0</v>
      </c>
      <c r="Z352" s="28">
        <v>952.0</v>
      </c>
      <c r="AA352" s="27">
        <v>1.0</v>
      </c>
      <c r="AB352" s="5" t="s">
        <v>78</v>
      </c>
      <c r="AC352" s="27"/>
      <c r="AD352" s="26"/>
      <c r="AE352" s="5" t="s">
        <v>81</v>
      </c>
      <c r="AF352" s="5" t="s">
        <v>81</v>
      </c>
      <c r="AG352" s="5"/>
      <c r="AH352" s="5">
        <v>1.0</v>
      </c>
      <c r="AI352" s="5" t="s">
        <v>0</v>
      </c>
      <c r="AJ352" s="5" t="s">
        <v>0</v>
      </c>
      <c r="AK352" s="30"/>
      <c r="AL352" s="28">
        <v>0.0</v>
      </c>
      <c r="AM352" s="28">
        <v>0.0</v>
      </c>
      <c r="AN352" s="28">
        <v>3953.0</v>
      </c>
      <c r="AO352" s="28">
        <v>1709.0</v>
      </c>
      <c r="AP352" s="28">
        <v>0.0</v>
      </c>
      <c r="AQ352" s="28">
        <v>0.0</v>
      </c>
      <c r="AR352" s="28">
        <v>1626968.0</v>
      </c>
      <c r="AS352" s="28">
        <v>0.0</v>
      </c>
      <c r="AT352" s="28">
        <v>1626968.0</v>
      </c>
      <c r="AU352" s="28">
        <v>0.0</v>
      </c>
      <c r="AV352" s="28">
        <v>0.0</v>
      </c>
      <c r="AW352" s="28">
        <v>0.0</v>
      </c>
      <c r="AX352" s="28">
        <v>2597355.35393134</v>
      </c>
      <c r="AY352" s="28">
        <v>1279225.4455200017</v>
      </c>
      <c r="AZ352" s="5" t="s">
        <v>124</v>
      </c>
      <c r="BA352" s="5" t="s">
        <v>125</v>
      </c>
      <c r="BB352" s="5" t="s">
        <v>127</v>
      </c>
      <c r="BC352" s="32" t="s">
        <v>264</v>
      </c>
      <c r="BD352" s="5" t="s">
        <v>126</v>
      </c>
      <c r="BE352" s="5" t="s">
        <v>128</v>
      </c>
      <c r="BF352" s="5" t="s">
        <v>130</v>
      </c>
      <c r="BG352" s="5" t="s">
        <v>131</v>
      </c>
    </row>
    <row r="353" ht="16.5" hidden="1" customHeight="1">
      <c r="A353" s="5" t="s">
        <v>100</v>
      </c>
      <c r="B353" s="5" t="s">
        <v>215</v>
      </c>
      <c r="C353" s="5" t="b">
        <v>0</v>
      </c>
      <c r="D353" s="5" t="s">
        <v>1819</v>
      </c>
      <c r="E353" s="5" t="s">
        <v>1820</v>
      </c>
      <c r="F353" s="5"/>
      <c r="G353" s="5" t="s">
        <v>65</v>
      </c>
      <c r="H353" s="5" t="s">
        <v>76</v>
      </c>
      <c r="I353" s="5" t="s">
        <v>218</v>
      </c>
      <c r="J353" s="25" t="s">
        <v>219</v>
      </c>
      <c r="K353" s="25"/>
      <c r="L353" s="25"/>
      <c r="M353" s="5" t="s">
        <v>66</v>
      </c>
      <c r="N353" s="5" t="s">
        <v>126</v>
      </c>
      <c r="O353" s="5" t="s">
        <v>69</v>
      </c>
      <c r="P353" s="5" t="s">
        <v>107</v>
      </c>
      <c r="Q353" s="5" t="s">
        <v>180</v>
      </c>
      <c r="R353" s="5" t="s">
        <v>181</v>
      </c>
      <c r="S353" s="5"/>
      <c r="T353" s="5"/>
      <c r="U353" s="5"/>
      <c r="V353" s="5">
        <v>2000.0</v>
      </c>
      <c r="W353" s="26">
        <v>2.1</v>
      </c>
      <c r="X353" s="5">
        <v>952.0</v>
      </c>
      <c r="Y353" s="27">
        <v>0.0</v>
      </c>
      <c r="Z353" s="28">
        <v>952.0</v>
      </c>
      <c r="AA353" s="27">
        <v>1.0</v>
      </c>
      <c r="AB353" s="5" t="s">
        <v>78</v>
      </c>
      <c r="AC353" s="27"/>
      <c r="AD353" s="26"/>
      <c r="AE353" s="5" t="s">
        <v>81</v>
      </c>
      <c r="AF353" s="5" t="s">
        <v>81</v>
      </c>
      <c r="AG353" s="5"/>
      <c r="AH353" s="5">
        <v>1.0</v>
      </c>
      <c r="AI353" s="5" t="s">
        <v>0</v>
      </c>
      <c r="AJ353" s="5" t="s">
        <v>0</v>
      </c>
      <c r="AK353" s="30"/>
      <c r="AL353" s="28">
        <v>0.0</v>
      </c>
      <c r="AM353" s="28">
        <v>0.0</v>
      </c>
      <c r="AN353" s="28">
        <v>3423.0</v>
      </c>
      <c r="AO353" s="28">
        <v>1916.0</v>
      </c>
      <c r="AP353" s="28">
        <v>0.0</v>
      </c>
      <c r="AQ353" s="28">
        <v>0.0</v>
      </c>
      <c r="AR353" s="28">
        <v>1824032.0</v>
      </c>
      <c r="AS353" s="28">
        <v>0.0</v>
      </c>
      <c r="AT353" s="28">
        <v>1824032.0</v>
      </c>
      <c r="AU353" s="28">
        <v>0.0</v>
      </c>
      <c r="AV353" s="28">
        <v>0.0</v>
      </c>
      <c r="AW353" s="28">
        <v>0.0</v>
      </c>
      <c r="AX353" s="28">
        <v>2413239.2586932443</v>
      </c>
      <c r="AY353" s="28">
        <v>1448022.6800550018</v>
      </c>
      <c r="AZ353" s="5" t="s">
        <v>124</v>
      </c>
      <c r="BA353" s="5" t="s">
        <v>125</v>
      </c>
      <c r="BB353" s="5" t="s">
        <v>127</v>
      </c>
      <c r="BC353" s="32" t="s">
        <v>264</v>
      </c>
      <c r="BD353" s="5" t="s">
        <v>126</v>
      </c>
      <c r="BE353" s="5" t="s">
        <v>128</v>
      </c>
      <c r="BF353" s="5" t="s">
        <v>130</v>
      </c>
      <c r="BG353" s="5" t="s">
        <v>131</v>
      </c>
    </row>
    <row r="354" ht="16.5" hidden="1" customHeight="1">
      <c r="A354" s="5" t="s">
        <v>100</v>
      </c>
      <c r="B354" s="5" t="s">
        <v>215</v>
      </c>
      <c r="C354" s="5" t="b">
        <v>0</v>
      </c>
      <c r="D354" s="5" t="s">
        <v>1821</v>
      </c>
      <c r="E354" s="5" t="s">
        <v>1822</v>
      </c>
      <c r="F354" s="5"/>
      <c r="G354" s="5" t="s">
        <v>65</v>
      </c>
      <c r="H354" s="5" t="s">
        <v>76</v>
      </c>
      <c r="I354" s="5" t="s">
        <v>218</v>
      </c>
      <c r="J354" s="25" t="s">
        <v>219</v>
      </c>
      <c r="K354" s="25"/>
      <c r="L354" s="25"/>
      <c r="M354" s="5" t="s">
        <v>247</v>
      </c>
      <c r="N354" s="5" t="s">
        <v>68</v>
      </c>
      <c r="O354" s="5" t="s">
        <v>69</v>
      </c>
      <c r="P354" s="5" t="s">
        <v>70</v>
      </c>
      <c r="Q354" s="5" t="s">
        <v>175</v>
      </c>
      <c r="R354" s="5" t="s">
        <v>110</v>
      </c>
      <c r="S354" s="5"/>
      <c r="T354" s="5"/>
      <c r="U354" s="5"/>
      <c r="V354" s="5">
        <v>4500.0</v>
      </c>
      <c r="W354" s="26">
        <v>2.1</v>
      </c>
      <c r="X354" s="5">
        <v>2143.0</v>
      </c>
      <c r="Y354" s="27">
        <v>0.0</v>
      </c>
      <c r="Z354" s="28">
        <v>2143.0</v>
      </c>
      <c r="AA354" s="27">
        <v>1.0</v>
      </c>
      <c r="AB354" s="5" t="s">
        <v>242</v>
      </c>
      <c r="AC354" s="27"/>
      <c r="AD354" s="26"/>
      <c r="AE354" s="5" t="s">
        <v>166</v>
      </c>
      <c r="AF354" s="5" t="s">
        <v>713</v>
      </c>
      <c r="AG354" s="5"/>
      <c r="AH354" s="5">
        <v>3.0</v>
      </c>
      <c r="AI354" s="5" t="s">
        <v>1901</v>
      </c>
      <c r="AJ354" s="5" t="s">
        <v>0</v>
      </c>
      <c r="AK354" s="30"/>
      <c r="AL354" s="28">
        <v>0.0</v>
      </c>
      <c r="AM354" s="28">
        <v>0.0</v>
      </c>
      <c r="AN354" s="28">
        <v>1515.0</v>
      </c>
      <c r="AO354" s="28">
        <v>1891.0</v>
      </c>
      <c r="AP354" s="28">
        <v>0.0</v>
      </c>
      <c r="AQ354" s="28">
        <v>0.0</v>
      </c>
      <c r="AR354" s="28">
        <v>4052413.0</v>
      </c>
      <c r="AS354" s="28">
        <v>0.0</v>
      </c>
      <c r="AT354" s="28">
        <v>4052413.0</v>
      </c>
      <c r="AU354" s="28">
        <v>0.0</v>
      </c>
      <c r="AV354" s="28">
        <v>0.0</v>
      </c>
      <c r="AW354" s="28">
        <v>0.0</v>
      </c>
      <c r="AX354" s="28">
        <v>2871661.7791805095</v>
      </c>
      <c r="AY354" s="28">
        <v>3342652.6016249997</v>
      </c>
      <c r="AZ354" s="5" t="s">
        <v>124</v>
      </c>
      <c r="BA354" s="5" t="s">
        <v>125</v>
      </c>
      <c r="BB354" s="5" t="s">
        <v>174</v>
      </c>
      <c r="BC354" s="5" t="s">
        <v>237</v>
      </c>
      <c r="BD354" s="5" t="s">
        <v>68</v>
      </c>
      <c r="BE354" s="5" t="s">
        <v>175</v>
      </c>
      <c r="BF354" s="5" t="s">
        <v>206</v>
      </c>
      <c r="BG354" s="5" t="s">
        <v>91</v>
      </c>
    </row>
    <row r="355" ht="16.5" hidden="1" customHeight="1">
      <c r="A355" s="5" t="s">
        <v>100</v>
      </c>
      <c r="B355" s="5" t="s">
        <v>215</v>
      </c>
      <c r="C355" s="5" t="b">
        <v>0</v>
      </c>
      <c r="D355" s="5" t="s">
        <v>1823</v>
      </c>
      <c r="E355" s="5" t="s">
        <v>1824</v>
      </c>
      <c r="F355" s="5"/>
      <c r="G355" s="5" t="s">
        <v>65</v>
      </c>
      <c r="H355" s="5" t="s">
        <v>76</v>
      </c>
      <c r="I355" s="5" t="s">
        <v>218</v>
      </c>
      <c r="J355" s="25" t="s">
        <v>219</v>
      </c>
      <c r="K355" s="25"/>
      <c r="L355" s="25"/>
      <c r="M355" s="5" t="s">
        <v>247</v>
      </c>
      <c r="N355" s="5" t="s">
        <v>68</v>
      </c>
      <c r="O355" s="5" t="s">
        <v>69</v>
      </c>
      <c r="P355" s="5" t="s">
        <v>107</v>
      </c>
      <c r="Q355" s="5" t="s">
        <v>175</v>
      </c>
      <c r="R355" s="5" t="s">
        <v>110</v>
      </c>
      <c r="S355" s="5"/>
      <c r="T355" s="5"/>
      <c r="U355" s="5"/>
      <c r="V355" s="5">
        <v>4500.0</v>
      </c>
      <c r="W355" s="26">
        <v>2.1</v>
      </c>
      <c r="X355" s="5">
        <v>2143.0</v>
      </c>
      <c r="Y355" s="27">
        <v>0.0</v>
      </c>
      <c r="Z355" s="28">
        <v>2143.0</v>
      </c>
      <c r="AA355" s="27">
        <v>1.0</v>
      </c>
      <c r="AB355" s="5" t="s">
        <v>242</v>
      </c>
      <c r="AC355" s="27"/>
      <c r="AD355" s="26"/>
      <c r="AE355" s="5" t="s">
        <v>166</v>
      </c>
      <c r="AF355" s="5" t="s">
        <v>713</v>
      </c>
      <c r="AG355" s="5"/>
      <c r="AH355" s="5">
        <v>3.0</v>
      </c>
      <c r="AI355" s="5" t="s">
        <v>1901</v>
      </c>
      <c r="AJ355" s="5" t="s">
        <v>0</v>
      </c>
      <c r="AK355" s="30"/>
      <c r="AL355" s="28">
        <v>0.0</v>
      </c>
      <c r="AM355" s="28">
        <v>0.0</v>
      </c>
      <c r="AN355" s="28">
        <v>1349.0</v>
      </c>
      <c r="AO355" s="28">
        <v>1549.0</v>
      </c>
      <c r="AP355" s="28">
        <v>0.0</v>
      </c>
      <c r="AQ355" s="28">
        <v>0.0</v>
      </c>
      <c r="AR355" s="28">
        <v>3319507.0</v>
      </c>
      <c r="AS355" s="28">
        <v>0.0</v>
      </c>
      <c r="AT355" s="28">
        <v>3319507.0</v>
      </c>
      <c r="AU355" s="28">
        <v>0.0</v>
      </c>
      <c r="AV355" s="28">
        <v>0.0</v>
      </c>
      <c r="AW355" s="28">
        <v>0.0</v>
      </c>
      <c r="AX355" s="28">
        <v>2534765.5388704315</v>
      </c>
      <c r="AY355" s="28">
        <v>2492619.101189998</v>
      </c>
      <c r="AZ355" s="5" t="s">
        <v>124</v>
      </c>
      <c r="BA355" s="5" t="s">
        <v>125</v>
      </c>
      <c r="BB355" s="5" t="s">
        <v>174</v>
      </c>
      <c r="BC355" s="5" t="s">
        <v>237</v>
      </c>
      <c r="BD355" s="5" t="s">
        <v>68</v>
      </c>
      <c r="BE355" s="5" t="s">
        <v>175</v>
      </c>
      <c r="BF355" s="5" t="s">
        <v>206</v>
      </c>
      <c r="BG355" s="5" t="s">
        <v>91</v>
      </c>
    </row>
    <row r="356" ht="16.5" hidden="1" customHeight="1">
      <c r="A356" s="5" t="s">
        <v>100</v>
      </c>
      <c r="B356" s="5" t="s">
        <v>137</v>
      </c>
      <c r="C356" s="5" t="b">
        <v>0</v>
      </c>
      <c r="D356" s="5" t="s">
        <v>968</v>
      </c>
      <c r="E356" s="5" t="s">
        <v>969</v>
      </c>
      <c r="F356" s="5"/>
      <c r="G356" s="5" t="s">
        <v>65</v>
      </c>
      <c r="H356" s="5" t="s">
        <v>74</v>
      </c>
      <c r="I356" s="5" t="s">
        <v>106</v>
      </c>
      <c r="J356" s="25" t="s">
        <v>267</v>
      </c>
      <c r="K356" s="25"/>
      <c r="L356" s="25" t="s">
        <v>156</v>
      </c>
      <c r="M356" s="5" t="s">
        <v>66</v>
      </c>
      <c r="N356" s="5" t="s">
        <v>68</v>
      </c>
      <c r="O356" s="5" t="s">
        <v>69</v>
      </c>
      <c r="P356" s="5" t="s">
        <v>70</v>
      </c>
      <c r="Q356" s="5" t="s">
        <v>89</v>
      </c>
      <c r="R356" s="5" t="s">
        <v>110</v>
      </c>
      <c r="S356" s="5"/>
      <c r="T356" s="5"/>
      <c r="U356" s="5"/>
      <c r="V356" s="5">
        <v>2800.0</v>
      </c>
      <c r="W356" s="26">
        <v>2.1</v>
      </c>
      <c r="X356" s="5">
        <v>1333.0</v>
      </c>
      <c r="Y356" s="27">
        <v>0.0</v>
      </c>
      <c r="Z356" s="28">
        <v>1333.0</v>
      </c>
      <c r="AA356" s="27">
        <v>1.0</v>
      </c>
      <c r="AB356" s="5" t="s">
        <v>78</v>
      </c>
      <c r="AC356" s="27"/>
      <c r="AD356" s="5"/>
      <c r="AE356" s="5" t="s">
        <v>166</v>
      </c>
      <c r="AF356" s="5" t="s">
        <v>81</v>
      </c>
      <c r="AG356" s="5"/>
      <c r="AH356" s="5">
        <v>3.0</v>
      </c>
      <c r="AI356" s="5" t="s">
        <v>0</v>
      </c>
      <c r="AJ356" s="5" t="s">
        <v>156</v>
      </c>
      <c r="AK356" s="30"/>
      <c r="AL356" s="28">
        <v>300.0</v>
      </c>
      <c r="AM356" s="28">
        <v>1267.0</v>
      </c>
      <c r="AN356" s="28">
        <v>0.0</v>
      </c>
      <c r="AO356" s="28">
        <v>0.0</v>
      </c>
      <c r="AP356" s="28">
        <v>0.0</v>
      </c>
      <c r="AQ356" s="28">
        <v>399999.0</v>
      </c>
      <c r="AR356" s="28">
        <v>0.0</v>
      </c>
      <c r="AS356" s="28">
        <v>0.0</v>
      </c>
      <c r="AT356" s="28">
        <v>0.0</v>
      </c>
      <c r="AU356" s="28">
        <v>0.0</v>
      </c>
      <c r="AV356" s="28">
        <v>321200.0</v>
      </c>
      <c r="AW356" s="28">
        <v>1262597.7756</v>
      </c>
      <c r="AX356" s="28">
        <v>0.0</v>
      </c>
      <c r="AY356" s="28">
        <v>0.0</v>
      </c>
      <c r="AZ356" s="5" t="s">
        <v>124</v>
      </c>
      <c r="BA356" s="5" t="s">
        <v>125</v>
      </c>
      <c r="BB356" s="5" t="s">
        <v>127</v>
      </c>
      <c r="BD356" s="5" t="s">
        <v>68</v>
      </c>
      <c r="BE356" s="5" t="s">
        <v>89</v>
      </c>
      <c r="BF356" s="5" t="s">
        <v>90</v>
      </c>
      <c r="BG356" s="5" t="s">
        <v>91</v>
      </c>
      <c r="BH356" s="5" t="s">
        <v>281</v>
      </c>
    </row>
    <row r="357" ht="16.5" hidden="1" customHeight="1">
      <c r="A357" s="5" t="s">
        <v>100</v>
      </c>
      <c r="B357" s="5" t="s">
        <v>137</v>
      </c>
      <c r="C357" s="5" t="b">
        <v>0</v>
      </c>
      <c r="D357" s="5" t="s">
        <v>972</v>
      </c>
      <c r="E357" s="5" t="s">
        <v>973</v>
      </c>
      <c r="F357" s="5"/>
      <c r="G357" s="5" t="s">
        <v>65</v>
      </c>
      <c r="H357" s="5" t="s">
        <v>74</v>
      </c>
      <c r="I357" s="5" t="s">
        <v>106</v>
      </c>
      <c r="J357" s="25" t="s">
        <v>267</v>
      </c>
      <c r="K357" s="25"/>
      <c r="L357" s="25" t="s">
        <v>156</v>
      </c>
      <c r="M357" s="5" t="s">
        <v>66</v>
      </c>
      <c r="N357" s="5" t="s">
        <v>68</v>
      </c>
      <c r="O357" s="5" t="s">
        <v>69</v>
      </c>
      <c r="P357" s="5" t="s">
        <v>107</v>
      </c>
      <c r="Q357" s="5" t="s">
        <v>89</v>
      </c>
      <c r="R357" s="5" t="s">
        <v>110</v>
      </c>
      <c r="S357" s="5"/>
      <c r="T357" s="5"/>
      <c r="U357" s="5"/>
      <c r="V357" s="5">
        <v>2800.0</v>
      </c>
      <c r="W357" s="26">
        <v>2.1</v>
      </c>
      <c r="X357" s="5">
        <v>1333.0</v>
      </c>
      <c r="Y357" s="27">
        <v>0.0</v>
      </c>
      <c r="Z357" s="28">
        <v>1333.0</v>
      </c>
      <c r="AA357" s="27">
        <v>1.0</v>
      </c>
      <c r="AB357" s="5" t="s">
        <v>78</v>
      </c>
      <c r="AC357" s="27"/>
      <c r="AD357" s="5"/>
      <c r="AE357" s="5" t="s">
        <v>166</v>
      </c>
      <c r="AF357" s="5" t="s">
        <v>81</v>
      </c>
      <c r="AG357" s="5"/>
      <c r="AH357" s="5">
        <v>3.0</v>
      </c>
      <c r="AI357" s="5" t="s">
        <v>0</v>
      </c>
      <c r="AJ357" s="5" t="s">
        <v>156</v>
      </c>
      <c r="AK357" s="30"/>
      <c r="AL357" s="28">
        <v>150.0</v>
      </c>
      <c r="AM357" s="28">
        <v>1051.0</v>
      </c>
      <c r="AN357" s="28">
        <v>40.0</v>
      </c>
      <c r="AO357" s="28">
        <v>0.0</v>
      </c>
      <c r="AP357" s="28">
        <v>0.0</v>
      </c>
      <c r="AQ357" s="28">
        <v>199999.5</v>
      </c>
      <c r="AR357" s="28">
        <v>0.0</v>
      </c>
      <c r="AS357" s="28">
        <v>0.0</v>
      </c>
      <c r="AT357" s="28">
        <v>0.0</v>
      </c>
      <c r="AU357" s="28">
        <v>0.0</v>
      </c>
      <c r="AV357" s="28">
        <v>160600.0</v>
      </c>
      <c r="AW357" s="28">
        <v>1049630.25</v>
      </c>
      <c r="AX357" s="28">
        <v>42270.47619047618</v>
      </c>
      <c r="AY357" s="28">
        <v>0.0</v>
      </c>
      <c r="AZ357" s="5" t="s">
        <v>124</v>
      </c>
      <c r="BA357" s="5" t="s">
        <v>125</v>
      </c>
      <c r="BB357" s="5" t="s">
        <v>127</v>
      </c>
      <c r="BD357" s="5" t="s">
        <v>68</v>
      </c>
      <c r="BE357" s="5" t="s">
        <v>89</v>
      </c>
      <c r="BF357" s="5" t="s">
        <v>90</v>
      </c>
      <c r="BG357" s="5" t="s">
        <v>91</v>
      </c>
      <c r="BH357" s="5" t="s">
        <v>281</v>
      </c>
    </row>
    <row r="358" ht="16.5" hidden="1" customHeight="1">
      <c r="A358" s="5" t="s">
        <v>100</v>
      </c>
      <c r="B358" s="5" t="s">
        <v>137</v>
      </c>
      <c r="C358" s="5" t="b">
        <v>1</v>
      </c>
      <c r="D358" s="5" t="s">
        <v>637</v>
      </c>
      <c r="E358" s="5" t="s">
        <v>638</v>
      </c>
      <c r="F358" s="5"/>
      <c r="G358" s="5" t="s">
        <v>65</v>
      </c>
      <c r="H358" s="5" t="s">
        <v>76</v>
      </c>
      <c r="I358" s="5" t="s">
        <v>82</v>
      </c>
      <c r="J358" s="25" t="s">
        <v>938</v>
      </c>
      <c r="K358" s="25"/>
      <c r="L358" s="25" t="s">
        <v>156</v>
      </c>
      <c r="M358" s="5" t="s">
        <v>66</v>
      </c>
      <c r="N358" s="5" t="s">
        <v>113</v>
      </c>
      <c r="O358" s="5" t="s">
        <v>141</v>
      </c>
      <c r="P358" s="5" t="s">
        <v>70</v>
      </c>
      <c r="Q358" s="5" t="s">
        <v>180</v>
      </c>
      <c r="R358" s="5" t="s">
        <v>181</v>
      </c>
      <c r="S358" s="5"/>
      <c r="T358" s="5"/>
      <c r="U358" s="5"/>
      <c r="V358" s="5">
        <v>2000.0</v>
      </c>
      <c r="W358" s="26">
        <v>2.1</v>
      </c>
      <c r="X358" s="5">
        <v>952.0</v>
      </c>
      <c r="Y358" s="27">
        <v>0.2</v>
      </c>
      <c r="Z358" s="28">
        <v>761.6</v>
      </c>
      <c r="AA358" s="27">
        <v>1.0</v>
      </c>
      <c r="AB358" s="5" t="s">
        <v>117</v>
      </c>
      <c r="AC358" s="27">
        <v>0.65</v>
      </c>
      <c r="AD358" s="26"/>
      <c r="AE358" s="5" t="s">
        <v>81</v>
      </c>
      <c r="AF358" s="5" t="s">
        <v>81</v>
      </c>
      <c r="AG358" s="5">
        <v>0.0</v>
      </c>
      <c r="AH358" s="5">
        <v>3.0</v>
      </c>
      <c r="AI358" s="5" t="s">
        <v>0</v>
      </c>
      <c r="AJ358" s="5" t="s">
        <v>0</v>
      </c>
      <c r="AK358" s="30">
        <v>2000.0</v>
      </c>
      <c r="AL358" s="28">
        <v>0.0</v>
      </c>
      <c r="AM358" s="28">
        <v>0.0</v>
      </c>
      <c r="AN358" s="28">
        <v>0.0</v>
      </c>
      <c r="AO358" s="28">
        <v>0.0</v>
      </c>
      <c r="AP358" s="28">
        <v>1904000.0</v>
      </c>
      <c r="AQ358" s="28">
        <v>0.0</v>
      </c>
      <c r="AR358" s="28">
        <v>0.0</v>
      </c>
      <c r="AS358" s="28">
        <v>0.0</v>
      </c>
      <c r="AT358" s="28">
        <v>0.0</v>
      </c>
      <c r="AU358" s="28">
        <v>1523200.0</v>
      </c>
      <c r="AV358" s="28">
        <v>0.0</v>
      </c>
      <c r="AW358" s="28">
        <v>0.0</v>
      </c>
      <c r="AX358" s="28">
        <v>0.0</v>
      </c>
      <c r="AY358" s="28">
        <v>0.0</v>
      </c>
      <c r="AZ358" s="5"/>
      <c r="BA358" s="5" t="s">
        <v>86</v>
      </c>
      <c r="BB358" s="5" t="s">
        <v>87</v>
      </c>
      <c r="BC358" s="32" t="s">
        <v>429</v>
      </c>
      <c r="BD358" s="5" t="s">
        <v>126</v>
      </c>
      <c r="BE358" s="5" t="s">
        <v>128</v>
      </c>
      <c r="BF358" s="5" t="s">
        <v>130</v>
      </c>
      <c r="BG358" s="5" t="s">
        <v>131</v>
      </c>
    </row>
    <row r="359" ht="16.5" hidden="1" customHeight="1">
      <c r="A359" s="5" t="s">
        <v>100</v>
      </c>
      <c r="B359" s="5" t="s">
        <v>137</v>
      </c>
      <c r="C359" s="5" t="b">
        <v>1</v>
      </c>
      <c r="D359" s="5" t="s">
        <v>650</v>
      </c>
      <c r="E359" s="5" t="s">
        <v>651</v>
      </c>
      <c r="F359" s="5"/>
      <c r="G359" s="5" t="s">
        <v>65</v>
      </c>
      <c r="H359" s="5" t="s">
        <v>76</v>
      </c>
      <c r="I359" s="5" t="s">
        <v>82</v>
      </c>
      <c r="J359" s="25" t="s">
        <v>938</v>
      </c>
      <c r="K359" s="25"/>
      <c r="L359" s="25" t="s">
        <v>156</v>
      </c>
      <c r="M359" s="5" t="s">
        <v>66</v>
      </c>
      <c r="N359" s="5" t="s">
        <v>113</v>
      </c>
      <c r="O359" s="5" t="s">
        <v>141</v>
      </c>
      <c r="P359" s="5" t="s">
        <v>107</v>
      </c>
      <c r="Q359" s="5" t="s">
        <v>180</v>
      </c>
      <c r="R359" s="5" t="s">
        <v>181</v>
      </c>
      <c r="S359" s="5"/>
      <c r="T359" s="5"/>
      <c r="U359" s="5"/>
      <c r="V359" s="5">
        <v>2000.0</v>
      </c>
      <c r="W359" s="26">
        <v>2.1</v>
      </c>
      <c r="X359" s="5">
        <v>952.0</v>
      </c>
      <c r="Y359" s="27">
        <v>0.2</v>
      </c>
      <c r="Z359" s="28">
        <v>761.6</v>
      </c>
      <c r="AA359" s="27">
        <v>1.0</v>
      </c>
      <c r="AB359" s="5" t="s">
        <v>117</v>
      </c>
      <c r="AC359" s="27">
        <v>0.66</v>
      </c>
      <c r="AD359" s="26"/>
      <c r="AE359" s="5" t="s">
        <v>81</v>
      </c>
      <c r="AF359" s="5" t="s">
        <v>81</v>
      </c>
      <c r="AG359" s="5">
        <v>0.0</v>
      </c>
      <c r="AH359" s="5">
        <v>3.0</v>
      </c>
      <c r="AI359" s="5" t="s">
        <v>0</v>
      </c>
      <c r="AJ359" s="5" t="s">
        <v>0</v>
      </c>
      <c r="AK359" s="30">
        <v>1700.0</v>
      </c>
      <c r="AL359" s="28">
        <v>0.0</v>
      </c>
      <c r="AM359" s="28">
        <v>0.0</v>
      </c>
      <c r="AN359" s="28">
        <v>0.0</v>
      </c>
      <c r="AO359" s="28">
        <v>0.0</v>
      </c>
      <c r="AP359" s="28">
        <v>1618400.0</v>
      </c>
      <c r="AQ359" s="28">
        <v>0.0</v>
      </c>
      <c r="AR359" s="28">
        <v>0.0</v>
      </c>
      <c r="AS359" s="28">
        <v>0.0</v>
      </c>
      <c r="AT359" s="28">
        <v>0.0</v>
      </c>
      <c r="AU359" s="28">
        <v>1294720.0</v>
      </c>
      <c r="AV359" s="28">
        <v>0.0</v>
      </c>
      <c r="AW359" s="28">
        <v>0.0</v>
      </c>
      <c r="AX359" s="28">
        <v>0.0</v>
      </c>
      <c r="AY359" s="28">
        <v>0.0</v>
      </c>
      <c r="AZ359" s="5"/>
      <c r="BA359" s="5" t="s">
        <v>86</v>
      </c>
      <c r="BB359" s="5" t="s">
        <v>87</v>
      </c>
      <c r="BC359" s="32" t="s">
        <v>429</v>
      </c>
      <c r="BD359" s="5" t="s">
        <v>126</v>
      </c>
      <c r="BE359" s="5" t="s">
        <v>128</v>
      </c>
      <c r="BF359" s="5" t="s">
        <v>130</v>
      </c>
      <c r="BG359" s="5" t="s">
        <v>131</v>
      </c>
    </row>
    <row r="360" ht="16.5" hidden="1" customHeight="1">
      <c r="A360" s="5" t="s">
        <v>100</v>
      </c>
      <c r="B360" s="5" t="s">
        <v>200</v>
      </c>
      <c r="C360" s="5" t="b">
        <v>0</v>
      </c>
      <c r="D360" s="5" t="s">
        <v>974</v>
      </c>
      <c r="E360" s="5" t="s">
        <v>975</v>
      </c>
      <c r="F360" s="5"/>
      <c r="G360" s="5" t="s">
        <v>65</v>
      </c>
      <c r="H360" s="5" t="s">
        <v>74</v>
      </c>
      <c r="I360" s="5" t="s">
        <v>106</v>
      </c>
      <c r="J360" s="25" t="s">
        <v>267</v>
      </c>
      <c r="K360" s="25"/>
      <c r="L360" s="25" t="s">
        <v>156</v>
      </c>
      <c r="M360" s="5" t="s">
        <v>66</v>
      </c>
      <c r="N360" s="5" t="s">
        <v>113</v>
      </c>
      <c r="O360" s="5" t="s">
        <v>69</v>
      </c>
      <c r="P360" s="5" t="s">
        <v>70</v>
      </c>
      <c r="Q360" s="5" t="s">
        <v>147</v>
      </c>
      <c r="R360" s="5" t="s">
        <v>181</v>
      </c>
      <c r="S360" s="5"/>
      <c r="T360" s="5"/>
      <c r="U360" s="5"/>
      <c r="V360" s="5">
        <v>1700.0</v>
      </c>
      <c r="W360" s="26">
        <v>2.1</v>
      </c>
      <c r="X360" s="5">
        <v>810.0</v>
      </c>
      <c r="Y360" s="27">
        <v>0.0</v>
      </c>
      <c r="Z360" s="28">
        <v>810.0</v>
      </c>
      <c r="AA360" s="27">
        <v>1.0</v>
      </c>
      <c r="AB360" s="5" t="s">
        <v>117</v>
      </c>
      <c r="AC360" s="27"/>
      <c r="AD360" s="5"/>
      <c r="AE360" s="5" t="s">
        <v>81</v>
      </c>
      <c r="AF360" s="5" t="s">
        <v>81</v>
      </c>
      <c r="AG360" s="5"/>
      <c r="AH360" s="5">
        <v>4.0</v>
      </c>
      <c r="AI360" s="5" t="s">
        <v>0</v>
      </c>
      <c r="AJ360" s="5" t="s">
        <v>156</v>
      </c>
      <c r="AK360" s="30"/>
      <c r="AL360" s="28">
        <v>0.0</v>
      </c>
      <c r="AM360" s="28">
        <v>1705.0</v>
      </c>
      <c r="AN360" s="28">
        <v>0.0</v>
      </c>
      <c r="AO360" s="28">
        <v>0.0</v>
      </c>
      <c r="AP360" s="28">
        <v>0.0</v>
      </c>
      <c r="AQ360" s="28">
        <v>0.0</v>
      </c>
      <c r="AR360" s="28">
        <v>0.0</v>
      </c>
      <c r="AS360" s="28">
        <v>0.0</v>
      </c>
      <c r="AT360" s="28">
        <v>0.0</v>
      </c>
      <c r="AU360" s="28">
        <v>0.0</v>
      </c>
      <c r="AV360" s="28">
        <v>0.0</v>
      </c>
      <c r="AW360" s="28">
        <v>895838.125</v>
      </c>
      <c r="AX360" s="28">
        <v>0.0</v>
      </c>
      <c r="AY360" s="28">
        <v>0.0</v>
      </c>
      <c r="AZ360" s="5" t="s">
        <v>124</v>
      </c>
      <c r="BA360" s="5" t="s">
        <v>86</v>
      </c>
      <c r="BB360" s="5" t="s">
        <v>87</v>
      </c>
      <c r="BD360" s="5" t="s">
        <v>126</v>
      </c>
      <c r="BE360" s="5" t="s">
        <v>147</v>
      </c>
      <c r="BF360" s="5" t="s">
        <v>130</v>
      </c>
      <c r="BG360" s="5" t="s">
        <v>131</v>
      </c>
      <c r="BH360" s="5" t="s">
        <v>1906</v>
      </c>
    </row>
    <row r="361" ht="16.5" hidden="1" customHeight="1">
      <c r="A361" s="5" t="s">
        <v>100</v>
      </c>
      <c r="B361" s="5" t="s">
        <v>200</v>
      </c>
      <c r="C361" s="5" t="b">
        <v>0</v>
      </c>
      <c r="D361" s="5" t="s">
        <v>976</v>
      </c>
      <c r="E361" s="5" t="s">
        <v>977</v>
      </c>
      <c r="F361" s="5"/>
      <c r="G361" s="5" t="s">
        <v>65</v>
      </c>
      <c r="H361" s="5" t="s">
        <v>74</v>
      </c>
      <c r="I361" s="5" t="s">
        <v>106</v>
      </c>
      <c r="J361" s="25" t="s">
        <v>267</v>
      </c>
      <c r="K361" s="25"/>
      <c r="L361" s="25" t="s">
        <v>156</v>
      </c>
      <c r="M361" s="5" t="s">
        <v>66</v>
      </c>
      <c r="N361" s="5" t="s">
        <v>113</v>
      </c>
      <c r="O361" s="5" t="s">
        <v>69</v>
      </c>
      <c r="P361" s="5" t="s">
        <v>107</v>
      </c>
      <c r="Q361" s="5" t="s">
        <v>147</v>
      </c>
      <c r="R361" s="5" t="s">
        <v>181</v>
      </c>
      <c r="S361" s="5"/>
      <c r="T361" s="5"/>
      <c r="U361" s="5"/>
      <c r="V361" s="5">
        <v>1700.0</v>
      </c>
      <c r="W361" s="26">
        <v>2.1</v>
      </c>
      <c r="X361" s="5">
        <v>810.0</v>
      </c>
      <c r="Y361" s="27">
        <v>0.0</v>
      </c>
      <c r="Z361" s="28">
        <v>810.0</v>
      </c>
      <c r="AA361" s="27">
        <v>1.0</v>
      </c>
      <c r="AB361" s="5" t="s">
        <v>117</v>
      </c>
      <c r="AC361" s="27"/>
      <c r="AD361" s="5"/>
      <c r="AE361" s="5" t="s">
        <v>81</v>
      </c>
      <c r="AF361" s="5" t="s">
        <v>81</v>
      </c>
      <c r="AG361" s="5"/>
      <c r="AH361" s="5">
        <v>4.0</v>
      </c>
      <c r="AI361" s="5" t="s">
        <v>0</v>
      </c>
      <c r="AJ361" s="5" t="s">
        <v>156</v>
      </c>
      <c r="AK361" s="30"/>
      <c r="AL361" s="28">
        <v>0.0</v>
      </c>
      <c r="AM361" s="28">
        <v>1410.0</v>
      </c>
      <c r="AN361" s="28">
        <v>0.0</v>
      </c>
      <c r="AO361" s="28">
        <v>0.0</v>
      </c>
      <c r="AP361" s="28">
        <v>0.0</v>
      </c>
      <c r="AQ361" s="28">
        <v>0.0</v>
      </c>
      <c r="AR361" s="28">
        <v>0.0</v>
      </c>
      <c r="AS361" s="28">
        <v>0.0</v>
      </c>
      <c r="AT361" s="28">
        <v>0.0</v>
      </c>
      <c r="AU361" s="28">
        <v>0.0</v>
      </c>
      <c r="AV361" s="28">
        <v>0.0</v>
      </c>
      <c r="AW361" s="28">
        <v>740790.375</v>
      </c>
      <c r="AX361" s="28">
        <v>0.0</v>
      </c>
      <c r="AY361" s="28">
        <v>0.0</v>
      </c>
      <c r="AZ361" s="5" t="s">
        <v>124</v>
      </c>
      <c r="BA361" s="5" t="s">
        <v>86</v>
      </c>
      <c r="BB361" s="5" t="s">
        <v>87</v>
      </c>
      <c r="BD361" s="5" t="s">
        <v>126</v>
      </c>
      <c r="BE361" s="5" t="s">
        <v>147</v>
      </c>
      <c r="BF361" s="5" t="s">
        <v>130</v>
      </c>
      <c r="BG361" s="5" t="s">
        <v>131</v>
      </c>
      <c r="BH361" s="5" t="s">
        <v>1906</v>
      </c>
    </row>
    <row r="362" ht="16.5" hidden="1" customHeight="1">
      <c r="A362" s="5" t="s">
        <v>100</v>
      </c>
      <c r="B362" s="5" t="s">
        <v>137</v>
      </c>
      <c r="C362" s="5" t="b">
        <v>1</v>
      </c>
      <c r="D362" s="5" t="s">
        <v>734</v>
      </c>
      <c r="E362" s="5" t="s">
        <v>735</v>
      </c>
      <c r="F362" s="5"/>
      <c r="G362" s="5" t="s">
        <v>65</v>
      </c>
      <c r="H362" s="5" t="s">
        <v>76</v>
      </c>
      <c r="I362" s="5" t="s">
        <v>82</v>
      </c>
      <c r="J362" s="25" t="s">
        <v>938</v>
      </c>
      <c r="K362" s="25"/>
      <c r="L362" s="25" t="s">
        <v>156</v>
      </c>
      <c r="M362" s="5" t="s">
        <v>66</v>
      </c>
      <c r="N362" s="5" t="s">
        <v>68</v>
      </c>
      <c r="O362" s="5" t="s">
        <v>141</v>
      </c>
      <c r="P362" s="5" t="s">
        <v>70</v>
      </c>
      <c r="Q362" s="5" t="s">
        <v>89</v>
      </c>
      <c r="R362" s="5" t="s">
        <v>110</v>
      </c>
      <c r="S362" s="5"/>
      <c r="T362" s="5"/>
      <c r="U362" s="5"/>
      <c r="V362" s="5">
        <v>2500.0</v>
      </c>
      <c r="W362" s="26">
        <v>2.1</v>
      </c>
      <c r="X362" s="5">
        <v>1190.0</v>
      </c>
      <c r="Y362" s="27">
        <v>0.2</v>
      </c>
      <c r="Z362" s="28">
        <v>952.0</v>
      </c>
      <c r="AA362" s="27">
        <v>1.0</v>
      </c>
      <c r="AB362" s="5" t="s">
        <v>78</v>
      </c>
      <c r="AC362" s="27">
        <v>0.5920000000000001</v>
      </c>
      <c r="AD362" s="5"/>
      <c r="AE362" s="5" t="s">
        <v>166</v>
      </c>
      <c r="AF362" s="5" t="s">
        <v>81</v>
      </c>
      <c r="AG362" s="5">
        <v>0.0</v>
      </c>
      <c r="AH362" s="5">
        <v>3.0</v>
      </c>
      <c r="AI362" s="5" t="s">
        <v>0</v>
      </c>
      <c r="AJ362" s="5" t="s">
        <v>0</v>
      </c>
      <c r="AK362" s="30">
        <v>1500.0</v>
      </c>
      <c r="AL362" s="28">
        <v>0.0</v>
      </c>
      <c r="AM362" s="28">
        <v>0.0</v>
      </c>
      <c r="AN362" s="28">
        <v>0.0</v>
      </c>
      <c r="AO362" s="28">
        <v>0.0</v>
      </c>
      <c r="AP362" s="28">
        <v>1785000.0</v>
      </c>
      <c r="AQ362" s="28">
        <v>0.0</v>
      </c>
      <c r="AR362" s="28">
        <v>0.0</v>
      </c>
      <c r="AS362" s="28">
        <v>0.0</v>
      </c>
      <c r="AT362" s="28">
        <v>0.0</v>
      </c>
      <c r="AU362" s="28">
        <v>1428000.0</v>
      </c>
      <c r="AV362" s="28">
        <v>0.0</v>
      </c>
      <c r="AW362" s="28">
        <v>0.0</v>
      </c>
      <c r="AX362" s="28">
        <v>0.0</v>
      </c>
      <c r="AY362" s="28">
        <v>0.0</v>
      </c>
      <c r="AZ362" s="5"/>
      <c r="BA362" s="5" t="s">
        <v>125</v>
      </c>
      <c r="BB362" s="5" t="s">
        <v>127</v>
      </c>
      <c r="BD362" s="5" t="s">
        <v>68</v>
      </c>
      <c r="BE362" s="5" t="s">
        <v>89</v>
      </c>
      <c r="BF362" s="5" t="s">
        <v>178</v>
      </c>
      <c r="BG362" s="5" t="s">
        <v>91</v>
      </c>
    </row>
    <row r="363" ht="16.5" hidden="1" customHeight="1">
      <c r="A363" s="5" t="s">
        <v>100</v>
      </c>
      <c r="B363" s="5" t="s">
        <v>137</v>
      </c>
      <c r="C363" s="5" t="b">
        <v>1</v>
      </c>
      <c r="D363" s="5" t="s">
        <v>741</v>
      </c>
      <c r="E363" s="5" t="s">
        <v>742</v>
      </c>
      <c r="F363" s="5"/>
      <c r="G363" s="5" t="s">
        <v>65</v>
      </c>
      <c r="H363" s="5" t="s">
        <v>76</v>
      </c>
      <c r="I363" s="5" t="s">
        <v>82</v>
      </c>
      <c r="J363" s="25" t="s">
        <v>938</v>
      </c>
      <c r="K363" s="25"/>
      <c r="L363" s="25" t="s">
        <v>156</v>
      </c>
      <c r="M363" s="5" t="s">
        <v>66</v>
      </c>
      <c r="N363" s="5" t="s">
        <v>68</v>
      </c>
      <c r="O363" s="5" t="s">
        <v>141</v>
      </c>
      <c r="P363" s="5" t="s">
        <v>107</v>
      </c>
      <c r="Q363" s="5" t="s">
        <v>89</v>
      </c>
      <c r="R363" s="5" t="s">
        <v>110</v>
      </c>
      <c r="S363" s="5"/>
      <c r="T363" s="5"/>
      <c r="U363" s="5"/>
      <c r="V363" s="5">
        <v>2500.0</v>
      </c>
      <c r="W363" s="26">
        <v>2.1</v>
      </c>
      <c r="X363" s="5">
        <v>1190.0</v>
      </c>
      <c r="Y363" s="27">
        <v>0.2</v>
      </c>
      <c r="Z363" s="28">
        <v>952.0</v>
      </c>
      <c r="AA363" s="27">
        <v>1.0</v>
      </c>
      <c r="AB363" s="5" t="s">
        <v>78</v>
      </c>
      <c r="AC363" s="27">
        <v>0.575</v>
      </c>
      <c r="AD363" s="5"/>
      <c r="AE363" s="5" t="s">
        <v>166</v>
      </c>
      <c r="AF363" s="5" t="s">
        <v>81</v>
      </c>
      <c r="AG363" s="5">
        <v>0.0</v>
      </c>
      <c r="AH363" s="5">
        <v>3.0</v>
      </c>
      <c r="AI363" s="5" t="s">
        <v>0</v>
      </c>
      <c r="AJ363" s="5" t="s">
        <v>0</v>
      </c>
      <c r="AK363" s="30">
        <v>1100.0</v>
      </c>
      <c r="AL363" s="28">
        <v>0.0</v>
      </c>
      <c r="AM363" s="28">
        <v>0.0</v>
      </c>
      <c r="AN363" s="28">
        <v>0.0</v>
      </c>
      <c r="AO363" s="28">
        <v>0.0</v>
      </c>
      <c r="AP363" s="28">
        <v>1309000.0</v>
      </c>
      <c r="AQ363" s="28">
        <v>0.0</v>
      </c>
      <c r="AR363" s="28">
        <v>0.0</v>
      </c>
      <c r="AS363" s="28">
        <v>0.0</v>
      </c>
      <c r="AT363" s="28">
        <v>0.0</v>
      </c>
      <c r="AU363" s="28">
        <v>1047200.0</v>
      </c>
      <c r="AV363" s="28">
        <v>0.0</v>
      </c>
      <c r="AW363" s="28">
        <v>0.0</v>
      </c>
      <c r="AX363" s="28">
        <v>0.0</v>
      </c>
      <c r="AY363" s="28">
        <v>0.0</v>
      </c>
      <c r="AZ363" s="5"/>
      <c r="BA363" s="5" t="s">
        <v>125</v>
      </c>
      <c r="BB363" s="5" t="s">
        <v>127</v>
      </c>
      <c r="BD363" s="5" t="s">
        <v>68</v>
      </c>
      <c r="BE363" s="5" t="s">
        <v>89</v>
      </c>
      <c r="BF363" s="5" t="s">
        <v>178</v>
      </c>
      <c r="BG363" s="5" t="s">
        <v>91</v>
      </c>
    </row>
    <row r="364" ht="16.5" hidden="1" customHeight="1">
      <c r="A364" s="5" t="s">
        <v>100</v>
      </c>
      <c r="B364" s="5" t="s">
        <v>137</v>
      </c>
      <c r="C364" s="5" t="b">
        <v>0</v>
      </c>
      <c r="D364" s="5" t="s">
        <v>978</v>
      </c>
      <c r="E364" s="5" t="s">
        <v>1908</v>
      </c>
      <c r="F364" s="5"/>
      <c r="G364" s="5" t="s">
        <v>65</v>
      </c>
      <c r="H364" s="5" t="s">
        <v>74</v>
      </c>
      <c r="I364" s="5" t="s">
        <v>106</v>
      </c>
      <c r="J364" s="25" t="s">
        <v>1909</v>
      </c>
      <c r="K364" s="25"/>
      <c r="L364" s="25" t="s">
        <v>156</v>
      </c>
      <c r="M364" s="5" t="s">
        <v>66</v>
      </c>
      <c r="N364" s="5" t="s">
        <v>113</v>
      </c>
      <c r="O364" s="5" t="s">
        <v>69</v>
      </c>
      <c r="P364" s="5" t="s">
        <v>70</v>
      </c>
      <c r="Q364" s="5" t="s">
        <v>180</v>
      </c>
      <c r="R364" s="5" t="s">
        <v>181</v>
      </c>
      <c r="S364" s="5"/>
      <c r="T364" s="5"/>
      <c r="U364" s="5"/>
      <c r="V364" s="5">
        <v>2000.0</v>
      </c>
      <c r="W364" s="26">
        <v>2.1</v>
      </c>
      <c r="X364" s="5">
        <v>952.0</v>
      </c>
      <c r="Y364" s="27">
        <v>0.0</v>
      </c>
      <c r="Z364" s="28">
        <v>952.0</v>
      </c>
      <c r="AA364" s="27">
        <v>1.0</v>
      </c>
      <c r="AB364" s="5" t="s">
        <v>117</v>
      </c>
      <c r="AC364" s="27"/>
      <c r="AD364" s="26"/>
      <c r="AE364" s="5" t="s">
        <v>81</v>
      </c>
      <c r="AF364" s="5" t="s">
        <v>81</v>
      </c>
      <c r="AG364" s="5"/>
      <c r="AH364" s="5">
        <v>3.0</v>
      </c>
      <c r="AI364" s="5" t="s">
        <v>0</v>
      </c>
      <c r="AJ364" s="5" t="s">
        <v>156</v>
      </c>
      <c r="AK364" s="30"/>
      <c r="AL364" s="28">
        <v>100.0</v>
      </c>
      <c r="AM364" s="28">
        <v>2875.0</v>
      </c>
      <c r="AN364" s="28">
        <v>400.0</v>
      </c>
      <c r="AO364" s="28">
        <v>0.0</v>
      </c>
      <c r="AP364" s="28">
        <v>0.0</v>
      </c>
      <c r="AQ364" s="28">
        <v>95238.0</v>
      </c>
      <c r="AR364" s="28">
        <v>0.0</v>
      </c>
      <c r="AS364" s="28">
        <v>0.0</v>
      </c>
      <c r="AT364" s="28">
        <v>0.0</v>
      </c>
      <c r="AU364" s="28">
        <v>0.0</v>
      </c>
      <c r="AV364" s="28">
        <v>74946.66666666667</v>
      </c>
      <c r="AW364" s="28">
        <v>1642148.7599999998</v>
      </c>
      <c r="AX364" s="28">
        <v>295893.3333333333</v>
      </c>
      <c r="AY364" s="28">
        <v>0.0</v>
      </c>
      <c r="AZ364" s="5" t="s">
        <v>124</v>
      </c>
      <c r="BA364" s="5" t="s">
        <v>125</v>
      </c>
      <c r="BB364" s="5" t="s">
        <v>87</v>
      </c>
      <c r="BD364" s="5" t="s">
        <v>126</v>
      </c>
      <c r="BE364" s="5" t="s">
        <v>128</v>
      </c>
      <c r="BF364" s="5" t="s">
        <v>130</v>
      </c>
      <c r="BG364" s="5" t="s">
        <v>131</v>
      </c>
      <c r="BH364" s="5" t="s">
        <v>1911</v>
      </c>
    </row>
    <row r="365" ht="16.5" hidden="1" customHeight="1">
      <c r="A365" s="5" t="s">
        <v>100</v>
      </c>
      <c r="B365" s="5" t="s">
        <v>137</v>
      </c>
      <c r="C365" s="5" t="b">
        <v>0</v>
      </c>
      <c r="D365" s="5" t="s">
        <v>982</v>
      </c>
      <c r="E365" s="5" t="s">
        <v>1912</v>
      </c>
      <c r="F365" s="5"/>
      <c r="G365" s="5" t="s">
        <v>65</v>
      </c>
      <c r="H365" s="5" t="s">
        <v>74</v>
      </c>
      <c r="I365" s="5" t="s">
        <v>106</v>
      </c>
      <c r="J365" s="25" t="s">
        <v>1909</v>
      </c>
      <c r="K365" s="25"/>
      <c r="L365" s="25" t="s">
        <v>156</v>
      </c>
      <c r="M365" s="5" t="s">
        <v>66</v>
      </c>
      <c r="N365" s="5" t="s">
        <v>113</v>
      </c>
      <c r="O365" s="5" t="s">
        <v>69</v>
      </c>
      <c r="P365" s="5" t="s">
        <v>107</v>
      </c>
      <c r="Q365" s="5" t="s">
        <v>180</v>
      </c>
      <c r="R365" s="5" t="s">
        <v>181</v>
      </c>
      <c r="S365" s="5"/>
      <c r="T365" s="5"/>
      <c r="U365" s="5"/>
      <c r="V365" s="5">
        <v>2000.0</v>
      </c>
      <c r="W365" s="26">
        <v>2.1</v>
      </c>
      <c r="X365" s="5">
        <v>952.0</v>
      </c>
      <c r="Y365" s="27">
        <v>0.0</v>
      </c>
      <c r="Z365" s="28">
        <v>952.0</v>
      </c>
      <c r="AA365" s="27">
        <v>1.0</v>
      </c>
      <c r="AB365" s="5" t="s">
        <v>117</v>
      </c>
      <c r="AC365" s="27"/>
      <c r="AD365" s="5"/>
      <c r="AE365" s="5" t="s">
        <v>81</v>
      </c>
      <c r="AF365" s="5" t="s">
        <v>81</v>
      </c>
      <c r="AG365" s="5"/>
      <c r="AH365" s="5">
        <v>3.0</v>
      </c>
      <c r="AI365" s="5" t="s">
        <v>0</v>
      </c>
      <c r="AJ365" s="5" t="s">
        <v>156</v>
      </c>
      <c r="AK365" s="30"/>
      <c r="AL365" s="28">
        <v>0.0</v>
      </c>
      <c r="AM365" s="28">
        <v>1150.0</v>
      </c>
      <c r="AN365" s="28">
        <v>400.0</v>
      </c>
      <c r="AO365" s="28">
        <v>0.0</v>
      </c>
      <c r="AP365" s="28">
        <v>0.0</v>
      </c>
      <c r="AQ365" s="28">
        <v>0.0</v>
      </c>
      <c r="AR365" s="28">
        <v>0.0</v>
      </c>
      <c r="AS365" s="28">
        <v>0.0</v>
      </c>
      <c r="AT365" s="28">
        <v>0.0</v>
      </c>
      <c r="AU365" s="28">
        <v>0.0</v>
      </c>
      <c r="AV365" s="28">
        <v>0.0</v>
      </c>
      <c r="AW365" s="28">
        <v>656184.0</v>
      </c>
      <c r="AX365" s="28">
        <v>295893.3333333333</v>
      </c>
      <c r="AY365" s="28">
        <v>0.0</v>
      </c>
      <c r="AZ365" s="5" t="s">
        <v>124</v>
      </c>
      <c r="BA365" s="5" t="s">
        <v>125</v>
      </c>
      <c r="BB365" s="5" t="s">
        <v>87</v>
      </c>
      <c r="BD365" s="5" t="s">
        <v>126</v>
      </c>
      <c r="BE365" s="5" t="s">
        <v>128</v>
      </c>
      <c r="BF365" s="5" t="s">
        <v>130</v>
      </c>
      <c r="BG365" s="5" t="s">
        <v>131</v>
      </c>
      <c r="BH365" s="5" t="s">
        <v>1911</v>
      </c>
    </row>
    <row r="366" ht="16.5" hidden="1" customHeight="1">
      <c r="A366" s="5" t="s">
        <v>100</v>
      </c>
      <c r="B366" s="5" t="s">
        <v>137</v>
      </c>
      <c r="C366" s="5" t="b">
        <v>0</v>
      </c>
      <c r="D366" s="5" t="s">
        <v>984</v>
      </c>
      <c r="E366" s="5" t="s">
        <v>1914</v>
      </c>
      <c r="F366" s="5"/>
      <c r="G366" s="5" t="s">
        <v>65</v>
      </c>
      <c r="H366" s="5" t="s">
        <v>74</v>
      </c>
      <c r="I366" s="5" t="s">
        <v>106</v>
      </c>
      <c r="J366" s="25" t="s">
        <v>267</v>
      </c>
      <c r="K366" s="25"/>
      <c r="L366" s="25" t="s">
        <v>156</v>
      </c>
      <c r="M366" s="5" t="s">
        <v>66</v>
      </c>
      <c r="N366" s="5" t="s">
        <v>68</v>
      </c>
      <c r="O366" s="5" t="s">
        <v>69</v>
      </c>
      <c r="P366" s="5" t="s">
        <v>70</v>
      </c>
      <c r="Q366" s="5" t="s">
        <v>89</v>
      </c>
      <c r="R366" s="5" t="s">
        <v>110</v>
      </c>
      <c r="S366" s="5"/>
      <c r="T366" s="5"/>
      <c r="U366" s="5"/>
      <c r="V366" s="5">
        <v>4000.0</v>
      </c>
      <c r="W366" s="26">
        <v>2.1</v>
      </c>
      <c r="X366" s="5">
        <v>1905.0</v>
      </c>
      <c r="Y366" s="27">
        <v>0.0</v>
      </c>
      <c r="Z366" s="28">
        <v>1905.0</v>
      </c>
      <c r="AA366" s="27">
        <v>1.0</v>
      </c>
      <c r="AB366" s="5" t="s">
        <v>117</v>
      </c>
      <c r="AC366" s="27"/>
      <c r="AD366" s="5"/>
      <c r="AE366" s="5" t="s">
        <v>80</v>
      </c>
      <c r="AF366" s="5" t="s">
        <v>81</v>
      </c>
      <c r="AG366" s="5"/>
      <c r="AH366" s="5">
        <v>3.0</v>
      </c>
      <c r="AI366" s="5" t="s">
        <v>0</v>
      </c>
      <c r="AJ366" s="5" t="s">
        <v>156</v>
      </c>
      <c r="AK366" s="30"/>
      <c r="AL366" s="28">
        <v>0.0</v>
      </c>
      <c r="AM366" s="28">
        <v>1492.0</v>
      </c>
      <c r="AN366" s="28">
        <v>0.0</v>
      </c>
      <c r="AO366" s="28">
        <v>0.0</v>
      </c>
      <c r="AP366" s="28">
        <v>0.0</v>
      </c>
      <c r="AQ366" s="28">
        <v>0.0</v>
      </c>
      <c r="AR366" s="28">
        <v>0.0</v>
      </c>
      <c r="AS366" s="28">
        <v>0.0</v>
      </c>
      <c r="AT366" s="28">
        <v>0.0</v>
      </c>
      <c r="AU366" s="28">
        <v>0.0</v>
      </c>
      <c r="AV366" s="28">
        <v>0.0</v>
      </c>
      <c r="AW366" s="28">
        <v>2022081.0</v>
      </c>
      <c r="AX366" s="28">
        <v>0.0</v>
      </c>
      <c r="AY366" s="28">
        <v>0.0</v>
      </c>
      <c r="AZ366" s="5" t="s">
        <v>124</v>
      </c>
      <c r="BA366" s="5" t="s">
        <v>125</v>
      </c>
      <c r="BB366" s="5" t="s">
        <v>127</v>
      </c>
      <c r="BD366" s="5" t="s">
        <v>68</v>
      </c>
      <c r="BE366" s="5" t="s">
        <v>89</v>
      </c>
      <c r="BF366" s="5" t="s">
        <v>90</v>
      </c>
      <c r="BG366" s="5" t="s">
        <v>91</v>
      </c>
      <c r="BH366" s="5" t="s">
        <v>1915</v>
      </c>
    </row>
    <row r="367" ht="16.5" hidden="1" customHeight="1">
      <c r="A367" s="5" t="s">
        <v>100</v>
      </c>
      <c r="B367" s="5" t="s">
        <v>137</v>
      </c>
      <c r="C367" s="5" t="b">
        <v>0</v>
      </c>
      <c r="D367" s="5" t="s">
        <v>988</v>
      </c>
      <c r="E367" s="5" t="s">
        <v>1916</v>
      </c>
      <c r="F367" s="5"/>
      <c r="G367" s="5" t="s">
        <v>65</v>
      </c>
      <c r="H367" s="5" t="s">
        <v>74</v>
      </c>
      <c r="I367" s="5" t="s">
        <v>106</v>
      </c>
      <c r="J367" s="25" t="s">
        <v>267</v>
      </c>
      <c r="K367" s="25"/>
      <c r="L367" s="25" t="s">
        <v>156</v>
      </c>
      <c r="M367" s="5" t="s">
        <v>66</v>
      </c>
      <c r="N367" s="5" t="s">
        <v>68</v>
      </c>
      <c r="O367" s="5" t="s">
        <v>69</v>
      </c>
      <c r="P367" s="5" t="s">
        <v>107</v>
      </c>
      <c r="Q367" s="5" t="s">
        <v>89</v>
      </c>
      <c r="R367" s="5" t="s">
        <v>110</v>
      </c>
      <c r="S367" s="5"/>
      <c r="T367" s="5"/>
      <c r="U367" s="5"/>
      <c r="V367" s="5">
        <v>4000.0</v>
      </c>
      <c r="W367" s="26">
        <v>2.1</v>
      </c>
      <c r="X367" s="5">
        <v>1905.0</v>
      </c>
      <c r="Y367" s="27">
        <v>0.0</v>
      </c>
      <c r="Z367" s="28">
        <v>1905.0</v>
      </c>
      <c r="AA367" s="27">
        <v>1.0</v>
      </c>
      <c r="AB367" s="5" t="s">
        <v>117</v>
      </c>
      <c r="AC367" s="27"/>
      <c r="AD367" s="5"/>
      <c r="AE367" s="5" t="s">
        <v>80</v>
      </c>
      <c r="AF367" s="5" t="s">
        <v>81</v>
      </c>
      <c r="AG367" s="5"/>
      <c r="AH367" s="5">
        <v>3.0</v>
      </c>
      <c r="AI367" s="5" t="s">
        <v>0</v>
      </c>
      <c r="AJ367" s="5" t="s">
        <v>156</v>
      </c>
      <c r="AK367" s="30"/>
      <c r="AL367" s="28">
        <v>0.0</v>
      </c>
      <c r="AM367" s="28">
        <v>1093.0</v>
      </c>
      <c r="AN367" s="28">
        <v>0.0</v>
      </c>
      <c r="AO367" s="28">
        <v>0.0</v>
      </c>
      <c r="AP367" s="28">
        <v>0.0</v>
      </c>
      <c r="AQ367" s="28">
        <v>0.0</v>
      </c>
      <c r="AR367" s="28">
        <v>0.0</v>
      </c>
      <c r="AS367" s="28">
        <v>0.0</v>
      </c>
      <c r="AT367" s="28">
        <v>0.0</v>
      </c>
      <c r="AU367" s="28">
        <v>0.0</v>
      </c>
      <c r="AV367" s="28">
        <v>0.0</v>
      </c>
      <c r="AW367" s="28">
        <v>1481217.75</v>
      </c>
      <c r="AX367" s="28">
        <v>0.0</v>
      </c>
      <c r="AY367" s="28">
        <v>0.0</v>
      </c>
      <c r="AZ367" s="5" t="s">
        <v>124</v>
      </c>
      <c r="BA367" s="5" t="s">
        <v>125</v>
      </c>
      <c r="BB367" s="5" t="s">
        <v>127</v>
      </c>
      <c r="BD367" s="5" t="s">
        <v>68</v>
      </c>
      <c r="BE367" s="5" t="s">
        <v>89</v>
      </c>
      <c r="BF367" s="5" t="s">
        <v>90</v>
      </c>
      <c r="BG367" s="5" t="s">
        <v>91</v>
      </c>
      <c r="BH367" s="5" t="s">
        <v>1915</v>
      </c>
    </row>
    <row r="368" ht="16.5" hidden="1" customHeight="1">
      <c r="A368" s="5" t="s">
        <v>100</v>
      </c>
      <c r="B368" s="5" t="s">
        <v>137</v>
      </c>
      <c r="C368" s="5" t="b">
        <v>0</v>
      </c>
      <c r="D368" s="5" t="s">
        <v>663</v>
      </c>
      <c r="E368" s="5" t="s">
        <v>664</v>
      </c>
      <c r="F368" s="5"/>
      <c r="G368" s="5" t="s">
        <v>65</v>
      </c>
      <c r="H368" s="5" t="s">
        <v>76</v>
      </c>
      <c r="I368" s="5" t="s">
        <v>106</v>
      </c>
      <c r="J368" s="25" t="s">
        <v>267</v>
      </c>
      <c r="K368" s="25"/>
      <c r="L368" s="25" t="s">
        <v>156</v>
      </c>
      <c r="M368" s="5" t="s">
        <v>66</v>
      </c>
      <c r="N368" s="5" t="s">
        <v>270</v>
      </c>
      <c r="O368" s="5" t="s">
        <v>141</v>
      </c>
      <c r="P368" s="5" t="s">
        <v>70</v>
      </c>
      <c r="Q368" s="5" t="s">
        <v>526</v>
      </c>
      <c r="R368" s="5" t="s">
        <v>110</v>
      </c>
      <c r="S368" s="5"/>
      <c r="T368" s="5"/>
      <c r="U368" s="5"/>
      <c r="V368" s="5">
        <v>1300.0</v>
      </c>
      <c r="W368" s="26">
        <v>2.1</v>
      </c>
      <c r="X368" s="5">
        <v>619.0</v>
      </c>
      <c r="Y368" s="27">
        <v>0.0</v>
      </c>
      <c r="Z368" s="28">
        <v>619.0</v>
      </c>
      <c r="AA368" s="27">
        <v>1.0</v>
      </c>
      <c r="AB368" s="5" t="s">
        <v>78</v>
      </c>
      <c r="AC368" s="27"/>
      <c r="AD368" s="5"/>
      <c r="AE368" s="5" t="s">
        <v>81</v>
      </c>
      <c r="AF368" s="5" t="s">
        <v>81</v>
      </c>
      <c r="AG368" s="5"/>
      <c r="AH368" s="5">
        <v>3.0</v>
      </c>
      <c r="AI368" s="5" t="s">
        <v>1918</v>
      </c>
      <c r="AJ368" s="5" t="s">
        <v>156</v>
      </c>
      <c r="AK368" s="30"/>
      <c r="AL368" s="28">
        <v>0.0</v>
      </c>
      <c r="AM368" s="28">
        <v>0.0</v>
      </c>
      <c r="AN368" s="28">
        <v>800.0</v>
      </c>
      <c r="AO368" s="28">
        <v>0.0</v>
      </c>
      <c r="AP368" s="28">
        <v>0.0</v>
      </c>
      <c r="AQ368" s="28">
        <v>0.0</v>
      </c>
      <c r="AR368" s="28">
        <v>0.0</v>
      </c>
      <c r="AS368" s="28">
        <v>0.0</v>
      </c>
      <c r="AT368" s="28">
        <v>0.0</v>
      </c>
      <c r="AU368" s="28">
        <v>0.0</v>
      </c>
      <c r="AV368" s="28">
        <v>0.0</v>
      </c>
      <c r="AW368" s="28">
        <v>0.0</v>
      </c>
      <c r="AX368" s="28">
        <v>399497.14285714284</v>
      </c>
      <c r="AY368" s="28">
        <v>0.0</v>
      </c>
      <c r="AZ368" s="5" t="s">
        <v>124</v>
      </c>
      <c r="BA368" s="5" t="s">
        <v>125</v>
      </c>
      <c r="BB368" s="5" t="s">
        <v>127</v>
      </c>
      <c r="BD368" s="5" t="s">
        <v>276</v>
      </c>
      <c r="BE368" s="5" t="s">
        <v>89</v>
      </c>
      <c r="BF368" s="5" t="s">
        <v>277</v>
      </c>
      <c r="BG368" s="5" t="s">
        <v>131</v>
      </c>
    </row>
    <row r="369" ht="16.5" hidden="1" customHeight="1">
      <c r="A369" s="5" t="s">
        <v>100</v>
      </c>
      <c r="B369" s="5" t="s">
        <v>137</v>
      </c>
      <c r="C369" s="5" t="b">
        <v>0</v>
      </c>
      <c r="D369" s="5" t="s">
        <v>676</v>
      </c>
      <c r="E369" s="5" t="s">
        <v>677</v>
      </c>
      <c r="F369" s="5"/>
      <c r="G369" s="5" t="s">
        <v>65</v>
      </c>
      <c r="H369" s="5" t="s">
        <v>76</v>
      </c>
      <c r="I369" s="5" t="s">
        <v>106</v>
      </c>
      <c r="J369" s="25" t="s">
        <v>267</v>
      </c>
      <c r="K369" s="25"/>
      <c r="L369" s="25" t="s">
        <v>156</v>
      </c>
      <c r="M369" s="5" t="s">
        <v>66</v>
      </c>
      <c r="N369" s="5" t="s">
        <v>270</v>
      </c>
      <c r="O369" s="5" t="s">
        <v>141</v>
      </c>
      <c r="P369" s="5" t="s">
        <v>107</v>
      </c>
      <c r="Q369" s="5" t="s">
        <v>526</v>
      </c>
      <c r="R369" s="5" t="s">
        <v>110</v>
      </c>
      <c r="S369" s="5"/>
      <c r="T369" s="5"/>
      <c r="U369" s="5"/>
      <c r="V369" s="5">
        <v>1300.0</v>
      </c>
      <c r="W369" s="26">
        <v>2.1</v>
      </c>
      <c r="X369" s="5">
        <v>619.0</v>
      </c>
      <c r="Y369" s="27">
        <v>0.0</v>
      </c>
      <c r="Z369" s="28">
        <v>619.0</v>
      </c>
      <c r="AA369" s="27">
        <v>1.0</v>
      </c>
      <c r="AB369" s="5" t="s">
        <v>78</v>
      </c>
      <c r="AC369" s="27"/>
      <c r="AD369" s="5"/>
      <c r="AE369" s="5" t="s">
        <v>81</v>
      </c>
      <c r="AF369" s="5" t="s">
        <v>81</v>
      </c>
      <c r="AG369" s="5"/>
      <c r="AH369" s="5">
        <v>3.0</v>
      </c>
      <c r="AI369" s="5" t="s">
        <v>1918</v>
      </c>
      <c r="AJ369" s="5" t="s">
        <v>156</v>
      </c>
      <c r="AK369" s="30"/>
      <c r="AL369" s="28">
        <v>0.0</v>
      </c>
      <c r="AM369" s="28">
        <v>0.0</v>
      </c>
      <c r="AN369" s="28">
        <v>500.0</v>
      </c>
      <c r="AO369" s="28">
        <v>0.0</v>
      </c>
      <c r="AP369" s="28">
        <v>0.0</v>
      </c>
      <c r="AQ369" s="28">
        <v>0.0</v>
      </c>
      <c r="AR369" s="28">
        <v>0.0</v>
      </c>
      <c r="AS369" s="28">
        <v>0.0</v>
      </c>
      <c r="AT369" s="28">
        <v>0.0</v>
      </c>
      <c r="AU369" s="28">
        <v>0.0</v>
      </c>
      <c r="AV369" s="28">
        <v>0.0</v>
      </c>
      <c r="AW369" s="28">
        <v>0.0</v>
      </c>
      <c r="AX369" s="28">
        <v>247302.8571428571</v>
      </c>
      <c r="AY369" s="28">
        <v>0.0</v>
      </c>
      <c r="AZ369" s="5" t="s">
        <v>124</v>
      </c>
      <c r="BA369" s="5" t="s">
        <v>125</v>
      </c>
      <c r="BB369" s="5" t="s">
        <v>127</v>
      </c>
      <c r="BD369" s="5" t="s">
        <v>276</v>
      </c>
      <c r="BE369" s="5" t="s">
        <v>89</v>
      </c>
      <c r="BF369" s="5" t="s">
        <v>277</v>
      </c>
      <c r="BG369" s="5" t="s">
        <v>131</v>
      </c>
    </row>
    <row r="370" ht="16.5" hidden="1" customHeight="1">
      <c r="A370" s="5" t="s">
        <v>100</v>
      </c>
      <c r="B370" s="5" t="s">
        <v>137</v>
      </c>
      <c r="C370" s="5" t="b">
        <v>1</v>
      </c>
      <c r="D370" s="5" t="s">
        <v>1000</v>
      </c>
      <c r="E370" s="5" t="s">
        <v>1001</v>
      </c>
      <c r="F370" s="5"/>
      <c r="G370" s="5" t="s">
        <v>1002</v>
      </c>
      <c r="H370" s="5" t="s">
        <v>76</v>
      </c>
      <c r="I370" s="5" t="s">
        <v>82</v>
      </c>
      <c r="J370" s="25"/>
      <c r="K370" s="25"/>
      <c r="L370" s="5"/>
      <c r="M370" s="5" t="s">
        <v>66</v>
      </c>
      <c r="N370" s="5" t="s">
        <v>1003</v>
      </c>
      <c r="O370" s="5" t="s">
        <v>69</v>
      </c>
      <c r="P370" s="5" t="s">
        <v>70</v>
      </c>
      <c r="Q370" s="5" t="s">
        <v>1920</v>
      </c>
      <c r="R370" s="5" t="s">
        <v>1920</v>
      </c>
      <c r="S370" s="5"/>
      <c r="T370" s="5"/>
      <c r="U370" s="5"/>
      <c r="V370" s="5">
        <v>1700.0</v>
      </c>
      <c r="W370" s="26">
        <v>2.08</v>
      </c>
      <c r="X370" s="5">
        <v>817.0</v>
      </c>
      <c r="Y370" s="27">
        <v>0.2</v>
      </c>
      <c r="Z370" s="28">
        <v>653.6</v>
      </c>
      <c r="AA370" s="27">
        <v>1.0</v>
      </c>
      <c r="AB370" s="5" t="s">
        <v>117</v>
      </c>
      <c r="AC370" s="27">
        <v>0.589</v>
      </c>
      <c r="AD370" s="5"/>
      <c r="AE370" s="5" t="s">
        <v>81</v>
      </c>
      <c r="AF370" s="5" t="s">
        <v>81</v>
      </c>
      <c r="AG370" s="5">
        <v>0.0</v>
      </c>
      <c r="AH370" s="5">
        <v>2.0</v>
      </c>
      <c r="AI370" s="5" t="s">
        <v>0</v>
      </c>
      <c r="AJ370" s="5" t="s">
        <v>0</v>
      </c>
      <c r="AK370" s="30">
        <v>1800.0</v>
      </c>
      <c r="AL370" s="5">
        <v>1815.0</v>
      </c>
      <c r="AM370" s="5">
        <v>0.0</v>
      </c>
      <c r="AN370" s="5">
        <v>1234.0</v>
      </c>
      <c r="AO370" s="5">
        <v>0.0</v>
      </c>
      <c r="AP370" s="28">
        <v>1470600.0</v>
      </c>
      <c r="AQ370" s="28">
        <v>1483417.65</v>
      </c>
      <c r="AR370" s="28">
        <v>0.0</v>
      </c>
      <c r="AS370" s="28">
        <v>0.0</v>
      </c>
      <c r="AT370" s="28">
        <v>0.0</v>
      </c>
      <c r="AU370" s="28">
        <v>1176480.0</v>
      </c>
      <c r="AV370" s="28">
        <v>1028644.916194332</v>
      </c>
      <c r="AW370" s="28">
        <v>0.0</v>
      </c>
      <c r="AX370" s="28">
        <v>678025.4265934065</v>
      </c>
      <c r="AY370" s="28">
        <v>0.0</v>
      </c>
      <c r="AZ370" s="5"/>
      <c r="BA370" s="5" t="s">
        <v>86</v>
      </c>
      <c r="BB370" s="5" t="s">
        <v>512</v>
      </c>
      <c r="BD370" s="5" t="s">
        <v>1002</v>
      </c>
      <c r="BE370" s="5" t="s">
        <v>1005</v>
      </c>
      <c r="BF370" s="5" t="s">
        <v>1006</v>
      </c>
      <c r="BG370" s="5" t="s">
        <v>131</v>
      </c>
    </row>
    <row r="371" ht="16.5" hidden="1" customHeight="1">
      <c r="A371" s="5" t="s">
        <v>100</v>
      </c>
      <c r="B371" s="5" t="s">
        <v>137</v>
      </c>
      <c r="C371" s="5" t="b">
        <v>1</v>
      </c>
      <c r="D371" s="5" t="s">
        <v>1007</v>
      </c>
      <c r="E371" s="5" t="s">
        <v>1008</v>
      </c>
      <c r="F371" s="5"/>
      <c r="G371" s="5" t="s">
        <v>1002</v>
      </c>
      <c r="H371" s="5" t="s">
        <v>76</v>
      </c>
      <c r="I371" s="5" t="s">
        <v>82</v>
      </c>
      <c r="J371" s="25"/>
      <c r="K371" s="25"/>
      <c r="L371" s="5"/>
      <c r="M371" s="5" t="s">
        <v>66</v>
      </c>
      <c r="N371" s="5" t="s">
        <v>1003</v>
      </c>
      <c r="O371" s="5" t="s">
        <v>69</v>
      </c>
      <c r="P371" s="5" t="s">
        <v>107</v>
      </c>
      <c r="Q371" s="5" t="s">
        <v>1920</v>
      </c>
      <c r="R371" s="5" t="s">
        <v>1920</v>
      </c>
      <c r="S371" s="5"/>
      <c r="T371" s="5"/>
      <c r="U371" s="5"/>
      <c r="V371" s="5">
        <v>1700.0</v>
      </c>
      <c r="W371" s="26">
        <v>2.08</v>
      </c>
      <c r="X371" s="5">
        <v>817.0</v>
      </c>
      <c r="Y371" s="27">
        <v>0.2</v>
      </c>
      <c r="Z371" s="28">
        <v>653.6</v>
      </c>
      <c r="AA371" s="27">
        <v>1.0</v>
      </c>
      <c r="AB371" s="5" t="s">
        <v>117</v>
      </c>
      <c r="AC371" s="27">
        <v>0.0</v>
      </c>
      <c r="AD371" s="5"/>
      <c r="AE371" s="5" t="s">
        <v>81</v>
      </c>
      <c r="AF371" s="5" t="s">
        <v>81</v>
      </c>
      <c r="AG371" s="5">
        <v>0.0</v>
      </c>
      <c r="AH371" s="5">
        <v>2.0</v>
      </c>
      <c r="AI371" s="5" t="s">
        <v>0</v>
      </c>
      <c r="AJ371" s="5" t="s">
        <v>0</v>
      </c>
      <c r="AK371" s="30">
        <v>1300.0</v>
      </c>
      <c r="AL371" s="5">
        <v>1288.0</v>
      </c>
      <c r="AM371" s="5">
        <v>0.0</v>
      </c>
      <c r="AN371" s="5">
        <v>913.0</v>
      </c>
      <c r="AO371" s="5">
        <v>0.0</v>
      </c>
      <c r="AP371" s="28">
        <v>1062100.0</v>
      </c>
      <c r="AQ371" s="28">
        <v>1052695.28</v>
      </c>
      <c r="AR371" s="28">
        <v>0.0</v>
      </c>
      <c r="AS371" s="28">
        <v>0.0</v>
      </c>
      <c r="AT371" s="28">
        <v>0.0</v>
      </c>
      <c r="AU371" s="28">
        <v>849680.0</v>
      </c>
      <c r="AV371" s="28">
        <v>770826.5949489106</v>
      </c>
      <c r="AW371" s="28">
        <v>0.0</v>
      </c>
      <c r="AX371" s="28">
        <v>519336.8542857142</v>
      </c>
      <c r="AY371" s="28">
        <v>0.0</v>
      </c>
      <c r="AZ371" s="5"/>
      <c r="BA371" s="5" t="s">
        <v>86</v>
      </c>
      <c r="BB371" s="5" t="s">
        <v>512</v>
      </c>
      <c r="BD371" s="5" t="s">
        <v>1002</v>
      </c>
      <c r="BE371" s="5" t="s">
        <v>1005</v>
      </c>
      <c r="BF371" s="5" t="s">
        <v>1006</v>
      </c>
      <c r="BG371" s="5" t="s">
        <v>131</v>
      </c>
    </row>
    <row r="372" ht="16.5" hidden="1" customHeight="1">
      <c r="A372" s="5" t="s">
        <v>100</v>
      </c>
      <c r="B372" s="5" t="s">
        <v>137</v>
      </c>
      <c r="C372" s="5" t="b">
        <v>1</v>
      </c>
      <c r="D372" s="5" t="s">
        <v>1696</v>
      </c>
      <c r="E372" s="5" t="s">
        <v>1697</v>
      </c>
      <c r="F372" s="5"/>
      <c r="G372" s="5" t="s">
        <v>1002</v>
      </c>
      <c r="H372" s="5" t="s">
        <v>76</v>
      </c>
      <c r="I372" s="5" t="s">
        <v>82</v>
      </c>
      <c r="J372" s="25"/>
      <c r="K372" s="25"/>
      <c r="L372" s="25"/>
      <c r="M372" s="5" t="s">
        <v>66</v>
      </c>
      <c r="N372" s="5" t="s">
        <v>1003</v>
      </c>
      <c r="O372" s="5" t="s">
        <v>69</v>
      </c>
      <c r="P372" s="5" t="s">
        <v>70</v>
      </c>
      <c r="Q372" s="5" t="s">
        <v>1920</v>
      </c>
      <c r="R372" s="5" t="s">
        <v>1920</v>
      </c>
      <c r="S372" s="5"/>
      <c r="T372" s="5"/>
      <c r="U372" s="5"/>
      <c r="V372" s="5">
        <v>1900.0</v>
      </c>
      <c r="W372" s="26">
        <v>2.08</v>
      </c>
      <c r="X372" s="5">
        <v>913.0</v>
      </c>
      <c r="Y372" s="27">
        <v>0.2</v>
      </c>
      <c r="Z372" s="28">
        <v>730.4000000000001</v>
      </c>
      <c r="AA372" s="27">
        <v>1.0</v>
      </c>
      <c r="AB372" s="24" t="s">
        <v>0</v>
      </c>
      <c r="AC372" s="27">
        <v>0.0</v>
      </c>
      <c r="AD372" s="5"/>
      <c r="AE372" s="5" t="s">
        <v>166</v>
      </c>
      <c r="AF372" s="5" t="s">
        <v>81</v>
      </c>
      <c r="AG372" s="5">
        <v>0.0</v>
      </c>
      <c r="AH372" s="5">
        <v>2.0</v>
      </c>
      <c r="AI372" s="5" t="s">
        <v>0</v>
      </c>
      <c r="AJ372" s="5" t="s">
        <v>0</v>
      </c>
      <c r="AK372" s="30">
        <v>1500.0</v>
      </c>
      <c r="AL372" s="28">
        <v>0.0</v>
      </c>
      <c r="AM372" s="28">
        <v>0.0</v>
      </c>
      <c r="AN372" s="28">
        <v>0.0</v>
      </c>
      <c r="AO372" s="28">
        <v>0.0</v>
      </c>
      <c r="AP372" s="28">
        <v>1369500.0</v>
      </c>
      <c r="AQ372" s="28">
        <v>0.0</v>
      </c>
      <c r="AR372" s="28">
        <v>0.0</v>
      </c>
      <c r="AS372" s="28">
        <v>0.0</v>
      </c>
      <c r="AT372" s="28">
        <v>0.0</v>
      </c>
      <c r="AU372" s="28">
        <v>1095600.0000000002</v>
      </c>
      <c r="AV372" s="28">
        <v>0.0</v>
      </c>
      <c r="AW372" s="28">
        <v>0.0</v>
      </c>
      <c r="AX372" s="28">
        <v>0.0</v>
      </c>
      <c r="AY372" s="28">
        <v>0.0</v>
      </c>
      <c r="AZ372" s="5"/>
      <c r="BA372" s="5" t="s">
        <v>86</v>
      </c>
      <c r="BB372" s="5" t="s">
        <v>512</v>
      </c>
      <c r="BD372" s="5" t="s">
        <v>1002</v>
      </c>
      <c r="BE372" s="5" t="s">
        <v>1005</v>
      </c>
      <c r="BF372" s="5" t="s">
        <v>1016</v>
      </c>
      <c r="BG372" s="5" t="s">
        <v>91</v>
      </c>
    </row>
    <row r="373" ht="16.5" hidden="1" customHeight="1">
      <c r="A373" s="5" t="s">
        <v>100</v>
      </c>
      <c r="B373" s="5" t="s">
        <v>137</v>
      </c>
      <c r="C373" s="5" t="b">
        <v>1</v>
      </c>
      <c r="D373" s="5" t="s">
        <v>1698</v>
      </c>
      <c r="E373" s="5" t="s">
        <v>1699</v>
      </c>
      <c r="F373" s="5"/>
      <c r="G373" s="5" t="s">
        <v>1002</v>
      </c>
      <c r="H373" s="5" t="s">
        <v>76</v>
      </c>
      <c r="I373" s="5" t="s">
        <v>82</v>
      </c>
      <c r="J373" s="25"/>
      <c r="K373" s="25"/>
      <c r="L373" s="25"/>
      <c r="M373" s="5" t="s">
        <v>66</v>
      </c>
      <c r="N373" s="5" t="s">
        <v>1003</v>
      </c>
      <c r="O373" s="5" t="s">
        <v>69</v>
      </c>
      <c r="P373" s="5" t="s">
        <v>107</v>
      </c>
      <c r="Q373" s="5" t="s">
        <v>1920</v>
      </c>
      <c r="R373" s="5" t="s">
        <v>1920</v>
      </c>
      <c r="S373" s="5"/>
      <c r="T373" s="5"/>
      <c r="U373" s="5"/>
      <c r="V373" s="5">
        <v>1900.0</v>
      </c>
      <c r="W373" s="26">
        <v>2.08</v>
      </c>
      <c r="X373" s="5">
        <v>913.0</v>
      </c>
      <c r="Y373" s="27">
        <v>0.2</v>
      </c>
      <c r="Z373" s="28">
        <v>730.4000000000001</v>
      </c>
      <c r="AA373" s="27">
        <v>1.0</v>
      </c>
      <c r="AB373" s="24" t="s">
        <v>0</v>
      </c>
      <c r="AC373" s="27">
        <v>0.0</v>
      </c>
      <c r="AD373" s="5"/>
      <c r="AE373" s="5" t="s">
        <v>166</v>
      </c>
      <c r="AF373" s="5" t="s">
        <v>81</v>
      </c>
      <c r="AG373" s="5">
        <v>0.0</v>
      </c>
      <c r="AH373" s="5">
        <v>2.0</v>
      </c>
      <c r="AI373" s="5" t="s">
        <v>0</v>
      </c>
      <c r="AJ373" s="5" t="s">
        <v>0</v>
      </c>
      <c r="AK373" s="52">
        <v>1200.0</v>
      </c>
      <c r="AL373" s="28">
        <v>0.0</v>
      </c>
      <c r="AM373" s="28">
        <v>0.0</v>
      </c>
      <c r="AN373" s="28">
        <v>0.0</v>
      </c>
      <c r="AO373" s="28">
        <v>0.0</v>
      </c>
      <c r="AP373" s="28">
        <v>1095600.0</v>
      </c>
      <c r="AQ373" s="28">
        <v>0.0</v>
      </c>
      <c r="AR373" s="28">
        <v>0.0</v>
      </c>
      <c r="AS373" s="28">
        <v>0.0</v>
      </c>
      <c r="AT373" s="28">
        <v>0.0</v>
      </c>
      <c r="AU373" s="28">
        <v>876480.0000000001</v>
      </c>
      <c r="AV373" s="28">
        <v>0.0</v>
      </c>
      <c r="AW373" s="28">
        <v>0.0</v>
      </c>
      <c r="AX373" s="28">
        <v>0.0</v>
      </c>
      <c r="AY373" s="28">
        <v>0.0</v>
      </c>
      <c r="AZ373" s="5"/>
      <c r="BA373" s="5" t="s">
        <v>86</v>
      </c>
      <c r="BB373" s="5" t="s">
        <v>512</v>
      </c>
      <c r="BD373" s="5" t="s">
        <v>1002</v>
      </c>
      <c r="BE373" s="5" t="s">
        <v>1005</v>
      </c>
      <c r="BF373" s="5" t="s">
        <v>1016</v>
      </c>
      <c r="BG373" s="5" t="s">
        <v>91</v>
      </c>
    </row>
    <row r="374" ht="16.5" hidden="1" customHeight="1">
      <c r="A374" s="5" t="s">
        <v>100</v>
      </c>
      <c r="B374" s="5" t="s">
        <v>137</v>
      </c>
      <c r="C374" s="5" t="b">
        <v>0</v>
      </c>
      <c r="D374" s="5" t="s">
        <v>1922</v>
      </c>
      <c r="E374" s="5" t="s">
        <v>1923</v>
      </c>
      <c r="F374" s="5"/>
      <c r="G374" s="5" t="s">
        <v>1002</v>
      </c>
      <c r="H374" s="5" t="s">
        <v>74</v>
      </c>
      <c r="I374" s="5" t="s">
        <v>106</v>
      </c>
      <c r="J374" s="25" t="s">
        <v>108</v>
      </c>
      <c r="K374" s="25"/>
      <c r="L374" s="25"/>
      <c r="M374" s="5" t="s">
        <v>66</v>
      </c>
      <c r="N374" s="5" t="s">
        <v>1003</v>
      </c>
      <c r="O374" s="5" t="s">
        <v>96</v>
      </c>
      <c r="P374" s="5" t="s">
        <v>70</v>
      </c>
      <c r="Q374" s="5" t="s">
        <v>1920</v>
      </c>
      <c r="R374" s="5" t="s">
        <v>1920</v>
      </c>
      <c r="S374" s="5"/>
      <c r="T374" s="5"/>
      <c r="U374" s="5"/>
      <c r="V374" s="5">
        <v>2500.0</v>
      </c>
      <c r="W374" s="26">
        <v>2.08</v>
      </c>
      <c r="X374" s="5">
        <v>1202.0</v>
      </c>
      <c r="Y374" s="27">
        <v>0.0</v>
      </c>
      <c r="Z374" s="28">
        <v>1202.0</v>
      </c>
      <c r="AA374" s="27">
        <v>1.0</v>
      </c>
      <c r="AB374" s="5" t="s">
        <v>242</v>
      </c>
      <c r="AC374" s="27"/>
      <c r="AD374" s="5"/>
      <c r="AE374" s="5" t="s">
        <v>80</v>
      </c>
      <c r="AF374" s="5" t="s">
        <v>81</v>
      </c>
      <c r="AG374" s="5"/>
      <c r="AH374" s="5">
        <v>1.0</v>
      </c>
      <c r="AI374" s="5" t="s">
        <v>0</v>
      </c>
      <c r="AJ374" s="5" t="s">
        <v>386</v>
      </c>
      <c r="AK374" s="30"/>
      <c r="AL374" s="28">
        <v>0.0</v>
      </c>
      <c r="AM374" s="28">
        <v>0.0</v>
      </c>
      <c r="AN374" s="28">
        <v>0.0</v>
      </c>
      <c r="AO374" s="28">
        <v>0.0</v>
      </c>
      <c r="AP374" s="28">
        <v>0.0</v>
      </c>
      <c r="AQ374" s="28">
        <v>0.0</v>
      </c>
      <c r="AR374" s="28">
        <v>0.0</v>
      </c>
      <c r="AS374" s="28">
        <v>0.0</v>
      </c>
      <c r="AT374" s="28">
        <v>0.0</v>
      </c>
      <c r="AU374" s="28">
        <v>0.0</v>
      </c>
      <c r="AV374" s="28">
        <v>0.0</v>
      </c>
      <c r="AW374" s="28">
        <v>0.0</v>
      </c>
      <c r="AX374" s="28">
        <v>0.0</v>
      </c>
      <c r="AY374" s="28">
        <v>0.0</v>
      </c>
      <c r="AZ374" s="5" t="s">
        <v>124</v>
      </c>
      <c r="BA374" s="5" t="s">
        <v>125</v>
      </c>
      <c r="BB374" s="5" t="s">
        <v>127</v>
      </c>
      <c r="BD374" s="5" t="s">
        <v>1002</v>
      </c>
      <c r="BE374" s="5" t="s">
        <v>1005</v>
      </c>
      <c r="BF374" s="5" t="s">
        <v>1016</v>
      </c>
      <c r="BG374" s="5" t="s">
        <v>91</v>
      </c>
      <c r="BH374" s="5" t="s">
        <v>1926</v>
      </c>
    </row>
    <row r="375" ht="16.5" hidden="1" customHeight="1">
      <c r="A375" s="5" t="s">
        <v>100</v>
      </c>
      <c r="B375" s="5" t="s">
        <v>137</v>
      </c>
      <c r="C375" s="5" t="b">
        <v>0</v>
      </c>
      <c r="D375" s="5" t="s">
        <v>1927</v>
      </c>
      <c r="E375" s="5" t="s">
        <v>1928</v>
      </c>
      <c r="F375" s="5"/>
      <c r="G375" s="5" t="s">
        <v>1002</v>
      </c>
      <c r="H375" s="5" t="s">
        <v>74</v>
      </c>
      <c r="I375" s="5" t="s">
        <v>106</v>
      </c>
      <c r="J375" s="25" t="s">
        <v>108</v>
      </c>
      <c r="K375" s="25"/>
      <c r="L375" s="25"/>
      <c r="M375" s="5" t="s">
        <v>66</v>
      </c>
      <c r="N375" s="5" t="s">
        <v>1003</v>
      </c>
      <c r="O375" s="5" t="s">
        <v>96</v>
      </c>
      <c r="P375" s="5" t="s">
        <v>107</v>
      </c>
      <c r="Q375" s="5" t="s">
        <v>1920</v>
      </c>
      <c r="R375" s="5" t="s">
        <v>1920</v>
      </c>
      <c r="S375" s="5"/>
      <c r="T375" s="5"/>
      <c r="U375" s="5"/>
      <c r="V375" s="5">
        <v>2500.0</v>
      </c>
      <c r="W375" s="26">
        <v>2.08</v>
      </c>
      <c r="X375" s="5">
        <v>1202.0</v>
      </c>
      <c r="Y375" s="27">
        <v>0.0</v>
      </c>
      <c r="Z375" s="28">
        <v>1202.0</v>
      </c>
      <c r="AA375" s="27">
        <v>1.0</v>
      </c>
      <c r="AB375" s="5" t="s">
        <v>242</v>
      </c>
      <c r="AC375" s="27"/>
      <c r="AD375" s="5"/>
      <c r="AE375" s="5" t="s">
        <v>80</v>
      </c>
      <c r="AF375" s="5" t="s">
        <v>81</v>
      </c>
      <c r="AG375" s="5"/>
      <c r="AH375" s="5">
        <v>1.0</v>
      </c>
      <c r="AI375" s="5" t="s">
        <v>0</v>
      </c>
      <c r="AJ375" s="5" t="s">
        <v>386</v>
      </c>
      <c r="AK375" s="30"/>
      <c r="AL375" s="28">
        <v>0.0</v>
      </c>
      <c r="AM375" s="28">
        <v>0.0</v>
      </c>
      <c r="AN375" s="28">
        <v>0.0</v>
      </c>
      <c r="AO375" s="28">
        <v>0.0</v>
      </c>
      <c r="AP375" s="28">
        <v>0.0</v>
      </c>
      <c r="AQ375" s="28">
        <v>0.0</v>
      </c>
      <c r="AR375" s="28">
        <v>0.0</v>
      </c>
      <c r="AS375" s="28">
        <v>0.0</v>
      </c>
      <c r="AT375" s="28">
        <v>0.0</v>
      </c>
      <c r="AU375" s="28">
        <v>0.0</v>
      </c>
      <c r="AV375" s="28">
        <v>0.0</v>
      </c>
      <c r="AW375" s="28">
        <v>0.0</v>
      </c>
      <c r="AX375" s="28">
        <v>0.0</v>
      </c>
      <c r="AY375" s="28">
        <v>0.0</v>
      </c>
      <c r="AZ375" s="5" t="s">
        <v>124</v>
      </c>
      <c r="BA375" s="5" t="s">
        <v>125</v>
      </c>
      <c r="BB375" s="5" t="s">
        <v>127</v>
      </c>
      <c r="BD375" s="5" t="s">
        <v>1002</v>
      </c>
      <c r="BE375" s="5" t="s">
        <v>1005</v>
      </c>
      <c r="BF375" s="5" t="s">
        <v>1016</v>
      </c>
      <c r="BG375" s="5" t="s">
        <v>91</v>
      </c>
      <c r="BH375" s="5" t="s">
        <v>1926</v>
      </c>
    </row>
    <row r="376" ht="16.5" hidden="1" customHeight="1">
      <c r="A376" s="5" t="s">
        <v>100</v>
      </c>
      <c r="B376" s="5" t="s">
        <v>215</v>
      </c>
      <c r="C376" s="5" t="b">
        <v>0</v>
      </c>
      <c r="D376" s="5" t="s">
        <v>1700</v>
      </c>
      <c r="E376" s="5" t="s">
        <v>1701</v>
      </c>
      <c r="F376" s="5"/>
      <c r="G376" s="5" t="s">
        <v>1002</v>
      </c>
      <c r="H376" s="5" t="s">
        <v>76</v>
      </c>
      <c r="I376" s="5" t="s">
        <v>218</v>
      </c>
      <c r="J376" s="25" t="s">
        <v>219</v>
      </c>
      <c r="K376" s="25"/>
      <c r="L376" s="25"/>
      <c r="M376" s="5" t="s">
        <v>66</v>
      </c>
      <c r="N376" s="5" t="s">
        <v>1003</v>
      </c>
      <c r="O376" s="5" t="s">
        <v>69</v>
      </c>
      <c r="P376" s="5" t="s">
        <v>70</v>
      </c>
      <c r="Q376" s="5" t="s">
        <v>1929</v>
      </c>
      <c r="R376" s="5" t="s">
        <v>110</v>
      </c>
      <c r="S376" s="5"/>
      <c r="T376" s="5"/>
      <c r="U376" s="5"/>
      <c r="V376" s="5">
        <v>2600.0</v>
      </c>
      <c r="W376" s="26">
        <v>2.08</v>
      </c>
      <c r="X376" s="5">
        <v>1250.0</v>
      </c>
      <c r="Y376" s="27">
        <v>0.0</v>
      </c>
      <c r="Z376" s="28">
        <v>1250.0</v>
      </c>
      <c r="AA376" s="27">
        <v>1.0</v>
      </c>
      <c r="AB376" s="5" t="s">
        <v>117</v>
      </c>
      <c r="AC376" s="27"/>
      <c r="AD376" s="5"/>
      <c r="AE376" s="5" t="s">
        <v>80</v>
      </c>
      <c r="AF376" s="5" t="s">
        <v>81</v>
      </c>
      <c r="AG376" s="5"/>
      <c r="AH376" s="5">
        <v>2.0</v>
      </c>
      <c r="AI376" s="5" t="s">
        <v>0</v>
      </c>
      <c r="AJ376" s="5" t="s">
        <v>0</v>
      </c>
      <c r="AK376" s="30"/>
      <c r="AL376" s="28">
        <v>0.0</v>
      </c>
      <c r="AM376" s="28">
        <v>0.0</v>
      </c>
      <c r="AN376" s="28">
        <v>998.0</v>
      </c>
      <c r="AO376" s="28">
        <v>966.0</v>
      </c>
      <c r="AP376" s="28">
        <v>0.0</v>
      </c>
      <c r="AQ376" s="28">
        <v>0.0</v>
      </c>
      <c r="AR376" s="28">
        <v>1207500.0</v>
      </c>
      <c r="AS376" s="28">
        <v>0.0</v>
      </c>
      <c r="AT376" s="28">
        <v>1207500.0</v>
      </c>
      <c r="AU376" s="28">
        <v>0.0</v>
      </c>
      <c r="AV376" s="28">
        <v>0.0</v>
      </c>
      <c r="AW376" s="28">
        <v>0.0</v>
      </c>
      <c r="AX376" s="28">
        <v>1045678.0504144978</v>
      </c>
      <c r="AY376" s="28">
        <v>1078970.36115</v>
      </c>
      <c r="AZ376" s="5" t="s">
        <v>124</v>
      </c>
      <c r="BA376" s="5" t="s">
        <v>86</v>
      </c>
      <c r="BB376" s="5" t="s">
        <v>87</v>
      </c>
      <c r="BD376" s="5" t="s">
        <v>1002</v>
      </c>
      <c r="BE376" s="5" t="s">
        <v>1015</v>
      </c>
      <c r="BF376" s="5" t="s">
        <v>1016</v>
      </c>
      <c r="BG376" s="5" t="s">
        <v>91</v>
      </c>
    </row>
    <row r="377" ht="16.5" hidden="1" customHeight="1">
      <c r="A377" s="5" t="s">
        <v>100</v>
      </c>
      <c r="B377" s="5" t="s">
        <v>215</v>
      </c>
      <c r="C377" s="5" t="b">
        <v>0</v>
      </c>
      <c r="D377" s="5" t="s">
        <v>1703</v>
      </c>
      <c r="E377" s="5" t="s">
        <v>1704</v>
      </c>
      <c r="F377" s="5"/>
      <c r="G377" s="5" t="s">
        <v>1002</v>
      </c>
      <c r="H377" s="5" t="s">
        <v>76</v>
      </c>
      <c r="I377" s="5" t="s">
        <v>218</v>
      </c>
      <c r="J377" s="25" t="s">
        <v>219</v>
      </c>
      <c r="K377" s="25"/>
      <c r="L377" s="25"/>
      <c r="M377" s="5" t="s">
        <v>66</v>
      </c>
      <c r="N377" s="5" t="s">
        <v>1003</v>
      </c>
      <c r="O377" s="5" t="s">
        <v>69</v>
      </c>
      <c r="P377" s="5" t="s">
        <v>107</v>
      </c>
      <c r="Q377" s="5" t="s">
        <v>1929</v>
      </c>
      <c r="R377" s="5" t="s">
        <v>110</v>
      </c>
      <c r="S377" s="5"/>
      <c r="T377" s="5"/>
      <c r="U377" s="5"/>
      <c r="V377" s="5">
        <v>2600.0</v>
      </c>
      <c r="W377" s="26">
        <v>2.08</v>
      </c>
      <c r="X377" s="5">
        <v>1250.0</v>
      </c>
      <c r="Y377" s="27">
        <v>0.0</v>
      </c>
      <c r="Z377" s="28">
        <v>1250.0</v>
      </c>
      <c r="AA377" s="27">
        <v>1.0</v>
      </c>
      <c r="AB377" s="5" t="s">
        <v>117</v>
      </c>
      <c r="AC377" s="27"/>
      <c r="AD377" s="5"/>
      <c r="AE377" s="5" t="s">
        <v>80</v>
      </c>
      <c r="AF377" s="5" t="s">
        <v>81</v>
      </c>
      <c r="AG377" s="5"/>
      <c r="AH377" s="5">
        <v>2.0</v>
      </c>
      <c r="AI377" s="5" t="s">
        <v>0</v>
      </c>
      <c r="AJ377" s="5" t="s">
        <v>0</v>
      </c>
      <c r="AK377" s="30"/>
      <c r="AL377" s="28">
        <v>0.0</v>
      </c>
      <c r="AM377" s="28">
        <v>0.0</v>
      </c>
      <c r="AN377" s="28">
        <v>745.0</v>
      </c>
      <c r="AO377" s="28">
        <v>715.0</v>
      </c>
      <c r="AP377" s="28">
        <v>0.0</v>
      </c>
      <c r="AQ377" s="28">
        <v>0.0</v>
      </c>
      <c r="AR377" s="28">
        <v>893750.0</v>
      </c>
      <c r="AS377" s="28">
        <v>0.0</v>
      </c>
      <c r="AT377" s="28">
        <v>893750.0</v>
      </c>
      <c r="AU377" s="28">
        <v>0.0</v>
      </c>
      <c r="AV377" s="28">
        <v>0.0</v>
      </c>
      <c r="AW377" s="28">
        <v>0.0</v>
      </c>
      <c r="AX377" s="28">
        <v>795653.6119144014</v>
      </c>
      <c r="AY377" s="28">
        <v>825028.57538</v>
      </c>
      <c r="AZ377" s="5" t="s">
        <v>124</v>
      </c>
      <c r="BA377" s="5" t="s">
        <v>86</v>
      </c>
      <c r="BB377" s="5" t="s">
        <v>87</v>
      </c>
      <c r="BD377" s="5" t="s">
        <v>1002</v>
      </c>
      <c r="BE377" s="5" t="s">
        <v>1015</v>
      </c>
      <c r="BF377" s="5" t="s">
        <v>1016</v>
      </c>
      <c r="BG377" s="5" t="s">
        <v>91</v>
      </c>
    </row>
    <row r="378" ht="16.5" hidden="1" customHeight="1">
      <c r="A378" s="5" t="s">
        <v>100</v>
      </c>
      <c r="B378" s="5" t="s">
        <v>137</v>
      </c>
      <c r="C378" s="5" t="b">
        <v>1</v>
      </c>
      <c r="D378" s="5" t="s">
        <v>1010</v>
      </c>
      <c r="E378" s="5" t="s">
        <v>1011</v>
      </c>
      <c r="F378" s="5"/>
      <c r="G378" s="5" t="s">
        <v>1002</v>
      </c>
      <c r="H378" s="5" t="s">
        <v>76</v>
      </c>
      <c r="I378" s="5" t="s">
        <v>82</v>
      </c>
      <c r="J378" s="25"/>
      <c r="K378" s="25"/>
      <c r="L378" s="25"/>
      <c r="M378" s="5" t="s">
        <v>66</v>
      </c>
      <c r="N378" s="5" t="s">
        <v>1012</v>
      </c>
      <c r="O378" s="5" t="s">
        <v>69</v>
      </c>
      <c r="P378" s="5" t="s">
        <v>249</v>
      </c>
      <c r="Q378" s="5" t="s">
        <v>1929</v>
      </c>
      <c r="R378" s="5" t="s">
        <v>110</v>
      </c>
      <c r="S378" s="5"/>
      <c r="T378" s="5"/>
      <c r="U378" s="5"/>
      <c r="V378" s="5">
        <v>3000.0</v>
      </c>
      <c r="W378" s="26">
        <v>2.08</v>
      </c>
      <c r="X378" s="5">
        <v>1442.0</v>
      </c>
      <c r="Y378" s="27">
        <v>0.2</v>
      </c>
      <c r="Z378" s="28">
        <v>1153.6000000000001</v>
      </c>
      <c r="AA378" s="27">
        <v>1.0</v>
      </c>
      <c r="AB378" s="5" t="s">
        <v>117</v>
      </c>
      <c r="AC378" s="27">
        <v>0.0</v>
      </c>
      <c r="AD378" s="5"/>
      <c r="AE378" s="5" t="s">
        <v>80</v>
      </c>
      <c r="AF378" s="5" t="s">
        <v>81</v>
      </c>
      <c r="AG378" s="5">
        <v>0.0</v>
      </c>
      <c r="AH378" s="5">
        <v>1.0</v>
      </c>
      <c r="AI378" s="5" t="s">
        <v>0</v>
      </c>
      <c r="AJ378" s="5" t="s">
        <v>0</v>
      </c>
      <c r="AK378" s="30">
        <v>100.0</v>
      </c>
      <c r="AL378" s="28">
        <v>79.0</v>
      </c>
      <c r="AM378" s="28">
        <v>136.0</v>
      </c>
      <c r="AN378" s="28">
        <v>133.0</v>
      </c>
      <c r="AO378" s="28">
        <v>140.0</v>
      </c>
      <c r="AP378" s="28">
        <v>144200.0</v>
      </c>
      <c r="AQ378" s="28">
        <v>113942.48999999999</v>
      </c>
      <c r="AR378" s="28">
        <v>201880.0</v>
      </c>
      <c r="AS378" s="28">
        <v>0.0</v>
      </c>
      <c r="AT378" s="28">
        <v>201880.0</v>
      </c>
      <c r="AU378" s="28">
        <v>115360.00000000001</v>
      </c>
      <c r="AV378" s="28">
        <v>107146.76113360323</v>
      </c>
      <c r="AW378" s="28">
        <v>194698.84</v>
      </c>
      <c r="AX378" s="28">
        <v>180501.012145749</v>
      </c>
      <c r="AY378" s="28">
        <v>204859.80000000002</v>
      </c>
      <c r="AZ378" s="5"/>
      <c r="BA378" s="5" t="s">
        <v>86</v>
      </c>
      <c r="BB378" s="5" t="s">
        <v>121</v>
      </c>
      <c r="BD378" s="5" t="s">
        <v>1002</v>
      </c>
      <c r="BE378" s="5" t="s">
        <v>1015</v>
      </c>
      <c r="BF378" s="5" t="s">
        <v>1016</v>
      </c>
      <c r="BG378" s="5" t="s">
        <v>91</v>
      </c>
    </row>
    <row r="379" ht="16.5" hidden="1" customHeight="1">
      <c r="A379" s="5" t="s">
        <v>100</v>
      </c>
      <c r="B379" s="5" t="s">
        <v>137</v>
      </c>
      <c r="C379" s="5" t="b">
        <v>1</v>
      </c>
      <c r="D379" s="5" t="s">
        <v>1017</v>
      </c>
      <c r="E379" s="5" t="s">
        <v>1018</v>
      </c>
      <c r="F379" s="5"/>
      <c r="G379" s="5" t="s">
        <v>1002</v>
      </c>
      <c r="H379" s="5" t="s">
        <v>76</v>
      </c>
      <c r="I379" s="5" t="s">
        <v>82</v>
      </c>
      <c r="J379" s="25"/>
      <c r="K379" s="25"/>
      <c r="L379" s="25"/>
      <c r="M379" s="5" t="s">
        <v>500</v>
      </c>
      <c r="N379" s="5" t="s">
        <v>1012</v>
      </c>
      <c r="O379" s="5" t="s">
        <v>69</v>
      </c>
      <c r="P379" s="5" t="s">
        <v>249</v>
      </c>
      <c r="Q379" s="5" t="s">
        <v>1933</v>
      </c>
      <c r="R379" s="5" t="s">
        <v>1933</v>
      </c>
      <c r="S379" s="5"/>
      <c r="T379" s="5"/>
      <c r="U379" s="5"/>
      <c r="V379" s="5">
        <v>3800.0</v>
      </c>
      <c r="W379" s="26">
        <v>2.08</v>
      </c>
      <c r="X379" s="5">
        <v>1827.0</v>
      </c>
      <c r="Y379" s="27">
        <v>0.2</v>
      </c>
      <c r="Z379" s="28">
        <v>1461.6000000000001</v>
      </c>
      <c r="AA379" s="27">
        <v>1.0</v>
      </c>
      <c r="AB379" s="5" t="s">
        <v>242</v>
      </c>
      <c r="AC379" s="27">
        <v>0.48</v>
      </c>
      <c r="AD379" s="5"/>
      <c r="AE379" s="5" t="s">
        <v>80</v>
      </c>
      <c r="AF379" s="5" t="s">
        <v>81</v>
      </c>
      <c r="AG379" s="5">
        <v>0.0</v>
      </c>
      <c r="AH379" s="5">
        <v>1.0</v>
      </c>
      <c r="AI379" s="5" t="s">
        <v>0</v>
      </c>
      <c r="AJ379" s="5" t="s">
        <v>0</v>
      </c>
      <c r="AK379" s="52">
        <v>100.0</v>
      </c>
      <c r="AL379" s="28">
        <v>77.0</v>
      </c>
      <c r="AM379" s="28">
        <v>88.0</v>
      </c>
      <c r="AN379" s="28">
        <v>81.0</v>
      </c>
      <c r="AO379" s="28">
        <v>67.0</v>
      </c>
      <c r="AP379" s="28">
        <v>182700.0</v>
      </c>
      <c r="AQ379" s="28">
        <v>140672.84</v>
      </c>
      <c r="AR379" s="28">
        <v>122409.0</v>
      </c>
      <c r="AS379" s="28">
        <v>0.0</v>
      </c>
      <c r="AT379" s="28">
        <v>122409.0</v>
      </c>
      <c r="AU379" s="28">
        <v>146160.0</v>
      </c>
      <c r="AV379" s="28">
        <v>136629.86153846153</v>
      </c>
      <c r="AW379" s="28">
        <v>155581.965756</v>
      </c>
      <c r="AX379" s="28">
        <v>143488.3076923077</v>
      </c>
      <c r="AY379" s="28">
        <v>118858.30628</v>
      </c>
      <c r="AZ379" s="5"/>
      <c r="BA379" s="5" t="s">
        <v>86</v>
      </c>
      <c r="BB379" s="5" t="s">
        <v>121</v>
      </c>
      <c r="BD379" s="5" t="s">
        <v>1002</v>
      </c>
      <c r="BE379" s="5" t="s">
        <v>1019</v>
      </c>
      <c r="BF379" s="5" t="s">
        <v>1016</v>
      </c>
      <c r="BG379" s="5" t="s">
        <v>91</v>
      </c>
    </row>
    <row r="380" ht="16.5" hidden="1" customHeight="1">
      <c r="A380" s="5" t="s">
        <v>100</v>
      </c>
      <c r="B380" s="5" t="s">
        <v>137</v>
      </c>
      <c r="C380" s="5" t="b">
        <v>1</v>
      </c>
      <c r="D380" s="5" t="s">
        <v>1020</v>
      </c>
      <c r="E380" s="5" t="s">
        <v>1021</v>
      </c>
      <c r="F380" s="5"/>
      <c r="G380" s="5" t="s">
        <v>1002</v>
      </c>
      <c r="H380" s="5" t="s">
        <v>76</v>
      </c>
      <c r="I380" s="5" t="s">
        <v>82</v>
      </c>
      <c r="J380" s="25"/>
      <c r="K380" s="25" t="s">
        <v>1934</v>
      </c>
      <c r="L380" s="25" t="s">
        <v>146</v>
      </c>
      <c r="M380" s="5" t="s">
        <v>66</v>
      </c>
      <c r="N380" s="5" t="s">
        <v>1003</v>
      </c>
      <c r="O380" s="5" t="s">
        <v>141</v>
      </c>
      <c r="P380" s="5" t="s">
        <v>70</v>
      </c>
      <c r="Q380" s="5" t="s">
        <v>1920</v>
      </c>
      <c r="R380" s="5" t="s">
        <v>1920</v>
      </c>
      <c r="S380" s="5"/>
      <c r="T380" s="5"/>
      <c r="U380" s="5"/>
      <c r="V380" s="5">
        <v>2000.0</v>
      </c>
      <c r="W380" s="26">
        <v>2.08</v>
      </c>
      <c r="X380" s="5">
        <v>962.0</v>
      </c>
      <c r="Y380" s="27">
        <v>0.2</v>
      </c>
      <c r="Z380" s="28">
        <v>769.6</v>
      </c>
      <c r="AA380" s="27">
        <v>1.0</v>
      </c>
      <c r="AB380" s="5" t="s">
        <v>78</v>
      </c>
      <c r="AC380" s="27">
        <v>0.5589999999999999</v>
      </c>
      <c r="AD380" s="5"/>
      <c r="AE380" s="5" t="s">
        <v>80</v>
      </c>
      <c r="AF380" s="5" t="s">
        <v>81</v>
      </c>
      <c r="AG380" s="5">
        <v>0.0</v>
      </c>
      <c r="AH380" s="5">
        <v>1.0</v>
      </c>
      <c r="AI380" s="5" t="s">
        <v>0</v>
      </c>
      <c r="AJ380" s="5" t="s">
        <v>146</v>
      </c>
      <c r="AK380" s="30">
        <v>2100.0</v>
      </c>
      <c r="AL380" s="28">
        <v>2050.0</v>
      </c>
      <c r="AM380" s="28">
        <v>1532.0</v>
      </c>
      <c r="AN380" s="28">
        <v>1560.0</v>
      </c>
      <c r="AO380" s="28">
        <v>1590.0</v>
      </c>
      <c r="AP380" s="28">
        <v>2020200.0</v>
      </c>
      <c r="AQ380" s="28">
        <v>1971157.0</v>
      </c>
      <c r="AR380" s="28">
        <v>1529580.0</v>
      </c>
      <c r="AS380" s="28">
        <v>0.0</v>
      </c>
      <c r="AT380" s="28">
        <v>1529580.0</v>
      </c>
      <c r="AU380" s="28">
        <v>1616160.0</v>
      </c>
      <c r="AV380" s="28">
        <v>1544210.5263157894</v>
      </c>
      <c r="AW380" s="28">
        <v>995800.0</v>
      </c>
      <c r="AX380" s="28">
        <v>1178052.6315789474</v>
      </c>
      <c r="AY380" s="28">
        <v>1057953.0</v>
      </c>
      <c r="AZ380" s="5"/>
      <c r="BA380" s="5" t="s">
        <v>86</v>
      </c>
      <c r="BB380" s="5" t="s">
        <v>87</v>
      </c>
      <c r="BD380" s="5" t="s">
        <v>1002</v>
      </c>
      <c r="BE380" s="5" t="s">
        <v>1005</v>
      </c>
      <c r="BF380" s="5" t="s">
        <v>1016</v>
      </c>
      <c r="BG380" s="5" t="s">
        <v>91</v>
      </c>
    </row>
    <row r="381" ht="16.5" hidden="1" customHeight="1">
      <c r="A381" s="5" t="s">
        <v>100</v>
      </c>
      <c r="B381" s="5" t="s">
        <v>137</v>
      </c>
      <c r="C381" s="5" t="b">
        <v>1</v>
      </c>
      <c r="D381" s="5" t="s">
        <v>1023</v>
      </c>
      <c r="E381" s="5" t="s">
        <v>1024</v>
      </c>
      <c r="F381" s="5"/>
      <c r="G381" s="5" t="s">
        <v>1002</v>
      </c>
      <c r="H381" s="5" t="s">
        <v>76</v>
      </c>
      <c r="I381" s="5" t="s">
        <v>82</v>
      </c>
      <c r="J381" s="25"/>
      <c r="K381" s="25" t="s">
        <v>1934</v>
      </c>
      <c r="L381" s="25" t="s">
        <v>146</v>
      </c>
      <c r="M381" s="5" t="s">
        <v>66</v>
      </c>
      <c r="N381" s="5" t="s">
        <v>1003</v>
      </c>
      <c r="O381" s="5" t="s">
        <v>141</v>
      </c>
      <c r="P381" s="5" t="s">
        <v>107</v>
      </c>
      <c r="Q381" s="5" t="s">
        <v>1920</v>
      </c>
      <c r="R381" s="5" t="s">
        <v>1920</v>
      </c>
      <c r="S381" s="5"/>
      <c r="T381" s="5"/>
      <c r="U381" s="5"/>
      <c r="V381" s="5">
        <v>2000.0</v>
      </c>
      <c r="W381" s="26">
        <v>2.08</v>
      </c>
      <c r="X381" s="5">
        <v>962.0</v>
      </c>
      <c r="Y381" s="27">
        <v>0.2</v>
      </c>
      <c r="Z381" s="28">
        <v>769.6</v>
      </c>
      <c r="AA381" s="27">
        <v>1.0</v>
      </c>
      <c r="AB381" s="5" t="s">
        <v>78</v>
      </c>
      <c r="AC381" s="27">
        <v>0.583</v>
      </c>
      <c r="AD381" s="5"/>
      <c r="AE381" s="5" t="s">
        <v>80</v>
      </c>
      <c r="AF381" s="5" t="s">
        <v>81</v>
      </c>
      <c r="AG381" s="5">
        <v>0.0</v>
      </c>
      <c r="AH381" s="5">
        <v>1.0</v>
      </c>
      <c r="AI381" s="5" t="s">
        <v>0</v>
      </c>
      <c r="AJ381" s="5" t="s">
        <v>146</v>
      </c>
      <c r="AK381" s="52">
        <v>1000.0</v>
      </c>
      <c r="AL381" s="28">
        <v>1000.0</v>
      </c>
      <c r="AM381" s="28">
        <v>1008.0</v>
      </c>
      <c r="AN381" s="28">
        <v>600.0</v>
      </c>
      <c r="AO381" s="28">
        <v>446.0</v>
      </c>
      <c r="AP381" s="28">
        <v>962000.0</v>
      </c>
      <c r="AQ381" s="28">
        <v>961540.0</v>
      </c>
      <c r="AR381" s="28">
        <v>429052.0</v>
      </c>
      <c r="AS381" s="28">
        <v>0.0</v>
      </c>
      <c r="AT381" s="28">
        <v>429052.0</v>
      </c>
      <c r="AU381" s="28">
        <v>769600.0</v>
      </c>
      <c r="AV381" s="28">
        <v>750000.0</v>
      </c>
      <c r="AW381" s="28">
        <v>655200.0</v>
      </c>
      <c r="AX381" s="28">
        <v>450000.0</v>
      </c>
      <c r="AY381" s="28">
        <v>289900.0</v>
      </c>
      <c r="AZ381" s="5"/>
      <c r="BA381" s="5" t="s">
        <v>86</v>
      </c>
      <c r="BB381" s="5" t="s">
        <v>87</v>
      </c>
      <c r="BD381" s="5" t="s">
        <v>1002</v>
      </c>
      <c r="BE381" s="5" t="s">
        <v>1005</v>
      </c>
      <c r="BF381" s="5" t="s">
        <v>1016</v>
      </c>
      <c r="BG381" s="5" t="s">
        <v>91</v>
      </c>
    </row>
    <row r="382" ht="16.5" customHeight="1">
      <c r="A382" s="5" t="s">
        <v>100</v>
      </c>
      <c r="B382" s="5" t="s">
        <v>137</v>
      </c>
      <c r="C382" s="5" t="b">
        <v>1</v>
      </c>
      <c r="D382" s="5" t="s">
        <v>1025</v>
      </c>
      <c r="E382" s="5" t="s">
        <v>1026</v>
      </c>
      <c r="F382" s="5"/>
      <c r="G382" s="5" t="s">
        <v>1002</v>
      </c>
      <c r="H382" s="5" t="s">
        <v>76</v>
      </c>
      <c r="I382" s="5" t="s">
        <v>82</v>
      </c>
      <c r="J382" s="25"/>
      <c r="K382" s="25"/>
      <c r="L382" s="25"/>
      <c r="M382" s="5" t="s">
        <v>109</v>
      </c>
      <c r="N382" s="5" t="s">
        <v>1027</v>
      </c>
      <c r="O382" s="5" t="s">
        <v>69</v>
      </c>
      <c r="P382" s="5" t="s">
        <v>70</v>
      </c>
      <c r="Q382" s="5" t="s">
        <v>1920</v>
      </c>
      <c r="R382" s="5" t="s">
        <v>1920</v>
      </c>
      <c r="S382" s="5"/>
      <c r="T382" s="5"/>
      <c r="U382" s="5"/>
      <c r="V382" s="5">
        <v>2200.0</v>
      </c>
      <c r="W382" s="26">
        <v>2.08</v>
      </c>
      <c r="X382" s="5">
        <v>1058.0</v>
      </c>
      <c r="Y382" s="27">
        <v>0.2</v>
      </c>
      <c r="Z382" s="28">
        <v>846.4000000000001</v>
      </c>
      <c r="AA382" s="27">
        <v>1.0</v>
      </c>
      <c r="AB382" s="5" t="s">
        <v>117</v>
      </c>
      <c r="AC382" s="27">
        <v>0.0</v>
      </c>
      <c r="AD382" s="26"/>
      <c r="AE382" s="5" t="s">
        <v>80</v>
      </c>
      <c r="AF382" s="5" t="s">
        <v>81</v>
      </c>
      <c r="AG382" s="5">
        <v>0.0</v>
      </c>
      <c r="AH382" s="5">
        <v>3.0</v>
      </c>
      <c r="AI382" s="5" t="s">
        <v>0</v>
      </c>
      <c r="AJ382" s="5" t="s">
        <v>0</v>
      </c>
      <c r="AK382" s="30">
        <v>2700.0</v>
      </c>
      <c r="AL382" s="28">
        <v>2650.0</v>
      </c>
      <c r="AM382" s="28">
        <v>3053.0</v>
      </c>
      <c r="AN382" s="28">
        <v>1575.0</v>
      </c>
      <c r="AO382" s="28">
        <v>969.0</v>
      </c>
      <c r="AP382" s="28">
        <v>2856600.0</v>
      </c>
      <c r="AQ382" s="28">
        <v>2802878.4999999995</v>
      </c>
      <c r="AR382" s="28">
        <v>1025202.0</v>
      </c>
      <c r="AS382" s="28">
        <v>0.0</v>
      </c>
      <c r="AT382" s="28">
        <v>1025202.0</v>
      </c>
      <c r="AU382" s="28">
        <v>2285280.0000000005</v>
      </c>
      <c r="AV382" s="28">
        <v>2068443.1299710819</v>
      </c>
      <c r="AW382" s="28">
        <v>2310291.209538</v>
      </c>
      <c r="AX382" s="28">
        <v>1293528.674031232</v>
      </c>
      <c r="AY382" s="28">
        <v>840449.5368999998</v>
      </c>
      <c r="AZ382" s="5"/>
      <c r="BA382" s="5" t="s">
        <v>86</v>
      </c>
      <c r="BB382" s="5" t="s">
        <v>512</v>
      </c>
      <c r="BD382" s="5" t="s">
        <v>1002</v>
      </c>
      <c r="BE382" s="5" t="s">
        <v>1005</v>
      </c>
      <c r="BF382" s="5" t="s">
        <v>1016</v>
      </c>
      <c r="BG382" s="5" t="s">
        <v>91</v>
      </c>
    </row>
    <row r="383" ht="16.5" customHeight="1">
      <c r="A383" s="5" t="s">
        <v>100</v>
      </c>
      <c r="B383" s="5" t="s">
        <v>137</v>
      </c>
      <c r="C383" s="5" t="b">
        <v>1</v>
      </c>
      <c r="D383" s="5" t="s">
        <v>1030</v>
      </c>
      <c r="E383" s="5" t="s">
        <v>1031</v>
      </c>
      <c r="F383" s="5"/>
      <c r="G383" s="5" t="s">
        <v>1002</v>
      </c>
      <c r="H383" s="5" t="s">
        <v>76</v>
      </c>
      <c r="I383" s="5" t="s">
        <v>82</v>
      </c>
      <c r="J383" s="25"/>
      <c r="K383" s="25"/>
      <c r="L383" s="25"/>
      <c r="M383" s="5" t="s">
        <v>109</v>
      </c>
      <c r="N383" s="5" t="s">
        <v>1027</v>
      </c>
      <c r="O383" s="5" t="s">
        <v>69</v>
      </c>
      <c r="P383" s="5" t="s">
        <v>107</v>
      </c>
      <c r="Q383" s="5" t="s">
        <v>1920</v>
      </c>
      <c r="R383" s="5" t="s">
        <v>1920</v>
      </c>
      <c r="S383" s="5"/>
      <c r="T383" s="5"/>
      <c r="U383" s="5"/>
      <c r="V383" s="5">
        <v>2200.0</v>
      </c>
      <c r="W383" s="26">
        <v>2.08</v>
      </c>
      <c r="X383" s="5">
        <v>1058.0</v>
      </c>
      <c r="Y383" s="27">
        <v>0.2</v>
      </c>
      <c r="Z383" s="28">
        <v>846.4000000000001</v>
      </c>
      <c r="AA383" s="27">
        <v>1.0</v>
      </c>
      <c r="AB383" s="5" t="s">
        <v>117</v>
      </c>
      <c r="AC383" s="27">
        <v>0.0</v>
      </c>
      <c r="AD383" s="26"/>
      <c r="AE383" s="5" t="s">
        <v>80</v>
      </c>
      <c r="AF383" s="5" t="s">
        <v>81</v>
      </c>
      <c r="AG383" s="5">
        <v>0.0</v>
      </c>
      <c r="AH383" s="5">
        <v>2.0</v>
      </c>
      <c r="AI383" s="5" t="s">
        <v>0</v>
      </c>
      <c r="AJ383" s="5" t="s">
        <v>0</v>
      </c>
      <c r="AK383" s="30">
        <v>2000.0</v>
      </c>
      <c r="AL383" s="28">
        <v>1955.0</v>
      </c>
      <c r="AM383" s="28">
        <v>2304.0</v>
      </c>
      <c r="AN383" s="28">
        <v>1115.0</v>
      </c>
      <c r="AO383" s="28">
        <v>681.0</v>
      </c>
      <c r="AP383" s="28">
        <v>2116000.0</v>
      </c>
      <c r="AQ383" s="28">
        <v>2067783.9500000002</v>
      </c>
      <c r="AR383" s="28">
        <v>720498.0</v>
      </c>
      <c r="AS383" s="28">
        <v>0.0</v>
      </c>
      <c r="AT383" s="28">
        <v>720498.0</v>
      </c>
      <c r="AU383" s="28">
        <v>1692800.0000000002</v>
      </c>
      <c r="AV383" s="28">
        <v>1509904.218970503</v>
      </c>
      <c r="AW383" s="28">
        <v>1806754.1630199999</v>
      </c>
      <c r="AX383" s="28">
        <v>913901.4012724118</v>
      </c>
      <c r="AY383" s="28">
        <v>606948.10789</v>
      </c>
      <c r="AZ383" s="5"/>
      <c r="BA383" s="5" t="s">
        <v>86</v>
      </c>
      <c r="BB383" s="5" t="s">
        <v>512</v>
      </c>
      <c r="BD383" s="5" t="s">
        <v>1002</v>
      </c>
      <c r="BE383" s="5" t="s">
        <v>1005</v>
      </c>
      <c r="BF383" s="5" t="s">
        <v>1016</v>
      </c>
      <c r="BG383" s="5" t="s">
        <v>91</v>
      </c>
    </row>
    <row r="384" ht="16.5" customHeight="1">
      <c r="A384" s="5" t="s">
        <v>100</v>
      </c>
      <c r="B384" s="5" t="s">
        <v>137</v>
      </c>
      <c r="C384" s="5" t="b">
        <v>1</v>
      </c>
      <c r="D384" s="5" t="s">
        <v>1705</v>
      </c>
      <c r="E384" s="5" t="s">
        <v>1706</v>
      </c>
      <c r="F384" s="5"/>
      <c r="G384" s="5" t="s">
        <v>1002</v>
      </c>
      <c r="H384" s="5" t="s">
        <v>76</v>
      </c>
      <c r="I384" s="5" t="s">
        <v>82</v>
      </c>
      <c r="J384" s="25"/>
      <c r="K384" s="25"/>
      <c r="L384" s="25"/>
      <c r="M384" s="5" t="s">
        <v>109</v>
      </c>
      <c r="N384" s="5" t="s">
        <v>1027</v>
      </c>
      <c r="O384" s="5" t="s">
        <v>69</v>
      </c>
      <c r="P384" s="5" t="s">
        <v>70</v>
      </c>
      <c r="Q384" s="5" t="s">
        <v>1929</v>
      </c>
      <c r="R384" s="5" t="s">
        <v>110</v>
      </c>
      <c r="S384" s="5"/>
      <c r="T384" s="5"/>
      <c r="U384" s="5"/>
      <c r="V384" s="5">
        <v>2300.0</v>
      </c>
      <c r="W384" s="26">
        <v>2.08</v>
      </c>
      <c r="X384" s="5">
        <v>1106.0</v>
      </c>
      <c r="Y384" s="27">
        <v>0.2</v>
      </c>
      <c r="Z384" s="28">
        <v>884.8000000000001</v>
      </c>
      <c r="AA384" s="27">
        <v>1.0</v>
      </c>
      <c r="AB384" s="5" t="s">
        <v>117</v>
      </c>
      <c r="AC384" s="27">
        <v>0.56</v>
      </c>
      <c r="AD384" s="5"/>
      <c r="AE384" s="5" t="s">
        <v>80</v>
      </c>
      <c r="AF384" s="5" t="s">
        <v>81</v>
      </c>
      <c r="AG384" s="5">
        <v>0.0</v>
      </c>
      <c r="AH384" s="5">
        <v>2.0</v>
      </c>
      <c r="AI384" s="5" t="s">
        <v>0</v>
      </c>
      <c r="AJ384" s="5" t="s">
        <v>0</v>
      </c>
      <c r="AK384" s="30">
        <v>1600.0</v>
      </c>
      <c r="AL384" s="28">
        <v>0.0</v>
      </c>
      <c r="AM384" s="28">
        <v>0.0</v>
      </c>
      <c r="AN384" s="28">
        <v>1245.0</v>
      </c>
      <c r="AO384" s="28">
        <v>0.0</v>
      </c>
      <c r="AP384" s="28">
        <v>1769600.0</v>
      </c>
      <c r="AQ384" s="28">
        <v>0.0</v>
      </c>
      <c r="AR384" s="28">
        <v>0.0</v>
      </c>
      <c r="AS384" s="28">
        <v>0.0</v>
      </c>
      <c r="AT384" s="28">
        <v>0.0</v>
      </c>
      <c r="AU384" s="28">
        <v>1415680.0</v>
      </c>
      <c r="AV384" s="28">
        <v>0.0</v>
      </c>
      <c r="AW384" s="28">
        <v>0.0</v>
      </c>
      <c r="AX384" s="28">
        <v>1084316.3198419122</v>
      </c>
      <c r="AY384" s="28">
        <v>0.0</v>
      </c>
      <c r="AZ384" s="5"/>
      <c r="BA384" s="5" t="s">
        <v>86</v>
      </c>
      <c r="BB384" s="5" t="s">
        <v>512</v>
      </c>
      <c r="BD384" s="5" t="s">
        <v>1002</v>
      </c>
      <c r="BE384" s="5" t="s">
        <v>1015</v>
      </c>
      <c r="BF384" s="5" t="s">
        <v>1016</v>
      </c>
      <c r="BG384" s="5" t="s">
        <v>91</v>
      </c>
    </row>
    <row r="385" ht="16.5" customHeight="1">
      <c r="A385" s="5" t="s">
        <v>100</v>
      </c>
      <c r="B385" s="5" t="s">
        <v>137</v>
      </c>
      <c r="C385" s="5" t="b">
        <v>1</v>
      </c>
      <c r="D385" s="5" t="s">
        <v>1707</v>
      </c>
      <c r="E385" s="5" t="s">
        <v>1708</v>
      </c>
      <c r="F385" s="5"/>
      <c r="G385" s="5" t="s">
        <v>1002</v>
      </c>
      <c r="H385" s="5" t="s">
        <v>76</v>
      </c>
      <c r="I385" s="5" t="s">
        <v>82</v>
      </c>
      <c r="J385" s="25"/>
      <c r="K385" s="25"/>
      <c r="L385" s="25"/>
      <c r="M385" s="5" t="s">
        <v>109</v>
      </c>
      <c r="N385" s="5" t="s">
        <v>1027</v>
      </c>
      <c r="O385" s="5" t="s">
        <v>69</v>
      </c>
      <c r="P385" s="5" t="s">
        <v>107</v>
      </c>
      <c r="Q385" s="5" t="s">
        <v>1929</v>
      </c>
      <c r="R385" s="5" t="s">
        <v>110</v>
      </c>
      <c r="S385" s="5"/>
      <c r="T385" s="5"/>
      <c r="U385" s="5"/>
      <c r="V385" s="5">
        <v>2300.0</v>
      </c>
      <c r="W385" s="26">
        <v>2.08</v>
      </c>
      <c r="X385" s="5">
        <v>1106.0</v>
      </c>
      <c r="Y385" s="27">
        <v>0.2</v>
      </c>
      <c r="Z385" s="28">
        <v>884.8000000000001</v>
      </c>
      <c r="AA385" s="27">
        <v>1.0</v>
      </c>
      <c r="AB385" s="5" t="s">
        <v>117</v>
      </c>
      <c r="AC385" s="27">
        <v>0.56</v>
      </c>
      <c r="AD385" s="5"/>
      <c r="AE385" s="5" t="s">
        <v>80</v>
      </c>
      <c r="AF385" s="5" t="s">
        <v>81</v>
      </c>
      <c r="AG385" s="5">
        <v>0.0</v>
      </c>
      <c r="AH385" s="5">
        <v>2.0</v>
      </c>
      <c r="AI385" s="5" t="s">
        <v>0</v>
      </c>
      <c r="AJ385" s="5" t="s">
        <v>0</v>
      </c>
      <c r="AK385" s="30">
        <v>1200.0</v>
      </c>
      <c r="AL385" s="28">
        <v>0.0</v>
      </c>
      <c r="AM385" s="28">
        <v>0.0</v>
      </c>
      <c r="AN385" s="28">
        <v>820.0</v>
      </c>
      <c r="AO385" s="28">
        <v>0.0</v>
      </c>
      <c r="AP385" s="28">
        <v>1327200.0</v>
      </c>
      <c r="AQ385" s="28">
        <v>0.0</v>
      </c>
      <c r="AR385" s="28">
        <v>0.0</v>
      </c>
      <c r="AS385" s="28">
        <v>0.0</v>
      </c>
      <c r="AT385" s="28">
        <v>0.0</v>
      </c>
      <c r="AU385" s="28">
        <v>1061760.0</v>
      </c>
      <c r="AV385" s="28">
        <v>0.0</v>
      </c>
      <c r="AW385" s="28">
        <v>0.0</v>
      </c>
      <c r="AX385" s="28">
        <v>722695.8701754387</v>
      </c>
      <c r="AY385" s="28">
        <v>0.0</v>
      </c>
      <c r="AZ385" s="5"/>
      <c r="BA385" s="5" t="s">
        <v>86</v>
      </c>
      <c r="BB385" s="5" t="s">
        <v>512</v>
      </c>
      <c r="BD385" s="5" t="s">
        <v>1002</v>
      </c>
      <c r="BE385" s="5" t="s">
        <v>1015</v>
      </c>
      <c r="BF385" s="5" t="s">
        <v>1016</v>
      </c>
      <c r="BG385" s="5" t="s">
        <v>91</v>
      </c>
    </row>
    <row r="386" ht="16.5" customHeight="1">
      <c r="A386" s="5" t="s">
        <v>100</v>
      </c>
      <c r="B386" s="5" t="s">
        <v>137</v>
      </c>
      <c r="C386" s="5" t="b">
        <v>1</v>
      </c>
      <c r="D386" s="5" t="s">
        <v>1033</v>
      </c>
      <c r="E386" s="5" t="s">
        <v>1034</v>
      </c>
      <c r="F386" s="5"/>
      <c r="G386" s="5" t="s">
        <v>1002</v>
      </c>
      <c r="H386" s="5" t="s">
        <v>76</v>
      </c>
      <c r="I386" s="5" t="s">
        <v>82</v>
      </c>
      <c r="J386" s="25"/>
      <c r="K386" s="25"/>
      <c r="L386" s="25"/>
      <c r="M386" s="5" t="s">
        <v>109</v>
      </c>
      <c r="N386" s="5" t="s">
        <v>1003</v>
      </c>
      <c r="O386" s="5" t="s">
        <v>69</v>
      </c>
      <c r="P386" s="5" t="s">
        <v>70</v>
      </c>
      <c r="Q386" s="5" t="s">
        <v>1920</v>
      </c>
      <c r="R386" s="5" t="s">
        <v>1920</v>
      </c>
      <c r="S386" s="5"/>
      <c r="T386" s="5"/>
      <c r="U386" s="5"/>
      <c r="V386" s="5">
        <v>2200.0</v>
      </c>
      <c r="W386" s="26">
        <v>2.08</v>
      </c>
      <c r="X386" s="5">
        <v>1058.0</v>
      </c>
      <c r="Y386" s="27">
        <v>0.2</v>
      </c>
      <c r="Z386" s="28">
        <v>846.4000000000001</v>
      </c>
      <c r="AA386" s="27">
        <v>1.0</v>
      </c>
      <c r="AB386" s="5" t="s">
        <v>117</v>
      </c>
      <c r="AC386" s="27">
        <v>0.0</v>
      </c>
      <c r="AD386" s="5"/>
      <c r="AE386" s="5" t="s">
        <v>80</v>
      </c>
      <c r="AF386" s="5" t="s">
        <v>81</v>
      </c>
      <c r="AG386" s="5">
        <v>0.0</v>
      </c>
      <c r="AH386" s="5">
        <v>3.0</v>
      </c>
      <c r="AI386" s="5" t="s">
        <v>0</v>
      </c>
      <c r="AJ386" s="5" t="s">
        <v>0</v>
      </c>
      <c r="AK386" s="30">
        <v>4300.0</v>
      </c>
      <c r="AL386" s="28">
        <v>4287.0</v>
      </c>
      <c r="AM386" s="28">
        <v>4272.0</v>
      </c>
      <c r="AN386" s="28">
        <v>3057.0</v>
      </c>
      <c r="AO386" s="28">
        <v>1567.0</v>
      </c>
      <c r="AP386" s="28">
        <v>4549400.0</v>
      </c>
      <c r="AQ386" s="28">
        <v>4534317.030000001</v>
      </c>
      <c r="AR386" s="28">
        <v>1657886.0</v>
      </c>
      <c r="AS386" s="28">
        <v>0.0</v>
      </c>
      <c r="AT386" s="28">
        <v>1657886.0</v>
      </c>
      <c r="AU386" s="28">
        <v>3639520.0000000005</v>
      </c>
      <c r="AV386" s="28">
        <v>3448979.513254289</v>
      </c>
      <c r="AW386" s="28">
        <v>3382803.4444834995</v>
      </c>
      <c r="AX386" s="28">
        <v>2382182.9562367457</v>
      </c>
      <c r="AY386" s="28">
        <v>1375553.6990399999</v>
      </c>
      <c r="AZ386" s="5"/>
      <c r="BA386" s="5" t="s">
        <v>86</v>
      </c>
      <c r="BB386" s="5" t="s">
        <v>512</v>
      </c>
      <c r="BD386" s="5" t="s">
        <v>1002</v>
      </c>
      <c r="BE386" s="5" t="s">
        <v>1005</v>
      </c>
      <c r="BF386" s="5" t="s">
        <v>1016</v>
      </c>
      <c r="BG386" s="5" t="s">
        <v>91</v>
      </c>
    </row>
    <row r="387" ht="16.5" customHeight="1">
      <c r="A387" s="5" t="s">
        <v>100</v>
      </c>
      <c r="B387" s="5" t="s">
        <v>137</v>
      </c>
      <c r="C387" s="5" t="b">
        <v>1</v>
      </c>
      <c r="D387" s="5" t="s">
        <v>1036</v>
      </c>
      <c r="E387" s="5" t="s">
        <v>1037</v>
      </c>
      <c r="F387" s="5"/>
      <c r="G387" s="5" t="s">
        <v>1002</v>
      </c>
      <c r="H387" s="5" t="s">
        <v>76</v>
      </c>
      <c r="I387" s="5" t="s">
        <v>82</v>
      </c>
      <c r="J387" s="25"/>
      <c r="K387" s="25"/>
      <c r="L387" s="25"/>
      <c r="M387" s="5" t="s">
        <v>109</v>
      </c>
      <c r="N387" s="5" t="s">
        <v>1003</v>
      </c>
      <c r="O387" s="5" t="s">
        <v>69</v>
      </c>
      <c r="P387" s="5" t="s">
        <v>107</v>
      </c>
      <c r="Q387" s="5" t="s">
        <v>1920</v>
      </c>
      <c r="R387" s="5" t="s">
        <v>1920</v>
      </c>
      <c r="S387" s="5"/>
      <c r="T387" s="5"/>
      <c r="U387" s="5"/>
      <c r="V387" s="5">
        <v>2200.0</v>
      </c>
      <c r="W387" s="26">
        <v>2.08</v>
      </c>
      <c r="X387" s="5">
        <v>1058.0</v>
      </c>
      <c r="Y387" s="27">
        <v>0.2</v>
      </c>
      <c r="Z387" s="28">
        <v>846.4000000000001</v>
      </c>
      <c r="AA387" s="27">
        <v>1.0</v>
      </c>
      <c r="AB387" s="5" t="s">
        <v>117</v>
      </c>
      <c r="AC387" s="27">
        <v>0.0</v>
      </c>
      <c r="AD387" s="5"/>
      <c r="AE387" s="5" t="s">
        <v>80</v>
      </c>
      <c r="AF387" s="5" t="s">
        <v>81</v>
      </c>
      <c r="AG387" s="5">
        <v>0.0</v>
      </c>
      <c r="AH387" s="5">
        <v>3.0</v>
      </c>
      <c r="AI387" s="5" t="s">
        <v>0</v>
      </c>
      <c r="AJ387" s="5" t="s">
        <v>0</v>
      </c>
      <c r="AK387" s="30">
        <v>3000.0</v>
      </c>
      <c r="AL387" s="28">
        <v>3046.0</v>
      </c>
      <c r="AM387" s="28">
        <v>2243.0</v>
      </c>
      <c r="AN387" s="28">
        <v>2087.0</v>
      </c>
      <c r="AO387" s="28">
        <v>978.0</v>
      </c>
      <c r="AP387" s="28">
        <v>3174000.0</v>
      </c>
      <c r="AQ387" s="28">
        <v>3221723.74</v>
      </c>
      <c r="AR387" s="28">
        <v>1034724.0</v>
      </c>
      <c r="AS387" s="28">
        <v>0.0</v>
      </c>
      <c r="AT387" s="28">
        <v>1034724.0</v>
      </c>
      <c r="AU387" s="28">
        <v>2539200.0000000005</v>
      </c>
      <c r="AV387" s="28">
        <v>2482580.881212647</v>
      </c>
      <c r="AW387" s="28">
        <v>1813949.0380735004</v>
      </c>
      <c r="AX387" s="28">
        <v>1653106.1252361676</v>
      </c>
      <c r="AY387" s="28">
        <v>859715.4010700001</v>
      </c>
      <c r="AZ387" s="5"/>
      <c r="BA387" s="5" t="s">
        <v>86</v>
      </c>
      <c r="BB387" s="5" t="s">
        <v>512</v>
      </c>
      <c r="BD387" s="5" t="s">
        <v>1002</v>
      </c>
      <c r="BE387" s="5" t="s">
        <v>1005</v>
      </c>
      <c r="BF387" s="5" t="s">
        <v>1016</v>
      </c>
      <c r="BG387" s="5" t="s">
        <v>91</v>
      </c>
    </row>
    <row r="388" ht="16.5" customHeight="1">
      <c r="A388" s="5" t="s">
        <v>100</v>
      </c>
      <c r="B388" s="5" t="s">
        <v>137</v>
      </c>
      <c r="C388" s="5" t="b">
        <v>1</v>
      </c>
      <c r="D388" s="5" t="s">
        <v>1041</v>
      </c>
      <c r="E388" s="5" t="s">
        <v>1042</v>
      </c>
      <c r="F388" s="5"/>
      <c r="G388" s="5" t="s">
        <v>1002</v>
      </c>
      <c r="H388" s="5" t="s">
        <v>76</v>
      </c>
      <c r="I388" s="5" t="s">
        <v>82</v>
      </c>
      <c r="J388" s="25"/>
      <c r="K388" s="25"/>
      <c r="L388" s="5"/>
      <c r="M388" s="5" t="s">
        <v>109</v>
      </c>
      <c r="N388" s="5" t="s">
        <v>1003</v>
      </c>
      <c r="O388" s="5" t="s">
        <v>69</v>
      </c>
      <c r="P388" s="5" t="s">
        <v>70</v>
      </c>
      <c r="Q388" s="5" t="s">
        <v>1929</v>
      </c>
      <c r="R388" s="5" t="s">
        <v>110</v>
      </c>
      <c r="S388" s="5"/>
      <c r="T388" s="5"/>
      <c r="U388" s="5"/>
      <c r="V388" s="5">
        <v>2500.0</v>
      </c>
      <c r="W388" s="26">
        <v>2.08</v>
      </c>
      <c r="X388" s="5">
        <v>1202.0</v>
      </c>
      <c r="Y388" s="27">
        <v>0.2</v>
      </c>
      <c r="Z388" s="28">
        <v>961.6</v>
      </c>
      <c r="AA388" s="27">
        <v>1.0</v>
      </c>
      <c r="AB388" s="5" t="s">
        <v>117</v>
      </c>
      <c r="AC388" s="27">
        <v>0.0</v>
      </c>
      <c r="AD388" s="5"/>
      <c r="AE388" s="5" t="s">
        <v>80</v>
      </c>
      <c r="AF388" s="5" t="s">
        <v>81</v>
      </c>
      <c r="AG388" s="5">
        <v>0.0</v>
      </c>
      <c r="AH388" s="5">
        <v>3.0</v>
      </c>
      <c r="AI388" s="5" t="s">
        <v>0</v>
      </c>
      <c r="AJ388" s="5" t="s">
        <v>0</v>
      </c>
      <c r="AK388" s="30">
        <v>1700.0</v>
      </c>
      <c r="AL388" s="5">
        <v>1739.0</v>
      </c>
      <c r="AM388" s="5">
        <v>2476.0</v>
      </c>
      <c r="AN388" s="5">
        <v>1751.0</v>
      </c>
      <c r="AO388" s="5">
        <v>885.0</v>
      </c>
      <c r="AP388" s="28">
        <v>2043400.0</v>
      </c>
      <c r="AQ388" s="28">
        <v>2090138.88</v>
      </c>
      <c r="AR388" s="28">
        <v>1063770.0</v>
      </c>
      <c r="AS388" s="28">
        <v>0.0</v>
      </c>
      <c r="AT388" s="28">
        <v>1063770.0</v>
      </c>
      <c r="AU388" s="28">
        <v>1634720.0</v>
      </c>
      <c r="AV388" s="28">
        <v>1665519.646045884</v>
      </c>
      <c r="AW388" s="28">
        <v>2175275.777159</v>
      </c>
      <c r="AX388" s="28">
        <v>1583816.705166763</v>
      </c>
      <c r="AY388" s="28">
        <v>885886.95939</v>
      </c>
      <c r="AZ388" s="5"/>
      <c r="BA388" s="5" t="s">
        <v>86</v>
      </c>
      <c r="BB388" s="5" t="s">
        <v>512</v>
      </c>
      <c r="BD388" s="5" t="s">
        <v>1002</v>
      </c>
      <c r="BE388" s="5" t="s">
        <v>1015</v>
      </c>
      <c r="BF388" s="5" t="s">
        <v>1016</v>
      </c>
      <c r="BG388" s="5" t="s">
        <v>91</v>
      </c>
    </row>
    <row r="389" ht="16.5" customHeight="1">
      <c r="A389" s="5" t="s">
        <v>100</v>
      </c>
      <c r="B389" s="5" t="s">
        <v>137</v>
      </c>
      <c r="C389" s="5" t="b">
        <v>1</v>
      </c>
      <c r="D389" s="5" t="s">
        <v>1043</v>
      </c>
      <c r="E389" s="5" t="s">
        <v>1044</v>
      </c>
      <c r="F389" s="5"/>
      <c r="G389" s="5" t="s">
        <v>1002</v>
      </c>
      <c r="H389" s="5" t="s">
        <v>76</v>
      </c>
      <c r="I389" s="5" t="s">
        <v>82</v>
      </c>
      <c r="J389" s="25"/>
      <c r="K389" s="25"/>
      <c r="L389" s="25"/>
      <c r="M389" s="5" t="s">
        <v>109</v>
      </c>
      <c r="N389" s="5" t="s">
        <v>1003</v>
      </c>
      <c r="O389" s="5" t="s">
        <v>69</v>
      </c>
      <c r="P389" s="5" t="s">
        <v>107</v>
      </c>
      <c r="Q389" s="5" t="s">
        <v>1929</v>
      </c>
      <c r="R389" s="5" t="s">
        <v>110</v>
      </c>
      <c r="S389" s="5"/>
      <c r="T389" s="5"/>
      <c r="U389" s="5"/>
      <c r="V389" s="5">
        <v>2500.0</v>
      </c>
      <c r="W389" s="26">
        <v>2.08</v>
      </c>
      <c r="X389" s="5">
        <v>1202.0</v>
      </c>
      <c r="Y389" s="27">
        <v>0.2</v>
      </c>
      <c r="Z389" s="28">
        <v>961.6</v>
      </c>
      <c r="AA389" s="27">
        <v>1.0</v>
      </c>
      <c r="AB389" s="5" t="s">
        <v>117</v>
      </c>
      <c r="AC389" s="27">
        <v>0.0</v>
      </c>
      <c r="AD389" s="5"/>
      <c r="AE389" s="5" t="s">
        <v>80</v>
      </c>
      <c r="AF389" s="5" t="s">
        <v>81</v>
      </c>
      <c r="AG389" s="5">
        <v>0.0</v>
      </c>
      <c r="AH389" s="5">
        <v>3.0</v>
      </c>
      <c r="AI389" s="5" t="s">
        <v>0</v>
      </c>
      <c r="AJ389" s="5" t="s">
        <v>0</v>
      </c>
      <c r="AK389" s="30">
        <v>1500.0</v>
      </c>
      <c r="AL389" s="28">
        <v>1457.0</v>
      </c>
      <c r="AM389" s="28">
        <v>1586.0</v>
      </c>
      <c r="AN389" s="28">
        <v>1312.0</v>
      </c>
      <c r="AO389" s="28">
        <v>620.0</v>
      </c>
      <c r="AP389" s="28">
        <v>1803000.0</v>
      </c>
      <c r="AQ389" s="28">
        <v>1751197.44</v>
      </c>
      <c r="AR389" s="28">
        <v>745240.0</v>
      </c>
      <c r="AS389" s="28">
        <v>0.0</v>
      </c>
      <c r="AT389" s="28">
        <v>745240.0</v>
      </c>
      <c r="AU389" s="28">
        <v>1442400.0</v>
      </c>
      <c r="AV389" s="28">
        <v>1388236.5896086367</v>
      </c>
      <c r="AW389" s="28">
        <v>1425848.0784180004</v>
      </c>
      <c r="AX389" s="28">
        <v>1211328.7496818972</v>
      </c>
      <c r="AY389" s="28">
        <v>617496.242975</v>
      </c>
      <c r="AZ389" s="5"/>
      <c r="BA389" s="5" t="s">
        <v>86</v>
      </c>
      <c r="BB389" s="5" t="s">
        <v>512</v>
      </c>
      <c r="BD389" s="5" t="s">
        <v>1002</v>
      </c>
      <c r="BE389" s="5" t="s">
        <v>1015</v>
      </c>
      <c r="BF389" s="5" t="s">
        <v>1016</v>
      </c>
      <c r="BG389" s="5" t="s">
        <v>91</v>
      </c>
    </row>
    <row r="390" ht="16.5" hidden="1" customHeight="1">
      <c r="A390" s="5" t="s">
        <v>100</v>
      </c>
      <c r="B390" s="5" t="s">
        <v>137</v>
      </c>
      <c r="C390" s="5" t="b">
        <v>0</v>
      </c>
      <c r="D390" s="5" t="s">
        <v>1045</v>
      </c>
      <c r="E390" s="5" t="s">
        <v>1046</v>
      </c>
      <c r="F390" s="5"/>
      <c r="G390" s="5" t="s">
        <v>1002</v>
      </c>
      <c r="H390" s="5" t="s">
        <v>76</v>
      </c>
      <c r="I390" s="5" t="s">
        <v>106</v>
      </c>
      <c r="J390" s="25" t="s">
        <v>267</v>
      </c>
      <c r="K390" s="25"/>
      <c r="L390" s="25"/>
      <c r="M390" s="5" t="s">
        <v>109</v>
      </c>
      <c r="N390" s="5" t="s">
        <v>1003</v>
      </c>
      <c r="O390" s="5" t="s">
        <v>69</v>
      </c>
      <c r="P390" s="5" t="s">
        <v>70</v>
      </c>
      <c r="Q390" s="5" t="s">
        <v>1929</v>
      </c>
      <c r="R390" s="5" t="s">
        <v>110</v>
      </c>
      <c r="S390" s="5"/>
      <c r="T390" s="5"/>
      <c r="U390" s="5"/>
      <c r="V390" s="5">
        <v>2000.0</v>
      </c>
      <c r="W390" s="26">
        <v>2.08</v>
      </c>
      <c r="X390" s="5">
        <v>962.0</v>
      </c>
      <c r="Y390" s="27">
        <v>0.0</v>
      </c>
      <c r="Z390" s="28">
        <v>962.0</v>
      </c>
      <c r="AA390" s="27">
        <v>1.0</v>
      </c>
      <c r="AB390" s="5" t="s">
        <v>117</v>
      </c>
      <c r="AC390" s="27"/>
      <c r="AD390" s="5"/>
      <c r="AE390" s="5" t="s">
        <v>81</v>
      </c>
      <c r="AF390" s="5" t="s">
        <v>81</v>
      </c>
      <c r="AG390" s="5"/>
      <c r="AH390" s="5">
        <v>2.0</v>
      </c>
      <c r="AI390" s="5" t="s">
        <v>0</v>
      </c>
      <c r="AJ390" s="5" t="s">
        <v>0</v>
      </c>
      <c r="AK390" s="30"/>
      <c r="AL390" s="28">
        <v>590.0</v>
      </c>
      <c r="AM390" s="28">
        <v>1294.0</v>
      </c>
      <c r="AN390" s="28">
        <v>204.0</v>
      </c>
      <c r="AO390" s="28">
        <v>183.0</v>
      </c>
      <c r="AP390" s="28">
        <v>0.0</v>
      </c>
      <c r="AQ390" s="28">
        <v>567308.6000000001</v>
      </c>
      <c r="AR390" s="28">
        <v>176046.0</v>
      </c>
      <c r="AS390" s="28">
        <v>0.0</v>
      </c>
      <c r="AT390" s="28">
        <v>176046.0</v>
      </c>
      <c r="AU390" s="28">
        <v>0.0</v>
      </c>
      <c r="AV390" s="28">
        <v>534508.3302197802</v>
      </c>
      <c r="AW390" s="28">
        <v>917386.8052249999</v>
      </c>
      <c r="AX390" s="28">
        <v>178155.7326007326</v>
      </c>
      <c r="AY390" s="28">
        <v>175863.0</v>
      </c>
      <c r="AZ390" s="5" t="s">
        <v>124</v>
      </c>
      <c r="BA390" s="5" t="s">
        <v>86</v>
      </c>
      <c r="BB390" s="5" t="s">
        <v>512</v>
      </c>
      <c r="BD390" s="5" t="s">
        <v>1002</v>
      </c>
      <c r="BE390" s="5" t="s">
        <v>1015</v>
      </c>
      <c r="BF390" s="5" t="s">
        <v>1006</v>
      </c>
      <c r="BG390" s="5" t="s">
        <v>131</v>
      </c>
    </row>
    <row r="391" ht="16.5" hidden="1" customHeight="1">
      <c r="A391" s="5" t="s">
        <v>100</v>
      </c>
      <c r="B391" s="5" t="s">
        <v>137</v>
      </c>
      <c r="C391" s="5" t="b">
        <v>0</v>
      </c>
      <c r="D391" s="5" t="s">
        <v>1051</v>
      </c>
      <c r="E391" s="5" t="s">
        <v>1052</v>
      </c>
      <c r="F391" s="5"/>
      <c r="G391" s="5" t="s">
        <v>1002</v>
      </c>
      <c r="H391" s="5" t="s">
        <v>76</v>
      </c>
      <c r="I391" s="5" t="s">
        <v>106</v>
      </c>
      <c r="J391" s="25" t="s">
        <v>267</v>
      </c>
      <c r="K391" s="25"/>
      <c r="L391" s="25"/>
      <c r="M391" s="5" t="s">
        <v>109</v>
      </c>
      <c r="N391" s="5" t="s">
        <v>1003</v>
      </c>
      <c r="O391" s="5" t="s">
        <v>69</v>
      </c>
      <c r="P391" s="5" t="s">
        <v>107</v>
      </c>
      <c r="Q391" s="5" t="s">
        <v>1929</v>
      </c>
      <c r="R391" s="5" t="s">
        <v>110</v>
      </c>
      <c r="S391" s="5"/>
      <c r="T391" s="5"/>
      <c r="U391" s="5"/>
      <c r="V391" s="5">
        <v>2000.0</v>
      </c>
      <c r="W391" s="26">
        <v>2.08</v>
      </c>
      <c r="X391" s="5">
        <v>962.0</v>
      </c>
      <c r="Y391" s="27">
        <v>0.0</v>
      </c>
      <c r="Z391" s="28">
        <v>962.0</v>
      </c>
      <c r="AA391" s="27">
        <v>1.0</v>
      </c>
      <c r="AB391" s="5" t="s">
        <v>117</v>
      </c>
      <c r="AC391" s="27"/>
      <c r="AD391" s="5"/>
      <c r="AE391" s="5" t="s">
        <v>81</v>
      </c>
      <c r="AF391" s="5" t="s">
        <v>81</v>
      </c>
      <c r="AG391" s="5"/>
      <c r="AH391" s="5">
        <v>2.0</v>
      </c>
      <c r="AI391" s="5" t="s">
        <v>0</v>
      </c>
      <c r="AJ391" s="5" t="s">
        <v>0</v>
      </c>
      <c r="AK391" s="30"/>
      <c r="AL391" s="28">
        <v>553.0</v>
      </c>
      <c r="AM391" s="28">
        <v>939.0</v>
      </c>
      <c r="AN391" s="28">
        <v>191.0</v>
      </c>
      <c r="AO391" s="28">
        <v>138.0</v>
      </c>
      <c r="AP391" s="28">
        <v>0.0</v>
      </c>
      <c r="AQ391" s="28">
        <v>531731.62</v>
      </c>
      <c r="AR391" s="28">
        <v>132756.0</v>
      </c>
      <c r="AS391" s="28">
        <v>0.0</v>
      </c>
      <c r="AT391" s="28">
        <v>132756.0</v>
      </c>
      <c r="AU391" s="28">
        <v>0.0</v>
      </c>
      <c r="AV391" s="28">
        <v>506693.4648351649</v>
      </c>
      <c r="AW391" s="28">
        <v>702777.0370499999</v>
      </c>
      <c r="AX391" s="28">
        <v>169255.35531135532</v>
      </c>
      <c r="AY391" s="28">
        <v>132618.0</v>
      </c>
      <c r="AZ391" s="5" t="s">
        <v>124</v>
      </c>
      <c r="BA391" s="5" t="s">
        <v>86</v>
      </c>
      <c r="BB391" s="5" t="s">
        <v>512</v>
      </c>
      <c r="BD391" s="5" t="s">
        <v>1002</v>
      </c>
      <c r="BE391" s="5" t="s">
        <v>1015</v>
      </c>
      <c r="BF391" s="5" t="s">
        <v>1006</v>
      </c>
      <c r="BG391" s="5" t="s">
        <v>131</v>
      </c>
    </row>
    <row r="392" ht="16.5" customHeight="1">
      <c r="A392" s="5" t="s">
        <v>100</v>
      </c>
      <c r="B392" s="5" t="s">
        <v>137</v>
      </c>
      <c r="C392" s="5" t="b">
        <v>1</v>
      </c>
      <c r="D392" s="5" t="s">
        <v>1053</v>
      </c>
      <c r="E392" s="5" t="s">
        <v>1054</v>
      </c>
      <c r="F392" s="5"/>
      <c r="G392" s="5" t="s">
        <v>1002</v>
      </c>
      <c r="H392" s="5" t="s">
        <v>76</v>
      </c>
      <c r="I392" s="5" t="s">
        <v>82</v>
      </c>
      <c r="J392" s="25"/>
      <c r="K392" s="25"/>
      <c r="L392" s="25"/>
      <c r="M392" s="5" t="s">
        <v>109</v>
      </c>
      <c r="N392" s="5" t="s">
        <v>1027</v>
      </c>
      <c r="O392" s="5" t="s">
        <v>69</v>
      </c>
      <c r="P392" s="5" t="s">
        <v>70</v>
      </c>
      <c r="Q392" s="5" t="s">
        <v>1920</v>
      </c>
      <c r="R392" s="5" t="s">
        <v>1920</v>
      </c>
      <c r="S392" s="5"/>
      <c r="T392" s="5"/>
      <c r="U392" s="5"/>
      <c r="V392" s="5">
        <v>1800.0</v>
      </c>
      <c r="W392" s="26">
        <v>2.08</v>
      </c>
      <c r="X392" s="5">
        <v>865.0</v>
      </c>
      <c r="Y392" s="27">
        <v>0.2</v>
      </c>
      <c r="Z392" s="28">
        <v>692.0</v>
      </c>
      <c r="AA392" s="27">
        <v>1.0</v>
      </c>
      <c r="AB392" s="5" t="s">
        <v>117</v>
      </c>
      <c r="AC392" s="27">
        <v>0.0</v>
      </c>
      <c r="AD392" s="5"/>
      <c r="AE392" s="5" t="s">
        <v>81</v>
      </c>
      <c r="AF392" s="5" t="s">
        <v>81</v>
      </c>
      <c r="AG392" s="5">
        <v>0.0</v>
      </c>
      <c r="AH392" s="5">
        <v>3.0</v>
      </c>
      <c r="AI392" s="5" t="s">
        <v>0</v>
      </c>
      <c r="AJ392" s="5" t="s">
        <v>0</v>
      </c>
      <c r="AK392" s="30">
        <v>1900.0</v>
      </c>
      <c r="AL392" s="28">
        <v>1855.0</v>
      </c>
      <c r="AM392" s="28">
        <v>3308.0</v>
      </c>
      <c r="AN392" s="28">
        <v>537.0</v>
      </c>
      <c r="AO392" s="28">
        <v>444.0</v>
      </c>
      <c r="AP392" s="28">
        <v>1643500.0</v>
      </c>
      <c r="AQ392" s="28">
        <v>1605279.9</v>
      </c>
      <c r="AR392" s="28">
        <v>384060.0</v>
      </c>
      <c r="AS392" s="28">
        <v>0.0</v>
      </c>
      <c r="AT392" s="28">
        <v>384060.0</v>
      </c>
      <c r="AU392" s="28">
        <v>1314800.0</v>
      </c>
      <c r="AV392" s="28">
        <v>1268532.0886080586</v>
      </c>
      <c r="AW392" s="28">
        <v>2143476.36688</v>
      </c>
      <c r="AX392" s="28">
        <v>367197.84523809527</v>
      </c>
      <c r="AY392" s="28">
        <v>340468.24468</v>
      </c>
      <c r="AZ392" s="5"/>
      <c r="BA392" s="5" t="s">
        <v>86</v>
      </c>
      <c r="BB392" s="5" t="s">
        <v>512</v>
      </c>
      <c r="BD392" s="5" t="s">
        <v>1002</v>
      </c>
      <c r="BE392" s="5" t="s">
        <v>1005</v>
      </c>
      <c r="BF392" s="5" t="s">
        <v>1006</v>
      </c>
      <c r="BG392" s="5" t="s">
        <v>131</v>
      </c>
    </row>
    <row r="393" ht="16.5" customHeight="1">
      <c r="A393" s="5" t="s">
        <v>100</v>
      </c>
      <c r="B393" s="5" t="s">
        <v>137</v>
      </c>
      <c r="C393" s="5" t="b">
        <v>1</v>
      </c>
      <c r="D393" s="5" t="s">
        <v>1055</v>
      </c>
      <c r="E393" s="5" t="s">
        <v>1056</v>
      </c>
      <c r="F393" s="5"/>
      <c r="G393" s="5" t="s">
        <v>1002</v>
      </c>
      <c r="H393" s="5" t="s">
        <v>76</v>
      </c>
      <c r="I393" s="5" t="s">
        <v>82</v>
      </c>
      <c r="J393" s="25"/>
      <c r="K393" s="25"/>
      <c r="L393" s="25"/>
      <c r="M393" s="5" t="s">
        <v>109</v>
      </c>
      <c r="N393" s="5" t="s">
        <v>1027</v>
      </c>
      <c r="O393" s="5" t="s">
        <v>69</v>
      </c>
      <c r="P393" s="5" t="s">
        <v>107</v>
      </c>
      <c r="Q393" s="5" t="s">
        <v>1920</v>
      </c>
      <c r="R393" s="5" t="s">
        <v>1920</v>
      </c>
      <c r="S393" s="5"/>
      <c r="T393" s="5"/>
      <c r="U393" s="5"/>
      <c r="V393" s="5">
        <v>1800.0</v>
      </c>
      <c r="W393" s="26">
        <v>2.08</v>
      </c>
      <c r="X393" s="5">
        <v>865.0</v>
      </c>
      <c r="Y393" s="27">
        <v>0.2</v>
      </c>
      <c r="Z393" s="28">
        <v>692.0</v>
      </c>
      <c r="AA393" s="27">
        <v>1.0</v>
      </c>
      <c r="AB393" s="5" t="s">
        <v>117</v>
      </c>
      <c r="AC393" s="27">
        <v>0.0</v>
      </c>
      <c r="AD393" s="5"/>
      <c r="AE393" s="5" t="s">
        <v>81</v>
      </c>
      <c r="AF393" s="5" t="s">
        <v>81</v>
      </c>
      <c r="AG393" s="5">
        <v>0.0</v>
      </c>
      <c r="AH393" s="5">
        <v>2.0</v>
      </c>
      <c r="AI393" s="5" t="s">
        <v>0</v>
      </c>
      <c r="AJ393" s="5" t="s">
        <v>0</v>
      </c>
      <c r="AK393" s="30">
        <v>1400.0</v>
      </c>
      <c r="AL393" s="28">
        <v>1411.0</v>
      </c>
      <c r="AM393" s="28">
        <v>2557.0</v>
      </c>
      <c r="AN393" s="28">
        <v>492.0</v>
      </c>
      <c r="AO393" s="28">
        <v>402.0</v>
      </c>
      <c r="AP393" s="28">
        <v>1211000.0</v>
      </c>
      <c r="AQ393" s="28">
        <v>1221051.1800000002</v>
      </c>
      <c r="AR393" s="28">
        <v>347730.0</v>
      </c>
      <c r="AS393" s="28">
        <v>0.0</v>
      </c>
      <c r="AT393" s="28">
        <v>347730.0</v>
      </c>
      <c r="AU393" s="28">
        <v>968800.0</v>
      </c>
      <c r="AV393" s="28">
        <v>984069.9494505494</v>
      </c>
      <c r="AW393" s="28">
        <v>1747944.0647820001</v>
      </c>
      <c r="AX393" s="28">
        <v>341154.254029304</v>
      </c>
      <c r="AY393" s="28">
        <v>316738.5614</v>
      </c>
      <c r="AZ393" s="5"/>
      <c r="BA393" s="5" t="s">
        <v>86</v>
      </c>
      <c r="BB393" s="5" t="s">
        <v>512</v>
      </c>
      <c r="BD393" s="5" t="s">
        <v>1002</v>
      </c>
      <c r="BE393" s="5" t="s">
        <v>1005</v>
      </c>
      <c r="BF393" s="5" t="s">
        <v>1006</v>
      </c>
      <c r="BG393" s="5" t="s">
        <v>131</v>
      </c>
    </row>
    <row r="394" ht="16.5" hidden="1" customHeight="1">
      <c r="A394" s="5" t="s">
        <v>100</v>
      </c>
      <c r="B394" s="5" t="s">
        <v>137</v>
      </c>
      <c r="C394" s="5" t="b">
        <v>1</v>
      </c>
      <c r="D394" s="5" t="s">
        <v>1058</v>
      </c>
      <c r="E394" s="5" t="s">
        <v>1059</v>
      </c>
      <c r="F394" s="5"/>
      <c r="G394" s="5" t="s">
        <v>1002</v>
      </c>
      <c r="H394" s="5" t="s">
        <v>76</v>
      </c>
      <c r="I394" s="5" t="s">
        <v>82</v>
      </c>
      <c r="J394" s="25"/>
      <c r="K394" s="25"/>
      <c r="L394" s="25" t="s">
        <v>1948</v>
      </c>
      <c r="M394" s="5" t="s">
        <v>66</v>
      </c>
      <c r="N394" s="5" t="s">
        <v>1003</v>
      </c>
      <c r="O394" s="5" t="s">
        <v>141</v>
      </c>
      <c r="P394" s="5" t="s">
        <v>70</v>
      </c>
      <c r="Q394" s="5" t="s">
        <v>1920</v>
      </c>
      <c r="R394" s="5" t="s">
        <v>1920</v>
      </c>
      <c r="S394" s="5"/>
      <c r="T394" s="5"/>
      <c r="U394" s="5"/>
      <c r="V394" s="5">
        <v>2100.0</v>
      </c>
      <c r="W394" s="26">
        <v>2.08</v>
      </c>
      <c r="X394" s="5">
        <v>1010.0</v>
      </c>
      <c r="Y394" s="27">
        <v>0.2</v>
      </c>
      <c r="Z394" s="28">
        <v>808.0</v>
      </c>
      <c r="AA394" s="27">
        <v>1.0</v>
      </c>
      <c r="AB394" s="5" t="s">
        <v>117</v>
      </c>
      <c r="AC394" s="27">
        <v>0.5489999999999999</v>
      </c>
      <c r="AD394" s="5"/>
      <c r="AE394" s="5" t="s">
        <v>80</v>
      </c>
      <c r="AF394" s="5" t="s">
        <v>81</v>
      </c>
      <c r="AG394" s="5">
        <v>0.0</v>
      </c>
      <c r="AH394" s="5">
        <v>1.0</v>
      </c>
      <c r="AI394" s="5" t="s">
        <v>0</v>
      </c>
      <c r="AJ394" s="5" t="s">
        <v>1062</v>
      </c>
      <c r="AK394" s="52">
        <v>1100.0</v>
      </c>
      <c r="AL394" s="28">
        <v>1050.0</v>
      </c>
      <c r="AM394" s="28">
        <v>886.0</v>
      </c>
      <c r="AN394" s="28">
        <v>1150.0</v>
      </c>
      <c r="AO394" s="28">
        <v>1255.0</v>
      </c>
      <c r="AP394" s="28">
        <v>1111000.0</v>
      </c>
      <c r="AQ394" s="28">
        <v>1060101.0</v>
      </c>
      <c r="AR394" s="28">
        <v>1267550.0</v>
      </c>
      <c r="AS394" s="28">
        <v>0.0</v>
      </c>
      <c r="AT394" s="28">
        <v>1267550.0</v>
      </c>
      <c r="AU394" s="28">
        <v>888800.0</v>
      </c>
      <c r="AV394" s="28">
        <v>816085.576923077</v>
      </c>
      <c r="AW394" s="28">
        <v>642795.1775999998</v>
      </c>
      <c r="AX394" s="28">
        <v>891396.1538461539</v>
      </c>
      <c r="AY394" s="28">
        <v>927660.56</v>
      </c>
      <c r="AZ394" s="5"/>
      <c r="BA394" s="5" t="s">
        <v>86</v>
      </c>
      <c r="BB394" s="5" t="s">
        <v>87</v>
      </c>
      <c r="BD394" s="5" t="s">
        <v>1002</v>
      </c>
      <c r="BE394" s="5" t="s">
        <v>1005</v>
      </c>
      <c r="BF394" s="5" t="s">
        <v>1016</v>
      </c>
      <c r="BG394" s="5" t="s">
        <v>91</v>
      </c>
    </row>
    <row r="395" ht="16.5" hidden="1" customHeight="1">
      <c r="A395" s="5" t="s">
        <v>100</v>
      </c>
      <c r="B395" s="5" t="s">
        <v>137</v>
      </c>
      <c r="C395" s="5" t="b">
        <v>1</v>
      </c>
      <c r="D395" s="5" t="s">
        <v>1063</v>
      </c>
      <c r="E395" s="5" t="s">
        <v>1064</v>
      </c>
      <c r="F395" s="5"/>
      <c r="G395" s="5" t="s">
        <v>1002</v>
      </c>
      <c r="H395" s="5" t="s">
        <v>76</v>
      </c>
      <c r="I395" s="5" t="s">
        <v>82</v>
      </c>
      <c r="J395" s="25"/>
      <c r="K395" s="25"/>
      <c r="L395" s="25" t="s">
        <v>1948</v>
      </c>
      <c r="M395" s="5" t="s">
        <v>66</v>
      </c>
      <c r="N395" s="5" t="s">
        <v>1003</v>
      </c>
      <c r="O395" s="5" t="s">
        <v>141</v>
      </c>
      <c r="P395" s="5" t="s">
        <v>107</v>
      </c>
      <c r="Q395" s="5" t="s">
        <v>1920</v>
      </c>
      <c r="R395" s="5" t="s">
        <v>1920</v>
      </c>
      <c r="S395" s="5"/>
      <c r="T395" s="5"/>
      <c r="U395" s="5"/>
      <c r="V395" s="5">
        <v>2100.0</v>
      </c>
      <c r="W395" s="26">
        <v>2.08</v>
      </c>
      <c r="X395" s="5">
        <v>1010.0</v>
      </c>
      <c r="Y395" s="27">
        <v>0.2</v>
      </c>
      <c r="Z395" s="28">
        <v>808.0</v>
      </c>
      <c r="AA395" s="27">
        <v>1.0</v>
      </c>
      <c r="AB395" s="5" t="s">
        <v>117</v>
      </c>
      <c r="AC395" s="27">
        <v>0.5489999999999999</v>
      </c>
      <c r="AD395" s="26"/>
      <c r="AE395" s="5" t="s">
        <v>80</v>
      </c>
      <c r="AF395" s="5" t="s">
        <v>81</v>
      </c>
      <c r="AG395" s="5">
        <v>0.0</v>
      </c>
      <c r="AH395" s="5">
        <v>1.0</v>
      </c>
      <c r="AI395" s="5" t="s">
        <v>0</v>
      </c>
      <c r="AJ395" s="5" t="s">
        <v>1062</v>
      </c>
      <c r="AK395" s="30">
        <v>700.0</v>
      </c>
      <c r="AL395" s="28">
        <v>700.0</v>
      </c>
      <c r="AM395" s="28">
        <v>574.0</v>
      </c>
      <c r="AN395" s="28">
        <v>900.0</v>
      </c>
      <c r="AO395" s="28">
        <v>767.0</v>
      </c>
      <c r="AP395" s="28">
        <v>707000.0</v>
      </c>
      <c r="AQ395" s="28">
        <v>706734.0</v>
      </c>
      <c r="AR395" s="28">
        <v>774670.0</v>
      </c>
      <c r="AS395" s="28">
        <v>0.0</v>
      </c>
      <c r="AT395" s="28">
        <v>774670.0</v>
      </c>
      <c r="AU395" s="28">
        <v>565600.0</v>
      </c>
      <c r="AV395" s="28">
        <v>542001.9230769231</v>
      </c>
      <c r="AW395" s="28">
        <v>408741.3887999999</v>
      </c>
      <c r="AX395" s="28">
        <v>696553.8461538461</v>
      </c>
      <c r="AY395" s="28">
        <v>565456.8799999999</v>
      </c>
      <c r="AZ395" s="5"/>
      <c r="BA395" s="5" t="s">
        <v>86</v>
      </c>
      <c r="BB395" s="5" t="s">
        <v>87</v>
      </c>
      <c r="BD395" s="5" t="s">
        <v>1002</v>
      </c>
      <c r="BE395" s="5" t="s">
        <v>1005</v>
      </c>
      <c r="BF395" s="5" t="s">
        <v>1016</v>
      </c>
      <c r="BG395" s="5" t="s">
        <v>91</v>
      </c>
    </row>
    <row r="396" ht="16.5" hidden="1" customHeight="1">
      <c r="A396" s="5" t="s">
        <v>100</v>
      </c>
      <c r="B396" s="5" t="s">
        <v>137</v>
      </c>
      <c r="C396" s="5" t="b">
        <v>1</v>
      </c>
      <c r="D396" s="5" t="s">
        <v>1065</v>
      </c>
      <c r="E396" s="5" t="s">
        <v>1066</v>
      </c>
      <c r="F396" s="5"/>
      <c r="G396" s="5" t="s">
        <v>1002</v>
      </c>
      <c r="H396" s="5" t="s">
        <v>76</v>
      </c>
      <c r="I396" s="5" t="s">
        <v>82</v>
      </c>
      <c r="J396" s="25"/>
      <c r="K396" s="25"/>
      <c r="L396" s="25"/>
      <c r="M396" s="5" t="s">
        <v>66</v>
      </c>
      <c r="N396" s="5" t="s">
        <v>1003</v>
      </c>
      <c r="O396" s="5" t="s">
        <v>69</v>
      </c>
      <c r="P396" s="5" t="s">
        <v>70</v>
      </c>
      <c r="Q396" s="5" t="s">
        <v>1920</v>
      </c>
      <c r="R396" s="5" t="s">
        <v>1920</v>
      </c>
      <c r="S396" s="5"/>
      <c r="T396" s="5"/>
      <c r="U396" s="5"/>
      <c r="V396" s="5">
        <v>2200.0</v>
      </c>
      <c r="W396" s="26">
        <v>2.08</v>
      </c>
      <c r="X396" s="5">
        <v>1058.0</v>
      </c>
      <c r="Y396" s="27">
        <v>0.2</v>
      </c>
      <c r="Z396" s="28">
        <v>846.4000000000001</v>
      </c>
      <c r="AA396" s="27">
        <v>1.0</v>
      </c>
      <c r="AB396" s="5" t="s">
        <v>117</v>
      </c>
      <c r="AC396" s="27">
        <v>0.524</v>
      </c>
      <c r="AD396" s="26"/>
      <c r="AE396" s="5" t="s">
        <v>80</v>
      </c>
      <c r="AF396" s="5" t="s">
        <v>81</v>
      </c>
      <c r="AG396" s="5">
        <v>0.0</v>
      </c>
      <c r="AH396" s="5">
        <v>1.0</v>
      </c>
      <c r="AI396" s="5" t="s">
        <v>0</v>
      </c>
      <c r="AJ396" s="5" t="s">
        <v>0</v>
      </c>
      <c r="AK396" s="30">
        <v>5400.0</v>
      </c>
      <c r="AL396" s="28">
        <v>5447.0</v>
      </c>
      <c r="AM396" s="28">
        <v>4916.0</v>
      </c>
      <c r="AN396" s="28">
        <v>4755.0</v>
      </c>
      <c r="AO396" s="28">
        <v>1613.0</v>
      </c>
      <c r="AP396" s="28">
        <v>5713200.0</v>
      </c>
      <c r="AQ396" s="28">
        <v>5761237.43</v>
      </c>
      <c r="AR396" s="28">
        <v>1706554.0</v>
      </c>
      <c r="AS396" s="28">
        <v>0.0</v>
      </c>
      <c r="AT396" s="28">
        <v>1706554.0</v>
      </c>
      <c r="AU396" s="28">
        <v>4570560.000000001</v>
      </c>
      <c r="AV396" s="28">
        <v>4586679.171727396</v>
      </c>
      <c r="AW396" s="28">
        <v>4023837.3876710013</v>
      </c>
      <c r="AX396" s="28">
        <v>4045701.3699633703</v>
      </c>
      <c r="AY396" s="28">
        <v>1422589.7068899998</v>
      </c>
      <c r="AZ396" s="5"/>
      <c r="BA396" s="5" t="s">
        <v>86</v>
      </c>
      <c r="BB396" s="5" t="s">
        <v>87</v>
      </c>
      <c r="BD396" s="5" t="s">
        <v>1002</v>
      </c>
      <c r="BE396" s="5" t="s">
        <v>1005</v>
      </c>
      <c r="BF396" s="5" t="s">
        <v>1016</v>
      </c>
      <c r="BG396" s="5" t="s">
        <v>91</v>
      </c>
    </row>
    <row r="397" ht="16.5" hidden="1" customHeight="1">
      <c r="A397" s="5" t="s">
        <v>100</v>
      </c>
      <c r="B397" s="5" t="s">
        <v>137</v>
      </c>
      <c r="C397" s="5" t="b">
        <v>1</v>
      </c>
      <c r="D397" s="5" t="s">
        <v>1067</v>
      </c>
      <c r="E397" s="5" t="s">
        <v>1068</v>
      </c>
      <c r="F397" s="5"/>
      <c r="G397" s="5" t="s">
        <v>1002</v>
      </c>
      <c r="H397" s="5" t="s">
        <v>76</v>
      </c>
      <c r="I397" s="5" t="s">
        <v>82</v>
      </c>
      <c r="J397" s="25"/>
      <c r="K397" s="25"/>
      <c r="L397" s="25"/>
      <c r="M397" s="5" t="s">
        <v>66</v>
      </c>
      <c r="N397" s="5" t="s">
        <v>1003</v>
      </c>
      <c r="O397" s="5" t="s">
        <v>69</v>
      </c>
      <c r="P397" s="5" t="s">
        <v>107</v>
      </c>
      <c r="Q397" s="5" t="s">
        <v>1920</v>
      </c>
      <c r="R397" s="5" t="s">
        <v>1920</v>
      </c>
      <c r="S397" s="5"/>
      <c r="T397" s="5"/>
      <c r="U397" s="5"/>
      <c r="V397" s="5">
        <v>2200.0</v>
      </c>
      <c r="W397" s="26">
        <v>2.08</v>
      </c>
      <c r="X397" s="5">
        <v>1058.0</v>
      </c>
      <c r="Y397" s="27">
        <v>0.2</v>
      </c>
      <c r="Z397" s="28">
        <v>846.4000000000001</v>
      </c>
      <c r="AA397" s="27">
        <v>1.0</v>
      </c>
      <c r="AB397" s="5" t="s">
        <v>117</v>
      </c>
      <c r="AC397" s="27">
        <v>0.524</v>
      </c>
      <c r="AD397" s="5"/>
      <c r="AE397" s="5" t="s">
        <v>80</v>
      </c>
      <c r="AF397" s="5" t="s">
        <v>81</v>
      </c>
      <c r="AG397" s="5">
        <v>0.0</v>
      </c>
      <c r="AH397" s="5">
        <v>1.0</v>
      </c>
      <c r="AI397" s="5" t="s">
        <v>0</v>
      </c>
      <c r="AJ397" s="5" t="s">
        <v>0</v>
      </c>
      <c r="AK397" s="30">
        <v>2700.0</v>
      </c>
      <c r="AL397" s="28">
        <v>2688.0</v>
      </c>
      <c r="AM397" s="28">
        <v>2221.0</v>
      </c>
      <c r="AN397" s="28">
        <v>2543.0</v>
      </c>
      <c r="AO397" s="28">
        <v>808.0</v>
      </c>
      <c r="AP397" s="28">
        <v>2856600.0</v>
      </c>
      <c r="AQ397" s="28">
        <v>2843070.7199999997</v>
      </c>
      <c r="AR397" s="28">
        <v>854864.0</v>
      </c>
      <c r="AS397" s="28">
        <v>0.0</v>
      </c>
      <c r="AT397" s="28">
        <v>854864.0</v>
      </c>
      <c r="AU397" s="28">
        <v>2285280.0000000005</v>
      </c>
      <c r="AV397" s="28">
        <v>2282702.7792558316</v>
      </c>
      <c r="AW397" s="28">
        <v>1889037.0859189997</v>
      </c>
      <c r="AX397" s="28">
        <v>2196827.615384615</v>
      </c>
      <c r="AY397" s="28">
        <v>726980.28263</v>
      </c>
      <c r="AZ397" s="5"/>
      <c r="BA397" s="5" t="s">
        <v>86</v>
      </c>
      <c r="BB397" s="5" t="s">
        <v>87</v>
      </c>
      <c r="BD397" s="5" t="s">
        <v>1002</v>
      </c>
      <c r="BE397" s="5" t="s">
        <v>1005</v>
      </c>
      <c r="BF397" s="5" t="s">
        <v>1016</v>
      </c>
      <c r="BG397" s="5" t="s">
        <v>91</v>
      </c>
    </row>
    <row r="398" ht="16.5" hidden="1" customHeight="1">
      <c r="A398" s="5" t="s">
        <v>100</v>
      </c>
      <c r="B398" s="5" t="s">
        <v>137</v>
      </c>
      <c r="C398" s="5" t="b">
        <v>1</v>
      </c>
      <c r="D398" s="5" t="s">
        <v>1073</v>
      </c>
      <c r="E398" s="5" t="s">
        <v>1074</v>
      </c>
      <c r="F398" s="5"/>
      <c r="G398" s="5" t="s">
        <v>1002</v>
      </c>
      <c r="H398" s="5" t="s">
        <v>76</v>
      </c>
      <c r="I398" s="5" t="s">
        <v>82</v>
      </c>
      <c r="J398" s="25"/>
      <c r="K398" s="25"/>
      <c r="L398" s="25"/>
      <c r="M398" s="5" t="s">
        <v>66</v>
      </c>
      <c r="N398" s="5" t="s">
        <v>1003</v>
      </c>
      <c r="O398" s="5" t="s">
        <v>69</v>
      </c>
      <c r="P398" s="5" t="s">
        <v>70</v>
      </c>
      <c r="Q398" s="5" t="s">
        <v>1929</v>
      </c>
      <c r="R398" s="5" t="s">
        <v>110</v>
      </c>
      <c r="S398" s="5"/>
      <c r="T398" s="5"/>
      <c r="U398" s="5"/>
      <c r="V398" s="5">
        <v>2500.0</v>
      </c>
      <c r="W398" s="26">
        <v>2.08</v>
      </c>
      <c r="X398" s="5">
        <v>1202.0</v>
      </c>
      <c r="Y398" s="27">
        <v>0.2</v>
      </c>
      <c r="Z398" s="28">
        <v>961.6</v>
      </c>
      <c r="AA398" s="27">
        <v>1.0</v>
      </c>
      <c r="AB398" s="5" t="s">
        <v>117</v>
      </c>
      <c r="AC398" s="27">
        <v>0.539</v>
      </c>
      <c r="AD398" s="5"/>
      <c r="AE398" s="5" t="s">
        <v>80</v>
      </c>
      <c r="AF398" s="5" t="s">
        <v>81</v>
      </c>
      <c r="AG398" s="5">
        <v>0.0</v>
      </c>
      <c r="AH398" s="5">
        <v>2.0</v>
      </c>
      <c r="AI398" s="5" t="s">
        <v>0</v>
      </c>
      <c r="AJ398" s="5" t="s">
        <v>0</v>
      </c>
      <c r="AK398" s="30">
        <v>800.0</v>
      </c>
      <c r="AL398" s="28">
        <v>802.0</v>
      </c>
      <c r="AM398" s="28">
        <v>1848.0</v>
      </c>
      <c r="AN398" s="28">
        <v>1276.0</v>
      </c>
      <c r="AO398" s="28">
        <v>564.0</v>
      </c>
      <c r="AP398" s="28">
        <v>961600.0</v>
      </c>
      <c r="AQ398" s="28">
        <v>963939.84</v>
      </c>
      <c r="AR398" s="28">
        <v>677928.0</v>
      </c>
      <c r="AS398" s="28">
        <v>0.0</v>
      </c>
      <c r="AT398" s="28">
        <v>677928.0</v>
      </c>
      <c r="AU398" s="28">
        <v>769280.0</v>
      </c>
      <c r="AV398" s="28">
        <v>824293.6807692307</v>
      </c>
      <c r="AW398" s="28">
        <v>1804005.3281740001</v>
      </c>
      <c r="AX398" s="28">
        <v>1307213.523076923</v>
      </c>
      <c r="AY398" s="28">
        <v>611028.53338</v>
      </c>
      <c r="AZ398" s="5"/>
      <c r="BA398" s="5" t="s">
        <v>86</v>
      </c>
      <c r="BB398" s="5" t="s">
        <v>87</v>
      </c>
      <c r="BD398" s="5" t="s">
        <v>1002</v>
      </c>
      <c r="BE398" s="5" t="s">
        <v>1015</v>
      </c>
      <c r="BF398" s="5" t="s">
        <v>1016</v>
      </c>
      <c r="BG398" s="5" t="s">
        <v>91</v>
      </c>
    </row>
    <row r="399" ht="16.5" hidden="1" customHeight="1">
      <c r="A399" s="5" t="s">
        <v>100</v>
      </c>
      <c r="B399" s="5" t="s">
        <v>137</v>
      </c>
      <c r="C399" s="5" t="b">
        <v>1</v>
      </c>
      <c r="D399" s="5" t="s">
        <v>1075</v>
      </c>
      <c r="E399" s="5" t="s">
        <v>1076</v>
      </c>
      <c r="F399" s="5"/>
      <c r="G399" s="5" t="s">
        <v>1002</v>
      </c>
      <c r="H399" s="5" t="s">
        <v>76</v>
      </c>
      <c r="I399" s="5" t="s">
        <v>82</v>
      </c>
      <c r="J399" s="25"/>
      <c r="K399" s="25"/>
      <c r="L399" s="25"/>
      <c r="M399" s="5" t="s">
        <v>66</v>
      </c>
      <c r="N399" s="5" t="s">
        <v>1003</v>
      </c>
      <c r="O399" s="5" t="s">
        <v>69</v>
      </c>
      <c r="P399" s="5" t="s">
        <v>107</v>
      </c>
      <c r="Q399" s="5" t="s">
        <v>1929</v>
      </c>
      <c r="R399" s="5" t="s">
        <v>110</v>
      </c>
      <c r="S399" s="5"/>
      <c r="T399" s="5"/>
      <c r="U399" s="5"/>
      <c r="V399" s="5">
        <v>2500.0</v>
      </c>
      <c r="W399" s="26">
        <v>2.08</v>
      </c>
      <c r="X399" s="5">
        <v>1202.0</v>
      </c>
      <c r="Y399" s="27">
        <v>0.2</v>
      </c>
      <c r="Z399" s="28">
        <v>961.6</v>
      </c>
      <c r="AA399" s="27">
        <v>1.0</v>
      </c>
      <c r="AB399" s="5" t="s">
        <v>117</v>
      </c>
      <c r="AC399" s="27">
        <v>0.534</v>
      </c>
      <c r="AD399" s="5"/>
      <c r="AE399" s="5" t="s">
        <v>80</v>
      </c>
      <c r="AF399" s="5" t="s">
        <v>81</v>
      </c>
      <c r="AG399" s="5">
        <v>0.0</v>
      </c>
      <c r="AH399" s="5">
        <v>2.0</v>
      </c>
      <c r="AI399" s="5" t="s">
        <v>0</v>
      </c>
      <c r="AJ399" s="5" t="s">
        <v>0</v>
      </c>
      <c r="AK399" s="30">
        <v>700.0</v>
      </c>
      <c r="AL399" s="28">
        <v>677.0</v>
      </c>
      <c r="AM399" s="28">
        <v>1012.0</v>
      </c>
      <c r="AN399" s="28">
        <v>914.0</v>
      </c>
      <c r="AO399" s="28">
        <v>413.0</v>
      </c>
      <c r="AP399" s="28">
        <v>841400.0</v>
      </c>
      <c r="AQ399" s="28">
        <v>813699.8400000001</v>
      </c>
      <c r="AR399" s="28">
        <v>496426.0</v>
      </c>
      <c r="AS399" s="28">
        <v>0.0</v>
      </c>
      <c r="AT399" s="28">
        <v>496426.0</v>
      </c>
      <c r="AU399" s="28">
        <v>673120.0</v>
      </c>
      <c r="AV399" s="28">
        <v>690626.5461538462</v>
      </c>
      <c r="AW399" s="28">
        <v>1023423.9315080001</v>
      </c>
      <c r="AX399" s="28">
        <v>943370.6384615385</v>
      </c>
      <c r="AY399" s="28">
        <v>454460.3868</v>
      </c>
      <c r="AZ399" s="5"/>
      <c r="BA399" s="5" t="s">
        <v>86</v>
      </c>
      <c r="BB399" s="5" t="s">
        <v>87</v>
      </c>
      <c r="BD399" s="5" t="s">
        <v>1002</v>
      </c>
      <c r="BE399" s="5" t="s">
        <v>1015</v>
      </c>
      <c r="BF399" s="5" t="s">
        <v>1016</v>
      </c>
      <c r="BG399" s="5" t="s">
        <v>91</v>
      </c>
    </row>
    <row r="400" ht="16.5" hidden="1" customHeight="1">
      <c r="A400" s="5" t="s">
        <v>100</v>
      </c>
      <c r="B400" s="5" t="s">
        <v>137</v>
      </c>
      <c r="C400" s="5" t="b">
        <v>1</v>
      </c>
      <c r="D400" s="5" t="s">
        <v>1077</v>
      </c>
      <c r="E400" s="5" t="s">
        <v>1078</v>
      </c>
      <c r="F400" s="5"/>
      <c r="G400" s="5" t="s">
        <v>1002</v>
      </c>
      <c r="H400" s="5" t="s">
        <v>76</v>
      </c>
      <c r="I400" s="5" t="s">
        <v>82</v>
      </c>
      <c r="J400" s="25"/>
      <c r="K400" s="25"/>
      <c r="L400" s="25"/>
      <c r="M400" s="5" t="s">
        <v>66</v>
      </c>
      <c r="N400" s="5" t="s">
        <v>1003</v>
      </c>
      <c r="O400" s="5" t="s">
        <v>69</v>
      </c>
      <c r="P400" s="5" t="s">
        <v>70</v>
      </c>
      <c r="Q400" s="5" t="s">
        <v>1929</v>
      </c>
      <c r="R400" s="5" t="s">
        <v>110</v>
      </c>
      <c r="S400" s="5"/>
      <c r="T400" s="5"/>
      <c r="U400" s="5"/>
      <c r="V400" s="5">
        <v>2200.0</v>
      </c>
      <c r="W400" s="26">
        <v>2.08</v>
      </c>
      <c r="X400" s="5">
        <v>1058.0</v>
      </c>
      <c r="Y400" s="27">
        <v>0.2</v>
      </c>
      <c r="Z400" s="28">
        <v>846.4000000000001</v>
      </c>
      <c r="AA400" s="27">
        <v>1.0</v>
      </c>
      <c r="AB400" s="5" t="s">
        <v>117</v>
      </c>
      <c r="AC400" s="27">
        <v>0.0</v>
      </c>
      <c r="AD400" s="5"/>
      <c r="AE400" s="5" t="s">
        <v>166</v>
      </c>
      <c r="AF400" s="5" t="s">
        <v>81</v>
      </c>
      <c r="AG400" s="5">
        <v>0.0</v>
      </c>
      <c r="AH400" s="5">
        <v>2.0</v>
      </c>
      <c r="AI400" s="5" t="s">
        <v>0</v>
      </c>
      <c r="AJ400" s="5" t="s">
        <v>0</v>
      </c>
      <c r="AK400" s="30">
        <v>700.0</v>
      </c>
      <c r="AL400" s="28">
        <v>707.0</v>
      </c>
      <c r="AM400" s="28">
        <v>691.0</v>
      </c>
      <c r="AN400" s="28">
        <v>795.0</v>
      </c>
      <c r="AO400" s="28">
        <v>739.0</v>
      </c>
      <c r="AP400" s="28">
        <v>740600.0</v>
      </c>
      <c r="AQ400" s="28">
        <v>747786.8300000001</v>
      </c>
      <c r="AR400" s="28">
        <v>781862.0</v>
      </c>
      <c r="AS400" s="28">
        <v>0.0</v>
      </c>
      <c r="AT400" s="28">
        <v>781862.0</v>
      </c>
      <c r="AU400" s="28">
        <v>592480.0000000001</v>
      </c>
      <c r="AV400" s="28">
        <v>639151.5688259109</v>
      </c>
      <c r="AW400" s="28">
        <v>634253.41366</v>
      </c>
      <c r="AX400" s="28">
        <v>703319.83805668</v>
      </c>
      <c r="AY400" s="28">
        <v>664656.6599999998</v>
      </c>
      <c r="AZ400" s="5"/>
      <c r="BA400" s="5" t="s">
        <v>86</v>
      </c>
      <c r="BB400" s="5" t="s">
        <v>87</v>
      </c>
      <c r="BD400" s="5" t="s">
        <v>1002</v>
      </c>
      <c r="BE400" s="5" t="s">
        <v>1015</v>
      </c>
      <c r="BF400" s="5" t="s">
        <v>1016</v>
      </c>
      <c r="BG400" s="5" t="s">
        <v>91</v>
      </c>
    </row>
    <row r="401" ht="16.5" hidden="1" customHeight="1">
      <c r="A401" s="5" t="s">
        <v>100</v>
      </c>
      <c r="B401" s="5" t="s">
        <v>137</v>
      </c>
      <c r="C401" s="5" t="b">
        <v>1</v>
      </c>
      <c r="D401" s="5" t="s">
        <v>1079</v>
      </c>
      <c r="E401" s="5" t="s">
        <v>1080</v>
      </c>
      <c r="F401" s="5"/>
      <c r="G401" s="5" t="s">
        <v>1002</v>
      </c>
      <c r="H401" s="5" t="s">
        <v>76</v>
      </c>
      <c r="I401" s="5" t="s">
        <v>82</v>
      </c>
      <c r="J401" s="25"/>
      <c r="K401" s="25"/>
      <c r="L401" s="25"/>
      <c r="M401" s="5" t="s">
        <v>66</v>
      </c>
      <c r="N401" s="5" t="s">
        <v>1003</v>
      </c>
      <c r="O401" s="5" t="s">
        <v>69</v>
      </c>
      <c r="P401" s="5" t="s">
        <v>107</v>
      </c>
      <c r="Q401" s="5" t="s">
        <v>1929</v>
      </c>
      <c r="R401" s="5" t="s">
        <v>110</v>
      </c>
      <c r="S401" s="5"/>
      <c r="T401" s="5"/>
      <c r="U401" s="5"/>
      <c r="V401" s="5">
        <v>2200.0</v>
      </c>
      <c r="W401" s="26">
        <v>2.08</v>
      </c>
      <c r="X401" s="5">
        <v>1058.0</v>
      </c>
      <c r="Y401" s="27">
        <v>0.2</v>
      </c>
      <c r="Z401" s="28">
        <v>846.4000000000001</v>
      </c>
      <c r="AA401" s="27">
        <v>1.0</v>
      </c>
      <c r="AB401" s="5" t="s">
        <v>117</v>
      </c>
      <c r="AC401" s="27">
        <v>0.0</v>
      </c>
      <c r="AD401" s="26"/>
      <c r="AE401" s="5" t="s">
        <v>166</v>
      </c>
      <c r="AF401" s="5" t="s">
        <v>81</v>
      </c>
      <c r="AG401" s="5">
        <v>0.0</v>
      </c>
      <c r="AH401" s="5">
        <v>2.0</v>
      </c>
      <c r="AI401" s="5" t="s">
        <v>0</v>
      </c>
      <c r="AJ401" s="5" t="s">
        <v>0</v>
      </c>
      <c r="AK401" s="30">
        <v>600.0</v>
      </c>
      <c r="AL401" s="28">
        <v>632.0</v>
      </c>
      <c r="AM401" s="28">
        <v>648.0</v>
      </c>
      <c r="AN401" s="28">
        <v>685.0</v>
      </c>
      <c r="AO401" s="28">
        <v>611.0</v>
      </c>
      <c r="AP401" s="28">
        <v>634800.0</v>
      </c>
      <c r="AQ401" s="28">
        <v>668460.08</v>
      </c>
      <c r="AR401" s="28">
        <v>646438.0</v>
      </c>
      <c r="AS401" s="28">
        <v>0.0</v>
      </c>
      <c r="AT401" s="28">
        <v>646438.0</v>
      </c>
      <c r="AU401" s="28">
        <v>507840.00000000006</v>
      </c>
      <c r="AV401" s="28">
        <v>571540.3340080972</v>
      </c>
      <c r="AW401" s="28">
        <v>591604.9266399998</v>
      </c>
      <c r="AX401" s="28">
        <v>601210.5263157894</v>
      </c>
      <c r="AY401" s="28">
        <v>539152.84</v>
      </c>
      <c r="AZ401" s="5"/>
      <c r="BA401" s="5" t="s">
        <v>86</v>
      </c>
      <c r="BB401" s="5" t="s">
        <v>87</v>
      </c>
      <c r="BD401" s="5" t="s">
        <v>1002</v>
      </c>
      <c r="BE401" s="5" t="s">
        <v>1015</v>
      </c>
      <c r="BF401" s="5" t="s">
        <v>1016</v>
      </c>
      <c r="BG401" s="5" t="s">
        <v>91</v>
      </c>
    </row>
    <row r="402" ht="16.5" hidden="1" customHeight="1">
      <c r="A402" s="5" t="s">
        <v>100</v>
      </c>
      <c r="B402" s="5" t="s">
        <v>137</v>
      </c>
      <c r="C402" s="5" t="b">
        <v>1</v>
      </c>
      <c r="D402" s="5" t="s">
        <v>1081</v>
      </c>
      <c r="E402" s="5" t="s">
        <v>1082</v>
      </c>
      <c r="F402" s="5"/>
      <c r="G402" s="5" t="s">
        <v>1002</v>
      </c>
      <c r="H402" s="5" t="s">
        <v>76</v>
      </c>
      <c r="I402" s="5" t="s">
        <v>82</v>
      </c>
      <c r="J402" s="25"/>
      <c r="K402" s="25"/>
      <c r="L402" s="25"/>
      <c r="M402" s="5" t="s">
        <v>66</v>
      </c>
      <c r="N402" s="5" t="s">
        <v>1003</v>
      </c>
      <c r="O402" s="5" t="s">
        <v>69</v>
      </c>
      <c r="P402" s="5" t="s">
        <v>70</v>
      </c>
      <c r="Q402" s="5" t="s">
        <v>1929</v>
      </c>
      <c r="R402" s="5" t="s">
        <v>110</v>
      </c>
      <c r="S402" s="5"/>
      <c r="T402" s="5"/>
      <c r="U402" s="5"/>
      <c r="V402" s="5">
        <v>2000.0</v>
      </c>
      <c r="W402" s="26">
        <v>2.08</v>
      </c>
      <c r="X402" s="5">
        <v>962.0</v>
      </c>
      <c r="Y402" s="27">
        <v>0.2</v>
      </c>
      <c r="Z402" s="28">
        <v>769.6</v>
      </c>
      <c r="AA402" s="27">
        <v>1.0</v>
      </c>
      <c r="AB402" s="5" t="s">
        <v>117</v>
      </c>
      <c r="AC402" s="27">
        <v>0.534</v>
      </c>
      <c r="AD402" s="26"/>
      <c r="AE402" s="5" t="s">
        <v>166</v>
      </c>
      <c r="AF402" s="5" t="s">
        <v>81</v>
      </c>
      <c r="AG402" s="5">
        <v>0.0</v>
      </c>
      <c r="AH402" s="5">
        <v>3.0</v>
      </c>
      <c r="AI402" s="5" t="s">
        <v>0</v>
      </c>
      <c r="AJ402" s="5" t="s">
        <v>0</v>
      </c>
      <c r="AK402" s="30">
        <v>1000.0</v>
      </c>
      <c r="AL402" s="28">
        <v>1018.0</v>
      </c>
      <c r="AM402" s="28">
        <v>1246.0</v>
      </c>
      <c r="AN402" s="28">
        <v>1780.0</v>
      </c>
      <c r="AO402" s="28">
        <v>1022.0</v>
      </c>
      <c r="AP402" s="28">
        <v>962000.0</v>
      </c>
      <c r="AQ402" s="28">
        <v>978847.7200000001</v>
      </c>
      <c r="AR402" s="28">
        <v>983164.0</v>
      </c>
      <c r="AS402" s="28">
        <v>0.0</v>
      </c>
      <c r="AT402" s="28">
        <v>983164.0</v>
      </c>
      <c r="AU402" s="28">
        <v>769600.0</v>
      </c>
      <c r="AV402" s="28">
        <v>859093.7104453442</v>
      </c>
      <c r="AW402" s="28">
        <v>1097408.02162</v>
      </c>
      <c r="AX402" s="28">
        <v>1246473.4615384617</v>
      </c>
      <c r="AY402" s="28">
        <v>886391.4400000002</v>
      </c>
      <c r="AZ402" s="5"/>
      <c r="BA402" s="5" t="s">
        <v>86</v>
      </c>
      <c r="BB402" s="5" t="s">
        <v>87</v>
      </c>
      <c r="BD402" s="5" t="s">
        <v>1002</v>
      </c>
      <c r="BE402" s="5" t="s">
        <v>1015</v>
      </c>
      <c r="BF402" s="5" t="s">
        <v>1016</v>
      </c>
      <c r="BG402" s="5" t="s">
        <v>91</v>
      </c>
    </row>
    <row r="403" ht="16.5" hidden="1" customHeight="1">
      <c r="A403" s="5" t="s">
        <v>100</v>
      </c>
      <c r="B403" s="5" t="s">
        <v>137</v>
      </c>
      <c r="C403" s="5" t="b">
        <v>1</v>
      </c>
      <c r="D403" s="5" t="s">
        <v>1084</v>
      </c>
      <c r="E403" s="5" t="s">
        <v>1085</v>
      </c>
      <c r="F403" s="5"/>
      <c r="G403" s="5" t="s">
        <v>1002</v>
      </c>
      <c r="H403" s="5" t="s">
        <v>76</v>
      </c>
      <c r="I403" s="5" t="s">
        <v>82</v>
      </c>
      <c r="J403" s="25"/>
      <c r="K403" s="25"/>
      <c r="L403" s="25"/>
      <c r="M403" s="5" t="s">
        <v>66</v>
      </c>
      <c r="N403" s="5" t="s">
        <v>1003</v>
      </c>
      <c r="O403" s="5" t="s">
        <v>69</v>
      </c>
      <c r="P403" s="5" t="s">
        <v>107</v>
      </c>
      <c r="Q403" s="5" t="s">
        <v>1929</v>
      </c>
      <c r="R403" s="5" t="s">
        <v>110</v>
      </c>
      <c r="S403" s="5"/>
      <c r="T403" s="5"/>
      <c r="U403" s="5"/>
      <c r="V403" s="5">
        <v>2000.0</v>
      </c>
      <c r="W403" s="26">
        <v>2.08</v>
      </c>
      <c r="X403" s="5">
        <v>962.0</v>
      </c>
      <c r="Y403" s="27">
        <v>0.2</v>
      </c>
      <c r="Z403" s="28">
        <v>769.6</v>
      </c>
      <c r="AA403" s="27">
        <v>1.0</v>
      </c>
      <c r="AB403" s="5" t="s">
        <v>117</v>
      </c>
      <c r="AC403" s="27">
        <v>0.562</v>
      </c>
      <c r="AD403" s="5"/>
      <c r="AE403" s="5" t="s">
        <v>166</v>
      </c>
      <c r="AF403" s="5" t="s">
        <v>81</v>
      </c>
      <c r="AG403" s="5">
        <v>0.0</v>
      </c>
      <c r="AH403" s="5">
        <v>3.0</v>
      </c>
      <c r="AI403" s="5" t="s">
        <v>0</v>
      </c>
      <c r="AJ403" s="5" t="s">
        <v>0</v>
      </c>
      <c r="AK403" s="30">
        <v>900.0</v>
      </c>
      <c r="AL403" s="28">
        <v>874.0</v>
      </c>
      <c r="AM403" s="28">
        <v>977.0</v>
      </c>
      <c r="AN403" s="28">
        <v>1346.0</v>
      </c>
      <c r="AO403" s="28">
        <v>899.0</v>
      </c>
      <c r="AP403" s="28">
        <v>865800.0</v>
      </c>
      <c r="AQ403" s="28">
        <v>840385.96</v>
      </c>
      <c r="AR403" s="28">
        <v>864838.0</v>
      </c>
      <c r="AS403" s="28">
        <v>0.0</v>
      </c>
      <c r="AT403" s="28">
        <v>864838.0</v>
      </c>
      <c r="AU403" s="28">
        <v>692640.0</v>
      </c>
      <c r="AV403" s="28">
        <v>735593.1174089069</v>
      </c>
      <c r="AW403" s="28">
        <v>851758.5638399998</v>
      </c>
      <c r="AX403" s="28">
        <v>980782.2550607288</v>
      </c>
      <c r="AY403" s="28">
        <v>780232.18</v>
      </c>
      <c r="AZ403" s="5"/>
      <c r="BA403" s="5" t="s">
        <v>86</v>
      </c>
      <c r="BB403" s="5" t="s">
        <v>87</v>
      </c>
      <c r="BD403" s="5" t="s">
        <v>1002</v>
      </c>
      <c r="BE403" s="5" t="s">
        <v>1015</v>
      </c>
      <c r="BF403" s="5" t="s">
        <v>1016</v>
      </c>
      <c r="BG403" s="5" t="s">
        <v>91</v>
      </c>
    </row>
    <row r="404" ht="16.5" hidden="1" customHeight="1">
      <c r="A404" s="5" t="s">
        <v>100</v>
      </c>
      <c r="B404" s="45" t="s">
        <v>137</v>
      </c>
      <c r="C404" s="45" t="b">
        <v>1</v>
      </c>
      <c r="D404" s="45" t="s">
        <v>1088</v>
      </c>
      <c r="E404" s="45" t="s">
        <v>1089</v>
      </c>
      <c r="F404" s="45"/>
      <c r="G404" s="45" t="s">
        <v>1002</v>
      </c>
      <c r="H404" s="45" t="s">
        <v>76</v>
      </c>
      <c r="I404" s="45" t="s">
        <v>82</v>
      </c>
      <c r="J404" s="46" t="s">
        <v>980</v>
      </c>
      <c r="K404" s="25"/>
      <c r="L404" s="25"/>
      <c r="M404" s="5" t="s">
        <v>66</v>
      </c>
      <c r="N404" s="5" t="s">
        <v>1012</v>
      </c>
      <c r="O404" s="5" t="s">
        <v>69</v>
      </c>
      <c r="P404" s="5" t="s">
        <v>249</v>
      </c>
      <c r="Q404" s="5" t="s">
        <v>1929</v>
      </c>
      <c r="R404" s="5" t="s">
        <v>110</v>
      </c>
      <c r="S404" s="5"/>
      <c r="T404" s="5"/>
      <c r="U404" s="5"/>
      <c r="V404" s="5">
        <v>2500.0</v>
      </c>
      <c r="W404" s="26">
        <v>2.08</v>
      </c>
      <c r="X404" s="5">
        <v>1202.0</v>
      </c>
      <c r="Y404" s="27">
        <v>0.2</v>
      </c>
      <c r="Z404" s="28">
        <v>961.6</v>
      </c>
      <c r="AA404" s="27">
        <v>1.0</v>
      </c>
      <c r="AB404" s="5" t="s">
        <v>117</v>
      </c>
      <c r="AC404" s="27"/>
      <c r="AD404" s="5"/>
      <c r="AE404" s="5" t="s">
        <v>80</v>
      </c>
      <c r="AF404" s="5" t="s">
        <v>81</v>
      </c>
      <c r="AG404" s="5"/>
      <c r="AH404" s="5">
        <v>0.0</v>
      </c>
      <c r="AI404" s="5" t="s">
        <v>0</v>
      </c>
      <c r="AJ404" s="5" t="s">
        <v>0</v>
      </c>
      <c r="AK404" s="30">
        <v>100.0</v>
      </c>
      <c r="AL404" s="28">
        <v>134.0</v>
      </c>
      <c r="AM404" s="28">
        <v>147.0</v>
      </c>
      <c r="AN404" s="28">
        <v>164.0</v>
      </c>
      <c r="AO404" s="28">
        <v>107.0</v>
      </c>
      <c r="AP404" s="28">
        <v>120200.0</v>
      </c>
      <c r="AQ404" s="28">
        <v>161057.28000000003</v>
      </c>
      <c r="AR404" s="28">
        <v>128614.0</v>
      </c>
      <c r="AS404" s="28">
        <v>0.0</v>
      </c>
      <c r="AT404" s="28">
        <v>128614.0</v>
      </c>
      <c r="AU404" s="28">
        <v>96160.0</v>
      </c>
      <c r="AV404" s="28">
        <v>148703.3141700405</v>
      </c>
      <c r="AW404" s="28">
        <v>171310.986716</v>
      </c>
      <c r="AX404" s="28">
        <v>182376.82914979756</v>
      </c>
      <c r="AY404" s="28">
        <v>125274.4162</v>
      </c>
      <c r="AZ404" s="5" t="s">
        <v>124</v>
      </c>
      <c r="BA404" s="5" t="s">
        <v>86</v>
      </c>
      <c r="BB404" s="5" t="s">
        <v>121</v>
      </c>
      <c r="BD404" s="5" t="s">
        <v>1002</v>
      </c>
      <c r="BE404" s="5" t="s">
        <v>1015</v>
      </c>
      <c r="BF404" s="5" t="s">
        <v>1016</v>
      </c>
      <c r="BG404" s="5" t="s">
        <v>91</v>
      </c>
    </row>
    <row r="405" ht="16.5" hidden="1" customHeight="1">
      <c r="A405" s="5" t="s">
        <v>100</v>
      </c>
      <c r="B405" s="5" t="s">
        <v>137</v>
      </c>
      <c r="C405" s="5" t="b">
        <v>1</v>
      </c>
      <c r="D405" s="5" t="s">
        <v>1090</v>
      </c>
      <c r="E405" s="5" t="s">
        <v>1091</v>
      </c>
      <c r="F405" s="5"/>
      <c r="G405" s="5" t="s">
        <v>1002</v>
      </c>
      <c r="H405" s="5" t="s">
        <v>76</v>
      </c>
      <c r="I405" s="5" t="s">
        <v>82</v>
      </c>
      <c r="J405" s="25"/>
      <c r="K405" s="25"/>
      <c r="L405" s="25"/>
      <c r="M405" s="5" t="s">
        <v>66</v>
      </c>
      <c r="N405" s="5" t="s">
        <v>1012</v>
      </c>
      <c r="O405" s="5" t="s">
        <v>69</v>
      </c>
      <c r="P405" s="5" t="s">
        <v>249</v>
      </c>
      <c r="Q405" s="5" t="s">
        <v>1929</v>
      </c>
      <c r="R405" s="5" t="s">
        <v>110</v>
      </c>
      <c r="S405" s="5"/>
      <c r="T405" s="5"/>
      <c r="U405" s="5"/>
      <c r="V405" s="5">
        <v>3500.0</v>
      </c>
      <c r="W405" s="26">
        <v>2.08</v>
      </c>
      <c r="X405" s="5">
        <v>1683.0</v>
      </c>
      <c r="Y405" s="27">
        <v>0.2</v>
      </c>
      <c r="Z405" s="28">
        <v>1346.4</v>
      </c>
      <c r="AA405" s="27">
        <v>1.0</v>
      </c>
      <c r="AB405" s="5" t="s">
        <v>78</v>
      </c>
      <c r="AC405" s="27">
        <v>0.0</v>
      </c>
      <c r="AD405" s="5"/>
      <c r="AE405" s="5" t="s">
        <v>80</v>
      </c>
      <c r="AF405" s="5" t="s">
        <v>81</v>
      </c>
      <c r="AG405" s="5">
        <v>0.0</v>
      </c>
      <c r="AH405" s="5">
        <v>2.0</v>
      </c>
      <c r="AI405" s="5" t="s">
        <v>0</v>
      </c>
      <c r="AJ405" s="5" t="s">
        <v>0</v>
      </c>
      <c r="AK405" s="30">
        <v>300.0</v>
      </c>
      <c r="AL405" s="28">
        <v>276.0</v>
      </c>
      <c r="AM405" s="28">
        <v>1286.0</v>
      </c>
      <c r="AN405" s="28">
        <v>319.0</v>
      </c>
      <c r="AO405" s="28">
        <v>324.0</v>
      </c>
      <c r="AP405" s="28">
        <v>504900.0</v>
      </c>
      <c r="AQ405" s="28">
        <v>464422.44</v>
      </c>
      <c r="AR405" s="28">
        <v>545292.0</v>
      </c>
      <c r="AS405" s="28">
        <v>0.0</v>
      </c>
      <c r="AT405" s="28">
        <v>545292.0</v>
      </c>
      <c r="AU405" s="28">
        <v>403920.0</v>
      </c>
      <c r="AV405" s="28">
        <v>412950.4048582996</v>
      </c>
      <c r="AW405" s="28">
        <v>1658452.0</v>
      </c>
      <c r="AX405" s="28">
        <v>484615.3846153846</v>
      </c>
      <c r="AY405" s="28">
        <v>524481.24</v>
      </c>
      <c r="AZ405" s="5"/>
      <c r="BA405" s="5" t="s">
        <v>86</v>
      </c>
      <c r="BB405" s="5" t="s">
        <v>121</v>
      </c>
      <c r="BD405" s="5" t="s">
        <v>1002</v>
      </c>
      <c r="BE405" s="5" t="s">
        <v>1015</v>
      </c>
      <c r="BF405" s="5" t="s">
        <v>1016</v>
      </c>
      <c r="BG405" s="5" t="s">
        <v>91</v>
      </c>
    </row>
    <row r="406" ht="16.5" hidden="1" customHeight="1">
      <c r="A406" s="5" t="s">
        <v>100</v>
      </c>
      <c r="B406" s="5" t="s">
        <v>215</v>
      </c>
      <c r="C406" s="5" t="b">
        <v>0</v>
      </c>
      <c r="D406" s="5" t="s">
        <v>1709</v>
      </c>
      <c r="E406" s="5" t="s">
        <v>1710</v>
      </c>
      <c r="F406" s="5"/>
      <c r="G406" s="5" t="s">
        <v>1002</v>
      </c>
      <c r="H406" s="5" t="s">
        <v>76</v>
      </c>
      <c r="I406" s="5" t="s">
        <v>218</v>
      </c>
      <c r="J406" s="25" t="s">
        <v>219</v>
      </c>
      <c r="K406" s="25"/>
      <c r="L406" s="25"/>
      <c r="M406" s="5" t="s">
        <v>66</v>
      </c>
      <c r="N406" s="5" t="s">
        <v>1012</v>
      </c>
      <c r="O406" s="5" t="s">
        <v>69</v>
      </c>
      <c r="P406" s="5" t="s">
        <v>249</v>
      </c>
      <c r="Q406" s="5" t="s">
        <v>1929</v>
      </c>
      <c r="R406" s="5" t="s">
        <v>110</v>
      </c>
      <c r="S406" s="5"/>
      <c r="T406" s="5"/>
      <c r="U406" s="5"/>
      <c r="V406" s="5">
        <v>3600.0</v>
      </c>
      <c r="W406" s="26">
        <v>2.08</v>
      </c>
      <c r="X406" s="5">
        <v>1731.0</v>
      </c>
      <c r="Y406" s="27">
        <v>0.0</v>
      </c>
      <c r="Z406" s="28">
        <v>1731.0</v>
      </c>
      <c r="AA406" s="27">
        <v>1.0</v>
      </c>
      <c r="AB406" s="5" t="s">
        <v>242</v>
      </c>
      <c r="AC406" s="27"/>
      <c r="AD406" s="26"/>
      <c r="AE406" s="5" t="s">
        <v>80</v>
      </c>
      <c r="AF406" s="5" t="s">
        <v>81</v>
      </c>
      <c r="AG406" s="5"/>
      <c r="AH406" s="5">
        <v>2.0</v>
      </c>
      <c r="AI406" s="5" t="s">
        <v>0</v>
      </c>
      <c r="AJ406" s="5" t="s">
        <v>0</v>
      </c>
      <c r="AK406" s="30"/>
      <c r="AL406" s="28">
        <v>0.0</v>
      </c>
      <c r="AM406" s="28">
        <v>0.0</v>
      </c>
      <c r="AN406" s="28">
        <v>405.0</v>
      </c>
      <c r="AO406" s="28">
        <v>551.0</v>
      </c>
      <c r="AP406" s="28">
        <v>0.0</v>
      </c>
      <c r="AQ406" s="28">
        <v>0.0</v>
      </c>
      <c r="AR406" s="28">
        <v>953781.0</v>
      </c>
      <c r="AS406" s="28">
        <v>0.0</v>
      </c>
      <c r="AT406" s="28">
        <v>953781.0</v>
      </c>
      <c r="AU406" s="28">
        <v>0.0</v>
      </c>
      <c r="AV406" s="28">
        <v>0.0</v>
      </c>
      <c r="AW406" s="28">
        <v>0.0</v>
      </c>
      <c r="AX406" s="28">
        <v>647307.6923076923</v>
      </c>
      <c r="AY406" s="28">
        <v>924170.98</v>
      </c>
      <c r="AZ406" s="5" t="s">
        <v>124</v>
      </c>
      <c r="BA406" s="5" t="s">
        <v>86</v>
      </c>
      <c r="BB406" s="5" t="s">
        <v>121</v>
      </c>
      <c r="BD406" s="5" t="s">
        <v>1002</v>
      </c>
      <c r="BE406" s="5" t="s">
        <v>1015</v>
      </c>
      <c r="BF406" s="5" t="s">
        <v>1016</v>
      </c>
      <c r="BG406" s="5" t="s">
        <v>91</v>
      </c>
    </row>
    <row r="407" ht="16.5" hidden="1" customHeight="1">
      <c r="A407" s="5" t="s">
        <v>100</v>
      </c>
      <c r="B407" s="5" t="s">
        <v>137</v>
      </c>
      <c r="C407" s="5" t="b">
        <v>1</v>
      </c>
      <c r="D407" s="5" t="s">
        <v>1712</v>
      </c>
      <c r="E407" s="5" t="s">
        <v>1713</v>
      </c>
      <c r="F407" s="5"/>
      <c r="G407" s="5" t="s">
        <v>1002</v>
      </c>
      <c r="H407" s="5" t="s">
        <v>76</v>
      </c>
      <c r="I407" s="5" t="s">
        <v>82</v>
      </c>
      <c r="J407" s="25"/>
      <c r="K407" s="25"/>
      <c r="L407" s="25"/>
      <c r="M407" s="5" t="s">
        <v>66</v>
      </c>
      <c r="N407" s="5" t="s">
        <v>1003</v>
      </c>
      <c r="O407" s="5" t="s">
        <v>69</v>
      </c>
      <c r="P407" s="5" t="s">
        <v>70</v>
      </c>
      <c r="Q407" s="5" t="s">
        <v>1920</v>
      </c>
      <c r="R407" s="5" t="s">
        <v>1920</v>
      </c>
      <c r="S407" s="5"/>
      <c r="T407" s="5"/>
      <c r="U407" s="5"/>
      <c r="V407" s="5">
        <v>2200.0</v>
      </c>
      <c r="W407" s="26">
        <v>2.08</v>
      </c>
      <c r="X407" s="5">
        <v>1058.0</v>
      </c>
      <c r="Y407" s="27">
        <v>0.2</v>
      </c>
      <c r="Z407" s="28">
        <v>846.4000000000001</v>
      </c>
      <c r="AA407" s="27">
        <v>1.0</v>
      </c>
      <c r="AB407" s="5" t="s">
        <v>117</v>
      </c>
      <c r="AC407" s="27">
        <v>0.599</v>
      </c>
      <c r="AD407" s="5"/>
      <c r="AE407" s="5" t="s">
        <v>166</v>
      </c>
      <c r="AF407" s="5" t="s">
        <v>81</v>
      </c>
      <c r="AG407" s="5">
        <v>0.0</v>
      </c>
      <c r="AH407" s="5">
        <v>2.0</v>
      </c>
      <c r="AI407" s="5" t="s">
        <v>0</v>
      </c>
      <c r="AJ407" s="5" t="s">
        <v>0</v>
      </c>
      <c r="AK407" s="30">
        <v>900.0</v>
      </c>
      <c r="AL407" s="28">
        <v>0.0</v>
      </c>
      <c r="AM407" s="28">
        <v>0.0</v>
      </c>
      <c r="AN407" s="28">
        <v>899.0</v>
      </c>
      <c r="AO407" s="28">
        <v>0.0</v>
      </c>
      <c r="AP407" s="28">
        <v>952200.0</v>
      </c>
      <c r="AQ407" s="28">
        <v>0.0</v>
      </c>
      <c r="AR407" s="28">
        <v>0.0</v>
      </c>
      <c r="AS407" s="28">
        <v>0.0</v>
      </c>
      <c r="AT407" s="28">
        <v>0.0</v>
      </c>
      <c r="AU407" s="28">
        <v>761760.0000000001</v>
      </c>
      <c r="AV407" s="28">
        <v>0.0</v>
      </c>
      <c r="AW407" s="28">
        <v>0.0</v>
      </c>
      <c r="AX407" s="28">
        <v>825667.4357046462</v>
      </c>
      <c r="AY407" s="28">
        <v>0.0</v>
      </c>
      <c r="AZ407" s="5"/>
      <c r="BA407" s="5" t="s">
        <v>86</v>
      </c>
      <c r="BB407" s="5" t="s">
        <v>87</v>
      </c>
      <c r="BD407" s="5" t="s">
        <v>1002</v>
      </c>
      <c r="BE407" s="5" t="s">
        <v>1005</v>
      </c>
      <c r="BF407" s="5" t="s">
        <v>1016</v>
      </c>
      <c r="BG407" s="5" t="s">
        <v>91</v>
      </c>
    </row>
    <row r="408" ht="16.5" hidden="1" customHeight="1">
      <c r="A408" s="5" t="s">
        <v>100</v>
      </c>
      <c r="B408" s="5" t="s">
        <v>137</v>
      </c>
      <c r="C408" s="5" t="b">
        <v>1</v>
      </c>
      <c r="D408" s="5" t="s">
        <v>1714</v>
      </c>
      <c r="E408" s="5" t="s">
        <v>1715</v>
      </c>
      <c r="F408" s="5"/>
      <c r="G408" s="5" t="s">
        <v>1002</v>
      </c>
      <c r="H408" s="5" t="s">
        <v>76</v>
      </c>
      <c r="I408" s="5" t="s">
        <v>82</v>
      </c>
      <c r="J408" s="25"/>
      <c r="K408" s="25"/>
      <c r="L408" s="25"/>
      <c r="M408" s="5" t="s">
        <v>66</v>
      </c>
      <c r="N408" s="5" t="s">
        <v>1003</v>
      </c>
      <c r="O408" s="5" t="s">
        <v>69</v>
      </c>
      <c r="P408" s="5" t="s">
        <v>107</v>
      </c>
      <c r="Q408" s="5" t="s">
        <v>1920</v>
      </c>
      <c r="R408" s="5" t="s">
        <v>1920</v>
      </c>
      <c r="S408" s="5"/>
      <c r="T408" s="5"/>
      <c r="U408" s="5"/>
      <c r="V408" s="5">
        <v>2200.0</v>
      </c>
      <c r="W408" s="26">
        <v>2.08</v>
      </c>
      <c r="X408" s="5">
        <v>1058.0</v>
      </c>
      <c r="Y408" s="27">
        <v>0.2</v>
      </c>
      <c r="Z408" s="28">
        <v>846.4000000000001</v>
      </c>
      <c r="AA408" s="27">
        <v>1.0</v>
      </c>
      <c r="AB408" s="5" t="s">
        <v>117</v>
      </c>
      <c r="AC408" s="27">
        <v>0.599</v>
      </c>
      <c r="AD408" s="5"/>
      <c r="AE408" s="5" t="s">
        <v>166</v>
      </c>
      <c r="AF408" s="5" t="s">
        <v>81</v>
      </c>
      <c r="AG408" s="5">
        <v>0.0</v>
      </c>
      <c r="AH408" s="5">
        <v>2.0</v>
      </c>
      <c r="AI408" s="5" t="s">
        <v>0</v>
      </c>
      <c r="AJ408" s="5" t="s">
        <v>0</v>
      </c>
      <c r="AK408" s="30">
        <v>600.0</v>
      </c>
      <c r="AL408" s="28">
        <v>0.0</v>
      </c>
      <c r="AM408" s="28">
        <v>0.0</v>
      </c>
      <c r="AN408" s="28">
        <v>576.0</v>
      </c>
      <c r="AO408" s="28">
        <v>0.0</v>
      </c>
      <c r="AP408" s="28">
        <v>634800.0</v>
      </c>
      <c r="AQ408" s="28">
        <v>0.0</v>
      </c>
      <c r="AR408" s="28">
        <v>0.0</v>
      </c>
      <c r="AS408" s="28">
        <v>0.0</v>
      </c>
      <c r="AT408" s="28">
        <v>0.0</v>
      </c>
      <c r="AU408" s="28">
        <v>507840.00000000006</v>
      </c>
      <c r="AV408" s="28">
        <v>0.0</v>
      </c>
      <c r="AW408" s="28">
        <v>0.0</v>
      </c>
      <c r="AX408" s="28">
        <v>535997.8848852902</v>
      </c>
      <c r="AY408" s="28">
        <v>0.0</v>
      </c>
      <c r="AZ408" s="5"/>
      <c r="BA408" s="5" t="s">
        <v>86</v>
      </c>
      <c r="BB408" s="5" t="s">
        <v>87</v>
      </c>
      <c r="BD408" s="5" t="s">
        <v>1002</v>
      </c>
      <c r="BE408" s="5" t="s">
        <v>1005</v>
      </c>
      <c r="BF408" s="5" t="s">
        <v>1016</v>
      </c>
      <c r="BG408" s="5" t="s">
        <v>91</v>
      </c>
    </row>
    <row r="409" ht="16.5" hidden="1" customHeight="1">
      <c r="A409" s="5" t="s">
        <v>100</v>
      </c>
      <c r="B409" s="5" t="s">
        <v>200</v>
      </c>
      <c r="C409" s="5" t="b">
        <v>1</v>
      </c>
      <c r="D409" s="5" t="s">
        <v>1093</v>
      </c>
      <c r="E409" s="5" t="s">
        <v>1094</v>
      </c>
      <c r="F409" s="5"/>
      <c r="G409" s="5" t="s">
        <v>1002</v>
      </c>
      <c r="H409" s="5" t="s">
        <v>74</v>
      </c>
      <c r="I409" s="5" t="s">
        <v>82</v>
      </c>
      <c r="J409" s="25"/>
      <c r="K409" s="25"/>
      <c r="L409" s="25"/>
      <c r="M409" s="5" t="s">
        <v>66</v>
      </c>
      <c r="N409" s="5" t="s">
        <v>1096</v>
      </c>
      <c r="O409" s="5" t="s">
        <v>69</v>
      </c>
      <c r="P409" s="5" t="s">
        <v>70</v>
      </c>
      <c r="Q409" s="5" t="s">
        <v>1920</v>
      </c>
      <c r="R409" s="5" t="s">
        <v>1920</v>
      </c>
      <c r="S409" s="5"/>
      <c r="T409" s="5"/>
      <c r="U409" s="5"/>
      <c r="V409" s="5">
        <v>1000.0</v>
      </c>
      <c r="W409" s="26">
        <v>2.08</v>
      </c>
      <c r="X409" s="5">
        <v>481.0</v>
      </c>
      <c r="Y409" s="27">
        <v>0.2</v>
      </c>
      <c r="Z409" s="28">
        <v>384.8</v>
      </c>
      <c r="AA409" s="27">
        <v>1.0</v>
      </c>
      <c r="AB409" s="5" t="s">
        <v>78</v>
      </c>
      <c r="AC409" s="27">
        <v>0.551</v>
      </c>
      <c r="AD409" s="5"/>
      <c r="AE409" s="5" t="s">
        <v>81</v>
      </c>
      <c r="AF409" s="5" t="s">
        <v>81</v>
      </c>
      <c r="AG409" s="5">
        <v>0.0</v>
      </c>
      <c r="AH409" s="5">
        <v>3.0</v>
      </c>
      <c r="AI409" s="5" t="s">
        <v>0</v>
      </c>
      <c r="AJ409" s="5" t="s">
        <v>0</v>
      </c>
      <c r="AK409" s="30">
        <v>2500.0</v>
      </c>
      <c r="AL409" s="28">
        <v>2510.0</v>
      </c>
      <c r="AM409" s="28">
        <v>0.0</v>
      </c>
      <c r="AN409" s="28">
        <v>0.0</v>
      </c>
      <c r="AO409" s="28">
        <v>0.0</v>
      </c>
      <c r="AP409" s="28">
        <v>1202500.0</v>
      </c>
      <c r="AQ409" s="28">
        <v>1206732.6999999997</v>
      </c>
      <c r="AR409" s="28">
        <v>0.0</v>
      </c>
      <c r="AS409" s="28">
        <v>0.0</v>
      </c>
      <c r="AT409" s="28">
        <v>0.0</v>
      </c>
      <c r="AU409" s="28">
        <v>962000.0</v>
      </c>
      <c r="AV409" s="28">
        <v>957287.7167582414</v>
      </c>
      <c r="AW409" s="28">
        <v>0.0</v>
      </c>
      <c r="AX409" s="28">
        <v>0.0</v>
      </c>
      <c r="AY409" s="28">
        <v>0.0</v>
      </c>
      <c r="AZ409" s="5"/>
      <c r="BA409" s="5" t="s">
        <v>125</v>
      </c>
      <c r="BB409" s="5" t="s">
        <v>127</v>
      </c>
      <c r="BD409" s="5" t="s">
        <v>1002</v>
      </c>
      <c r="BE409" s="5" t="s">
        <v>1098</v>
      </c>
      <c r="BF409" s="5" t="s">
        <v>1006</v>
      </c>
      <c r="BG409" s="5" t="s">
        <v>131</v>
      </c>
    </row>
    <row r="410" ht="16.5" hidden="1" customHeight="1">
      <c r="A410" s="5" t="s">
        <v>100</v>
      </c>
      <c r="B410" s="5" t="s">
        <v>200</v>
      </c>
      <c r="C410" s="5" t="b">
        <v>1</v>
      </c>
      <c r="D410" s="5" t="s">
        <v>1099</v>
      </c>
      <c r="E410" s="5" t="s">
        <v>1100</v>
      </c>
      <c r="F410" s="5"/>
      <c r="G410" s="5" t="s">
        <v>1002</v>
      </c>
      <c r="H410" s="5" t="s">
        <v>74</v>
      </c>
      <c r="I410" s="5" t="s">
        <v>82</v>
      </c>
      <c r="J410" s="25"/>
      <c r="K410" s="25"/>
      <c r="L410" s="25"/>
      <c r="M410" s="5" t="s">
        <v>66</v>
      </c>
      <c r="N410" s="5" t="s">
        <v>1096</v>
      </c>
      <c r="O410" s="5" t="s">
        <v>69</v>
      </c>
      <c r="P410" s="5" t="s">
        <v>107</v>
      </c>
      <c r="Q410" s="5" t="s">
        <v>1920</v>
      </c>
      <c r="R410" s="5" t="s">
        <v>1920</v>
      </c>
      <c r="S410" s="5"/>
      <c r="T410" s="5"/>
      <c r="U410" s="5"/>
      <c r="V410" s="5">
        <v>1000.0</v>
      </c>
      <c r="W410" s="26">
        <v>2.08</v>
      </c>
      <c r="X410" s="5">
        <v>481.0</v>
      </c>
      <c r="Y410" s="27">
        <v>0.2</v>
      </c>
      <c r="Z410" s="28">
        <v>384.8</v>
      </c>
      <c r="AA410" s="27">
        <v>1.0</v>
      </c>
      <c r="AB410" s="5" t="s">
        <v>117</v>
      </c>
      <c r="AC410" s="27">
        <v>0.0</v>
      </c>
      <c r="AD410" s="5"/>
      <c r="AE410" s="5" t="s">
        <v>81</v>
      </c>
      <c r="AF410" s="5" t="s">
        <v>81</v>
      </c>
      <c r="AG410" s="5">
        <v>0.0</v>
      </c>
      <c r="AH410" s="5">
        <v>2.0</v>
      </c>
      <c r="AI410" s="5" t="s">
        <v>0</v>
      </c>
      <c r="AJ410" s="5" t="s">
        <v>0</v>
      </c>
      <c r="AK410" s="30">
        <v>1800.0</v>
      </c>
      <c r="AL410" s="28">
        <v>1791.0</v>
      </c>
      <c r="AM410" s="28">
        <v>0.0</v>
      </c>
      <c r="AN410" s="28">
        <v>0.0</v>
      </c>
      <c r="AO410" s="28">
        <v>0.0</v>
      </c>
      <c r="AP410" s="28">
        <v>865800.0</v>
      </c>
      <c r="AQ410" s="28">
        <v>861059.07</v>
      </c>
      <c r="AR410" s="28">
        <v>0.0</v>
      </c>
      <c r="AS410" s="28">
        <v>0.0</v>
      </c>
      <c r="AT410" s="28">
        <v>0.0</v>
      </c>
      <c r="AU410" s="28">
        <v>692640.0</v>
      </c>
      <c r="AV410" s="28">
        <v>745600.6385164835</v>
      </c>
      <c r="AW410" s="28">
        <v>0.0</v>
      </c>
      <c r="AX410" s="28">
        <v>0.0</v>
      </c>
      <c r="AY410" s="28">
        <v>0.0</v>
      </c>
      <c r="AZ410" s="5"/>
      <c r="BA410" s="5" t="s">
        <v>125</v>
      </c>
      <c r="BB410" s="5" t="s">
        <v>127</v>
      </c>
      <c r="BD410" s="5" t="s">
        <v>1002</v>
      </c>
      <c r="BE410" s="5" t="s">
        <v>1098</v>
      </c>
      <c r="BF410" s="5" t="s">
        <v>1006</v>
      </c>
      <c r="BG410" s="5" t="s">
        <v>131</v>
      </c>
    </row>
    <row r="411" ht="16.5" hidden="1" customHeight="1">
      <c r="A411" s="5" t="s">
        <v>100</v>
      </c>
      <c r="B411" s="5" t="s">
        <v>137</v>
      </c>
      <c r="C411" s="5" t="b">
        <v>1</v>
      </c>
      <c r="D411" s="5" t="s">
        <v>1101</v>
      </c>
      <c r="E411" s="5" t="s">
        <v>1102</v>
      </c>
      <c r="F411" s="5"/>
      <c r="G411" s="5" t="s">
        <v>1002</v>
      </c>
      <c r="H411" s="5" t="s">
        <v>76</v>
      </c>
      <c r="I411" s="5" t="s">
        <v>82</v>
      </c>
      <c r="J411" s="25"/>
      <c r="K411" s="25"/>
      <c r="L411" s="25"/>
      <c r="M411" s="5" t="s">
        <v>66</v>
      </c>
      <c r="N411" s="5" t="s">
        <v>1003</v>
      </c>
      <c r="O411" s="5" t="s">
        <v>69</v>
      </c>
      <c r="P411" s="5" t="s">
        <v>70</v>
      </c>
      <c r="Q411" s="5" t="s">
        <v>1920</v>
      </c>
      <c r="R411" s="5" t="s">
        <v>1920</v>
      </c>
      <c r="S411" s="5"/>
      <c r="T411" s="5"/>
      <c r="U411" s="5"/>
      <c r="V411" s="5">
        <v>1800.0</v>
      </c>
      <c r="W411" s="26">
        <v>2.08</v>
      </c>
      <c r="X411" s="5">
        <v>865.0</v>
      </c>
      <c r="Y411" s="27">
        <v>0.2</v>
      </c>
      <c r="Z411" s="28">
        <v>692.0</v>
      </c>
      <c r="AA411" s="27">
        <v>1.0</v>
      </c>
      <c r="AB411" s="5" t="s">
        <v>117</v>
      </c>
      <c r="AC411" s="27">
        <v>0.58</v>
      </c>
      <c r="AD411" s="26"/>
      <c r="AE411" s="5" t="s">
        <v>166</v>
      </c>
      <c r="AF411" s="5" t="s">
        <v>81</v>
      </c>
      <c r="AG411" s="5">
        <v>0.0</v>
      </c>
      <c r="AH411" s="5">
        <v>2.0</v>
      </c>
      <c r="AI411" s="5" t="s">
        <v>0</v>
      </c>
      <c r="AJ411" s="5" t="s">
        <v>0</v>
      </c>
      <c r="AK411" s="30">
        <v>1700.0</v>
      </c>
      <c r="AL411" s="28">
        <v>1725.0</v>
      </c>
      <c r="AM411" s="28">
        <v>0.0</v>
      </c>
      <c r="AN411" s="28">
        <v>1311.0</v>
      </c>
      <c r="AO411" s="28">
        <v>0.0</v>
      </c>
      <c r="AP411" s="28">
        <v>1470500.0</v>
      </c>
      <c r="AQ411" s="28">
        <v>1492780.5</v>
      </c>
      <c r="AR411" s="28">
        <v>0.0</v>
      </c>
      <c r="AS411" s="28">
        <v>0.0</v>
      </c>
      <c r="AT411" s="28">
        <v>0.0</v>
      </c>
      <c r="AU411" s="28">
        <v>1176400.0</v>
      </c>
      <c r="AV411" s="28">
        <v>1098729.5790591866</v>
      </c>
      <c r="AW411" s="28">
        <v>0.0</v>
      </c>
      <c r="AX411" s="28">
        <v>963047.3023713127</v>
      </c>
      <c r="AY411" s="28">
        <v>0.0</v>
      </c>
      <c r="AZ411" s="5"/>
      <c r="BA411" s="5" t="s">
        <v>86</v>
      </c>
      <c r="BB411" s="5" t="s">
        <v>87</v>
      </c>
      <c r="BD411" s="5" t="s">
        <v>1002</v>
      </c>
      <c r="BE411" s="5" t="s">
        <v>1005</v>
      </c>
      <c r="BF411" s="5" t="s">
        <v>1016</v>
      </c>
      <c r="BG411" s="5" t="s">
        <v>91</v>
      </c>
    </row>
    <row r="412" ht="16.5" hidden="1" customHeight="1">
      <c r="A412" s="5" t="s">
        <v>100</v>
      </c>
      <c r="B412" s="5" t="s">
        <v>137</v>
      </c>
      <c r="C412" s="5" t="b">
        <v>1</v>
      </c>
      <c r="D412" s="5" t="s">
        <v>1103</v>
      </c>
      <c r="E412" s="5" t="s">
        <v>1104</v>
      </c>
      <c r="F412" s="5"/>
      <c r="G412" s="5" t="s">
        <v>1002</v>
      </c>
      <c r="H412" s="5" t="s">
        <v>76</v>
      </c>
      <c r="I412" s="5" t="s">
        <v>82</v>
      </c>
      <c r="J412" s="25"/>
      <c r="K412" s="25"/>
      <c r="L412" s="5"/>
      <c r="M412" s="5" t="s">
        <v>66</v>
      </c>
      <c r="N412" s="5" t="s">
        <v>1003</v>
      </c>
      <c r="O412" s="5" t="s">
        <v>69</v>
      </c>
      <c r="P412" s="5" t="s">
        <v>107</v>
      </c>
      <c r="Q412" s="5" t="s">
        <v>1920</v>
      </c>
      <c r="R412" s="5" t="s">
        <v>1920</v>
      </c>
      <c r="S412" s="5"/>
      <c r="T412" s="5"/>
      <c r="U412" s="5"/>
      <c r="V412" s="5">
        <v>1800.0</v>
      </c>
      <c r="W412" s="26">
        <v>2.08</v>
      </c>
      <c r="X412" s="5">
        <v>865.0</v>
      </c>
      <c r="Y412" s="27">
        <v>0.2</v>
      </c>
      <c r="Z412" s="28">
        <v>692.0</v>
      </c>
      <c r="AA412" s="27">
        <v>1.0</v>
      </c>
      <c r="AB412" s="5" t="s">
        <v>117</v>
      </c>
      <c r="AC412" s="27">
        <v>0.0</v>
      </c>
      <c r="AD412" s="5"/>
      <c r="AE412" s="5" t="s">
        <v>166</v>
      </c>
      <c r="AF412" s="5" t="s">
        <v>81</v>
      </c>
      <c r="AG412" s="5">
        <v>0.0</v>
      </c>
      <c r="AH412" s="5">
        <v>2.0</v>
      </c>
      <c r="AI412" s="5" t="s">
        <v>0</v>
      </c>
      <c r="AJ412" s="5" t="s">
        <v>0</v>
      </c>
      <c r="AK412" s="30">
        <v>1200.0</v>
      </c>
      <c r="AL412" s="5">
        <v>1211.0</v>
      </c>
      <c r="AM412" s="5">
        <v>0.0</v>
      </c>
      <c r="AN412" s="5">
        <v>988.0</v>
      </c>
      <c r="AO412" s="5">
        <v>0.0</v>
      </c>
      <c r="AP412" s="28">
        <v>1038000.0</v>
      </c>
      <c r="AQ412" s="28">
        <v>1047975.1800000002</v>
      </c>
      <c r="AR412" s="28">
        <v>0.0</v>
      </c>
      <c r="AS412" s="28">
        <v>0.0</v>
      </c>
      <c r="AT412" s="28">
        <v>0.0</v>
      </c>
      <c r="AU412" s="28">
        <v>830400.0</v>
      </c>
      <c r="AV412" s="28">
        <v>801288.1436784269</v>
      </c>
      <c r="AW412" s="28">
        <v>0.0</v>
      </c>
      <c r="AX412" s="28">
        <v>729654.7041526894</v>
      </c>
      <c r="AY412" s="28">
        <v>0.0</v>
      </c>
      <c r="AZ412" s="5"/>
      <c r="BA412" s="5" t="s">
        <v>86</v>
      </c>
      <c r="BB412" s="5" t="s">
        <v>87</v>
      </c>
      <c r="BD412" s="5" t="s">
        <v>1002</v>
      </c>
      <c r="BE412" s="5" t="s">
        <v>1005</v>
      </c>
      <c r="BF412" s="5" t="s">
        <v>1016</v>
      </c>
      <c r="BG412" s="5" t="s">
        <v>91</v>
      </c>
    </row>
    <row r="413" ht="16.5" hidden="1" customHeight="1">
      <c r="A413" s="5" t="s">
        <v>100</v>
      </c>
      <c r="B413" s="5" t="s">
        <v>137</v>
      </c>
      <c r="C413" s="5" t="b">
        <v>1</v>
      </c>
      <c r="D413" s="5" t="s">
        <v>1117</v>
      </c>
      <c r="E413" s="5" t="s">
        <v>1118</v>
      </c>
      <c r="F413" s="5"/>
      <c r="G413" s="5" t="s">
        <v>1109</v>
      </c>
      <c r="H413" s="5" t="s">
        <v>76</v>
      </c>
      <c r="I413" s="5" t="s">
        <v>82</v>
      </c>
      <c r="J413" s="25"/>
      <c r="K413" s="25"/>
      <c r="L413" s="25"/>
      <c r="M413" s="5" t="s">
        <v>66</v>
      </c>
      <c r="N413" s="5" t="s">
        <v>1119</v>
      </c>
      <c r="O413" s="5" t="s">
        <v>69</v>
      </c>
      <c r="P413" s="5" t="s">
        <v>249</v>
      </c>
      <c r="Q413" s="5" t="s">
        <v>1960</v>
      </c>
      <c r="R413" s="5" t="s">
        <v>1961</v>
      </c>
      <c r="S413" s="5"/>
      <c r="T413" s="5"/>
      <c r="U413" s="5"/>
      <c r="V413" s="5">
        <v>1500.0</v>
      </c>
      <c r="W413" s="26">
        <v>2.08</v>
      </c>
      <c r="X413" s="5">
        <v>721.0</v>
      </c>
      <c r="Y413" s="27">
        <v>0.2</v>
      </c>
      <c r="Z413" s="28">
        <v>576.8000000000001</v>
      </c>
      <c r="AA413" s="27">
        <v>1.0</v>
      </c>
      <c r="AB413" s="5" t="s">
        <v>242</v>
      </c>
      <c r="AC413" s="27">
        <v>0.644</v>
      </c>
      <c r="AD413" s="5"/>
      <c r="AE413" s="5" t="s">
        <v>81</v>
      </c>
      <c r="AF413" s="5" t="s">
        <v>81</v>
      </c>
      <c r="AG413" s="5">
        <v>0.0</v>
      </c>
      <c r="AH413" s="5">
        <v>2.0</v>
      </c>
      <c r="AI413" s="5" t="s">
        <v>0</v>
      </c>
      <c r="AJ413" s="5" t="s">
        <v>0</v>
      </c>
      <c r="AK413" s="30">
        <v>800.0</v>
      </c>
      <c r="AL413" s="28">
        <v>787.0</v>
      </c>
      <c r="AM413" s="28">
        <v>465.0</v>
      </c>
      <c r="AN413" s="28">
        <v>1190.0</v>
      </c>
      <c r="AO413" s="28">
        <v>605.0</v>
      </c>
      <c r="AP413" s="28">
        <v>576800.0</v>
      </c>
      <c r="AQ413" s="28">
        <v>567545.05</v>
      </c>
      <c r="AR413" s="28">
        <v>436205.0</v>
      </c>
      <c r="AS413" s="28">
        <v>0.0</v>
      </c>
      <c r="AT413" s="28">
        <v>436205.0</v>
      </c>
      <c r="AU413" s="28">
        <v>461440.00000000006</v>
      </c>
      <c r="AV413" s="28">
        <v>472232.7215384615</v>
      </c>
      <c r="AW413" s="28">
        <v>277621.4341</v>
      </c>
      <c r="AX413" s="28">
        <v>694989.2538461538</v>
      </c>
      <c r="AY413" s="28">
        <v>298268.3335</v>
      </c>
      <c r="AZ413" s="5"/>
      <c r="BA413" s="5" t="s">
        <v>125</v>
      </c>
      <c r="BB413" s="5" t="s">
        <v>174</v>
      </c>
      <c r="BD413" s="5" t="s">
        <v>1120</v>
      </c>
      <c r="BE413" s="5" t="s">
        <v>1121</v>
      </c>
      <c r="BF413" s="5">
        <v>0.0</v>
      </c>
      <c r="BG413" s="5" t="s">
        <v>131</v>
      </c>
    </row>
    <row r="414" ht="16.5" hidden="1" customHeight="1">
      <c r="A414" s="5" t="s">
        <v>100</v>
      </c>
      <c r="B414" s="5" t="s">
        <v>137</v>
      </c>
      <c r="C414" s="5" t="b">
        <v>1</v>
      </c>
      <c r="D414" s="5" t="s">
        <v>1122</v>
      </c>
      <c r="E414" s="5" t="s">
        <v>1123</v>
      </c>
      <c r="F414" s="5"/>
      <c r="G414" s="5" t="s">
        <v>1109</v>
      </c>
      <c r="H414" s="5" t="s">
        <v>76</v>
      </c>
      <c r="I414" s="5" t="s">
        <v>82</v>
      </c>
      <c r="J414" s="25"/>
      <c r="K414" s="25"/>
      <c r="L414" s="25"/>
      <c r="M414" s="5" t="s">
        <v>66</v>
      </c>
      <c r="N414" s="5" t="s">
        <v>1119</v>
      </c>
      <c r="O414" s="5" t="s">
        <v>69</v>
      </c>
      <c r="P414" s="5" t="s">
        <v>249</v>
      </c>
      <c r="Q414" s="5" t="s">
        <v>1960</v>
      </c>
      <c r="R414" s="5" t="s">
        <v>1961</v>
      </c>
      <c r="S414" s="5"/>
      <c r="T414" s="5"/>
      <c r="U414" s="5"/>
      <c r="V414" s="5">
        <v>1300.0</v>
      </c>
      <c r="W414" s="26">
        <v>2.08</v>
      </c>
      <c r="X414" s="5">
        <v>625.0</v>
      </c>
      <c r="Y414" s="27">
        <v>0.2</v>
      </c>
      <c r="Z414" s="28">
        <v>500.0</v>
      </c>
      <c r="AA414" s="27">
        <v>1.0</v>
      </c>
      <c r="AB414" s="5" t="s">
        <v>78</v>
      </c>
      <c r="AC414" s="27">
        <v>0.584</v>
      </c>
      <c r="AD414" s="5"/>
      <c r="AE414" s="5" t="s">
        <v>81</v>
      </c>
      <c r="AF414" s="5" t="s">
        <v>81</v>
      </c>
      <c r="AG414" s="5">
        <v>0.0</v>
      </c>
      <c r="AH414" s="5">
        <v>3.0</v>
      </c>
      <c r="AI414" s="5" t="s">
        <v>0</v>
      </c>
      <c r="AJ414" s="5" t="s">
        <v>0</v>
      </c>
      <c r="AK414" s="30">
        <v>4600.0</v>
      </c>
      <c r="AL414" s="28">
        <v>4649.0</v>
      </c>
      <c r="AM414" s="28">
        <v>2498.0</v>
      </c>
      <c r="AN414" s="28">
        <v>3430.0</v>
      </c>
      <c r="AO414" s="28">
        <v>1770.0</v>
      </c>
      <c r="AP414" s="28">
        <v>2875000.0</v>
      </c>
      <c r="AQ414" s="28">
        <v>2905625.0</v>
      </c>
      <c r="AR414" s="28">
        <v>1106250.0</v>
      </c>
      <c r="AS414" s="28">
        <v>0.0</v>
      </c>
      <c r="AT414" s="28">
        <v>1106250.0</v>
      </c>
      <c r="AU414" s="28">
        <v>2300000.0</v>
      </c>
      <c r="AV414" s="28">
        <v>2363241.5285897437</v>
      </c>
      <c r="AW414" s="28">
        <v>1274201.0141639996</v>
      </c>
      <c r="AX414" s="28">
        <v>1788920.1856410257</v>
      </c>
      <c r="AY414" s="28">
        <v>965332.07286</v>
      </c>
      <c r="AZ414" s="5"/>
      <c r="BA414" s="5" t="s">
        <v>125</v>
      </c>
      <c r="BB414" s="5" t="s">
        <v>174</v>
      </c>
      <c r="BD414" s="5" t="s">
        <v>1120</v>
      </c>
      <c r="BE414" s="5" t="s">
        <v>1121</v>
      </c>
      <c r="BF414" s="5" t="s">
        <v>1155</v>
      </c>
      <c r="BG414" s="5" t="s">
        <v>131</v>
      </c>
    </row>
    <row r="415" ht="16.5" hidden="1" customHeight="1">
      <c r="A415" s="5" t="s">
        <v>100</v>
      </c>
      <c r="B415" s="5" t="s">
        <v>137</v>
      </c>
      <c r="C415" s="5" t="b">
        <v>1</v>
      </c>
      <c r="D415" s="5" t="s">
        <v>1124</v>
      </c>
      <c r="E415" s="5" t="s">
        <v>1125</v>
      </c>
      <c r="F415" s="5"/>
      <c r="G415" s="5" t="s">
        <v>1109</v>
      </c>
      <c r="H415" s="5" t="s">
        <v>76</v>
      </c>
      <c r="I415" s="5" t="s">
        <v>82</v>
      </c>
      <c r="J415" s="25"/>
      <c r="K415" s="25"/>
      <c r="L415" s="25"/>
      <c r="M415" s="5" t="s">
        <v>66</v>
      </c>
      <c r="N415" s="5" t="s">
        <v>1119</v>
      </c>
      <c r="O415" s="5" t="s">
        <v>69</v>
      </c>
      <c r="P415" s="5" t="s">
        <v>249</v>
      </c>
      <c r="Q415" s="5" t="s">
        <v>1960</v>
      </c>
      <c r="R415" s="5" t="s">
        <v>1961</v>
      </c>
      <c r="S415" s="5"/>
      <c r="T415" s="5"/>
      <c r="U415" s="5"/>
      <c r="V415" s="5">
        <v>1200.0</v>
      </c>
      <c r="W415" s="26">
        <v>2.08</v>
      </c>
      <c r="X415" s="5">
        <v>577.0</v>
      </c>
      <c r="Y415" s="27">
        <v>0.2</v>
      </c>
      <c r="Z415" s="28">
        <v>461.6</v>
      </c>
      <c r="AA415" s="27">
        <v>1.0</v>
      </c>
      <c r="AB415" s="5" t="s">
        <v>78</v>
      </c>
      <c r="AC415" s="27">
        <v>0.589</v>
      </c>
      <c r="AD415" s="5"/>
      <c r="AE415" s="5" t="s">
        <v>81</v>
      </c>
      <c r="AF415" s="5" t="s">
        <v>81</v>
      </c>
      <c r="AG415" s="5">
        <v>0.0</v>
      </c>
      <c r="AH415" s="5">
        <v>3.0</v>
      </c>
      <c r="AI415" s="5" t="s">
        <v>0</v>
      </c>
      <c r="AJ415" s="5" t="s">
        <v>0</v>
      </c>
      <c r="AK415" s="30">
        <v>3700.0</v>
      </c>
      <c r="AL415" s="28">
        <v>3675.0</v>
      </c>
      <c r="AM415" s="28">
        <v>1473.0</v>
      </c>
      <c r="AN415" s="28">
        <v>3422.0</v>
      </c>
      <c r="AO415" s="28">
        <v>1442.0</v>
      </c>
      <c r="AP415" s="28">
        <v>2134900.0</v>
      </c>
      <c r="AQ415" s="28">
        <v>2120181.0</v>
      </c>
      <c r="AR415" s="28">
        <v>832034.0</v>
      </c>
      <c r="AS415" s="28">
        <v>0.0</v>
      </c>
      <c r="AT415" s="28">
        <v>832034.0</v>
      </c>
      <c r="AU415" s="28">
        <v>1707920.0</v>
      </c>
      <c r="AV415" s="28">
        <v>1705713.4684981685</v>
      </c>
      <c r="AW415" s="28">
        <v>716332.433782</v>
      </c>
      <c r="AX415" s="28">
        <v>1626739.352124542</v>
      </c>
      <c r="AY415" s="28">
        <v>725563.7410600001</v>
      </c>
      <c r="AZ415" s="5"/>
      <c r="BA415" s="5" t="s">
        <v>125</v>
      </c>
      <c r="BB415" s="5" t="s">
        <v>174</v>
      </c>
      <c r="BD415" s="5" t="s">
        <v>1120</v>
      </c>
      <c r="BE415" s="5" t="s">
        <v>1121</v>
      </c>
      <c r="BF415" s="5" t="s">
        <v>1155</v>
      </c>
      <c r="BG415" s="5" t="s">
        <v>131</v>
      </c>
    </row>
    <row r="416" ht="16.5" hidden="1" customHeight="1">
      <c r="A416" s="5" t="s">
        <v>100</v>
      </c>
      <c r="B416" s="5" t="s">
        <v>137</v>
      </c>
      <c r="C416" s="5" t="b">
        <v>1</v>
      </c>
      <c r="D416" s="5" t="s">
        <v>1693</v>
      </c>
      <c r="E416" s="5" t="s">
        <v>1694</v>
      </c>
      <c r="F416" s="5"/>
      <c r="G416" s="5" t="s">
        <v>1109</v>
      </c>
      <c r="H416" s="5" t="s">
        <v>76</v>
      </c>
      <c r="I416" s="5" t="s">
        <v>82</v>
      </c>
      <c r="J416" s="25"/>
      <c r="K416" s="25"/>
      <c r="L416" s="5"/>
      <c r="M416" s="5" t="s">
        <v>247</v>
      </c>
      <c r="N416" s="5" t="s">
        <v>1129</v>
      </c>
      <c r="O416" s="5" t="s">
        <v>69</v>
      </c>
      <c r="P416" s="5" t="s">
        <v>249</v>
      </c>
      <c r="Q416" s="5" t="s">
        <v>1965</v>
      </c>
      <c r="R416" s="5" t="s">
        <v>1966</v>
      </c>
      <c r="S416" s="5"/>
      <c r="T416" s="5"/>
      <c r="U416" s="5"/>
      <c r="V416" s="5">
        <v>1600.0</v>
      </c>
      <c r="W416" s="26">
        <v>2.08</v>
      </c>
      <c r="X416" s="5">
        <v>769.0</v>
      </c>
      <c r="Y416" s="27">
        <v>0.2</v>
      </c>
      <c r="Z416" s="28">
        <v>615.2</v>
      </c>
      <c r="AA416" s="27">
        <v>1.0</v>
      </c>
      <c r="AB416" s="5" t="s">
        <v>117</v>
      </c>
      <c r="AC416" s="27">
        <v>0.618</v>
      </c>
      <c r="AD416" s="5"/>
      <c r="AE416" s="5" t="s">
        <v>81</v>
      </c>
      <c r="AF416" s="5" t="s">
        <v>81</v>
      </c>
      <c r="AG416" s="5">
        <v>0.0</v>
      </c>
      <c r="AH416" s="5">
        <v>2.0</v>
      </c>
      <c r="AI416" s="5" t="s">
        <v>0</v>
      </c>
      <c r="AJ416" s="5" t="s">
        <v>0</v>
      </c>
      <c r="AK416" s="30">
        <v>900.0</v>
      </c>
      <c r="AL416" s="5">
        <v>0.0</v>
      </c>
      <c r="AM416" s="5">
        <v>0.0</v>
      </c>
      <c r="AN416" s="5">
        <v>884.0</v>
      </c>
      <c r="AO416" s="5">
        <v>0.0</v>
      </c>
      <c r="AP416" s="28">
        <v>692100.0</v>
      </c>
      <c r="AQ416" s="28">
        <v>0.0</v>
      </c>
      <c r="AR416" s="28">
        <v>0.0</v>
      </c>
      <c r="AS416" s="28">
        <v>0.0</v>
      </c>
      <c r="AT416" s="28">
        <v>0.0</v>
      </c>
      <c r="AU416" s="28">
        <v>553680.0</v>
      </c>
      <c r="AV416" s="28">
        <v>0.0</v>
      </c>
      <c r="AW416" s="28">
        <v>0.0</v>
      </c>
      <c r="AX416" s="28">
        <v>546966.702664835</v>
      </c>
      <c r="AY416" s="28">
        <v>0.0</v>
      </c>
      <c r="AZ416" s="5"/>
      <c r="BA416" s="5" t="s">
        <v>125</v>
      </c>
      <c r="BB416" s="5" t="s">
        <v>174</v>
      </c>
      <c r="BD416" s="5" t="s">
        <v>1186</v>
      </c>
      <c r="BE416" s="5" t="s">
        <v>1968</v>
      </c>
      <c r="BF416" s="5">
        <v>0.0</v>
      </c>
      <c r="BG416" s="5" t="s">
        <v>131</v>
      </c>
    </row>
    <row r="417" ht="16.5" hidden="1" customHeight="1">
      <c r="A417" s="5" t="s">
        <v>100</v>
      </c>
      <c r="B417" s="5" t="s">
        <v>137</v>
      </c>
      <c r="C417" s="5" t="b">
        <v>1</v>
      </c>
      <c r="D417" s="5" t="s">
        <v>1127</v>
      </c>
      <c r="E417" s="5" t="s">
        <v>1128</v>
      </c>
      <c r="F417" s="5"/>
      <c r="G417" s="5" t="s">
        <v>1109</v>
      </c>
      <c r="H417" s="5" t="s">
        <v>76</v>
      </c>
      <c r="I417" s="5" t="s">
        <v>82</v>
      </c>
      <c r="J417" s="25"/>
      <c r="K417" s="25"/>
      <c r="L417" s="5"/>
      <c r="M417" s="5" t="s">
        <v>66</v>
      </c>
      <c r="N417" s="5" t="s">
        <v>1129</v>
      </c>
      <c r="O417" s="5" t="s">
        <v>69</v>
      </c>
      <c r="P417" s="5" t="s">
        <v>249</v>
      </c>
      <c r="Q417" s="5" t="s">
        <v>1969</v>
      </c>
      <c r="R417" s="5" t="s">
        <v>1966</v>
      </c>
      <c r="S417" s="5"/>
      <c r="T417" s="5"/>
      <c r="U417" s="5"/>
      <c r="V417" s="5">
        <v>1000.0</v>
      </c>
      <c r="W417" s="26">
        <v>2.08</v>
      </c>
      <c r="X417" s="5">
        <v>481.0</v>
      </c>
      <c r="Y417" s="27">
        <v>0.2</v>
      </c>
      <c r="Z417" s="28">
        <v>384.8</v>
      </c>
      <c r="AA417" s="27">
        <v>1.0</v>
      </c>
      <c r="AB417" s="5" t="s">
        <v>117</v>
      </c>
      <c r="AC417" s="27">
        <v>0.585</v>
      </c>
      <c r="AD417" s="5"/>
      <c r="AE417" s="5" t="s">
        <v>81</v>
      </c>
      <c r="AF417" s="5" t="s">
        <v>81</v>
      </c>
      <c r="AG417" s="5">
        <v>0.0</v>
      </c>
      <c r="AH417" s="5">
        <v>3.0</v>
      </c>
      <c r="AI417" s="5" t="s">
        <v>0</v>
      </c>
      <c r="AJ417" s="5" t="s">
        <v>0</v>
      </c>
      <c r="AK417" s="30">
        <v>1400.0</v>
      </c>
      <c r="AL417" s="5">
        <v>1393.0</v>
      </c>
      <c r="AM417" s="5">
        <v>0.0</v>
      </c>
      <c r="AN417" s="5">
        <v>994.0</v>
      </c>
      <c r="AO417" s="5">
        <v>0.0</v>
      </c>
      <c r="AP417" s="28">
        <v>673400.0</v>
      </c>
      <c r="AQ417" s="28">
        <v>669712.61</v>
      </c>
      <c r="AR417" s="28">
        <v>0.0</v>
      </c>
      <c r="AS417" s="28">
        <v>0.0</v>
      </c>
      <c r="AT417" s="28">
        <v>0.0</v>
      </c>
      <c r="AU417" s="28">
        <v>538720.0</v>
      </c>
      <c r="AV417" s="28">
        <v>552146.6846153847</v>
      </c>
      <c r="AW417" s="28">
        <v>0.0</v>
      </c>
      <c r="AX417" s="28">
        <v>385800.7192307692</v>
      </c>
      <c r="AY417" s="28">
        <v>0.0</v>
      </c>
      <c r="AZ417" s="5"/>
      <c r="BA417" s="5" t="s">
        <v>125</v>
      </c>
      <c r="BB417" s="5" t="s">
        <v>174</v>
      </c>
      <c r="BD417" s="5" t="s">
        <v>1120</v>
      </c>
      <c r="BE417" s="5" t="s">
        <v>1131</v>
      </c>
      <c r="BF417" s="5" t="s">
        <v>1132</v>
      </c>
      <c r="BG417" s="5" t="s">
        <v>131</v>
      </c>
    </row>
    <row r="418" ht="16.5" hidden="1" customHeight="1">
      <c r="A418" s="5" t="s">
        <v>100</v>
      </c>
      <c r="B418" s="5" t="s">
        <v>137</v>
      </c>
      <c r="C418" s="5" t="b">
        <v>1</v>
      </c>
      <c r="D418" s="5" t="s">
        <v>1133</v>
      </c>
      <c r="E418" s="5" t="s">
        <v>1134</v>
      </c>
      <c r="F418" s="5"/>
      <c r="G418" s="5" t="s">
        <v>1109</v>
      </c>
      <c r="H418" s="5" t="s">
        <v>76</v>
      </c>
      <c r="I418" s="5" t="s">
        <v>82</v>
      </c>
      <c r="J418" s="25"/>
      <c r="K418" s="25"/>
      <c r="L418" s="5"/>
      <c r="M418" s="5" t="s">
        <v>66</v>
      </c>
      <c r="N418" s="5" t="s">
        <v>1129</v>
      </c>
      <c r="O418" s="5" t="s">
        <v>69</v>
      </c>
      <c r="P418" s="5" t="s">
        <v>249</v>
      </c>
      <c r="Q418" s="5" t="s">
        <v>1971</v>
      </c>
      <c r="R418" s="5" t="s">
        <v>1966</v>
      </c>
      <c r="S418" s="5"/>
      <c r="T418" s="5"/>
      <c r="U418" s="5"/>
      <c r="V418" s="5">
        <v>1200.0</v>
      </c>
      <c r="W418" s="26">
        <v>2.08</v>
      </c>
      <c r="X418" s="5">
        <v>577.0</v>
      </c>
      <c r="Y418" s="27">
        <v>0.2</v>
      </c>
      <c r="Z418" s="28">
        <v>461.6</v>
      </c>
      <c r="AA418" s="27">
        <v>1.0</v>
      </c>
      <c r="AB418" s="5" t="s">
        <v>117</v>
      </c>
      <c r="AC418" s="27">
        <v>0.607</v>
      </c>
      <c r="AD418" s="5"/>
      <c r="AE418" s="5" t="s">
        <v>81</v>
      </c>
      <c r="AF418" s="5" t="s">
        <v>81</v>
      </c>
      <c r="AG418" s="5">
        <v>0.0</v>
      </c>
      <c r="AH418" s="5">
        <v>3.0</v>
      </c>
      <c r="AI418" s="5" t="s">
        <v>0</v>
      </c>
      <c r="AJ418" s="5" t="s">
        <v>0</v>
      </c>
      <c r="AK418" s="30">
        <v>1300.0</v>
      </c>
      <c r="AL418" s="5">
        <v>1257.0</v>
      </c>
      <c r="AM418" s="5">
        <v>0.0</v>
      </c>
      <c r="AN418" s="5">
        <v>884.0</v>
      </c>
      <c r="AO418" s="5">
        <v>0.0</v>
      </c>
      <c r="AP418" s="28">
        <v>750100.0</v>
      </c>
      <c r="AQ418" s="28">
        <v>725188.44</v>
      </c>
      <c r="AR418" s="28">
        <v>0.0</v>
      </c>
      <c r="AS418" s="28">
        <v>0.0</v>
      </c>
      <c r="AT418" s="28">
        <v>0.0</v>
      </c>
      <c r="AU418" s="28">
        <v>600080.0</v>
      </c>
      <c r="AV418" s="28">
        <v>577850.4884615385</v>
      </c>
      <c r="AW418" s="28">
        <v>0.0</v>
      </c>
      <c r="AX418" s="28">
        <v>398059.5807692307</v>
      </c>
      <c r="AY418" s="28">
        <v>0.0</v>
      </c>
      <c r="AZ418" s="5"/>
      <c r="BA418" s="5" t="s">
        <v>125</v>
      </c>
      <c r="BB418" s="5" t="s">
        <v>174</v>
      </c>
      <c r="BD418" s="5" t="s">
        <v>1120</v>
      </c>
      <c r="BE418" s="5" t="s">
        <v>1131</v>
      </c>
      <c r="BF418" s="5" t="s">
        <v>1139</v>
      </c>
      <c r="BG418" s="5" t="s">
        <v>131</v>
      </c>
    </row>
    <row r="419" ht="16.5" hidden="1" customHeight="1">
      <c r="A419" s="5" t="s">
        <v>100</v>
      </c>
      <c r="B419" s="5" t="s">
        <v>137</v>
      </c>
      <c r="C419" s="5" t="b">
        <v>0</v>
      </c>
      <c r="D419" s="5" t="s">
        <v>1141</v>
      </c>
      <c r="E419" s="5" t="s">
        <v>1142</v>
      </c>
      <c r="F419" s="5"/>
      <c r="G419" s="5" t="s">
        <v>1109</v>
      </c>
      <c r="H419" s="5" t="s">
        <v>76</v>
      </c>
      <c r="I419" s="5" t="s">
        <v>106</v>
      </c>
      <c r="J419" s="25" t="s">
        <v>164</v>
      </c>
      <c r="K419" s="25"/>
      <c r="L419" s="25"/>
      <c r="M419" s="5" t="s">
        <v>247</v>
      </c>
      <c r="N419" s="5" t="s">
        <v>248</v>
      </c>
      <c r="O419" s="5" t="s">
        <v>69</v>
      </c>
      <c r="P419" s="5" t="s">
        <v>249</v>
      </c>
      <c r="Q419" s="5" t="s">
        <v>1974</v>
      </c>
      <c r="R419" s="5" t="s">
        <v>23</v>
      </c>
      <c r="S419" s="5"/>
      <c r="T419" s="5"/>
      <c r="U419" s="5"/>
      <c r="V419" s="5">
        <v>400.0</v>
      </c>
      <c r="W419" s="26">
        <v>2.08</v>
      </c>
      <c r="X419" s="5">
        <v>192.0</v>
      </c>
      <c r="Y419" s="27">
        <v>0.0</v>
      </c>
      <c r="Z419" s="28">
        <v>192.0</v>
      </c>
      <c r="AA419" s="27">
        <v>1.0</v>
      </c>
      <c r="AB419" s="5" t="s">
        <v>117</v>
      </c>
      <c r="AC419" s="27"/>
      <c r="AD419" s="5"/>
      <c r="AE419" s="5" t="s">
        <v>81</v>
      </c>
      <c r="AF419" s="5" t="s">
        <v>81</v>
      </c>
      <c r="AG419" s="5"/>
      <c r="AH419" s="5">
        <v>3.0</v>
      </c>
      <c r="AI419" s="5" t="s">
        <v>0</v>
      </c>
      <c r="AJ419" s="5" t="s">
        <v>0</v>
      </c>
      <c r="AK419" s="30"/>
      <c r="AL419" s="28">
        <v>3076.0</v>
      </c>
      <c r="AM419" s="28">
        <v>3020.0</v>
      </c>
      <c r="AN419" s="28">
        <v>982.0</v>
      </c>
      <c r="AO419" s="28">
        <v>1390.0</v>
      </c>
      <c r="AP419" s="28">
        <v>0.0</v>
      </c>
      <c r="AQ419" s="28">
        <v>591545.5599999999</v>
      </c>
      <c r="AR419" s="28">
        <v>266880.0</v>
      </c>
      <c r="AS419" s="28">
        <v>0.0</v>
      </c>
      <c r="AT419" s="28">
        <v>266880.0</v>
      </c>
      <c r="AU419" s="28">
        <v>0.0</v>
      </c>
      <c r="AV419" s="28">
        <v>504825.55432234425</v>
      </c>
      <c r="AW419" s="28">
        <v>455644.7707608001</v>
      </c>
      <c r="AX419" s="28">
        <v>171968.4598901099</v>
      </c>
      <c r="AY419" s="28">
        <v>172282.44448200002</v>
      </c>
      <c r="AZ419" s="5" t="s">
        <v>124</v>
      </c>
      <c r="BA419" s="5" t="s">
        <v>125</v>
      </c>
      <c r="BB419" s="5" t="s">
        <v>174</v>
      </c>
      <c r="BD419" s="5" t="s">
        <v>248</v>
      </c>
      <c r="BE419" s="5" t="s">
        <v>1146</v>
      </c>
      <c r="BF419" s="5" t="s">
        <v>1147</v>
      </c>
      <c r="BG419" s="5" t="s">
        <v>131</v>
      </c>
    </row>
    <row r="420" ht="16.5" hidden="1" customHeight="1">
      <c r="A420" s="5" t="s">
        <v>100</v>
      </c>
      <c r="B420" s="5" t="s">
        <v>137</v>
      </c>
      <c r="C420" s="5" t="b">
        <v>1</v>
      </c>
      <c r="D420" s="5" t="s">
        <v>1148</v>
      </c>
      <c r="E420" s="5" t="s">
        <v>1149</v>
      </c>
      <c r="F420" s="5"/>
      <c r="G420" s="5" t="s">
        <v>1109</v>
      </c>
      <c r="H420" s="5" t="s">
        <v>76</v>
      </c>
      <c r="I420" s="5" t="s">
        <v>82</v>
      </c>
      <c r="J420" s="25"/>
      <c r="K420" s="25"/>
      <c r="L420" s="25"/>
      <c r="M420" s="5" t="s">
        <v>247</v>
      </c>
      <c r="N420" s="5" t="s">
        <v>248</v>
      </c>
      <c r="O420" s="5" t="s">
        <v>69</v>
      </c>
      <c r="P420" s="5" t="s">
        <v>249</v>
      </c>
      <c r="Q420" s="5" t="s">
        <v>1974</v>
      </c>
      <c r="R420" s="5" t="s">
        <v>23</v>
      </c>
      <c r="S420" s="5"/>
      <c r="T420" s="5"/>
      <c r="U420" s="5"/>
      <c r="V420" s="5">
        <v>650.0</v>
      </c>
      <c r="W420" s="26">
        <v>2.08</v>
      </c>
      <c r="X420" s="5">
        <v>313.0</v>
      </c>
      <c r="Y420" s="27">
        <v>0.2</v>
      </c>
      <c r="Z420" s="28">
        <v>250.4</v>
      </c>
      <c r="AA420" s="27">
        <v>1.0</v>
      </c>
      <c r="AB420" s="5" t="s">
        <v>117</v>
      </c>
      <c r="AC420" s="27">
        <v>0.0</v>
      </c>
      <c r="AD420" s="5"/>
      <c r="AE420" s="5" t="s">
        <v>81</v>
      </c>
      <c r="AF420" s="5" t="s">
        <v>81</v>
      </c>
      <c r="AG420" s="5">
        <v>0.0</v>
      </c>
      <c r="AH420" s="5">
        <v>2.0</v>
      </c>
      <c r="AI420" s="5" t="s">
        <v>0</v>
      </c>
      <c r="AJ420" s="5" t="s">
        <v>0</v>
      </c>
      <c r="AK420" s="30">
        <v>1100.0</v>
      </c>
      <c r="AL420" s="28">
        <v>1104.0</v>
      </c>
      <c r="AM420" s="28">
        <v>0.0</v>
      </c>
      <c r="AN420" s="28">
        <v>762.0</v>
      </c>
      <c r="AO420" s="28">
        <v>1059.0</v>
      </c>
      <c r="AP420" s="28">
        <v>344300.0</v>
      </c>
      <c r="AQ420" s="28">
        <v>345000.0</v>
      </c>
      <c r="AR420" s="28">
        <v>331467.0</v>
      </c>
      <c r="AS420" s="28">
        <v>0.0</v>
      </c>
      <c r="AT420" s="28">
        <v>331467.0</v>
      </c>
      <c r="AU420" s="28">
        <v>275440.0</v>
      </c>
      <c r="AV420" s="28">
        <v>292248.6935897436</v>
      </c>
      <c r="AW420" s="28">
        <v>0.0</v>
      </c>
      <c r="AX420" s="28">
        <v>210486.8841025641</v>
      </c>
      <c r="AY420" s="28">
        <v>251364.35987999997</v>
      </c>
      <c r="AZ420" s="5"/>
      <c r="BA420" s="5" t="s">
        <v>125</v>
      </c>
      <c r="BB420" s="5" t="s">
        <v>174</v>
      </c>
      <c r="BD420" s="5" t="s">
        <v>248</v>
      </c>
      <c r="BE420" s="5" t="s">
        <v>1146</v>
      </c>
      <c r="BF420" s="5" t="s">
        <v>1151</v>
      </c>
      <c r="BG420" s="5" t="s">
        <v>131</v>
      </c>
    </row>
    <row r="421" ht="16.5" hidden="1" customHeight="1">
      <c r="A421" s="5" t="s">
        <v>100</v>
      </c>
      <c r="B421" s="5" t="s">
        <v>137</v>
      </c>
      <c r="C421" s="5" t="b">
        <v>1</v>
      </c>
      <c r="D421" s="5" t="s">
        <v>1718</v>
      </c>
      <c r="E421" s="5" t="s">
        <v>1153</v>
      </c>
      <c r="F421" s="5"/>
      <c r="G421" s="5" t="s">
        <v>1109</v>
      </c>
      <c r="H421" s="5" t="s">
        <v>76</v>
      </c>
      <c r="I421" s="5" t="s">
        <v>82</v>
      </c>
      <c r="J421" s="25"/>
      <c r="K421" s="25"/>
      <c r="L421" s="25"/>
      <c r="M421" s="5" t="s">
        <v>66</v>
      </c>
      <c r="N421" s="5" t="s">
        <v>1119</v>
      </c>
      <c r="O421" s="5" t="s">
        <v>69</v>
      </c>
      <c r="P421" s="5" t="s">
        <v>249</v>
      </c>
      <c r="Q421" s="5" t="s">
        <v>1960</v>
      </c>
      <c r="R421" s="5" t="s">
        <v>1961</v>
      </c>
      <c r="S421" s="5"/>
      <c r="T421" s="5"/>
      <c r="U421" s="5"/>
      <c r="V421" s="5">
        <v>1500.0</v>
      </c>
      <c r="W421" s="26">
        <v>2.08</v>
      </c>
      <c r="X421" s="5">
        <v>721.0</v>
      </c>
      <c r="Y421" s="27">
        <v>0.2</v>
      </c>
      <c r="Z421" s="28">
        <v>576.8000000000001</v>
      </c>
      <c r="AA421" s="27">
        <v>1.0</v>
      </c>
      <c r="AB421" s="5" t="s">
        <v>117</v>
      </c>
      <c r="AC421" s="27">
        <v>0.609</v>
      </c>
      <c r="AD421" s="5"/>
      <c r="AE421" s="5" t="s">
        <v>81</v>
      </c>
      <c r="AF421" s="5" t="s">
        <v>81</v>
      </c>
      <c r="AG421" s="5">
        <v>0.0</v>
      </c>
      <c r="AH421" s="5">
        <v>2.0</v>
      </c>
      <c r="AI421" s="5" t="s">
        <v>0</v>
      </c>
      <c r="AJ421" s="5" t="s">
        <v>0</v>
      </c>
      <c r="AK421" s="30">
        <v>1300.0</v>
      </c>
      <c r="AL421" s="28">
        <v>0.0</v>
      </c>
      <c r="AM421" s="28">
        <v>0.0</v>
      </c>
      <c r="AN421" s="28">
        <v>1596.0</v>
      </c>
      <c r="AO421" s="28">
        <v>0.0</v>
      </c>
      <c r="AP421" s="28">
        <v>937300.0</v>
      </c>
      <c r="AQ421" s="28">
        <v>0.0</v>
      </c>
      <c r="AR421" s="28">
        <v>0.0</v>
      </c>
      <c r="AS421" s="28">
        <v>0.0</v>
      </c>
      <c r="AT421" s="28">
        <v>0.0</v>
      </c>
      <c r="AU421" s="28">
        <v>749840.0000000001</v>
      </c>
      <c r="AV421" s="28">
        <v>0.0</v>
      </c>
      <c r="AW421" s="28">
        <v>0.0</v>
      </c>
      <c r="AX421" s="28">
        <v>907121.0904395602</v>
      </c>
      <c r="AY421" s="28">
        <v>0.0</v>
      </c>
      <c r="AZ421" s="5"/>
      <c r="BA421" s="5" t="s">
        <v>125</v>
      </c>
      <c r="BB421" s="5" t="s">
        <v>174</v>
      </c>
      <c r="BD421" s="5" t="s">
        <v>1120</v>
      </c>
      <c r="BE421" s="5" t="s">
        <v>1121</v>
      </c>
      <c r="BF421" s="5" t="s">
        <v>1155</v>
      </c>
      <c r="BG421" s="5" t="s">
        <v>131</v>
      </c>
    </row>
    <row r="422" ht="16.5" hidden="1" customHeight="1">
      <c r="A422" s="5" t="s">
        <v>100</v>
      </c>
      <c r="B422" s="5" t="s">
        <v>137</v>
      </c>
      <c r="C422" s="5" t="b">
        <v>0</v>
      </c>
      <c r="D422" s="5" t="s">
        <v>1152</v>
      </c>
      <c r="E422" s="5" t="s">
        <v>1153</v>
      </c>
      <c r="F422" s="5"/>
      <c r="G422" s="5" t="s">
        <v>1109</v>
      </c>
      <c r="H422" s="5" t="s">
        <v>74</v>
      </c>
      <c r="I422" s="5" t="s">
        <v>106</v>
      </c>
      <c r="J422" s="25" t="s">
        <v>1943</v>
      </c>
      <c r="K422" s="25"/>
      <c r="L422" s="25"/>
      <c r="M422" s="5" t="s">
        <v>66</v>
      </c>
      <c r="N422" s="5" t="s">
        <v>1119</v>
      </c>
      <c r="O422" s="5" t="s">
        <v>69</v>
      </c>
      <c r="P422" s="5" t="s">
        <v>249</v>
      </c>
      <c r="Q422" s="5" t="s">
        <v>1960</v>
      </c>
      <c r="R422" s="5" t="s">
        <v>1961</v>
      </c>
      <c r="S422" s="5"/>
      <c r="T422" s="5"/>
      <c r="U422" s="5"/>
      <c r="V422" s="5">
        <v>1500.0</v>
      </c>
      <c r="W422" s="26">
        <v>2.08</v>
      </c>
      <c r="X422" s="5">
        <v>721.0</v>
      </c>
      <c r="Y422" s="27">
        <v>0.0</v>
      </c>
      <c r="Z422" s="28">
        <v>721.0</v>
      </c>
      <c r="AA422" s="27">
        <v>1.0</v>
      </c>
      <c r="AB422" s="5" t="s">
        <v>117</v>
      </c>
      <c r="AC422" s="27"/>
      <c r="AD422" s="5"/>
      <c r="AE422" s="5" t="s">
        <v>81</v>
      </c>
      <c r="AF422" s="5" t="s">
        <v>81</v>
      </c>
      <c r="AG422" s="5"/>
      <c r="AH422" s="5">
        <v>2.0</v>
      </c>
      <c r="AI422" s="5" t="s">
        <v>0</v>
      </c>
      <c r="AJ422" s="5" t="s">
        <v>0</v>
      </c>
      <c r="AK422" s="30"/>
      <c r="AL422" s="28">
        <v>1300.0</v>
      </c>
      <c r="AM422" s="28">
        <v>1170.0</v>
      </c>
      <c r="AN422" s="28">
        <v>0.0</v>
      </c>
      <c r="AO422" s="28">
        <v>414.0</v>
      </c>
      <c r="AP422" s="28">
        <v>0.0</v>
      </c>
      <c r="AQ422" s="28">
        <v>937495.0</v>
      </c>
      <c r="AR422" s="28">
        <v>298494.0</v>
      </c>
      <c r="AS422" s="28">
        <v>0.0</v>
      </c>
      <c r="AT422" s="28">
        <v>298494.0</v>
      </c>
      <c r="AU422" s="28">
        <v>0.0</v>
      </c>
      <c r="AV422" s="28">
        <v>746083.0133516483</v>
      </c>
      <c r="AW422" s="28">
        <v>590273.59232</v>
      </c>
      <c r="AX422" s="28">
        <v>0.0</v>
      </c>
      <c r="AY422" s="28">
        <v>259829.49214</v>
      </c>
      <c r="AZ422" s="5" t="s">
        <v>124</v>
      </c>
      <c r="BA422" s="5" t="s">
        <v>125</v>
      </c>
      <c r="BB422" s="5" t="s">
        <v>174</v>
      </c>
      <c r="BD422" s="5" t="s">
        <v>1120</v>
      </c>
      <c r="BE422" s="5" t="s">
        <v>1121</v>
      </c>
      <c r="BF422" s="5" t="s">
        <v>1155</v>
      </c>
      <c r="BG422" s="5" t="s">
        <v>131</v>
      </c>
    </row>
    <row r="423" ht="16.5" hidden="1" customHeight="1">
      <c r="A423" s="5" t="s">
        <v>100</v>
      </c>
      <c r="B423" s="5" t="s">
        <v>137</v>
      </c>
      <c r="C423" s="5" t="b">
        <v>1</v>
      </c>
      <c r="D423" s="5" t="s">
        <v>1719</v>
      </c>
      <c r="E423" s="5" t="s">
        <v>1157</v>
      </c>
      <c r="F423" s="5"/>
      <c r="G423" s="5" t="s">
        <v>1109</v>
      </c>
      <c r="H423" s="5" t="s">
        <v>76</v>
      </c>
      <c r="I423" s="5" t="s">
        <v>82</v>
      </c>
      <c r="J423" s="25"/>
      <c r="K423" s="25"/>
      <c r="L423" s="25"/>
      <c r="M423" s="5" t="s">
        <v>66</v>
      </c>
      <c r="N423" s="5" t="s">
        <v>1119</v>
      </c>
      <c r="O423" s="5" t="s">
        <v>69</v>
      </c>
      <c r="P423" s="5" t="s">
        <v>249</v>
      </c>
      <c r="Q423" s="5" t="s">
        <v>1960</v>
      </c>
      <c r="R423" s="5" t="s">
        <v>1961</v>
      </c>
      <c r="S423" s="5"/>
      <c r="T423" s="5"/>
      <c r="U423" s="5"/>
      <c r="V423" s="5">
        <v>1600.0</v>
      </c>
      <c r="W423" s="26">
        <v>2.08</v>
      </c>
      <c r="X423" s="5">
        <v>769.0</v>
      </c>
      <c r="Y423" s="27">
        <v>0.2</v>
      </c>
      <c r="Z423" s="28">
        <v>615.2</v>
      </c>
      <c r="AA423" s="27">
        <v>1.0</v>
      </c>
      <c r="AB423" s="5" t="s">
        <v>117</v>
      </c>
      <c r="AC423" s="27">
        <v>0.606</v>
      </c>
      <c r="AD423" s="5"/>
      <c r="AE423" s="5" t="s">
        <v>81</v>
      </c>
      <c r="AF423" s="5" t="s">
        <v>81</v>
      </c>
      <c r="AG423" s="5">
        <v>0.0</v>
      </c>
      <c r="AH423" s="5">
        <v>2.0</v>
      </c>
      <c r="AI423" s="5" t="s">
        <v>0</v>
      </c>
      <c r="AJ423" s="5" t="s">
        <v>0</v>
      </c>
      <c r="AK423" s="30">
        <v>2100.0</v>
      </c>
      <c r="AL423" s="28">
        <v>0.0</v>
      </c>
      <c r="AM423" s="28">
        <v>0.0</v>
      </c>
      <c r="AN423" s="28">
        <v>2697.0</v>
      </c>
      <c r="AO423" s="28">
        <v>0.0</v>
      </c>
      <c r="AP423" s="28">
        <v>1614900.0</v>
      </c>
      <c r="AQ423" s="28">
        <v>0.0</v>
      </c>
      <c r="AR423" s="28">
        <v>0.0</v>
      </c>
      <c r="AS423" s="28">
        <v>0.0</v>
      </c>
      <c r="AT423" s="28">
        <v>0.0</v>
      </c>
      <c r="AU423" s="28">
        <v>1291920.0</v>
      </c>
      <c r="AV423" s="28">
        <v>0.0</v>
      </c>
      <c r="AW423" s="28">
        <v>0.0</v>
      </c>
      <c r="AX423" s="28">
        <v>1631419.4833333334</v>
      </c>
      <c r="AY423" s="28">
        <v>0.0</v>
      </c>
      <c r="AZ423" s="5"/>
      <c r="BA423" s="5" t="s">
        <v>125</v>
      </c>
      <c r="BB423" s="5" t="s">
        <v>174</v>
      </c>
      <c r="BD423" s="5" t="s">
        <v>1120</v>
      </c>
      <c r="BE423" s="5" t="s">
        <v>1121</v>
      </c>
      <c r="BF423" s="5" t="s">
        <v>1155</v>
      </c>
      <c r="BG423" s="5" t="s">
        <v>131</v>
      </c>
    </row>
    <row r="424" ht="16.5" hidden="1" customHeight="1">
      <c r="A424" s="5" t="s">
        <v>100</v>
      </c>
      <c r="B424" s="5" t="s">
        <v>137</v>
      </c>
      <c r="C424" s="5" t="b">
        <v>0</v>
      </c>
      <c r="D424" s="5" t="s">
        <v>1156</v>
      </c>
      <c r="E424" s="5" t="s">
        <v>1157</v>
      </c>
      <c r="F424" s="5"/>
      <c r="G424" s="5" t="s">
        <v>1109</v>
      </c>
      <c r="H424" s="5" t="s">
        <v>74</v>
      </c>
      <c r="I424" s="5" t="s">
        <v>106</v>
      </c>
      <c r="J424" s="25" t="s">
        <v>1943</v>
      </c>
      <c r="K424" s="25"/>
      <c r="L424" s="25"/>
      <c r="M424" s="5" t="s">
        <v>66</v>
      </c>
      <c r="N424" s="5" t="s">
        <v>1119</v>
      </c>
      <c r="O424" s="5" t="s">
        <v>69</v>
      </c>
      <c r="P424" s="5" t="s">
        <v>249</v>
      </c>
      <c r="Q424" s="5" t="s">
        <v>1960</v>
      </c>
      <c r="R424" s="5" t="s">
        <v>1961</v>
      </c>
      <c r="S424" s="5"/>
      <c r="T424" s="5"/>
      <c r="U424" s="5"/>
      <c r="V424" s="5">
        <v>1600.0</v>
      </c>
      <c r="W424" s="26">
        <v>2.08</v>
      </c>
      <c r="X424" s="5">
        <v>769.0</v>
      </c>
      <c r="Y424" s="27">
        <v>0.0</v>
      </c>
      <c r="Z424" s="28">
        <v>769.0</v>
      </c>
      <c r="AA424" s="27">
        <v>1.0</v>
      </c>
      <c r="AB424" s="5" t="s">
        <v>117</v>
      </c>
      <c r="AC424" s="27"/>
      <c r="AD424" s="5"/>
      <c r="AE424" s="5" t="s">
        <v>81</v>
      </c>
      <c r="AF424" s="5" t="s">
        <v>81</v>
      </c>
      <c r="AG424" s="5"/>
      <c r="AH424" s="5">
        <v>2.0</v>
      </c>
      <c r="AI424" s="5" t="s">
        <v>0</v>
      </c>
      <c r="AJ424" s="5" t="s">
        <v>0</v>
      </c>
      <c r="AK424" s="30"/>
      <c r="AL424" s="28">
        <v>2103.0</v>
      </c>
      <c r="AM424" s="28">
        <v>1961.0</v>
      </c>
      <c r="AN424" s="28">
        <v>0.0</v>
      </c>
      <c r="AO424" s="28">
        <v>1030.0</v>
      </c>
      <c r="AP424" s="28">
        <v>0.0</v>
      </c>
      <c r="AQ424" s="28">
        <v>1617690.69</v>
      </c>
      <c r="AR424" s="28">
        <v>792070.0</v>
      </c>
      <c r="AS424" s="28">
        <v>0.0</v>
      </c>
      <c r="AT424" s="28">
        <v>792070.0</v>
      </c>
      <c r="AU424" s="28">
        <v>0.0</v>
      </c>
      <c r="AV424" s="28">
        <v>1335878.0938186808</v>
      </c>
      <c r="AW424" s="28">
        <v>1095520.159052</v>
      </c>
      <c r="AX424" s="28">
        <v>0.0</v>
      </c>
      <c r="AY424" s="28">
        <v>597191.37888</v>
      </c>
      <c r="AZ424" s="5" t="s">
        <v>124</v>
      </c>
      <c r="BA424" s="5" t="s">
        <v>125</v>
      </c>
      <c r="BB424" s="5" t="s">
        <v>174</v>
      </c>
      <c r="BD424" s="5" t="s">
        <v>1120</v>
      </c>
      <c r="BE424" s="5" t="s">
        <v>1121</v>
      </c>
      <c r="BF424" s="5" t="s">
        <v>1155</v>
      </c>
      <c r="BG424" s="5" t="s">
        <v>131</v>
      </c>
    </row>
    <row r="425" ht="16.5" hidden="1" customHeight="1">
      <c r="A425" s="5" t="s">
        <v>100</v>
      </c>
      <c r="B425" s="5" t="s">
        <v>137</v>
      </c>
      <c r="C425" s="5" t="b">
        <v>0</v>
      </c>
      <c r="D425" s="5" t="s">
        <v>1159</v>
      </c>
      <c r="E425" s="5" t="s">
        <v>1160</v>
      </c>
      <c r="F425" s="5"/>
      <c r="G425" s="5" t="s">
        <v>1109</v>
      </c>
      <c r="H425" s="5" t="s">
        <v>74</v>
      </c>
      <c r="I425" s="5" t="s">
        <v>106</v>
      </c>
      <c r="J425" s="25" t="s">
        <v>1452</v>
      </c>
      <c r="K425" s="25"/>
      <c r="L425" s="25"/>
      <c r="M425" s="5" t="s">
        <v>109</v>
      </c>
      <c r="N425" s="5" t="s">
        <v>1162</v>
      </c>
      <c r="O425" s="5" t="s">
        <v>69</v>
      </c>
      <c r="P425" s="5" t="s">
        <v>249</v>
      </c>
      <c r="Q425" s="5" t="s">
        <v>1960</v>
      </c>
      <c r="R425" s="5" t="s">
        <v>1961</v>
      </c>
      <c r="S425" s="5"/>
      <c r="T425" s="5"/>
      <c r="U425" s="5"/>
      <c r="V425" s="5">
        <v>1800.0</v>
      </c>
      <c r="W425" s="26">
        <v>2.08</v>
      </c>
      <c r="X425" s="5">
        <v>865.0</v>
      </c>
      <c r="Y425" s="27">
        <v>0.0</v>
      </c>
      <c r="Z425" s="28">
        <v>865.0</v>
      </c>
      <c r="AA425" s="27">
        <v>1.0</v>
      </c>
      <c r="AB425" s="5" t="s">
        <v>117</v>
      </c>
      <c r="AC425" s="27"/>
      <c r="AD425" s="5"/>
      <c r="AE425" s="5" t="s">
        <v>81</v>
      </c>
      <c r="AF425" s="5" t="s">
        <v>81</v>
      </c>
      <c r="AG425" s="5"/>
      <c r="AH425" s="5">
        <v>1.0</v>
      </c>
      <c r="AI425" s="5" t="s">
        <v>0</v>
      </c>
      <c r="AJ425" s="5" t="s">
        <v>0</v>
      </c>
      <c r="AK425" s="30"/>
      <c r="AL425" s="28">
        <v>272.0</v>
      </c>
      <c r="AM425" s="28">
        <v>263.0</v>
      </c>
      <c r="AN425" s="28">
        <v>0.0</v>
      </c>
      <c r="AO425" s="28">
        <v>74.0</v>
      </c>
      <c r="AP425" s="28">
        <v>0.0</v>
      </c>
      <c r="AQ425" s="28">
        <v>235383.36000000002</v>
      </c>
      <c r="AR425" s="28">
        <v>64010.0</v>
      </c>
      <c r="AS425" s="28">
        <v>0.0</v>
      </c>
      <c r="AT425" s="28">
        <v>64010.0</v>
      </c>
      <c r="AU425" s="28">
        <v>0.0</v>
      </c>
      <c r="AV425" s="28">
        <v>199998.74148351647</v>
      </c>
      <c r="AW425" s="28">
        <v>166649.10530000002</v>
      </c>
      <c r="AX425" s="28">
        <v>0.0</v>
      </c>
      <c r="AY425" s="28">
        <v>57831.78882</v>
      </c>
      <c r="AZ425" s="5" t="s">
        <v>124</v>
      </c>
      <c r="BA425" s="5" t="s">
        <v>86</v>
      </c>
      <c r="BB425" s="5" t="s">
        <v>512</v>
      </c>
      <c r="BD425" s="5" t="s">
        <v>1120</v>
      </c>
      <c r="BE425" s="5" t="s">
        <v>1131</v>
      </c>
      <c r="BF425" s="5" t="s">
        <v>1155</v>
      </c>
      <c r="BG425" s="5" t="s">
        <v>131</v>
      </c>
      <c r="BH425" s="5" t="s">
        <v>1980</v>
      </c>
    </row>
    <row r="426" ht="16.5" hidden="1" customHeight="1">
      <c r="A426" s="5" t="s">
        <v>100</v>
      </c>
      <c r="B426" s="5" t="s">
        <v>137</v>
      </c>
      <c r="C426" s="5" t="b">
        <v>0</v>
      </c>
      <c r="D426" s="5" t="s">
        <v>1165</v>
      </c>
      <c r="E426" s="5" t="s">
        <v>1167</v>
      </c>
      <c r="F426" s="5"/>
      <c r="G426" s="5" t="s">
        <v>1109</v>
      </c>
      <c r="H426" s="5" t="s">
        <v>74</v>
      </c>
      <c r="I426" s="5" t="s">
        <v>106</v>
      </c>
      <c r="J426" s="25" t="s">
        <v>1452</v>
      </c>
      <c r="K426" s="25"/>
      <c r="L426" s="25"/>
      <c r="M426" s="5" t="s">
        <v>109</v>
      </c>
      <c r="N426" s="5" t="s">
        <v>1162</v>
      </c>
      <c r="O426" s="5" t="s">
        <v>69</v>
      </c>
      <c r="P426" s="5" t="s">
        <v>249</v>
      </c>
      <c r="Q426" s="5" t="s">
        <v>1981</v>
      </c>
      <c r="R426" s="5" t="s">
        <v>1961</v>
      </c>
      <c r="S426" s="5"/>
      <c r="T426" s="5"/>
      <c r="U426" s="5"/>
      <c r="V426" s="5">
        <v>2000.0</v>
      </c>
      <c r="W426" s="26">
        <v>2.08</v>
      </c>
      <c r="X426" s="5">
        <v>962.0</v>
      </c>
      <c r="Y426" s="27">
        <v>0.0</v>
      </c>
      <c r="Z426" s="28">
        <v>962.0</v>
      </c>
      <c r="AA426" s="27">
        <v>1.0</v>
      </c>
      <c r="AB426" s="5" t="s">
        <v>117</v>
      </c>
      <c r="AC426" s="27"/>
      <c r="AD426" s="5"/>
      <c r="AE426" s="5" t="s">
        <v>81</v>
      </c>
      <c r="AF426" s="5" t="s">
        <v>81</v>
      </c>
      <c r="AG426" s="5"/>
      <c r="AH426" s="5">
        <v>1.0</v>
      </c>
      <c r="AI426" s="5" t="s">
        <v>0</v>
      </c>
      <c r="AJ426" s="5" t="s">
        <v>0</v>
      </c>
      <c r="AK426" s="30"/>
      <c r="AL426" s="28">
        <v>232.0</v>
      </c>
      <c r="AM426" s="28">
        <v>217.0</v>
      </c>
      <c r="AN426" s="28">
        <v>0.0</v>
      </c>
      <c r="AO426" s="28">
        <v>76.0</v>
      </c>
      <c r="AP426" s="28">
        <v>0.0</v>
      </c>
      <c r="AQ426" s="28">
        <v>223077.28000000003</v>
      </c>
      <c r="AR426" s="28">
        <v>73112.0</v>
      </c>
      <c r="AS426" s="28">
        <v>0.0</v>
      </c>
      <c r="AT426" s="28">
        <v>73112.0</v>
      </c>
      <c r="AU426" s="28">
        <v>0.0</v>
      </c>
      <c r="AV426" s="28">
        <v>187359.846978022</v>
      </c>
      <c r="AW426" s="28">
        <v>151439.54450000002</v>
      </c>
      <c r="AX426" s="28">
        <v>0.0</v>
      </c>
      <c r="AY426" s="28">
        <v>67502.1778</v>
      </c>
      <c r="AZ426" s="5" t="s">
        <v>124</v>
      </c>
      <c r="BA426" s="5" t="s">
        <v>86</v>
      </c>
      <c r="BB426" s="5" t="s">
        <v>512</v>
      </c>
      <c r="BD426" s="5" t="s">
        <v>1120</v>
      </c>
      <c r="BE426" s="5" t="s">
        <v>1131</v>
      </c>
      <c r="BF426" s="5" t="s">
        <v>1132</v>
      </c>
      <c r="BG426" s="5" t="s">
        <v>131</v>
      </c>
      <c r="BH426" s="5" t="s">
        <v>1982</v>
      </c>
    </row>
    <row r="427" ht="16.5" customHeight="1">
      <c r="A427" s="5" t="s">
        <v>100</v>
      </c>
      <c r="B427" s="5" t="s">
        <v>137</v>
      </c>
      <c r="C427" s="5" t="b">
        <v>1</v>
      </c>
      <c r="D427" s="5" t="s">
        <v>1171</v>
      </c>
      <c r="E427" s="5" t="s">
        <v>1172</v>
      </c>
      <c r="F427" s="5"/>
      <c r="G427" s="5" t="s">
        <v>1109</v>
      </c>
      <c r="H427" s="5" t="s">
        <v>76</v>
      </c>
      <c r="I427" s="5" t="s">
        <v>82</v>
      </c>
      <c r="J427" s="25"/>
      <c r="K427" s="25"/>
      <c r="L427" s="25"/>
      <c r="M427" s="5" t="s">
        <v>109</v>
      </c>
      <c r="N427" s="5" t="s">
        <v>1162</v>
      </c>
      <c r="O427" s="5" t="s">
        <v>69</v>
      </c>
      <c r="P427" s="5" t="s">
        <v>249</v>
      </c>
      <c r="Q427" s="5" t="s">
        <v>1960</v>
      </c>
      <c r="R427" s="5" t="s">
        <v>1961</v>
      </c>
      <c r="S427" s="5"/>
      <c r="T427" s="5"/>
      <c r="U427" s="5"/>
      <c r="V427" s="5">
        <v>1700.0</v>
      </c>
      <c r="W427" s="26">
        <v>2.08</v>
      </c>
      <c r="X427" s="5">
        <v>817.0</v>
      </c>
      <c r="Y427" s="27">
        <v>0.2</v>
      </c>
      <c r="Z427" s="28">
        <v>653.6</v>
      </c>
      <c r="AA427" s="27">
        <v>1.0</v>
      </c>
      <c r="AB427" s="5" t="s">
        <v>117</v>
      </c>
      <c r="AC427" s="27">
        <v>0.597</v>
      </c>
      <c r="AD427" s="5"/>
      <c r="AE427" s="5" t="s">
        <v>81</v>
      </c>
      <c r="AF427" s="5" t="s">
        <v>81</v>
      </c>
      <c r="AG427" s="5">
        <v>0.0</v>
      </c>
      <c r="AH427" s="5">
        <v>2.0</v>
      </c>
      <c r="AI427" s="5" t="s">
        <v>0</v>
      </c>
      <c r="AJ427" s="5" t="s">
        <v>0</v>
      </c>
      <c r="AK427" s="30">
        <v>500.0</v>
      </c>
      <c r="AL427" s="28">
        <v>460.0</v>
      </c>
      <c r="AM427" s="28">
        <v>265.0</v>
      </c>
      <c r="AN427" s="28">
        <v>168.0</v>
      </c>
      <c r="AO427" s="28">
        <v>159.0</v>
      </c>
      <c r="AP427" s="28">
        <v>408500.0</v>
      </c>
      <c r="AQ427" s="28">
        <v>375962.5999999999</v>
      </c>
      <c r="AR427" s="28">
        <v>129903.0</v>
      </c>
      <c r="AS427" s="28">
        <v>0.0</v>
      </c>
      <c r="AT427" s="28">
        <v>129903.0</v>
      </c>
      <c r="AU427" s="28">
        <v>326800.0</v>
      </c>
      <c r="AV427" s="28">
        <v>323614.1745054945</v>
      </c>
      <c r="AW427" s="28">
        <v>164638.20154399995</v>
      </c>
      <c r="AX427" s="28">
        <v>118085.19384615384</v>
      </c>
      <c r="AY427" s="28">
        <v>100685.88328</v>
      </c>
      <c r="AZ427" s="5"/>
      <c r="BA427" s="5" t="s">
        <v>86</v>
      </c>
      <c r="BB427" s="5" t="s">
        <v>512</v>
      </c>
      <c r="BD427" s="5" t="s">
        <v>1120</v>
      </c>
      <c r="BE427" s="5" t="s">
        <v>1131</v>
      </c>
      <c r="BF427" s="5" t="s">
        <v>1155</v>
      </c>
      <c r="BG427" s="5" t="s">
        <v>131</v>
      </c>
    </row>
    <row r="428" ht="16.5" customHeight="1">
      <c r="A428" s="5" t="s">
        <v>100</v>
      </c>
      <c r="B428" s="5" t="s">
        <v>137</v>
      </c>
      <c r="C428" s="5" t="b">
        <v>1</v>
      </c>
      <c r="D428" s="5" t="s">
        <v>1177</v>
      </c>
      <c r="E428" s="5" t="s">
        <v>1178</v>
      </c>
      <c r="F428" s="5"/>
      <c r="G428" s="5" t="s">
        <v>1109</v>
      </c>
      <c r="H428" s="5" t="s">
        <v>76</v>
      </c>
      <c r="I428" s="5" t="s">
        <v>82</v>
      </c>
      <c r="J428" s="25"/>
      <c r="K428" s="25"/>
      <c r="L428" s="25"/>
      <c r="M428" s="5" t="s">
        <v>109</v>
      </c>
      <c r="N428" s="5" t="s">
        <v>1162</v>
      </c>
      <c r="O428" s="5" t="s">
        <v>69</v>
      </c>
      <c r="P428" s="5" t="s">
        <v>249</v>
      </c>
      <c r="Q428" s="5" t="s">
        <v>1984</v>
      </c>
      <c r="R428" s="5" t="s">
        <v>1961</v>
      </c>
      <c r="S428" s="5"/>
      <c r="T428" s="5"/>
      <c r="U428" s="5"/>
      <c r="V428" s="5">
        <v>1300.0</v>
      </c>
      <c r="W428" s="26">
        <v>2.08</v>
      </c>
      <c r="X428" s="5">
        <v>625.0</v>
      </c>
      <c r="Y428" s="27">
        <v>0.2</v>
      </c>
      <c r="Z428" s="28">
        <v>500.0</v>
      </c>
      <c r="AA428" s="27">
        <v>1.0</v>
      </c>
      <c r="AB428" s="5" t="s">
        <v>117</v>
      </c>
      <c r="AC428" s="27">
        <v>0.602</v>
      </c>
      <c r="AD428" s="5"/>
      <c r="AE428" s="5" t="s">
        <v>81</v>
      </c>
      <c r="AF428" s="5" t="s">
        <v>81</v>
      </c>
      <c r="AG428" s="5">
        <v>0.0</v>
      </c>
      <c r="AH428" s="5">
        <v>2.0</v>
      </c>
      <c r="AI428" s="5" t="s">
        <v>0</v>
      </c>
      <c r="AJ428" s="5" t="s">
        <v>0</v>
      </c>
      <c r="AK428" s="30">
        <v>400.0</v>
      </c>
      <c r="AL428" s="28">
        <v>390.0</v>
      </c>
      <c r="AM428" s="28">
        <v>223.0</v>
      </c>
      <c r="AN428" s="28">
        <v>121.0</v>
      </c>
      <c r="AO428" s="28">
        <v>136.0</v>
      </c>
      <c r="AP428" s="28">
        <v>250000.0</v>
      </c>
      <c r="AQ428" s="28">
        <v>243750.0</v>
      </c>
      <c r="AR428" s="28">
        <v>85000.0</v>
      </c>
      <c r="AS428" s="28">
        <v>0.0</v>
      </c>
      <c r="AT428" s="28">
        <v>85000.0</v>
      </c>
      <c r="AU428" s="28">
        <v>200000.0</v>
      </c>
      <c r="AV428" s="28">
        <v>210761.7433333333</v>
      </c>
      <c r="AW428" s="28">
        <v>105548.08405</v>
      </c>
      <c r="AX428" s="28">
        <v>63070.62</v>
      </c>
      <c r="AY428" s="28">
        <v>62020.36124</v>
      </c>
      <c r="AZ428" s="5"/>
      <c r="BA428" s="5" t="s">
        <v>86</v>
      </c>
      <c r="BB428" s="5" t="s">
        <v>512</v>
      </c>
      <c r="BD428" s="5" t="s">
        <v>1120</v>
      </c>
      <c r="BE428" s="5" t="s">
        <v>1131</v>
      </c>
      <c r="BF428" s="5" t="s">
        <v>1181</v>
      </c>
      <c r="BG428" s="5" t="s">
        <v>131</v>
      </c>
    </row>
    <row r="429" ht="16.5" hidden="1" customHeight="1">
      <c r="A429" s="5" t="s">
        <v>100</v>
      </c>
      <c r="B429" s="5" t="s">
        <v>215</v>
      </c>
      <c r="C429" s="5" t="b">
        <v>0</v>
      </c>
      <c r="D429" s="5" t="s">
        <v>1722</v>
      </c>
      <c r="E429" s="5" t="s">
        <v>1723</v>
      </c>
      <c r="F429" s="5"/>
      <c r="G429" s="5" t="s">
        <v>1109</v>
      </c>
      <c r="H429" s="5" t="s">
        <v>76</v>
      </c>
      <c r="I429" s="5" t="s">
        <v>218</v>
      </c>
      <c r="J429" s="25" t="s">
        <v>219</v>
      </c>
      <c r="K429" s="25"/>
      <c r="L429" s="25"/>
      <c r="M429" s="5" t="s">
        <v>220</v>
      </c>
      <c r="N429" s="5" t="s">
        <v>1212</v>
      </c>
      <c r="O429" s="5" t="s">
        <v>69</v>
      </c>
      <c r="P429" s="5" t="s">
        <v>249</v>
      </c>
      <c r="Q429" s="5" t="s">
        <v>1984</v>
      </c>
      <c r="R429" s="5" t="s">
        <v>1961</v>
      </c>
      <c r="S429" s="5"/>
      <c r="T429" s="5"/>
      <c r="U429" s="5"/>
      <c r="V429" s="5">
        <v>1600.0</v>
      </c>
      <c r="W429" s="26">
        <v>2.08</v>
      </c>
      <c r="X429" s="5">
        <v>769.0</v>
      </c>
      <c r="Y429" s="27">
        <v>0.0</v>
      </c>
      <c r="Z429" s="28">
        <v>769.0</v>
      </c>
      <c r="AA429" s="27">
        <v>1.0</v>
      </c>
      <c r="AB429" s="5" t="s">
        <v>117</v>
      </c>
      <c r="AC429" s="27"/>
      <c r="AD429" s="5"/>
      <c r="AE429" s="5" t="s">
        <v>81</v>
      </c>
      <c r="AF429" s="5" t="s">
        <v>81</v>
      </c>
      <c r="AG429" s="5"/>
      <c r="AH429" s="5">
        <v>2.0</v>
      </c>
      <c r="AI429" s="5" t="s">
        <v>0</v>
      </c>
      <c r="AJ429" s="5" t="s">
        <v>0</v>
      </c>
      <c r="AK429" s="30"/>
      <c r="AL429" s="28">
        <v>0.0</v>
      </c>
      <c r="AM429" s="28">
        <v>0.0</v>
      </c>
      <c r="AN429" s="28">
        <v>515.0</v>
      </c>
      <c r="AO429" s="28">
        <v>0.0</v>
      </c>
      <c r="AP429" s="28">
        <v>0.0</v>
      </c>
      <c r="AQ429" s="28">
        <v>0.0</v>
      </c>
      <c r="AR429" s="28">
        <v>0.0</v>
      </c>
      <c r="AS429" s="28">
        <v>0.0</v>
      </c>
      <c r="AT429" s="28">
        <v>0.0</v>
      </c>
      <c r="AU429" s="28">
        <v>0.0</v>
      </c>
      <c r="AV429" s="28">
        <v>0.0</v>
      </c>
      <c r="AW429" s="28">
        <v>0.0</v>
      </c>
      <c r="AX429" s="28">
        <v>352785.53759157506</v>
      </c>
      <c r="AY429" s="28">
        <v>0.0</v>
      </c>
      <c r="AZ429" s="5" t="s">
        <v>124</v>
      </c>
      <c r="BA429" s="5" t="s">
        <v>226</v>
      </c>
      <c r="BB429" s="5" t="s">
        <v>227</v>
      </c>
      <c r="BD429" s="5" t="s">
        <v>1120</v>
      </c>
      <c r="BE429" s="5" t="s">
        <v>1121</v>
      </c>
      <c r="BF429" s="5" t="s">
        <v>1155</v>
      </c>
      <c r="BG429" s="5" t="s">
        <v>131</v>
      </c>
    </row>
    <row r="430" ht="16.5" hidden="1" customHeight="1">
      <c r="A430" s="5" t="s">
        <v>100</v>
      </c>
      <c r="B430" s="5" t="s">
        <v>137</v>
      </c>
      <c r="C430" s="5" t="b">
        <v>1</v>
      </c>
      <c r="D430" s="5" t="s">
        <v>1182</v>
      </c>
      <c r="E430" s="5" t="s">
        <v>1183</v>
      </c>
      <c r="F430" s="5"/>
      <c r="G430" s="5" t="s">
        <v>1109</v>
      </c>
      <c r="H430" s="5" t="s">
        <v>76</v>
      </c>
      <c r="I430" s="5" t="s">
        <v>82</v>
      </c>
      <c r="J430" s="25"/>
      <c r="K430" s="25"/>
      <c r="L430" s="25"/>
      <c r="M430" s="5" t="s">
        <v>66</v>
      </c>
      <c r="N430" s="5" t="s">
        <v>1129</v>
      </c>
      <c r="O430" s="5" t="s">
        <v>69</v>
      </c>
      <c r="P430" s="5" t="s">
        <v>249</v>
      </c>
      <c r="Q430" s="5" t="s">
        <v>1971</v>
      </c>
      <c r="R430" s="5" t="s">
        <v>1966</v>
      </c>
      <c r="S430" s="5"/>
      <c r="T430" s="5"/>
      <c r="U430" s="5"/>
      <c r="V430" s="5">
        <v>1700.0</v>
      </c>
      <c r="W430" s="26">
        <v>2.08</v>
      </c>
      <c r="X430" s="5">
        <v>817.0</v>
      </c>
      <c r="Y430" s="27">
        <v>0.2</v>
      </c>
      <c r="Z430" s="28">
        <v>653.6</v>
      </c>
      <c r="AA430" s="27">
        <v>1.0</v>
      </c>
      <c r="AB430" s="5" t="s">
        <v>117</v>
      </c>
      <c r="AC430" s="27">
        <v>0.0</v>
      </c>
      <c r="AD430" s="5"/>
      <c r="AE430" s="5" t="s">
        <v>81</v>
      </c>
      <c r="AF430" s="5" t="s">
        <v>81</v>
      </c>
      <c r="AG430" s="5">
        <v>0.0</v>
      </c>
      <c r="AH430" s="5">
        <v>1.0</v>
      </c>
      <c r="AI430" s="5" t="s">
        <v>0</v>
      </c>
      <c r="AJ430" s="5" t="s">
        <v>0</v>
      </c>
      <c r="AK430" s="30">
        <v>400.0</v>
      </c>
      <c r="AL430" s="28">
        <v>428.0</v>
      </c>
      <c r="AM430" s="28">
        <v>298.0</v>
      </c>
      <c r="AN430" s="28">
        <v>0.0</v>
      </c>
      <c r="AO430" s="28">
        <v>166.0</v>
      </c>
      <c r="AP430" s="28">
        <v>326800.0</v>
      </c>
      <c r="AQ430" s="28">
        <v>349808.68</v>
      </c>
      <c r="AR430" s="28">
        <v>135622.0</v>
      </c>
      <c r="AS430" s="28">
        <v>0.0</v>
      </c>
      <c r="AT430" s="28">
        <v>135622.0</v>
      </c>
      <c r="AU430" s="28">
        <v>261440.0</v>
      </c>
      <c r="AV430" s="28">
        <v>288443.5870879121</v>
      </c>
      <c r="AW430" s="28">
        <v>212478.43019999997</v>
      </c>
      <c r="AX430" s="28">
        <v>0.0</v>
      </c>
      <c r="AY430" s="28">
        <v>124993.973</v>
      </c>
      <c r="AZ430" s="5"/>
      <c r="BA430" s="5" t="s">
        <v>125</v>
      </c>
      <c r="BB430" s="5" t="s">
        <v>174</v>
      </c>
      <c r="BD430" s="5" t="s">
        <v>1186</v>
      </c>
      <c r="BE430" s="5" t="s">
        <v>1187</v>
      </c>
      <c r="BF430" s="5" t="s">
        <v>1139</v>
      </c>
      <c r="BG430" s="5" t="s">
        <v>131</v>
      </c>
    </row>
    <row r="431" ht="16.5" hidden="1" customHeight="1">
      <c r="A431" s="5" t="s">
        <v>100</v>
      </c>
      <c r="B431" s="5" t="s">
        <v>137</v>
      </c>
      <c r="C431" s="5" t="b">
        <v>1</v>
      </c>
      <c r="D431" s="5" t="s">
        <v>1188</v>
      </c>
      <c r="E431" s="5" t="s">
        <v>1189</v>
      </c>
      <c r="F431" s="5"/>
      <c r="G431" s="5" t="s">
        <v>1109</v>
      </c>
      <c r="H431" s="5" t="s">
        <v>76</v>
      </c>
      <c r="I431" s="5" t="s">
        <v>82</v>
      </c>
      <c r="J431" s="25"/>
      <c r="K431" s="25"/>
      <c r="L431" s="25"/>
      <c r="M431" s="5" t="s">
        <v>66</v>
      </c>
      <c r="N431" s="5" t="s">
        <v>1129</v>
      </c>
      <c r="O431" s="5" t="s">
        <v>69</v>
      </c>
      <c r="P431" s="5" t="s">
        <v>249</v>
      </c>
      <c r="Q431" s="5" t="s">
        <v>1969</v>
      </c>
      <c r="R431" s="5" t="s">
        <v>1966</v>
      </c>
      <c r="S431" s="5"/>
      <c r="T431" s="5"/>
      <c r="U431" s="5"/>
      <c r="V431" s="5">
        <v>1300.0</v>
      </c>
      <c r="W431" s="26">
        <v>2.08</v>
      </c>
      <c r="X431" s="5">
        <v>625.0</v>
      </c>
      <c r="Y431" s="27">
        <v>0.2</v>
      </c>
      <c r="Z431" s="28">
        <v>500.0</v>
      </c>
      <c r="AA431" s="27">
        <v>1.0</v>
      </c>
      <c r="AB431" s="5" t="s">
        <v>117</v>
      </c>
      <c r="AC431" s="27">
        <v>0.5820000000000001</v>
      </c>
      <c r="AD431" s="5"/>
      <c r="AE431" s="5" t="s">
        <v>81</v>
      </c>
      <c r="AF431" s="5" t="s">
        <v>81</v>
      </c>
      <c r="AG431" s="5">
        <v>0.0</v>
      </c>
      <c r="AH431" s="5">
        <v>1.0</v>
      </c>
      <c r="AI431" s="5" t="s">
        <v>0</v>
      </c>
      <c r="AJ431" s="5" t="s">
        <v>0</v>
      </c>
      <c r="AK431" s="30">
        <v>900.0</v>
      </c>
      <c r="AL431" s="28">
        <v>944.0</v>
      </c>
      <c r="AM431" s="28">
        <v>511.0</v>
      </c>
      <c r="AN431" s="28">
        <v>1141.0</v>
      </c>
      <c r="AO431" s="28">
        <v>538.0</v>
      </c>
      <c r="AP431" s="28">
        <v>562500.0</v>
      </c>
      <c r="AQ431" s="28">
        <v>590000.0</v>
      </c>
      <c r="AR431" s="28">
        <v>336250.0</v>
      </c>
      <c r="AS431" s="28">
        <v>0.0</v>
      </c>
      <c r="AT431" s="28">
        <v>336250.0</v>
      </c>
      <c r="AU431" s="28">
        <v>450000.0</v>
      </c>
      <c r="AV431" s="28">
        <v>476469.47615384613</v>
      </c>
      <c r="AW431" s="28">
        <v>268056.617754</v>
      </c>
      <c r="AX431" s="28">
        <v>581212.5653846154</v>
      </c>
      <c r="AY431" s="28">
        <v>270464.13288</v>
      </c>
      <c r="AZ431" s="5"/>
      <c r="BA431" s="5" t="s">
        <v>125</v>
      </c>
      <c r="BB431" s="5" t="s">
        <v>174</v>
      </c>
      <c r="BD431" s="5" t="s">
        <v>1186</v>
      </c>
      <c r="BE431" s="5" t="s">
        <v>1187</v>
      </c>
      <c r="BF431" s="5" t="s">
        <v>1155</v>
      </c>
      <c r="BG431" s="5" t="s">
        <v>131</v>
      </c>
    </row>
    <row r="432" ht="16.5" hidden="1" customHeight="1">
      <c r="A432" s="5" t="s">
        <v>100</v>
      </c>
      <c r="B432" s="5" t="s">
        <v>137</v>
      </c>
      <c r="C432" s="5" t="b">
        <v>1</v>
      </c>
      <c r="D432" s="5" t="s">
        <v>1192</v>
      </c>
      <c r="E432" s="5" t="s">
        <v>1193</v>
      </c>
      <c r="F432" s="5"/>
      <c r="G432" s="5" t="s">
        <v>1109</v>
      </c>
      <c r="H432" s="5" t="s">
        <v>76</v>
      </c>
      <c r="I432" s="5" t="s">
        <v>82</v>
      </c>
      <c r="J432" s="25"/>
      <c r="K432" s="25"/>
      <c r="L432" s="25"/>
      <c r="M432" s="5" t="s">
        <v>66</v>
      </c>
      <c r="N432" s="5" t="s">
        <v>1129</v>
      </c>
      <c r="O432" s="5" t="s">
        <v>69</v>
      </c>
      <c r="P432" s="5" t="s">
        <v>249</v>
      </c>
      <c r="Q432" s="5" t="s">
        <v>1971</v>
      </c>
      <c r="R432" s="5" t="s">
        <v>1966</v>
      </c>
      <c r="S432" s="5"/>
      <c r="T432" s="5"/>
      <c r="U432" s="5"/>
      <c r="V432" s="5">
        <v>1400.0</v>
      </c>
      <c r="W432" s="26">
        <v>2.08</v>
      </c>
      <c r="X432" s="5">
        <v>673.0</v>
      </c>
      <c r="Y432" s="27">
        <v>0.2</v>
      </c>
      <c r="Z432" s="28">
        <v>538.4</v>
      </c>
      <c r="AA432" s="27">
        <v>1.0</v>
      </c>
      <c r="AB432" s="5" t="s">
        <v>117</v>
      </c>
      <c r="AC432" s="27">
        <v>0.58</v>
      </c>
      <c r="AD432" s="5"/>
      <c r="AE432" s="5" t="s">
        <v>81</v>
      </c>
      <c r="AF432" s="5" t="s">
        <v>81</v>
      </c>
      <c r="AG432" s="5">
        <v>0.0</v>
      </c>
      <c r="AH432" s="5">
        <v>3.0</v>
      </c>
      <c r="AI432" s="5" t="s">
        <v>0</v>
      </c>
      <c r="AJ432" s="5" t="s">
        <v>0</v>
      </c>
      <c r="AK432" s="30">
        <v>2600.0</v>
      </c>
      <c r="AL432" s="28">
        <v>2585.0</v>
      </c>
      <c r="AM432" s="28">
        <v>1291.0</v>
      </c>
      <c r="AN432" s="28">
        <v>3221.0</v>
      </c>
      <c r="AO432" s="28">
        <v>1015.0</v>
      </c>
      <c r="AP432" s="28">
        <v>1749800.0</v>
      </c>
      <c r="AQ432" s="28">
        <v>1739911.7999999998</v>
      </c>
      <c r="AR432" s="28">
        <v>683095.0</v>
      </c>
      <c r="AS432" s="28">
        <v>0.0</v>
      </c>
      <c r="AT432" s="28">
        <v>683095.0</v>
      </c>
      <c r="AU432" s="28">
        <v>1399840.0</v>
      </c>
      <c r="AV432" s="28">
        <v>1411140.155164835</v>
      </c>
      <c r="AW432" s="28">
        <v>735733.1626920002</v>
      </c>
      <c r="AX432" s="28">
        <v>1757967.6530494504</v>
      </c>
      <c r="AY432" s="28">
        <v>592199.3438200001</v>
      </c>
      <c r="AZ432" s="5"/>
      <c r="BA432" s="5" t="s">
        <v>125</v>
      </c>
      <c r="BB432" s="5" t="s">
        <v>174</v>
      </c>
      <c r="BD432" s="5" t="s">
        <v>1186</v>
      </c>
      <c r="BE432" s="5" t="s">
        <v>1187</v>
      </c>
      <c r="BF432" s="5" t="s">
        <v>1132</v>
      </c>
      <c r="BG432" s="5" t="s">
        <v>131</v>
      </c>
    </row>
    <row r="433" ht="16.5" hidden="1" customHeight="1">
      <c r="A433" s="5" t="s">
        <v>100</v>
      </c>
      <c r="B433" s="5" t="s">
        <v>137</v>
      </c>
      <c r="C433" s="5" t="b">
        <v>1</v>
      </c>
      <c r="D433" s="5" t="s">
        <v>1194</v>
      </c>
      <c r="E433" s="5" t="s">
        <v>1195</v>
      </c>
      <c r="F433" s="5"/>
      <c r="G433" s="5" t="s">
        <v>1109</v>
      </c>
      <c r="H433" s="5" t="s">
        <v>76</v>
      </c>
      <c r="I433" s="5" t="s">
        <v>82</v>
      </c>
      <c r="J433" s="25"/>
      <c r="K433" s="25"/>
      <c r="L433" s="25"/>
      <c r="M433" s="5" t="s">
        <v>66</v>
      </c>
      <c r="N433" s="5" t="s">
        <v>1129</v>
      </c>
      <c r="O433" s="5" t="s">
        <v>69</v>
      </c>
      <c r="P433" s="5" t="s">
        <v>249</v>
      </c>
      <c r="Q433" s="5" t="s">
        <v>1971</v>
      </c>
      <c r="R433" s="5" t="s">
        <v>1966</v>
      </c>
      <c r="S433" s="5"/>
      <c r="T433" s="5"/>
      <c r="U433" s="5"/>
      <c r="V433" s="5">
        <v>1500.0</v>
      </c>
      <c r="W433" s="26">
        <v>2.08</v>
      </c>
      <c r="X433" s="5">
        <v>721.0</v>
      </c>
      <c r="Y433" s="27">
        <v>0.2</v>
      </c>
      <c r="Z433" s="28">
        <v>576.8000000000001</v>
      </c>
      <c r="AA433" s="27">
        <v>1.0</v>
      </c>
      <c r="AB433" s="5" t="s">
        <v>117</v>
      </c>
      <c r="AC433" s="27">
        <v>0.585</v>
      </c>
      <c r="AD433" s="5"/>
      <c r="AE433" s="5" t="s">
        <v>81</v>
      </c>
      <c r="AF433" s="5" t="s">
        <v>81</v>
      </c>
      <c r="AG433" s="5">
        <v>0.0</v>
      </c>
      <c r="AH433" s="5">
        <v>2.0</v>
      </c>
      <c r="AI433" s="5" t="s">
        <v>0</v>
      </c>
      <c r="AJ433" s="5" t="s">
        <v>0</v>
      </c>
      <c r="AK433" s="30">
        <v>1000.0</v>
      </c>
      <c r="AL433" s="28">
        <v>966.0</v>
      </c>
      <c r="AM433" s="28">
        <v>514.0</v>
      </c>
      <c r="AN433" s="28">
        <v>949.0</v>
      </c>
      <c r="AO433" s="28">
        <v>518.0</v>
      </c>
      <c r="AP433" s="28">
        <v>721000.0</v>
      </c>
      <c r="AQ433" s="28">
        <v>696630.9</v>
      </c>
      <c r="AR433" s="28">
        <v>373478.0</v>
      </c>
      <c r="AS433" s="28">
        <v>0.0</v>
      </c>
      <c r="AT433" s="28">
        <v>373478.0</v>
      </c>
      <c r="AU433" s="28">
        <v>576800.0000000001</v>
      </c>
      <c r="AV433" s="28">
        <v>562205.3395604396</v>
      </c>
      <c r="AW433" s="28">
        <v>308057.4573700001</v>
      </c>
      <c r="AX433" s="28">
        <v>559088.7026739926</v>
      </c>
      <c r="AY433" s="28">
        <v>319219.28247999994</v>
      </c>
      <c r="AZ433" s="5"/>
      <c r="BA433" s="5" t="s">
        <v>125</v>
      </c>
      <c r="BB433" s="5" t="s">
        <v>174</v>
      </c>
      <c r="BD433" s="5" t="s">
        <v>1186</v>
      </c>
      <c r="BE433" s="5" t="s">
        <v>1187</v>
      </c>
      <c r="BF433" s="5" t="s">
        <v>1139</v>
      </c>
      <c r="BG433" s="5" t="s">
        <v>131</v>
      </c>
    </row>
    <row r="434" ht="16.5" hidden="1" customHeight="1">
      <c r="A434" s="5" t="s">
        <v>100</v>
      </c>
      <c r="B434" s="5" t="s">
        <v>137</v>
      </c>
      <c r="C434" s="5" t="b">
        <v>1</v>
      </c>
      <c r="D434" s="5" t="s">
        <v>1201</v>
      </c>
      <c r="E434" s="5" t="s">
        <v>1202</v>
      </c>
      <c r="F434" s="5"/>
      <c r="G434" s="5" t="s">
        <v>1109</v>
      </c>
      <c r="H434" s="5" t="s">
        <v>76</v>
      </c>
      <c r="I434" s="5" t="s">
        <v>82</v>
      </c>
      <c r="J434" s="25"/>
      <c r="K434" s="25"/>
      <c r="L434" s="25"/>
      <c r="M434" s="5" t="s">
        <v>66</v>
      </c>
      <c r="N434" s="5" t="s">
        <v>1129</v>
      </c>
      <c r="O434" s="5" t="s">
        <v>69</v>
      </c>
      <c r="P434" s="5" t="s">
        <v>249</v>
      </c>
      <c r="Q434" s="5" t="s">
        <v>1971</v>
      </c>
      <c r="R434" s="5" t="s">
        <v>1966</v>
      </c>
      <c r="S434" s="5"/>
      <c r="T434" s="5"/>
      <c r="U434" s="5"/>
      <c r="V434" s="5">
        <v>1600.0</v>
      </c>
      <c r="W434" s="26">
        <v>2.08</v>
      </c>
      <c r="X434" s="5">
        <v>769.0</v>
      </c>
      <c r="Y434" s="27">
        <v>0.2</v>
      </c>
      <c r="Z434" s="28">
        <v>615.2</v>
      </c>
      <c r="AA434" s="27">
        <v>1.0</v>
      </c>
      <c r="AB434" s="5" t="s">
        <v>117</v>
      </c>
      <c r="AC434" s="27">
        <v>0.585</v>
      </c>
      <c r="AD434" s="5"/>
      <c r="AE434" s="5" t="s">
        <v>81</v>
      </c>
      <c r="AF434" s="5" t="s">
        <v>81</v>
      </c>
      <c r="AG434" s="5">
        <v>0.0</v>
      </c>
      <c r="AH434" s="5">
        <v>2.0</v>
      </c>
      <c r="AI434" s="5" t="s">
        <v>0</v>
      </c>
      <c r="AJ434" s="5" t="s">
        <v>0</v>
      </c>
      <c r="AK434" s="30">
        <v>1200.0</v>
      </c>
      <c r="AL434" s="28">
        <v>1205.0</v>
      </c>
      <c r="AM434" s="28">
        <v>709.0</v>
      </c>
      <c r="AN434" s="28">
        <v>1103.0</v>
      </c>
      <c r="AO434" s="28">
        <v>554.0</v>
      </c>
      <c r="AP434" s="28">
        <v>922800.0</v>
      </c>
      <c r="AQ434" s="28">
        <v>926922.15</v>
      </c>
      <c r="AR434" s="28">
        <v>426026.0</v>
      </c>
      <c r="AS434" s="28">
        <v>0.0</v>
      </c>
      <c r="AT434" s="28">
        <v>426026.0</v>
      </c>
      <c r="AU434" s="28">
        <v>738240.0</v>
      </c>
      <c r="AV434" s="28">
        <v>761326.049478022</v>
      </c>
      <c r="AW434" s="28">
        <v>463018.72196</v>
      </c>
      <c r="AX434" s="28">
        <v>698731.6193681317</v>
      </c>
      <c r="AY434" s="28">
        <v>368293.62944999995</v>
      </c>
      <c r="AZ434" s="5"/>
      <c r="BA434" s="5" t="s">
        <v>125</v>
      </c>
      <c r="BB434" s="5" t="s">
        <v>174</v>
      </c>
      <c r="BD434" s="5" t="s">
        <v>1186</v>
      </c>
      <c r="BE434" s="5" t="s">
        <v>1187</v>
      </c>
      <c r="BF434" s="5" t="s">
        <v>1139</v>
      </c>
      <c r="BG434" s="5" t="s">
        <v>131</v>
      </c>
    </row>
    <row r="435" ht="16.5" hidden="1" customHeight="1">
      <c r="A435" s="5" t="s">
        <v>100</v>
      </c>
      <c r="B435" s="5" t="s">
        <v>137</v>
      </c>
      <c r="C435" s="5" t="b">
        <v>1</v>
      </c>
      <c r="D435" s="5" t="s">
        <v>1204</v>
      </c>
      <c r="E435" s="5" t="s">
        <v>1205</v>
      </c>
      <c r="F435" s="5"/>
      <c r="G435" s="5" t="s">
        <v>1109</v>
      </c>
      <c r="H435" s="5" t="s">
        <v>76</v>
      </c>
      <c r="I435" s="5" t="s">
        <v>82</v>
      </c>
      <c r="J435" s="25"/>
      <c r="K435" s="25"/>
      <c r="L435" s="25"/>
      <c r="M435" s="5" t="s">
        <v>247</v>
      </c>
      <c r="N435" s="5" t="s">
        <v>248</v>
      </c>
      <c r="O435" s="5" t="s">
        <v>69</v>
      </c>
      <c r="P435" s="5" t="s">
        <v>249</v>
      </c>
      <c r="Q435" s="5" t="s">
        <v>1974</v>
      </c>
      <c r="R435" s="5" t="s">
        <v>23</v>
      </c>
      <c r="S435" s="5"/>
      <c r="T435" s="5"/>
      <c r="U435" s="5"/>
      <c r="V435" s="5">
        <v>550.0</v>
      </c>
      <c r="W435" s="26">
        <v>2.08</v>
      </c>
      <c r="X435" s="5">
        <v>264.0</v>
      </c>
      <c r="Y435" s="27">
        <v>0.2</v>
      </c>
      <c r="Z435" s="28">
        <v>211.20000000000002</v>
      </c>
      <c r="AA435" s="27">
        <v>1.0</v>
      </c>
      <c r="AB435" s="5" t="s">
        <v>117</v>
      </c>
      <c r="AC435" s="27">
        <v>0.0</v>
      </c>
      <c r="AD435" s="26"/>
      <c r="AE435" s="5" t="s">
        <v>81</v>
      </c>
      <c r="AF435" s="5" t="s">
        <v>81</v>
      </c>
      <c r="AG435" s="5">
        <v>0.0</v>
      </c>
      <c r="AH435" s="5">
        <v>3.0</v>
      </c>
      <c r="AI435" s="5" t="s">
        <v>0</v>
      </c>
      <c r="AJ435" s="5" t="s">
        <v>0</v>
      </c>
      <c r="AK435" s="30">
        <v>2500.0</v>
      </c>
      <c r="AL435" s="28">
        <v>2473.0</v>
      </c>
      <c r="AM435" s="28">
        <v>0.0</v>
      </c>
      <c r="AN435" s="28">
        <v>2261.0</v>
      </c>
      <c r="AO435" s="28">
        <v>2096.0</v>
      </c>
      <c r="AP435" s="28">
        <v>660000.0</v>
      </c>
      <c r="AQ435" s="28">
        <v>653910.6599999998</v>
      </c>
      <c r="AR435" s="28">
        <v>553344.0</v>
      </c>
      <c r="AS435" s="28">
        <v>0.0</v>
      </c>
      <c r="AT435" s="28">
        <v>553344.0</v>
      </c>
      <c r="AU435" s="28">
        <v>528000.0</v>
      </c>
      <c r="AV435" s="28">
        <v>533373.2546703296</v>
      </c>
      <c r="AW435" s="28">
        <v>0.0</v>
      </c>
      <c r="AX435" s="28">
        <v>511633.64285714284</v>
      </c>
      <c r="AY435" s="28">
        <v>414642.04570400005</v>
      </c>
      <c r="AZ435" s="5"/>
      <c r="BA435" s="5" t="s">
        <v>125</v>
      </c>
      <c r="BB435" s="5" t="s">
        <v>174</v>
      </c>
      <c r="BD435" s="5" t="s">
        <v>1186</v>
      </c>
      <c r="BE435" s="5" t="s">
        <v>1209</v>
      </c>
      <c r="BG435" s="5" t="s">
        <v>131</v>
      </c>
    </row>
    <row r="436" ht="16.5" hidden="1" customHeight="1">
      <c r="A436" s="5" t="s">
        <v>100</v>
      </c>
      <c r="B436" s="5" t="s">
        <v>137</v>
      </c>
      <c r="C436" s="5" t="b">
        <v>1</v>
      </c>
      <c r="D436" s="5" t="s">
        <v>1210</v>
      </c>
      <c r="E436" s="5" t="s">
        <v>1211</v>
      </c>
      <c r="F436" s="5"/>
      <c r="G436" s="5" t="s">
        <v>1109</v>
      </c>
      <c r="H436" s="5" t="s">
        <v>76</v>
      </c>
      <c r="I436" s="5" t="s">
        <v>82</v>
      </c>
      <c r="J436" s="25"/>
      <c r="K436" s="25"/>
      <c r="L436" s="25"/>
      <c r="M436" s="5" t="s">
        <v>66</v>
      </c>
      <c r="N436" s="5" t="s">
        <v>1162</v>
      </c>
      <c r="O436" s="5" t="s">
        <v>69</v>
      </c>
      <c r="P436" s="5" t="s">
        <v>249</v>
      </c>
      <c r="Q436" s="5" t="s">
        <v>1988</v>
      </c>
      <c r="R436" s="5" t="s">
        <v>1961</v>
      </c>
      <c r="S436" s="5"/>
      <c r="T436" s="5"/>
      <c r="U436" s="5"/>
      <c r="V436" s="5">
        <v>2800.0</v>
      </c>
      <c r="W436" s="26">
        <v>2.08</v>
      </c>
      <c r="X436" s="5">
        <v>1346.0</v>
      </c>
      <c r="Y436" s="27">
        <v>0.2</v>
      </c>
      <c r="Z436" s="28">
        <v>1076.8</v>
      </c>
      <c r="AA436" s="27">
        <v>1.0</v>
      </c>
      <c r="AB436" s="5" t="s">
        <v>242</v>
      </c>
      <c r="AC436" s="27">
        <v>0.0</v>
      </c>
      <c r="AD436" s="26"/>
      <c r="AE436" s="5" t="s">
        <v>81</v>
      </c>
      <c r="AF436" s="5" t="s">
        <v>81</v>
      </c>
      <c r="AG436" s="5">
        <v>0.0</v>
      </c>
      <c r="AH436" s="5">
        <v>2.0</v>
      </c>
      <c r="AI436" s="5" t="s">
        <v>0</v>
      </c>
      <c r="AJ436" s="5" t="s">
        <v>0</v>
      </c>
      <c r="AK436" s="30">
        <v>500.0</v>
      </c>
      <c r="AL436" s="28">
        <v>541.0</v>
      </c>
      <c r="AM436" s="28">
        <v>0.0</v>
      </c>
      <c r="AN436" s="28">
        <v>519.0</v>
      </c>
      <c r="AO436" s="28">
        <v>373.0</v>
      </c>
      <c r="AP436" s="28">
        <v>673000.0</v>
      </c>
      <c r="AQ436" s="28">
        <v>728267.15</v>
      </c>
      <c r="AR436" s="28">
        <v>502058.0</v>
      </c>
      <c r="AS436" s="28">
        <v>0.0</v>
      </c>
      <c r="AT436" s="28">
        <v>502058.0</v>
      </c>
      <c r="AU436" s="28">
        <v>538400.0</v>
      </c>
      <c r="AV436" s="28">
        <v>662566.5737637363</v>
      </c>
      <c r="AW436" s="28">
        <v>0.0</v>
      </c>
      <c r="AX436" s="28">
        <v>581671.9224175825</v>
      </c>
      <c r="AY436" s="28">
        <v>479616.99520000006</v>
      </c>
      <c r="AZ436" s="5"/>
      <c r="BA436" s="5" t="s">
        <v>125</v>
      </c>
      <c r="BB436" s="5" t="s">
        <v>174</v>
      </c>
      <c r="BD436" s="5" t="s">
        <v>1120</v>
      </c>
      <c r="BE436" s="5" t="s">
        <v>1212</v>
      </c>
      <c r="BF436" s="5" t="s">
        <v>1139</v>
      </c>
      <c r="BG436" s="5" t="s">
        <v>131</v>
      </c>
    </row>
    <row r="437" ht="16.5" hidden="1" customHeight="1">
      <c r="A437" s="5" t="s">
        <v>100</v>
      </c>
      <c r="B437" s="5" t="s">
        <v>137</v>
      </c>
      <c r="C437" s="5" t="b">
        <v>1</v>
      </c>
      <c r="D437" s="5" t="s">
        <v>1213</v>
      </c>
      <c r="E437" s="5" t="s">
        <v>1214</v>
      </c>
      <c r="F437" s="5"/>
      <c r="G437" s="5" t="s">
        <v>1109</v>
      </c>
      <c r="H437" s="5" t="s">
        <v>76</v>
      </c>
      <c r="I437" s="5" t="s">
        <v>82</v>
      </c>
      <c r="J437" s="25"/>
      <c r="K437" s="25"/>
      <c r="L437" s="25"/>
      <c r="M437" s="5" t="s">
        <v>66</v>
      </c>
      <c r="N437" s="5" t="s">
        <v>1162</v>
      </c>
      <c r="O437" s="5" t="s">
        <v>69</v>
      </c>
      <c r="P437" s="5" t="s">
        <v>249</v>
      </c>
      <c r="Q437" s="5" t="s">
        <v>1981</v>
      </c>
      <c r="R437" s="5" t="s">
        <v>1961</v>
      </c>
      <c r="S437" s="5"/>
      <c r="T437" s="5"/>
      <c r="U437" s="5"/>
      <c r="V437" s="5">
        <v>1700.0</v>
      </c>
      <c r="W437" s="26">
        <v>2.08</v>
      </c>
      <c r="X437" s="5">
        <v>817.0</v>
      </c>
      <c r="Y437" s="27">
        <v>0.2</v>
      </c>
      <c r="Z437" s="28">
        <v>653.6</v>
      </c>
      <c r="AA437" s="27">
        <v>1.0</v>
      </c>
      <c r="AB437" s="5" t="s">
        <v>117</v>
      </c>
      <c r="AC437" s="27">
        <v>0.0</v>
      </c>
      <c r="AD437" s="26"/>
      <c r="AE437" s="5" t="s">
        <v>81</v>
      </c>
      <c r="AF437" s="5" t="s">
        <v>81</v>
      </c>
      <c r="AG437" s="5">
        <v>0.0</v>
      </c>
      <c r="AH437" s="5">
        <v>2.0</v>
      </c>
      <c r="AI437" s="5" t="s">
        <v>0</v>
      </c>
      <c r="AJ437" s="5" t="s">
        <v>0</v>
      </c>
      <c r="AK437" s="30">
        <v>800.0</v>
      </c>
      <c r="AL437" s="28">
        <v>797.0</v>
      </c>
      <c r="AM437" s="28">
        <v>0.0</v>
      </c>
      <c r="AN437" s="28">
        <v>699.0</v>
      </c>
      <c r="AO437" s="28">
        <v>0.0</v>
      </c>
      <c r="AP437" s="28">
        <v>653600.0</v>
      </c>
      <c r="AQ437" s="28">
        <v>651396.0699999997</v>
      </c>
      <c r="AR437" s="28">
        <v>0.0</v>
      </c>
      <c r="AS437" s="28">
        <v>0.0</v>
      </c>
      <c r="AT437" s="28">
        <v>0.0</v>
      </c>
      <c r="AU437" s="28">
        <v>522880.0</v>
      </c>
      <c r="AV437" s="28">
        <v>525539.8498901099</v>
      </c>
      <c r="AW437" s="28">
        <v>0.0</v>
      </c>
      <c r="AX437" s="28">
        <v>458413.06945054943</v>
      </c>
      <c r="AY437" s="28">
        <v>0.0</v>
      </c>
      <c r="AZ437" s="5"/>
      <c r="BA437" s="5" t="s">
        <v>125</v>
      </c>
      <c r="BB437" s="5" t="s">
        <v>174</v>
      </c>
      <c r="BD437" s="5" t="s">
        <v>1120</v>
      </c>
      <c r="BE437" s="5" t="s">
        <v>1212</v>
      </c>
      <c r="BF437" s="5" t="s">
        <v>1155</v>
      </c>
      <c r="BG437" s="5" t="s">
        <v>131</v>
      </c>
    </row>
    <row r="438" ht="16.5" hidden="1" customHeight="1">
      <c r="A438" s="5" t="s">
        <v>100</v>
      </c>
      <c r="B438" s="5" t="s">
        <v>137</v>
      </c>
      <c r="C438" s="5" t="b">
        <v>1</v>
      </c>
      <c r="D438" s="5" t="s">
        <v>1217</v>
      </c>
      <c r="E438" s="5" t="s">
        <v>1218</v>
      </c>
      <c r="F438" s="5"/>
      <c r="G438" s="5" t="s">
        <v>1109</v>
      </c>
      <c r="H438" s="5" t="s">
        <v>76</v>
      </c>
      <c r="I438" s="5" t="s">
        <v>82</v>
      </c>
      <c r="J438" s="25"/>
      <c r="K438" s="25"/>
      <c r="L438" s="25"/>
      <c r="M438" s="5" t="s">
        <v>66</v>
      </c>
      <c r="N438" s="5" t="s">
        <v>1129</v>
      </c>
      <c r="O438" s="5" t="s">
        <v>69</v>
      </c>
      <c r="P438" s="5" t="s">
        <v>249</v>
      </c>
      <c r="Q438" s="5" t="s">
        <v>1971</v>
      </c>
      <c r="R438" s="5" t="s">
        <v>1966</v>
      </c>
      <c r="S438" s="5"/>
      <c r="T438" s="5"/>
      <c r="U438" s="5"/>
      <c r="V438" s="5">
        <v>1800.0</v>
      </c>
      <c r="W438" s="26">
        <v>2.08</v>
      </c>
      <c r="X438" s="5">
        <v>865.0</v>
      </c>
      <c r="Y438" s="27">
        <v>0.2</v>
      </c>
      <c r="Z438" s="28">
        <v>692.0</v>
      </c>
      <c r="AA438" s="27">
        <v>1.0</v>
      </c>
      <c r="AB438" s="5" t="s">
        <v>117</v>
      </c>
      <c r="AC438" s="27">
        <v>0.597</v>
      </c>
      <c r="AD438" s="5"/>
      <c r="AE438" s="5" t="s">
        <v>81</v>
      </c>
      <c r="AF438" s="5" t="s">
        <v>81</v>
      </c>
      <c r="AG438" s="5">
        <v>0.0</v>
      </c>
      <c r="AH438" s="5">
        <v>2.0</v>
      </c>
      <c r="AI438" s="5" t="s">
        <v>0</v>
      </c>
      <c r="AJ438" s="5" t="s">
        <v>0</v>
      </c>
      <c r="AK438" s="30">
        <v>600.0</v>
      </c>
      <c r="AL438" s="28">
        <v>615.0</v>
      </c>
      <c r="AM438" s="28">
        <v>842.0</v>
      </c>
      <c r="AN438" s="28">
        <v>559.0</v>
      </c>
      <c r="AO438" s="28">
        <v>411.0</v>
      </c>
      <c r="AP438" s="28">
        <v>519000.0</v>
      </c>
      <c r="AQ438" s="28">
        <v>532208.7000000002</v>
      </c>
      <c r="AR438" s="28">
        <v>355515.0</v>
      </c>
      <c r="AS438" s="28">
        <v>0.0</v>
      </c>
      <c r="AT438" s="28">
        <v>355515.0</v>
      </c>
      <c r="AU438" s="28">
        <v>415200.0</v>
      </c>
      <c r="AV438" s="28">
        <v>457128.57657509146</v>
      </c>
      <c r="AW438" s="28">
        <v>603897.1295139999</v>
      </c>
      <c r="AX438" s="28">
        <v>440272.13615384616</v>
      </c>
      <c r="AY438" s="28">
        <v>338324.57872</v>
      </c>
      <c r="AZ438" s="5"/>
      <c r="BA438" s="5" t="s">
        <v>125</v>
      </c>
      <c r="BB438" s="5" t="s">
        <v>174</v>
      </c>
      <c r="BD438" s="5" t="s">
        <v>1120</v>
      </c>
      <c r="BE438" s="5" t="s">
        <v>1212</v>
      </c>
      <c r="BF438" s="5" t="s">
        <v>1132</v>
      </c>
      <c r="BG438" s="5" t="s">
        <v>131</v>
      </c>
    </row>
    <row r="439" ht="16.5" hidden="1" customHeight="1">
      <c r="A439" s="5" t="s">
        <v>100</v>
      </c>
      <c r="B439" s="5" t="s">
        <v>137</v>
      </c>
      <c r="C439" s="5" t="b">
        <v>1</v>
      </c>
      <c r="D439" s="5" t="s">
        <v>1221</v>
      </c>
      <c r="E439" s="5" t="s">
        <v>1222</v>
      </c>
      <c r="F439" s="5"/>
      <c r="G439" s="5" t="s">
        <v>1109</v>
      </c>
      <c r="H439" s="5" t="s">
        <v>76</v>
      </c>
      <c r="I439" s="5" t="s">
        <v>82</v>
      </c>
      <c r="J439" s="25"/>
      <c r="K439" s="25"/>
      <c r="L439" s="25"/>
      <c r="M439" s="5" t="s">
        <v>66</v>
      </c>
      <c r="N439" s="5" t="s">
        <v>1162</v>
      </c>
      <c r="O439" s="5" t="s">
        <v>69</v>
      </c>
      <c r="P439" s="5" t="s">
        <v>249</v>
      </c>
      <c r="Q439" s="5" t="s">
        <v>1988</v>
      </c>
      <c r="R439" s="5" t="s">
        <v>1961</v>
      </c>
      <c r="S439" s="5"/>
      <c r="T439" s="5"/>
      <c r="U439" s="5"/>
      <c r="V439" s="5">
        <v>2600.0</v>
      </c>
      <c r="W439" s="26">
        <v>2.08</v>
      </c>
      <c r="X439" s="5">
        <v>1250.0</v>
      </c>
      <c r="Y439" s="27">
        <v>0.2</v>
      </c>
      <c r="Z439" s="28">
        <v>1000.0</v>
      </c>
      <c r="AA439" s="27">
        <v>1.0</v>
      </c>
      <c r="AB439" s="5" t="s">
        <v>242</v>
      </c>
      <c r="AC439" s="27">
        <v>0.0</v>
      </c>
      <c r="AD439" s="5"/>
      <c r="AE439" s="5" t="s">
        <v>81</v>
      </c>
      <c r="AF439" s="5" t="s">
        <v>81</v>
      </c>
      <c r="AG439" s="5">
        <v>0.0</v>
      </c>
      <c r="AH439" s="5">
        <v>2.0</v>
      </c>
      <c r="AI439" s="5" t="s">
        <v>0</v>
      </c>
      <c r="AJ439" s="5" t="s">
        <v>0</v>
      </c>
      <c r="AK439" s="30">
        <v>600.0</v>
      </c>
      <c r="AL439" s="28">
        <v>573.0</v>
      </c>
      <c r="AM439" s="28">
        <v>0.0</v>
      </c>
      <c r="AN439" s="28">
        <v>508.0</v>
      </c>
      <c r="AO439" s="28">
        <v>385.0</v>
      </c>
      <c r="AP439" s="28">
        <v>750000.0</v>
      </c>
      <c r="AQ439" s="28">
        <v>716250.0</v>
      </c>
      <c r="AR439" s="28">
        <v>481250.0</v>
      </c>
      <c r="AS439" s="28">
        <v>0.0</v>
      </c>
      <c r="AT439" s="28">
        <v>481250.0</v>
      </c>
      <c r="AU439" s="28">
        <v>600000.0</v>
      </c>
      <c r="AV439" s="28">
        <v>653374.7267857143</v>
      </c>
      <c r="AW439" s="28">
        <v>0.0</v>
      </c>
      <c r="AX439" s="28">
        <v>527099.7315934066</v>
      </c>
      <c r="AY439" s="28">
        <v>461461.38968000014</v>
      </c>
      <c r="AZ439" s="5"/>
      <c r="BA439" s="5" t="s">
        <v>125</v>
      </c>
      <c r="BB439" s="5" t="s">
        <v>174</v>
      </c>
      <c r="BD439" s="5" t="s">
        <v>1120</v>
      </c>
      <c r="BE439" s="5" t="s">
        <v>1212</v>
      </c>
      <c r="BF439" s="5" t="s">
        <v>1132</v>
      </c>
      <c r="BG439" s="5" t="s">
        <v>131</v>
      </c>
    </row>
    <row r="440" ht="16.5" hidden="1" customHeight="1">
      <c r="A440" s="5" t="s">
        <v>100</v>
      </c>
      <c r="B440" s="5" t="s">
        <v>137</v>
      </c>
      <c r="C440" s="5" t="b">
        <v>1</v>
      </c>
      <c r="D440" s="5" t="s">
        <v>1224</v>
      </c>
      <c r="E440" s="5" t="s">
        <v>1225</v>
      </c>
      <c r="F440" s="5"/>
      <c r="G440" s="5" t="s">
        <v>1109</v>
      </c>
      <c r="H440" s="5" t="s">
        <v>76</v>
      </c>
      <c r="I440" s="5" t="s">
        <v>82</v>
      </c>
      <c r="J440" s="25"/>
      <c r="K440" s="25"/>
      <c r="L440" s="25"/>
      <c r="M440" s="5" t="s">
        <v>66</v>
      </c>
      <c r="N440" s="5" t="s">
        <v>1129</v>
      </c>
      <c r="O440" s="5" t="s">
        <v>69</v>
      </c>
      <c r="P440" s="5" t="s">
        <v>249</v>
      </c>
      <c r="Q440" s="5" t="s">
        <v>1971</v>
      </c>
      <c r="R440" s="5" t="s">
        <v>1966</v>
      </c>
      <c r="S440" s="5"/>
      <c r="T440" s="5"/>
      <c r="U440" s="5"/>
      <c r="V440" s="5">
        <v>2000.0</v>
      </c>
      <c r="W440" s="26">
        <v>2.08</v>
      </c>
      <c r="X440" s="5">
        <v>962.0</v>
      </c>
      <c r="Y440" s="27">
        <v>0.2</v>
      </c>
      <c r="Z440" s="28">
        <v>769.6</v>
      </c>
      <c r="AA440" s="27">
        <v>1.0</v>
      </c>
      <c r="AB440" s="5" t="s">
        <v>117</v>
      </c>
      <c r="AC440" s="27">
        <v>0.594</v>
      </c>
      <c r="AD440" s="5"/>
      <c r="AE440" s="5" t="s">
        <v>81</v>
      </c>
      <c r="AF440" s="5" t="s">
        <v>81</v>
      </c>
      <c r="AG440" s="5">
        <v>0.0</v>
      </c>
      <c r="AH440" s="5">
        <v>2.0</v>
      </c>
      <c r="AI440" s="5" t="s">
        <v>0</v>
      </c>
      <c r="AJ440" s="5" t="s">
        <v>0</v>
      </c>
      <c r="AK440" s="52">
        <v>600.0</v>
      </c>
      <c r="AL440" s="28">
        <v>629.0</v>
      </c>
      <c r="AM440" s="28">
        <v>742.0</v>
      </c>
      <c r="AN440" s="28">
        <v>490.0</v>
      </c>
      <c r="AO440" s="28">
        <v>326.0</v>
      </c>
      <c r="AP440" s="28">
        <v>577200.0</v>
      </c>
      <c r="AQ440" s="28">
        <v>604808.66</v>
      </c>
      <c r="AR440" s="28">
        <v>313612.0</v>
      </c>
      <c r="AS440" s="28">
        <v>0.0</v>
      </c>
      <c r="AT440" s="28">
        <v>313612.0</v>
      </c>
      <c r="AU440" s="28">
        <v>461760.0</v>
      </c>
      <c r="AV440" s="28">
        <v>531487.6401190476</v>
      </c>
      <c r="AW440" s="28">
        <v>612847.520584</v>
      </c>
      <c r="AX440" s="28">
        <v>434069.3180769231</v>
      </c>
      <c r="AY440" s="28">
        <v>303808.02628</v>
      </c>
      <c r="AZ440" s="5"/>
      <c r="BA440" s="5" t="s">
        <v>125</v>
      </c>
      <c r="BB440" s="5" t="s">
        <v>174</v>
      </c>
      <c r="BD440" s="5" t="s">
        <v>1120</v>
      </c>
      <c r="BE440" s="5" t="s">
        <v>1212</v>
      </c>
      <c r="BF440" s="5" t="s">
        <v>1139</v>
      </c>
      <c r="BG440" s="5" t="s">
        <v>131</v>
      </c>
    </row>
    <row r="441" ht="16.5" hidden="1" customHeight="1">
      <c r="A441" s="5" t="s">
        <v>100</v>
      </c>
      <c r="B441" s="5" t="s">
        <v>137</v>
      </c>
      <c r="C441" s="5" t="b">
        <v>1</v>
      </c>
      <c r="D441" s="5" t="s">
        <v>1228</v>
      </c>
      <c r="E441" s="5" t="s">
        <v>1229</v>
      </c>
      <c r="F441" s="5"/>
      <c r="G441" s="5" t="s">
        <v>1109</v>
      </c>
      <c r="H441" s="5" t="s">
        <v>76</v>
      </c>
      <c r="I441" s="5" t="s">
        <v>82</v>
      </c>
      <c r="J441" s="25"/>
      <c r="K441" s="25"/>
      <c r="L441" s="25"/>
      <c r="M441" s="5" t="s">
        <v>66</v>
      </c>
      <c r="N441" s="5" t="s">
        <v>1162</v>
      </c>
      <c r="O441" s="5" t="s">
        <v>69</v>
      </c>
      <c r="P441" s="5" t="s">
        <v>249</v>
      </c>
      <c r="Q441" s="5" t="s">
        <v>1981</v>
      </c>
      <c r="R441" s="5" t="s">
        <v>1961</v>
      </c>
      <c r="S441" s="5"/>
      <c r="T441" s="5"/>
      <c r="U441" s="5"/>
      <c r="V441" s="5">
        <v>2000.0</v>
      </c>
      <c r="W441" s="26">
        <v>2.08</v>
      </c>
      <c r="X441" s="5">
        <v>962.0</v>
      </c>
      <c r="Y441" s="27">
        <v>0.2</v>
      </c>
      <c r="Z441" s="28">
        <v>769.6</v>
      </c>
      <c r="AA441" s="27">
        <v>1.0</v>
      </c>
      <c r="AB441" s="5" t="s">
        <v>117</v>
      </c>
      <c r="AC441" s="27">
        <v>0.61</v>
      </c>
      <c r="AD441" s="5"/>
      <c r="AE441" s="5" t="s">
        <v>81</v>
      </c>
      <c r="AF441" s="5" t="s">
        <v>81</v>
      </c>
      <c r="AG441" s="5">
        <v>0.0</v>
      </c>
      <c r="AH441" s="5">
        <v>2.0</v>
      </c>
      <c r="AI441" s="5" t="s">
        <v>0</v>
      </c>
      <c r="AJ441" s="5" t="s">
        <v>0</v>
      </c>
      <c r="AK441" s="52">
        <v>700.0</v>
      </c>
      <c r="AL441" s="28">
        <v>727.0</v>
      </c>
      <c r="AM441" s="28">
        <v>1618.0</v>
      </c>
      <c r="AN441" s="28">
        <v>531.0</v>
      </c>
      <c r="AO441" s="28">
        <v>528.0</v>
      </c>
      <c r="AP441" s="28">
        <v>673400.0</v>
      </c>
      <c r="AQ441" s="28">
        <v>699039.58</v>
      </c>
      <c r="AR441" s="28">
        <v>507936.0</v>
      </c>
      <c r="AS441" s="28">
        <v>0.0</v>
      </c>
      <c r="AT441" s="28">
        <v>507936.0</v>
      </c>
      <c r="AU441" s="28">
        <v>538720.0</v>
      </c>
      <c r="AV441" s="28">
        <v>591744.7226739926</v>
      </c>
      <c r="AW441" s="28">
        <v>1224876.9561120002</v>
      </c>
      <c r="AX441" s="28">
        <v>413236.1067857143</v>
      </c>
      <c r="AY441" s="28">
        <v>427772.24968</v>
      </c>
      <c r="AZ441" s="5"/>
      <c r="BA441" s="5" t="s">
        <v>86</v>
      </c>
      <c r="BB441" s="5" t="s">
        <v>512</v>
      </c>
      <c r="BD441" s="5" t="s">
        <v>1120</v>
      </c>
      <c r="BE441" s="5" t="s">
        <v>1212</v>
      </c>
      <c r="BF441" s="5" t="s">
        <v>1132</v>
      </c>
      <c r="BG441" s="5" t="s">
        <v>131</v>
      </c>
    </row>
    <row r="442" ht="16.5" hidden="1" customHeight="1">
      <c r="A442" s="5" t="s">
        <v>100</v>
      </c>
      <c r="B442" s="5" t="s">
        <v>137</v>
      </c>
      <c r="C442" s="5" t="b">
        <v>1</v>
      </c>
      <c r="D442" s="5" t="s">
        <v>1230</v>
      </c>
      <c r="E442" s="5" t="s">
        <v>1231</v>
      </c>
      <c r="F442" s="5"/>
      <c r="G442" s="5" t="s">
        <v>1109</v>
      </c>
      <c r="H442" s="5" t="s">
        <v>76</v>
      </c>
      <c r="I442" s="5" t="s">
        <v>82</v>
      </c>
      <c r="J442" s="25"/>
      <c r="K442" s="25"/>
      <c r="L442" s="25"/>
      <c r="M442" s="5" t="s">
        <v>66</v>
      </c>
      <c r="N442" s="5" t="s">
        <v>248</v>
      </c>
      <c r="O442" s="5" t="s">
        <v>69</v>
      </c>
      <c r="P442" s="5" t="s">
        <v>249</v>
      </c>
      <c r="Q442" s="5" t="s">
        <v>1974</v>
      </c>
      <c r="R442" s="5" t="s">
        <v>23</v>
      </c>
      <c r="S442" s="5"/>
      <c r="T442" s="5"/>
      <c r="U442" s="5"/>
      <c r="V442" s="5">
        <v>800.0</v>
      </c>
      <c r="W442" s="26">
        <v>2.08</v>
      </c>
      <c r="X442" s="5">
        <v>385.0</v>
      </c>
      <c r="Y442" s="27">
        <v>0.2</v>
      </c>
      <c r="Z442" s="28">
        <v>308.0</v>
      </c>
      <c r="AA442" s="27">
        <v>1.0</v>
      </c>
      <c r="AB442" s="5" t="s">
        <v>117</v>
      </c>
      <c r="AC442" s="27">
        <v>0.0</v>
      </c>
      <c r="AD442" s="5"/>
      <c r="AE442" s="5" t="s">
        <v>81</v>
      </c>
      <c r="AF442" s="5" t="s">
        <v>81</v>
      </c>
      <c r="AG442" s="5">
        <v>0.0</v>
      </c>
      <c r="AH442" s="5">
        <v>3.0</v>
      </c>
      <c r="AI442" s="5" t="s">
        <v>0</v>
      </c>
      <c r="AJ442" s="5" t="s">
        <v>0</v>
      </c>
      <c r="AK442" s="52">
        <v>2400.0</v>
      </c>
      <c r="AL442" s="28">
        <v>2391.0</v>
      </c>
      <c r="AM442" s="28">
        <v>0.0</v>
      </c>
      <c r="AN442" s="28">
        <v>843.0</v>
      </c>
      <c r="AO442" s="28">
        <v>0.0</v>
      </c>
      <c r="AP442" s="28">
        <v>924000.0</v>
      </c>
      <c r="AQ442" s="28">
        <v>919626.42</v>
      </c>
      <c r="AR442" s="28">
        <v>0.0</v>
      </c>
      <c r="AS442" s="28">
        <v>0.0</v>
      </c>
      <c r="AT442" s="28">
        <v>0.0</v>
      </c>
      <c r="AU442" s="28">
        <v>739200.0</v>
      </c>
      <c r="AV442" s="28">
        <v>682067.5076923077</v>
      </c>
      <c r="AW442" s="28">
        <v>0.0</v>
      </c>
      <c r="AX442" s="28">
        <v>274536.9128434066</v>
      </c>
      <c r="AY442" s="28">
        <v>0.0</v>
      </c>
      <c r="AZ442" s="5"/>
      <c r="BA442" s="5" t="s">
        <v>125</v>
      </c>
      <c r="BB442" s="5" t="s">
        <v>127</v>
      </c>
      <c r="BD442" s="5" t="s">
        <v>1120</v>
      </c>
      <c r="BE442" s="5" t="s">
        <v>1234</v>
      </c>
      <c r="BF442" s="5" t="s">
        <v>1181</v>
      </c>
      <c r="BG442" s="5" t="s">
        <v>131</v>
      </c>
    </row>
    <row r="443" ht="16.5" hidden="1" customHeight="1">
      <c r="A443" s="5" t="s">
        <v>100</v>
      </c>
      <c r="B443" s="5" t="s">
        <v>137</v>
      </c>
      <c r="C443" s="5" t="b">
        <v>1</v>
      </c>
      <c r="D443" s="5" t="s">
        <v>1236</v>
      </c>
      <c r="E443" s="5" t="s">
        <v>1237</v>
      </c>
      <c r="F443" s="5"/>
      <c r="G443" s="5" t="s">
        <v>1109</v>
      </c>
      <c r="H443" s="5" t="s">
        <v>76</v>
      </c>
      <c r="I443" s="5" t="s">
        <v>82</v>
      </c>
      <c r="J443" s="25"/>
      <c r="K443" s="25"/>
      <c r="L443" s="25"/>
      <c r="M443" s="5" t="s">
        <v>66</v>
      </c>
      <c r="N443" s="5" t="s">
        <v>1110</v>
      </c>
      <c r="O443" s="5" t="s">
        <v>69</v>
      </c>
      <c r="P443" s="5" t="s">
        <v>249</v>
      </c>
      <c r="Q443" s="5" t="s">
        <v>1113</v>
      </c>
      <c r="R443" s="5" t="s">
        <v>1113</v>
      </c>
      <c r="S443" s="5"/>
      <c r="T443" s="5"/>
      <c r="U443" s="5"/>
      <c r="V443" s="5">
        <v>1300.0</v>
      </c>
      <c r="W443" s="26">
        <v>2.08</v>
      </c>
      <c r="X443" s="5">
        <v>625.0</v>
      </c>
      <c r="Y443" s="27">
        <v>0.2</v>
      </c>
      <c r="Z443" s="28">
        <v>500.0</v>
      </c>
      <c r="AA443" s="27">
        <v>1.0</v>
      </c>
      <c r="AB443" s="5" t="s">
        <v>78</v>
      </c>
      <c r="AC443" s="27">
        <v>0.508</v>
      </c>
      <c r="AD443" s="5"/>
      <c r="AE443" s="5" t="s">
        <v>81</v>
      </c>
      <c r="AF443" s="5" t="s">
        <v>81</v>
      </c>
      <c r="AG443" s="5">
        <v>0.0</v>
      </c>
      <c r="AH443" s="5">
        <v>1.0</v>
      </c>
      <c r="AI443" s="5" t="s">
        <v>0</v>
      </c>
      <c r="AJ443" s="5" t="s">
        <v>0</v>
      </c>
      <c r="AK443" s="30">
        <v>1000.0</v>
      </c>
      <c r="AL443" s="28">
        <v>1038.0</v>
      </c>
      <c r="AM443" s="28">
        <v>488.0</v>
      </c>
      <c r="AN443" s="28">
        <v>281.0</v>
      </c>
      <c r="AO443" s="28">
        <v>205.0</v>
      </c>
      <c r="AP443" s="28">
        <v>625000.0</v>
      </c>
      <c r="AQ443" s="28">
        <v>648750.0</v>
      </c>
      <c r="AR443" s="28">
        <v>128125.0</v>
      </c>
      <c r="AS443" s="28">
        <v>0.0</v>
      </c>
      <c r="AT443" s="28">
        <v>128125.0</v>
      </c>
      <c r="AU443" s="28">
        <v>500000.0</v>
      </c>
      <c r="AV443" s="28">
        <v>531560.5538461539</v>
      </c>
      <c r="AW443" s="28">
        <v>247837.206</v>
      </c>
      <c r="AX443" s="28">
        <v>142621.43076923076</v>
      </c>
      <c r="AY443" s="28">
        <v>111728.82</v>
      </c>
      <c r="AZ443" s="5"/>
      <c r="BA443" s="5" t="s">
        <v>86</v>
      </c>
      <c r="BB443" s="5" t="s">
        <v>121</v>
      </c>
      <c r="BD443" s="5" t="s">
        <v>1112</v>
      </c>
      <c r="BE443" s="5" t="s">
        <v>1113</v>
      </c>
      <c r="BF443" s="5" t="s">
        <v>1114</v>
      </c>
      <c r="BG443" s="5" t="s">
        <v>131</v>
      </c>
    </row>
    <row r="444" ht="16.5" hidden="1" customHeight="1">
      <c r="A444" s="5" t="s">
        <v>100</v>
      </c>
      <c r="B444" s="5" t="s">
        <v>137</v>
      </c>
      <c r="C444" s="5" t="b">
        <v>1</v>
      </c>
      <c r="D444" s="5" t="s">
        <v>1238</v>
      </c>
      <c r="E444" s="5" t="s">
        <v>1239</v>
      </c>
      <c r="F444" s="5"/>
      <c r="G444" s="5" t="s">
        <v>1109</v>
      </c>
      <c r="H444" s="5" t="s">
        <v>76</v>
      </c>
      <c r="I444" s="5" t="s">
        <v>82</v>
      </c>
      <c r="J444" s="25"/>
      <c r="K444" s="25"/>
      <c r="L444" s="25"/>
      <c r="M444" s="5" t="s">
        <v>66</v>
      </c>
      <c r="N444" s="5" t="s">
        <v>1110</v>
      </c>
      <c r="O444" s="5" t="s">
        <v>69</v>
      </c>
      <c r="P444" s="5" t="s">
        <v>249</v>
      </c>
      <c r="Q444" s="5" t="s">
        <v>1113</v>
      </c>
      <c r="R444" s="5" t="s">
        <v>1113</v>
      </c>
      <c r="S444" s="5"/>
      <c r="T444" s="5"/>
      <c r="U444" s="5"/>
      <c r="V444" s="5">
        <v>1500.0</v>
      </c>
      <c r="W444" s="26">
        <v>2.08</v>
      </c>
      <c r="X444" s="5">
        <v>721.0</v>
      </c>
      <c r="Y444" s="27">
        <v>0.2</v>
      </c>
      <c r="Z444" s="28">
        <v>576.8000000000001</v>
      </c>
      <c r="AA444" s="27">
        <v>1.0</v>
      </c>
      <c r="AB444" s="5" t="s">
        <v>78</v>
      </c>
      <c r="AC444" s="27">
        <v>0.537</v>
      </c>
      <c r="AD444" s="5"/>
      <c r="AE444" s="5" t="s">
        <v>81</v>
      </c>
      <c r="AF444" s="5" t="s">
        <v>81</v>
      </c>
      <c r="AG444" s="5">
        <v>0.0</v>
      </c>
      <c r="AH444" s="5">
        <v>1.0</v>
      </c>
      <c r="AI444" s="5" t="s">
        <v>0</v>
      </c>
      <c r="AJ444" s="5" t="s">
        <v>0</v>
      </c>
      <c r="AK444" s="52">
        <v>300.0</v>
      </c>
      <c r="AL444" s="28">
        <v>318.0</v>
      </c>
      <c r="AM444" s="28">
        <v>216.0</v>
      </c>
      <c r="AN444" s="28">
        <v>346.0</v>
      </c>
      <c r="AO444" s="28">
        <v>184.0</v>
      </c>
      <c r="AP444" s="28">
        <v>216300.0</v>
      </c>
      <c r="AQ444" s="28">
        <v>229325.7</v>
      </c>
      <c r="AR444" s="28">
        <v>132664.0</v>
      </c>
      <c r="AS444" s="28">
        <v>0.0</v>
      </c>
      <c r="AT444" s="28">
        <v>132664.0</v>
      </c>
      <c r="AU444" s="28">
        <v>173040.00000000003</v>
      </c>
      <c r="AV444" s="28">
        <v>186475.45384615386</v>
      </c>
      <c r="AW444" s="28">
        <v>127090.3475</v>
      </c>
      <c r="AX444" s="28">
        <v>199729.78076923077</v>
      </c>
      <c r="AY444" s="28">
        <v>111254.16</v>
      </c>
      <c r="AZ444" s="5"/>
      <c r="BA444" s="5" t="s">
        <v>86</v>
      </c>
      <c r="BB444" s="5" t="s">
        <v>121</v>
      </c>
      <c r="BD444" s="5" t="s">
        <v>1112</v>
      </c>
      <c r="BE444" s="5" t="s">
        <v>1113</v>
      </c>
      <c r="BF444" s="5" t="s">
        <v>1170</v>
      </c>
      <c r="BG444" s="5" t="s">
        <v>131</v>
      </c>
    </row>
    <row r="445" ht="16.5" hidden="1" customHeight="1">
      <c r="A445" s="5" t="s">
        <v>100</v>
      </c>
      <c r="B445" s="5" t="s">
        <v>137</v>
      </c>
      <c r="C445" s="5" t="b">
        <v>1</v>
      </c>
      <c r="D445" s="5" t="s">
        <v>1241</v>
      </c>
      <c r="E445" s="5" t="s">
        <v>1242</v>
      </c>
      <c r="F445" s="5"/>
      <c r="G445" s="5" t="s">
        <v>1109</v>
      </c>
      <c r="H445" s="5" t="s">
        <v>76</v>
      </c>
      <c r="I445" s="5" t="s">
        <v>82</v>
      </c>
      <c r="J445" s="25"/>
      <c r="K445" s="25"/>
      <c r="L445" s="25"/>
      <c r="M445" s="5" t="s">
        <v>66</v>
      </c>
      <c r="N445" s="5" t="s">
        <v>1110</v>
      </c>
      <c r="O445" s="5" t="s">
        <v>69</v>
      </c>
      <c r="P445" s="5" t="s">
        <v>1243</v>
      </c>
      <c r="Q445" s="5" t="s">
        <v>1113</v>
      </c>
      <c r="R445" s="5" t="s">
        <v>1113</v>
      </c>
      <c r="S445" s="5"/>
      <c r="T445" s="5"/>
      <c r="U445" s="5"/>
      <c r="V445" s="5">
        <v>1300.0</v>
      </c>
      <c r="W445" s="26">
        <v>2.08</v>
      </c>
      <c r="X445" s="5">
        <v>625.0</v>
      </c>
      <c r="Y445" s="27">
        <v>0.2</v>
      </c>
      <c r="Z445" s="28">
        <v>500.0</v>
      </c>
      <c r="AA445" s="27">
        <v>1.0</v>
      </c>
      <c r="AB445" s="5" t="s">
        <v>117</v>
      </c>
      <c r="AC445" s="27">
        <v>0.579</v>
      </c>
      <c r="AD445" s="5"/>
      <c r="AE445" s="5" t="s">
        <v>81</v>
      </c>
      <c r="AF445" s="5" t="s">
        <v>81</v>
      </c>
      <c r="AG445" s="5">
        <v>0.0</v>
      </c>
      <c r="AH445" s="5">
        <v>1.0</v>
      </c>
      <c r="AI445" s="5" t="s">
        <v>0</v>
      </c>
      <c r="AJ445" s="5" t="s">
        <v>0</v>
      </c>
      <c r="AK445" s="30">
        <v>100.0</v>
      </c>
      <c r="AL445" s="28">
        <v>121.0</v>
      </c>
      <c r="AM445" s="28">
        <v>534.0</v>
      </c>
      <c r="AN445" s="28">
        <v>91.0</v>
      </c>
      <c r="AO445" s="28">
        <v>43.0</v>
      </c>
      <c r="AP445" s="28">
        <v>62500.0</v>
      </c>
      <c r="AQ445" s="28">
        <v>75625.0</v>
      </c>
      <c r="AR445" s="28">
        <v>26875.0</v>
      </c>
      <c r="AS445" s="28">
        <v>0.0</v>
      </c>
      <c r="AT445" s="28">
        <v>26875.0</v>
      </c>
      <c r="AU445" s="28">
        <v>50000.0</v>
      </c>
      <c r="AV445" s="28">
        <v>62582.30769230769</v>
      </c>
      <c r="AW445" s="28">
        <v>250708.6191</v>
      </c>
      <c r="AX445" s="28">
        <v>47002.88461538462</v>
      </c>
      <c r="AY445" s="28">
        <v>23983.24</v>
      </c>
      <c r="AZ445" s="5"/>
      <c r="BA445" s="5" t="s">
        <v>86</v>
      </c>
      <c r="BB445" s="5" t="s">
        <v>121</v>
      </c>
      <c r="BD445" s="5" t="s">
        <v>1112</v>
      </c>
      <c r="BE445" s="5" t="s">
        <v>1113</v>
      </c>
      <c r="BF445" s="5" t="s">
        <v>1244</v>
      </c>
      <c r="BG445" s="5" t="s">
        <v>131</v>
      </c>
    </row>
    <row r="446" ht="16.5" hidden="1" customHeight="1">
      <c r="A446" s="5" t="s">
        <v>100</v>
      </c>
      <c r="B446" s="5" t="s">
        <v>137</v>
      </c>
      <c r="C446" s="5" t="b">
        <v>0</v>
      </c>
      <c r="D446" s="5" t="s">
        <v>1245</v>
      </c>
      <c r="E446" s="5" t="s">
        <v>1246</v>
      </c>
      <c r="F446" s="5"/>
      <c r="G446" s="5" t="s">
        <v>1109</v>
      </c>
      <c r="H446" s="5" t="s">
        <v>74</v>
      </c>
      <c r="I446" s="5" t="s">
        <v>106</v>
      </c>
      <c r="J446" s="25" t="s">
        <v>1452</v>
      </c>
      <c r="K446" s="25"/>
      <c r="L446" s="25"/>
      <c r="M446" s="5" t="s">
        <v>66</v>
      </c>
      <c r="N446" s="5" t="s">
        <v>1247</v>
      </c>
      <c r="O446" s="5" t="s">
        <v>69</v>
      </c>
      <c r="P446" s="5" t="s">
        <v>249</v>
      </c>
      <c r="Q446" s="5" t="s">
        <v>1988</v>
      </c>
      <c r="R446" s="5" t="s">
        <v>1961</v>
      </c>
      <c r="S446" s="5"/>
      <c r="T446" s="5"/>
      <c r="U446" s="5"/>
      <c r="V446" s="5">
        <v>2200.0</v>
      </c>
      <c r="W446" s="26">
        <v>2.08</v>
      </c>
      <c r="X446" s="5">
        <v>1058.0</v>
      </c>
      <c r="Y446" s="27">
        <v>0.0</v>
      </c>
      <c r="Z446" s="28">
        <v>1058.0</v>
      </c>
      <c r="AA446" s="27">
        <v>1.0</v>
      </c>
      <c r="AB446" s="5" t="s">
        <v>78</v>
      </c>
      <c r="AC446" s="27"/>
      <c r="AD446" s="5"/>
      <c r="AE446" s="5" t="s">
        <v>81</v>
      </c>
      <c r="AF446" s="5" t="s">
        <v>81</v>
      </c>
      <c r="AG446" s="5"/>
      <c r="AH446" s="5">
        <v>1.0</v>
      </c>
      <c r="AI446" s="5" t="s">
        <v>0</v>
      </c>
      <c r="AJ446" s="5" t="s">
        <v>156</v>
      </c>
      <c r="AK446" s="30"/>
      <c r="AL446" s="28">
        <v>0.0</v>
      </c>
      <c r="AM446" s="28">
        <v>500.0</v>
      </c>
      <c r="AN446" s="28">
        <v>0.0</v>
      </c>
      <c r="AO446" s="28">
        <v>0.0</v>
      </c>
      <c r="AP446" s="28">
        <v>0.0</v>
      </c>
      <c r="AQ446" s="28">
        <v>0.0</v>
      </c>
      <c r="AR446" s="28">
        <v>0.0</v>
      </c>
      <c r="AS446" s="28">
        <v>0.0</v>
      </c>
      <c r="AT446" s="28">
        <v>0.0</v>
      </c>
      <c r="AU446" s="28">
        <v>0.0</v>
      </c>
      <c r="AV446" s="28">
        <v>0.0</v>
      </c>
      <c r="AW446" s="28">
        <v>422800.0</v>
      </c>
      <c r="AX446" s="28">
        <v>0.0</v>
      </c>
      <c r="AY446" s="28">
        <v>0.0</v>
      </c>
      <c r="AZ446" s="5" t="s">
        <v>124</v>
      </c>
      <c r="BA446" s="5" t="s">
        <v>86</v>
      </c>
      <c r="BB446" s="5" t="s">
        <v>121</v>
      </c>
      <c r="BD446" s="5" t="s">
        <v>1120</v>
      </c>
      <c r="BE446" s="5" t="s">
        <v>1131</v>
      </c>
      <c r="BF446" s="5" t="s">
        <v>1139</v>
      </c>
      <c r="BG446" s="5" t="s">
        <v>131</v>
      </c>
      <c r="BH446" s="5" t="s">
        <v>1994</v>
      </c>
    </row>
    <row r="447" ht="16.5" hidden="1" customHeight="1">
      <c r="A447" s="5" t="s">
        <v>100</v>
      </c>
      <c r="B447" s="5" t="s">
        <v>137</v>
      </c>
      <c r="C447" s="5" t="b">
        <v>1</v>
      </c>
      <c r="D447" s="5" t="s">
        <v>1248</v>
      </c>
      <c r="E447" s="5" t="s">
        <v>1249</v>
      </c>
      <c r="F447" s="5"/>
      <c r="G447" s="5" t="s">
        <v>1109</v>
      </c>
      <c r="H447" s="5" t="s">
        <v>76</v>
      </c>
      <c r="I447" s="5" t="s">
        <v>82</v>
      </c>
      <c r="J447" s="25"/>
      <c r="K447" s="25"/>
      <c r="L447" s="25"/>
      <c r="M447" s="5" t="s">
        <v>66</v>
      </c>
      <c r="N447" s="5" t="s">
        <v>1110</v>
      </c>
      <c r="O447" s="5" t="s">
        <v>69</v>
      </c>
      <c r="P447" s="5" t="s">
        <v>249</v>
      </c>
      <c r="Q447" s="5" t="s">
        <v>1113</v>
      </c>
      <c r="R447" s="5" t="s">
        <v>1113</v>
      </c>
      <c r="S447" s="5"/>
      <c r="T447" s="5"/>
      <c r="U447" s="5"/>
      <c r="V447" s="5">
        <v>1500.0</v>
      </c>
      <c r="W447" s="26">
        <v>2.08</v>
      </c>
      <c r="X447" s="5">
        <v>721.0</v>
      </c>
      <c r="Y447" s="27">
        <v>0.2</v>
      </c>
      <c r="Z447" s="28">
        <v>576.8000000000001</v>
      </c>
      <c r="AA447" s="27">
        <v>1.0</v>
      </c>
      <c r="AB447" s="5" t="s">
        <v>117</v>
      </c>
      <c r="AC447" s="27">
        <v>0.535</v>
      </c>
      <c r="AD447" s="5"/>
      <c r="AE447" s="5" t="s">
        <v>81</v>
      </c>
      <c r="AF447" s="5" t="s">
        <v>81</v>
      </c>
      <c r="AG447" s="5">
        <v>0.0</v>
      </c>
      <c r="AH447" s="5">
        <v>1.0</v>
      </c>
      <c r="AI447" s="5" t="s">
        <v>0</v>
      </c>
      <c r="AJ447" s="5" t="s">
        <v>0</v>
      </c>
      <c r="AK447" s="30">
        <v>700.0</v>
      </c>
      <c r="AL447" s="28">
        <v>715.0</v>
      </c>
      <c r="AM447" s="28">
        <v>441.0</v>
      </c>
      <c r="AN447" s="28">
        <v>469.0</v>
      </c>
      <c r="AO447" s="28">
        <v>183.0</v>
      </c>
      <c r="AP447" s="28">
        <v>504700.0</v>
      </c>
      <c r="AQ447" s="28">
        <v>515622.25</v>
      </c>
      <c r="AR447" s="28">
        <v>131943.0</v>
      </c>
      <c r="AS447" s="28">
        <v>0.0</v>
      </c>
      <c r="AT447" s="28">
        <v>131943.0</v>
      </c>
      <c r="AU447" s="28">
        <v>403760.00000000006</v>
      </c>
      <c r="AV447" s="28">
        <v>434266.12692307687</v>
      </c>
      <c r="AW447" s="28">
        <v>264753.2346</v>
      </c>
      <c r="AX447" s="28">
        <v>275553.9484615384</v>
      </c>
      <c r="AY447" s="28">
        <v>111430.39418</v>
      </c>
      <c r="AZ447" s="5"/>
      <c r="BA447" s="5" t="s">
        <v>86</v>
      </c>
      <c r="BB447" s="5" t="s">
        <v>121</v>
      </c>
      <c r="BD447" s="5" t="s">
        <v>1112</v>
      </c>
      <c r="BE447" s="5" t="s">
        <v>1113</v>
      </c>
      <c r="BF447" s="5" t="s">
        <v>1170</v>
      </c>
      <c r="BG447" s="5" t="s">
        <v>131</v>
      </c>
    </row>
    <row r="448" ht="16.5" hidden="1" customHeight="1">
      <c r="A448" s="5" t="s">
        <v>100</v>
      </c>
      <c r="B448" s="5" t="s">
        <v>137</v>
      </c>
      <c r="C448" s="5" t="b">
        <v>1</v>
      </c>
      <c r="D448" s="5" t="s">
        <v>1251</v>
      </c>
      <c r="E448" s="5" t="s">
        <v>1252</v>
      </c>
      <c r="F448" s="5"/>
      <c r="G448" s="5" t="s">
        <v>1109</v>
      </c>
      <c r="H448" s="5" t="s">
        <v>76</v>
      </c>
      <c r="I448" s="5" t="s">
        <v>82</v>
      </c>
      <c r="J448" s="25"/>
      <c r="K448" s="25"/>
      <c r="L448" s="25"/>
      <c r="M448" s="5" t="s">
        <v>66</v>
      </c>
      <c r="N448" s="5" t="s">
        <v>1110</v>
      </c>
      <c r="O448" s="5" t="s">
        <v>69</v>
      </c>
      <c r="P448" s="5" t="s">
        <v>249</v>
      </c>
      <c r="Q448" s="5" t="s">
        <v>1113</v>
      </c>
      <c r="R448" s="5" t="s">
        <v>1113</v>
      </c>
      <c r="S448" s="5"/>
      <c r="T448" s="5"/>
      <c r="U448" s="5"/>
      <c r="V448" s="5">
        <v>1800.0</v>
      </c>
      <c r="W448" s="26">
        <v>2.08</v>
      </c>
      <c r="X448" s="5">
        <v>865.0</v>
      </c>
      <c r="Y448" s="27">
        <v>0.2</v>
      </c>
      <c r="Z448" s="28">
        <v>692.0</v>
      </c>
      <c r="AA448" s="27">
        <v>1.0</v>
      </c>
      <c r="AB448" s="5" t="s">
        <v>117</v>
      </c>
      <c r="AC448" s="27">
        <v>0.556</v>
      </c>
      <c r="AD448" s="5"/>
      <c r="AE448" s="5" t="s">
        <v>81</v>
      </c>
      <c r="AF448" s="5" t="s">
        <v>81</v>
      </c>
      <c r="AG448" s="5">
        <v>0.0</v>
      </c>
      <c r="AH448" s="5">
        <v>1.0</v>
      </c>
      <c r="AI448" s="5" t="s">
        <v>0</v>
      </c>
      <c r="AJ448" s="5" t="s">
        <v>0</v>
      </c>
      <c r="AK448" s="30">
        <v>500.0</v>
      </c>
      <c r="AL448" s="28">
        <v>455.0</v>
      </c>
      <c r="AM448" s="28">
        <v>279.0</v>
      </c>
      <c r="AN448" s="28">
        <v>779.0</v>
      </c>
      <c r="AO448" s="28">
        <v>481.0</v>
      </c>
      <c r="AP448" s="28">
        <v>432500.0</v>
      </c>
      <c r="AQ448" s="28">
        <v>393747.9</v>
      </c>
      <c r="AR448" s="28">
        <v>416065.0</v>
      </c>
      <c r="AS448" s="28">
        <v>0.0</v>
      </c>
      <c r="AT448" s="28">
        <v>416065.0</v>
      </c>
      <c r="AU448" s="28">
        <v>346000.0</v>
      </c>
      <c r="AV448" s="28">
        <v>331492.45192307694</v>
      </c>
      <c r="AW448" s="28">
        <v>201325.9773</v>
      </c>
      <c r="AX448" s="28">
        <v>560483.8742307692</v>
      </c>
      <c r="AY448" s="28">
        <v>363597.73777999997</v>
      </c>
      <c r="AZ448" s="5"/>
      <c r="BA448" s="5" t="s">
        <v>86</v>
      </c>
      <c r="BB448" s="5" t="s">
        <v>121</v>
      </c>
      <c r="BD448" s="5" t="s">
        <v>1112</v>
      </c>
      <c r="BE448" s="5" t="s">
        <v>1113</v>
      </c>
      <c r="BF448" s="5" t="s">
        <v>1253</v>
      </c>
      <c r="BG448" s="5" t="s">
        <v>131</v>
      </c>
    </row>
    <row r="449" ht="16.5" hidden="1" customHeight="1">
      <c r="A449" s="5" t="s">
        <v>100</v>
      </c>
      <c r="B449" s="5" t="s">
        <v>137</v>
      </c>
      <c r="C449" s="5" t="b">
        <v>1</v>
      </c>
      <c r="D449" s="5" t="s">
        <v>1255</v>
      </c>
      <c r="E449" s="5" t="s">
        <v>1256</v>
      </c>
      <c r="F449" s="5"/>
      <c r="G449" s="5" t="s">
        <v>1109</v>
      </c>
      <c r="H449" s="5" t="s">
        <v>76</v>
      </c>
      <c r="I449" s="5" t="s">
        <v>82</v>
      </c>
      <c r="J449" s="25"/>
      <c r="K449" s="25"/>
      <c r="L449" s="25"/>
      <c r="M449" s="5" t="s">
        <v>66</v>
      </c>
      <c r="N449" s="5" t="s">
        <v>1110</v>
      </c>
      <c r="O449" s="5" t="s">
        <v>69</v>
      </c>
      <c r="P449" s="5" t="s">
        <v>249</v>
      </c>
      <c r="Q449" s="5" t="s">
        <v>1113</v>
      </c>
      <c r="R449" s="5" t="s">
        <v>1113</v>
      </c>
      <c r="S449" s="5"/>
      <c r="T449" s="5"/>
      <c r="U449" s="5"/>
      <c r="V449" s="5">
        <v>2200.0</v>
      </c>
      <c r="W449" s="26">
        <v>2.08</v>
      </c>
      <c r="X449" s="5">
        <v>1058.0</v>
      </c>
      <c r="Y449" s="27">
        <v>0.2</v>
      </c>
      <c r="Z449" s="28">
        <v>846.4000000000001</v>
      </c>
      <c r="AA449" s="27">
        <v>1.0</v>
      </c>
      <c r="AB449" s="5" t="s">
        <v>117</v>
      </c>
      <c r="AC449" s="27">
        <v>0.55</v>
      </c>
      <c r="AD449" s="5"/>
      <c r="AE449" s="5" t="s">
        <v>81</v>
      </c>
      <c r="AF449" s="5" t="s">
        <v>81</v>
      </c>
      <c r="AG449" s="5">
        <v>0.0</v>
      </c>
      <c r="AH449" s="5">
        <v>1.0</v>
      </c>
      <c r="AI449" s="5" t="s">
        <v>0</v>
      </c>
      <c r="AJ449" s="5" t="s">
        <v>0</v>
      </c>
      <c r="AK449" s="30">
        <v>300.0</v>
      </c>
      <c r="AL449" s="28">
        <v>305.0</v>
      </c>
      <c r="AM449" s="28">
        <v>143.0</v>
      </c>
      <c r="AN449" s="28">
        <v>936.0</v>
      </c>
      <c r="AO449" s="28">
        <v>597.0</v>
      </c>
      <c r="AP449" s="28">
        <v>317400.0</v>
      </c>
      <c r="AQ449" s="28">
        <v>322595.45</v>
      </c>
      <c r="AR449" s="28">
        <v>631626.0</v>
      </c>
      <c r="AS449" s="28">
        <v>0.0</v>
      </c>
      <c r="AT449" s="28">
        <v>631626.0</v>
      </c>
      <c r="AU449" s="28">
        <v>253920.00000000003</v>
      </c>
      <c r="AV449" s="28">
        <v>266593.2692307692</v>
      </c>
      <c r="AW449" s="28">
        <v>124657.0925</v>
      </c>
      <c r="AX449" s="28">
        <v>817849.7423076923</v>
      </c>
      <c r="AY449" s="28">
        <v>544517.72038</v>
      </c>
      <c r="AZ449" s="5"/>
      <c r="BA449" s="5" t="s">
        <v>86</v>
      </c>
      <c r="BB449" s="5" t="s">
        <v>121</v>
      </c>
      <c r="BD449" s="5" t="s">
        <v>1112</v>
      </c>
      <c r="BE449" s="5" t="s">
        <v>1113</v>
      </c>
      <c r="BF449" s="5" t="s">
        <v>1258</v>
      </c>
      <c r="BG449" s="5" t="s">
        <v>131</v>
      </c>
    </row>
    <row r="450" ht="16.5" hidden="1" customHeight="1">
      <c r="A450" s="5" t="s">
        <v>100</v>
      </c>
      <c r="B450" s="5" t="s">
        <v>137</v>
      </c>
      <c r="C450" s="5" t="b">
        <v>1</v>
      </c>
      <c r="D450" s="5" t="s">
        <v>1259</v>
      </c>
      <c r="E450" s="5" t="s">
        <v>1260</v>
      </c>
      <c r="F450" s="5"/>
      <c r="G450" s="5" t="s">
        <v>1109</v>
      </c>
      <c r="H450" s="5" t="s">
        <v>76</v>
      </c>
      <c r="I450" s="5" t="s">
        <v>82</v>
      </c>
      <c r="J450" s="25"/>
      <c r="K450" s="25"/>
      <c r="L450" s="25"/>
      <c r="M450" s="5" t="s">
        <v>66</v>
      </c>
      <c r="N450" s="5" t="s">
        <v>1110</v>
      </c>
      <c r="O450" s="5" t="s">
        <v>69</v>
      </c>
      <c r="P450" s="5" t="s">
        <v>249</v>
      </c>
      <c r="Q450" s="5" t="s">
        <v>1113</v>
      </c>
      <c r="R450" s="5" t="s">
        <v>1113</v>
      </c>
      <c r="S450" s="5"/>
      <c r="T450" s="5"/>
      <c r="U450" s="5"/>
      <c r="V450" s="5">
        <v>1700.0</v>
      </c>
      <c r="W450" s="26">
        <v>2.08</v>
      </c>
      <c r="X450" s="5">
        <v>817.0</v>
      </c>
      <c r="Y450" s="27">
        <v>0.2</v>
      </c>
      <c r="Z450" s="28">
        <v>653.6</v>
      </c>
      <c r="AA450" s="27">
        <v>1.0</v>
      </c>
      <c r="AB450" s="5" t="s">
        <v>117</v>
      </c>
      <c r="AC450" s="27">
        <v>0.544</v>
      </c>
      <c r="AD450" s="5"/>
      <c r="AE450" s="5" t="s">
        <v>81</v>
      </c>
      <c r="AF450" s="5" t="s">
        <v>81</v>
      </c>
      <c r="AG450" s="5">
        <v>0.0</v>
      </c>
      <c r="AH450" s="5">
        <v>1.0</v>
      </c>
      <c r="AI450" s="5" t="s">
        <v>0</v>
      </c>
      <c r="AJ450" s="5" t="s">
        <v>0</v>
      </c>
      <c r="AK450" s="30">
        <v>1000.0</v>
      </c>
      <c r="AL450" s="28">
        <v>1000.0</v>
      </c>
      <c r="AM450" s="28">
        <v>720.0</v>
      </c>
      <c r="AN450" s="28">
        <v>921.0</v>
      </c>
      <c r="AO450" s="28">
        <v>341.0</v>
      </c>
      <c r="AP450" s="28">
        <v>817000.0</v>
      </c>
      <c r="AQ450" s="28">
        <v>817310.0</v>
      </c>
      <c r="AR450" s="28">
        <v>278597.0</v>
      </c>
      <c r="AS450" s="28">
        <v>0.0</v>
      </c>
      <c r="AT450" s="28">
        <v>278597.0</v>
      </c>
      <c r="AU450" s="28">
        <v>653600.0</v>
      </c>
      <c r="AV450" s="28">
        <v>680538.846153846</v>
      </c>
      <c r="AW450" s="28">
        <v>495324.3656</v>
      </c>
      <c r="AX450" s="28">
        <v>608776.1746153845</v>
      </c>
      <c r="AY450" s="28">
        <v>247160.92658</v>
      </c>
      <c r="AZ450" s="5"/>
      <c r="BA450" s="5" t="s">
        <v>86</v>
      </c>
      <c r="BB450" s="5" t="s">
        <v>121</v>
      </c>
      <c r="BD450" s="5" t="s">
        <v>1112</v>
      </c>
      <c r="BE450" s="5" t="s">
        <v>1113</v>
      </c>
      <c r="BF450" s="5" t="s">
        <v>1170</v>
      </c>
      <c r="BG450" s="5" t="s">
        <v>131</v>
      </c>
    </row>
    <row r="451" ht="16.5" hidden="1" customHeight="1">
      <c r="A451" s="5" t="s">
        <v>100</v>
      </c>
      <c r="B451" s="5" t="s">
        <v>215</v>
      </c>
      <c r="C451" s="5" t="b">
        <v>0</v>
      </c>
      <c r="D451" s="5" t="s">
        <v>1740</v>
      </c>
      <c r="E451" s="5" t="s">
        <v>1741</v>
      </c>
      <c r="F451" s="5"/>
      <c r="G451" s="5" t="s">
        <v>1109</v>
      </c>
      <c r="H451" s="5" t="s">
        <v>76</v>
      </c>
      <c r="I451" s="5" t="s">
        <v>218</v>
      </c>
      <c r="J451" s="25" t="s">
        <v>219</v>
      </c>
      <c r="K451" s="25"/>
      <c r="L451" s="25"/>
      <c r="M451" s="5" t="s">
        <v>109</v>
      </c>
      <c r="N451" s="5" t="s">
        <v>1212</v>
      </c>
      <c r="O451" s="5" t="s">
        <v>69</v>
      </c>
      <c r="P451" s="5" t="s">
        <v>249</v>
      </c>
      <c r="Q451" s="5" t="s">
        <v>1981</v>
      </c>
      <c r="R451" s="5" t="s">
        <v>1961</v>
      </c>
      <c r="S451" s="5"/>
      <c r="T451" s="5"/>
      <c r="U451" s="5"/>
      <c r="V451" s="5">
        <v>2600.0</v>
      </c>
      <c r="W451" s="26">
        <v>2.08</v>
      </c>
      <c r="X451" s="5">
        <v>1250.0</v>
      </c>
      <c r="Y451" s="27">
        <v>0.0</v>
      </c>
      <c r="Z451" s="28">
        <v>1250.0</v>
      </c>
      <c r="AA451" s="27">
        <v>1.0</v>
      </c>
      <c r="AB451" s="5" t="s">
        <v>242</v>
      </c>
      <c r="AC451" s="27"/>
      <c r="AD451" s="5"/>
      <c r="AE451" s="5" t="s">
        <v>81</v>
      </c>
      <c r="AF451" s="5" t="s">
        <v>81</v>
      </c>
      <c r="AG451" s="5"/>
      <c r="AH451" s="5">
        <v>2.0</v>
      </c>
      <c r="AI451" s="5" t="s">
        <v>0</v>
      </c>
      <c r="AJ451" s="5" t="s">
        <v>0</v>
      </c>
      <c r="AK451" s="30"/>
      <c r="AL451" s="28">
        <v>0.0</v>
      </c>
      <c r="AM451" s="28">
        <v>0.0</v>
      </c>
      <c r="AN451" s="28">
        <v>640.0</v>
      </c>
      <c r="AO451" s="28">
        <v>0.0</v>
      </c>
      <c r="AP451" s="28">
        <v>0.0</v>
      </c>
      <c r="AQ451" s="28">
        <v>0.0</v>
      </c>
      <c r="AR451" s="28">
        <v>0.0</v>
      </c>
      <c r="AS451" s="28">
        <v>0.0</v>
      </c>
      <c r="AT451" s="28">
        <v>0.0</v>
      </c>
      <c r="AU451" s="28">
        <v>0.0</v>
      </c>
      <c r="AV451" s="28">
        <v>0.0</v>
      </c>
      <c r="AW451" s="28">
        <v>0.0</v>
      </c>
      <c r="AX451" s="28">
        <v>632731.690054945</v>
      </c>
      <c r="AY451" s="28">
        <v>0.0</v>
      </c>
      <c r="AZ451" s="5" t="s">
        <v>124</v>
      </c>
      <c r="BA451" s="5" t="s">
        <v>86</v>
      </c>
      <c r="BB451" s="5" t="s">
        <v>826</v>
      </c>
      <c r="BD451" s="5" t="s">
        <v>1120</v>
      </c>
      <c r="BE451" s="5" t="s">
        <v>1131</v>
      </c>
      <c r="BF451" s="5" t="s">
        <v>1132</v>
      </c>
      <c r="BG451" s="5" t="s">
        <v>131</v>
      </c>
    </row>
    <row r="452" ht="16.5" hidden="1" customHeight="1">
      <c r="A452" s="5" t="s">
        <v>100</v>
      </c>
      <c r="B452" s="45" t="s">
        <v>137</v>
      </c>
      <c r="C452" s="45" t="b">
        <v>0</v>
      </c>
      <c r="D452" s="45" t="s">
        <v>1267</v>
      </c>
      <c r="E452" s="45" t="s">
        <v>1268</v>
      </c>
      <c r="F452" s="45"/>
      <c r="G452" s="45" t="s">
        <v>1109</v>
      </c>
      <c r="H452" s="45" t="s">
        <v>76</v>
      </c>
      <c r="I452" s="45" t="s">
        <v>106</v>
      </c>
      <c r="J452" s="46" t="s">
        <v>980</v>
      </c>
      <c r="K452" s="25"/>
      <c r="L452" s="25"/>
      <c r="M452" s="5" t="s">
        <v>66</v>
      </c>
      <c r="N452" s="5" t="s">
        <v>1247</v>
      </c>
      <c r="O452" s="5" t="s">
        <v>69</v>
      </c>
      <c r="P452" s="5" t="s">
        <v>249</v>
      </c>
      <c r="Q452" s="5" t="s">
        <v>1988</v>
      </c>
      <c r="R452" s="5" t="s">
        <v>1961</v>
      </c>
      <c r="S452" s="5"/>
      <c r="T452" s="5"/>
      <c r="U452" s="5"/>
      <c r="V452" s="5">
        <v>3200.0</v>
      </c>
      <c r="W452" s="26">
        <v>2.08</v>
      </c>
      <c r="X452" s="5">
        <v>1538.0</v>
      </c>
      <c r="Y452" s="27">
        <v>0.2</v>
      </c>
      <c r="Z452" s="28">
        <v>1230.4</v>
      </c>
      <c r="AA452" s="27">
        <v>1.0</v>
      </c>
      <c r="AB452" s="5" t="s">
        <v>117</v>
      </c>
      <c r="AC452" s="27">
        <v>0.0</v>
      </c>
      <c r="AD452" s="5"/>
      <c r="AE452" s="5" t="s">
        <v>81</v>
      </c>
      <c r="AF452" s="5" t="s">
        <v>81</v>
      </c>
      <c r="AG452" s="5">
        <v>0.0</v>
      </c>
      <c r="AH452" s="5">
        <v>1.0</v>
      </c>
      <c r="AI452" s="5" t="s">
        <v>0</v>
      </c>
      <c r="AJ452" s="5" t="s">
        <v>0</v>
      </c>
      <c r="AK452" s="30"/>
      <c r="AL452" s="28">
        <v>60.0</v>
      </c>
      <c r="AM452" s="28">
        <v>500.0</v>
      </c>
      <c r="AN452" s="28">
        <v>70.0</v>
      </c>
      <c r="AO452" s="28">
        <v>0.0</v>
      </c>
      <c r="AP452" s="28">
        <v>0.0</v>
      </c>
      <c r="AQ452" s="28">
        <v>92307.6</v>
      </c>
      <c r="AR452" s="28">
        <v>0.0</v>
      </c>
      <c r="AS452" s="28">
        <v>0.0</v>
      </c>
      <c r="AT452" s="28">
        <v>0.0</v>
      </c>
      <c r="AU452" s="28">
        <v>0.0</v>
      </c>
      <c r="AV452" s="28">
        <v>73846.15384615384</v>
      </c>
      <c r="AW452" s="28">
        <v>576750.0</v>
      </c>
      <c r="AX452" s="28">
        <v>86153.84615384616</v>
      </c>
      <c r="AY452" s="28">
        <v>0.0</v>
      </c>
      <c r="AZ452" s="5"/>
      <c r="BA452" s="5" t="s">
        <v>86</v>
      </c>
      <c r="BB452" s="5" t="s">
        <v>121</v>
      </c>
      <c r="BD452" s="5" t="s">
        <v>1120</v>
      </c>
      <c r="BE452" s="5" t="s">
        <v>1131</v>
      </c>
      <c r="BF452" s="5" t="s">
        <v>1139</v>
      </c>
      <c r="BG452" s="5" t="s">
        <v>131</v>
      </c>
    </row>
    <row r="453" ht="16.5" hidden="1" customHeight="1">
      <c r="A453" s="5" t="s">
        <v>100</v>
      </c>
      <c r="B453" s="45" t="s">
        <v>137</v>
      </c>
      <c r="C453" s="45" t="b">
        <v>0</v>
      </c>
      <c r="D453" s="45" t="s">
        <v>1272</v>
      </c>
      <c r="E453" s="45" t="s">
        <v>1273</v>
      </c>
      <c r="F453" s="45"/>
      <c r="G453" s="45" t="s">
        <v>1109</v>
      </c>
      <c r="H453" s="45" t="s">
        <v>76</v>
      </c>
      <c r="I453" s="45" t="s">
        <v>106</v>
      </c>
      <c r="J453" s="46" t="s">
        <v>980</v>
      </c>
      <c r="K453" s="25"/>
      <c r="L453" s="25"/>
      <c r="M453" s="5" t="s">
        <v>66</v>
      </c>
      <c r="N453" s="5" t="s">
        <v>1247</v>
      </c>
      <c r="O453" s="5" t="s">
        <v>69</v>
      </c>
      <c r="P453" s="5" t="s">
        <v>249</v>
      </c>
      <c r="Q453" s="5" t="s">
        <v>1988</v>
      </c>
      <c r="R453" s="5" t="s">
        <v>1961</v>
      </c>
      <c r="S453" s="5"/>
      <c r="T453" s="5"/>
      <c r="U453" s="5"/>
      <c r="V453" s="5">
        <v>3500.0</v>
      </c>
      <c r="W453" s="26">
        <v>2.08</v>
      </c>
      <c r="X453" s="5">
        <v>1683.0</v>
      </c>
      <c r="Y453" s="27">
        <v>0.2</v>
      </c>
      <c r="Z453" s="28">
        <v>1346.4</v>
      </c>
      <c r="AA453" s="27">
        <v>1.0</v>
      </c>
      <c r="AB453" s="5" t="s">
        <v>242</v>
      </c>
      <c r="AC453" s="27">
        <v>0.0</v>
      </c>
      <c r="AD453" s="5"/>
      <c r="AE453" s="5" t="s">
        <v>81</v>
      </c>
      <c r="AF453" s="5" t="s">
        <v>81</v>
      </c>
      <c r="AG453" s="5">
        <v>0.0</v>
      </c>
      <c r="AH453" s="5">
        <v>1.0</v>
      </c>
      <c r="AI453" s="5" t="s">
        <v>0</v>
      </c>
      <c r="AJ453" s="5" t="s">
        <v>0</v>
      </c>
      <c r="AK453" s="30"/>
      <c r="AL453" s="28">
        <v>100.0</v>
      </c>
      <c r="AM453" s="28">
        <v>700.0</v>
      </c>
      <c r="AN453" s="28">
        <v>150.0</v>
      </c>
      <c r="AO453" s="28">
        <v>0.0</v>
      </c>
      <c r="AP453" s="28">
        <v>0.0</v>
      </c>
      <c r="AQ453" s="28">
        <v>168269.0</v>
      </c>
      <c r="AR453" s="28">
        <v>0.0</v>
      </c>
      <c r="AS453" s="28">
        <v>0.0</v>
      </c>
      <c r="AT453" s="28">
        <v>0.0</v>
      </c>
      <c r="AU453" s="28">
        <v>0.0</v>
      </c>
      <c r="AV453" s="28">
        <v>134615.38461538462</v>
      </c>
      <c r="AW453" s="28">
        <v>883050.0</v>
      </c>
      <c r="AX453" s="28">
        <v>201923.07692307694</v>
      </c>
      <c r="AY453" s="28">
        <v>0.0</v>
      </c>
      <c r="AZ453" s="5"/>
      <c r="BA453" s="5" t="s">
        <v>86</v>
      </c>
      <c r="BB453" s="5" t="s">
        <v>121</v>
      </c>
      <c r="BD453" s="5" t="s">
        <v>1120</v>
      </c>
      <c r="BE453" s="5" t="s">
        <v>1131</v>
      </c>
      <c r="BF453" s="5" t="s">
        <v>1139</v>
      </c>
      <c r="BG453" s="5" t="s">
        <v>131</v>
      </c>
    </row>
    <row r="454" ht="16.5" hidden="1" customHeight="1">
      <c r="A454" s="5" t="s">
        <v>100</v>
      </c>
      <c r="B454" s="5" t="s">
        <v>137</v>
      </c>
      <c r="C454" s="5" t="b">
        <v>1</v>
      </c>
      <c r="D454" s="5" t="s">
        <v>1274</v>
      </c>
      <c r="E454" s="5" t="s">
        <v>1275</v>
      </c>
      <c r="F454" s="5"/>
      <c r="G454" s="5" t="s">
        <v>1109</v>
      </c>
      <c r="H454" s="5" t="s">
        <v>76</v>
      </c>
      <c r="I454" s="5" t="s">
        <v>82</v>
      </c>
      <c r="J454" s="25"/>
      <c r="K454" s="25"/>
      <c r="L454" s="25"/>
      <c r="M454" s="5" t="s">
        <v>66</v>
      </c>
      <c r="N454" s="5" t="s">
        <v>248</v>
      </c>
      <c r="O454" s="5" t="s">
        <v>69</v>
      </c>
      <c r="P454" s="5" t="s">
        <v>249</v>
      </c>
      <c r="Q454" s="5" t="s">
        <v>1974</v>
      </c>
      <c r="R454" s="5" t="s">
        <v>23</v>
      </c>
      <c r="S454" s="5"/>
      <c r="T454" s="5"/>
      <c r="U454" s="5"/>
      <c r="V454" s="5">
        <v>800.0</v>
      </c>
      <c r="W454" s="26">
        <v>2.08</v>
      </c>
      <c r="X454" s="5">
        <v>385.0</v>
      </c>
      <c r="Y454" s="27">
        <v>0.2</v>
      </c>
      <c r="Z454" s="28">
        <v>308.0</v>
      </c>
      <c r="AA454" s="27">
        <v>1.0</v>
      </c>
      <c r="AB454" s="5" t="s">
        <v>242</v>
      </c>
      <c r="AC454" s="27">
        <v>0.0</v>
      </c>
      <c r="AD454" s="5"/>
      <c r="AE454" s="5" t="s">
        <v>81</v>
      </c>
      <c r="AF454" s="5" t="s">
        <v>81</v>
      </c>
      <c r="AG454" s="5">
        <v>0.0</v>
      </c>
      <c r="AH454" s="5">
        <v>1.0</v>
      </c>
      <c r="AI454" s="5" t="s">
        <v>0</v>
      </c>
      <c r="AJ454" s="5" t="s">
        <v>0</v>
      </c>
      <c r="AK454" s="30">
        <v>500.0</v>
      </c>
      <c r="AL454" s="28">
        <v>462.0</v>
      </c>
      <c r="AM454" s="28">
        <v>0.0</v>
      </c>
      <c r="AN454" s="28">
        <v>272.0</v>
      </c>
      <c r="AO454" s="28">
        <v>398.0</v>
      </c>
      <c r="AP454" s="28">
        <v>192500.0</v>
      </c>
      <c r="AQ454" s="28">
        <v>177694.44</v>
      </c>
      <c r="AR454" s="28">
        <v>153230.0</v>
      </c>
      <c r="AS454" s="28">
        <v>0.0</v>
      </c>
      <c r="AT454" s="28">
        <v>153230.0</v>
      </c>
      <c r="AU454" s="28">
        <v>154000.0</v>
      </c>
      <c r="AV454" s="28">
        <v>138836.607967033</v>
      </c>
      <c r="AW454" s="28">
        <v>0.0</v>
      </c>
      <c r="AX454" s="28">
        <v>93731.3356456044</v>
      </c>
      <c r="AY454" s="28">
        <v>108000.520572</v>
      </c>
      <c r="AZ454" s="5"/>
      <c r="BA454" s="5" t="s">
        <v>125</v>
      </c>
      <c r="BB454" s="5" t="s">
        <v>174</v>
      </c>
      <c r="BD454" s="5" t="s">
        <v>248</v>
      </c>
      <c r="BE454" s="5" t="s">
        <v>1278</v>
      </c>
      <c r="BF454" s="5" t="s">
        <v>1147</v>
      </c>
      <c r="BG454" s="5" t="s">
        <v>131</v>
      </c>
    </row>
    <row r="455" ht="16.5" hidden="1" customHeight="1">
      <c r="A455" s="5" t="s">
        <v>100</v>
      </c>
      <c r="B455" s="5" t="s">
        <v>137</v>
      </c>
      <c r="C455" s="5" t="b">
        <v>1</v>
      </c>
      <c r="D455" s="5" t="s">
        <v>1279</v>
      </c>
      <c r="E455" s="5" t="s">
        <v>1280</v>
      </c>
      <c r="F455" s="5"/>
      <c r="G455" s="5" t="s">
        <v>1109</v>
      </c>
      <c r="H455" s="5" t="s">
        <v>76</v>
      </c>
      <c r="I455" s="5" t="s">
        <v>82</v>
      </c>
      <c r="J455" s="25"/>
      <c r="K455" s="25"/>
      <c r="L455" s="25"/>
      <c r="M455" s="5" t="s">
        <v>66</v>
      </c>
      <c r="N455" s="5" t="s">
        <v>248</v>
      </c>
      <c r="O455" s="5" t="s">
        <v>69</v>
      </c>
      <c r="P455" s="5" t="s">
        <v>249</v>
      </c>
      <c r="Q455" s="5" t="s">
        <v>1974</v>
      </c>
      <c r="R455" s="5" t="s">
        <v>23</v>
      </c>
      <c r="S455" s="5"/>
      <c r="T455" s="5"/>
      <c r="U455" s="5"/>
      <c r="V455" s="5">
        <v>700.0</v>
      </c>
      <c r="W455" s="26">
        <v>2.08</v>
      </c>
      <c r="X455" s="5">
        <v>337.0</v>
      </c>
      <c r="Y455" s="27">
        <v>0.2</v>
      </c>
      <c r="Z455" s="28">
        <v>269.6</v>
      </c>
      <c r="AA455" s="27">
        <v>1.0</v>
      </c>
      <c r="AB455" s="5" t="s">
        <v>242</v>
      </c>
      <c r="AC455" s="27">
        <v>0.0</v>
      </c>
      <c r="AD455" s="5"/>
      <c r="AE455" s="5" t="s">
        <v>81</v>
      </c>
      <c r="AF455" s="5" t="s">
        <v>81</v>
      </c>
      <c r="AG455" s="5">
        <v>0.0</v>
      </c>
      <c r="AH455" s="5">
        <v>1.0</v>
      </c>
      <c r="AI455" s="5" t="s">
        <v>0</v>
      </c>
      <c r="AJ455" s="5" t="s">
        <v>0</v>
      </c>
      <c r="AK455" s="30">
        <v>500.0</v>
      </c>
      <c r="AL455" s="28">
        <v>452.0</v>
      </c>
      <c r="AM455" s="28">
        <v>0.0</v>
      </c>
      <c r="AN455" s="28">
        <v>278.0</v>
      </c>
      <c r="AO455" s="28">
        <v>418.0</v>
      </c>
      <c r="AP455" s="28">
        <v>168500.0</v>
      </c>
      <c r="AQ455" s="28">
        <v>152116.08</v>
      </c>
      <c r="AR455" s="28">
        <v>140866.0</v>
      </c>
      <c r="AS455" s="28">
        <v>0.0</v>
      </c>
      <c r="AT455" s="28">
        <v>140866.0</v>
      </c>
      <c r="AU455" s="28">
        <v>134800.0</v>
      </c>
      <c r="AV455" s="28">
        <v>116029.62074175825</v>
      </c>
      <c r="AW455" s="28">
        <v>0.0</v>
      </c>
      <c r="AX455" s="28">
        <v>83929.60840659341</v>
      </c>
      <c r="AY455" s="28">
        <v>99306.88702200001</v>
      </c>
      <c r="AZ455" s="5"/>
      <c r="BA455" s="5" t="s">
        <v>125</v>
      </c>
      <c r="BB455" s="5" t="s">
        <v>174</v>
      </c>
      <c r="BD455" s="5" t="s">
        <v>248</v>
      </c>
      <c r="BE455" s="5" t="s">
        <v>1278</v>
      </c>
      <c r="BF455" s="5" t="s">
        <v>1147</v>
      </c>
      <c r="BG455" s="5" t="s">
        <v>131</v>
      </c>
    </row>
    <row r="456" ht="16.5" hidden="1" customHeight="1">
      <c r="A456" s="5" t="s">
        <v>100</v>
      </c>
      <c r="B456" s="5" t="s">
        <v>137</v>
      </c>
      <c r="C456" s="5" t="b">
        <v>0</v>
      </c>
      <c r="D456" s="5" t="s">
        <v>1745</v>
      </c>
      <c r="E456" s="5" t="s">
        <v>1746</v>
      </c>
      <c r="F456" s="5"/>
      <c r="G456" s="5" t="s">
        <v>1109</v>
      </c>
      <c r="H456" s="5" t="s">
        <v>76</v>
      </c>
      <c r="I456" s="5" t="s">
        <v>106</v>
      </c>
      <c r="J456" s="25" t="s">
        <v>108</v>
      </c>
      <c r="K456" s="25"/>
      <c r="L456" s="25"/>
      <c r="M456" s="5" t="s">
        <v>66</v>
      </c>
      <c r="N456" s="5" t="s">
        <v>248</v>
      </c>
      <c r="O456" s="5" t="s">
        <v>96</v>
      </c>
      <c r="P456" s="5" t="s">
        <v>249</v>
      </c>
      <c r="Q456" s="5" t="s">
        <v>1974</v>
      </c>
      <c r="R456" s="5" t="s">
        <v>23</v>
      </c>
      <c r="S456" s="5"/>
      <c r="T456" s="5"/>
      <c r="U456" s="5"/>
      <c r="V456" s="5">
        <v>900.0</v>
      </c>
      <c r="W456" s="26">
        <v>2.08</v>
      </c>
      <c r="X456" s="5">
        <v>433.0</v>
      </c>
      <c r="Y456" s="27">
        <v>0.0</v>
      </c>
      <c r="Z456" s="28">
        <v>433.0</v>
      </c>
      <c r="AA456" s="27">
        <v>1.0</v>
      </c>
      <c r="AB456" s="5" t="s">
        <v>242</v>
      </c>
      <c r="AC456" s="27"/>
      <c r="AD456" s="5"/>
      <c r="AE456" s="5" t="s">
        <v>81</v>
      </c>
      <c r="AF456" s="5" t="s">
        <v>81</v>
      </c>
      <c r="AG456" s="5"/>
      <c r="AH456" s="5">
        <v>1.0</v>
      </c>
      <c r="AI456" s="5" t="s">
        <v>0</v>
      </c>
      <c r="AJ456" s="5" t="s">
        <v>0</v>
      </c>
      <c r="AK456" s="30"/>
      <c r="AL456" s="28">
        <v>0.0</v>
      </c>
      <c r="AM456" s="28">
        <v>0.0</v>
      </c>
      <c r="AN456" s="28">
        <v>208.0</v>
      </c>
      <c r="AO456" s="28">
        <v>0.0</v>
      </c>
      <c r="AP456" s="28">
        <v>0.0</v>
      </c>
      <c r="AQ456" s="28">
        <v>0.0</v>
      </c>
      <c r="AR456" s="28">
        <v>0.0</v>
      </c>
      <c r="AS456" s="28">
        <v>0.0</v>
      </c>
      <c r="AT456" s="28">
        <v>0.0</v>
      </c>
      <c r="AU456" s="28">
        <v>0.0</v>
      </c>
      <c r="AV456" s="28">
        <v>0.0</v>
      </c>
      <c r="AW456" s="28">
        <v>0.0</v>
      </c>
      <c r="AX456" s="28">
        <v>80000.0</v>
      </c>
      <c r="AY456" s="28">
        <v>0.0</v>
      </c>
      <c r="AZ456" s="5" t="s">
        <v>124</v>
      </c>
      <c r="BA456" s="5" t="s">
        <v>125</v>
      </c>
      <c r="BB456" s="5" t="s">
        <v>174</v>
      </c>
      <c r="BD456" s="5" t="s">
        <v>248</v>
      </c>
      <c r="BE456" s="5" t="s">
        <v>1146</v>
      </c>
      <c r="BF456" s="5" t="s">
        <v>1147</v>
      </c>
      <c r="BG456" s="5" t="s">
        <v>131</v>
      </c>
    </row>
    <row r="457" ht="16.5" hidden="1" customHeight="1">
      <c r="A457" s="5" t="s">
        <v>100</v>
      </c>
      <c r="B457" s="5" t="s">
        <v>137</v>
      </c>
      <c r="C457" s="5" t="b">
        <v>1</v>
      </c>
      <c r="D457" s="5" t="s">
        <v>1282</v>
      </c>
      <c r="E457" s="5" t="s">
        <v>1283</v>
      </c>
      <c r="F457" s="5"/>
      <c r="G457" s="5" t="s">
        <v>1109</v>
      </c>
      <c r="H457" s="5" t="s">
        <v>76</v>
      </c>
      <c r="I457" s="5" t="s">
        <v>82</v>
      </c>
      <c r="J457" s="25"/>
      <c r="K457" s="25"/>
      <c r="L457" s="25"/>
      <c r="M457" s="5" t="s">
        <v>66</v>
      </c>
      <c r="N457" s="5" t="s">
        <v>248</v>
      </c>
      <c r="O457" s="5" t="s">
        <v>69</v>
      </c>
      <c r="P457" s="5" t="s">
        <v>249</v>
      </c>
      <c r="Q457" s="5" t="s">
        <v>1284</v>
      </c>
      <c r="R457" s="5" t="s">
        <v>23</v>
      </c>
      <c r="S457" s="5"/>
      <c r="T457" s="5"/>
      <c r="U457" s="5"/>
      <c r="V457" s="5">
        <v>400.0</v>
      </c>
      <c r="W457" s="26">
        <v>2.08</v>
      </c>
      <c r="X457" s="5">
        <v>192.0</v>
      </c>
      <c r="Y457" s="27">
        <v>0.2</v>
      </c>
      <c r="Z457" s="28">
        <v>153.60000000000002</v>
      </c>
      <c r="AA457" s="27">
        <v>1.0</v>
      </c>
      <c r="AB457" s="5" t="s">
        <v>117</v>
      </c>
      <c r="AC457" s="27">
        <v>0.7</v>
      </c>
      <c r="AD457" s="5"/>
      <c r="AE457" s="5" t="s">
        <v>81</v>
      </c>
      <c r="AF457" s="5" t="s">
        <v>81</v>
      </c>
      <c r="AG457" s="5">
        <v>0.0</v>
      </c>
      <c r="AH457" s="5">
        <v>1.0</v>
      </c>
      <c r="AI457" s="5" t="s">
        <v>0</v>
      </c>
      <c r="AJ457" s="5" t="s">
        <v>0</v>
      </c>
      <c r="AK457" s="30">
        <v>300.0</v>
      </c>
      <c r="AL457" s="28">
        <v>339.0</v>
      </c>
      <c r="AM457" s="28">
        <v>305.0</v>
      </c>
      <c r="AN457" s="28">
        <v>246.0</v>
      </c>
      <c r="AO457" s="28">
        <v>186.0</v>
      </c>
      <c r="AP457" s="28">
        <v>57600.0</v>
      </c>
      <c r="AQ457" s="28">
        <v>65193.090000000004</v>
      </c>
      <c r="AR457" s="28">
        <v>35712.0</v>
      </c>
      <c r="AS457" s="28">
        <v>0.0</v>
      </c>
      <c r="AT457" s="28">
        <v>35712.0</v>
      </c>
      <c r="AU457" s="28">
        <v>46080.00000000001</v>
      </c>
      <c r="AV457" s="28">
        <v>58422.39673992674</v>
      </c>
      <c r="AW457" s="28">
        <v>50479.2338652</v>
      </c>
      <c r="AX457" s="28">
        <v>42256.60923076923</v>
      </c>
      <c r="AY457" s="28">
        <v>32523.587691999997</v>
      </c>
      <c r="AZ457" s="5"/>
      <c r="BA457" s="5" t="s">
        <v>125</v>
      </c>
      <c r="BB457" s="5" t="s">
        <v>127</v>
      </c>
      <c r="BD457" s="5" t="s">
        <v>248</v>
      </c>
      <c r="BE457" s="5" t="s">
        <v>1284</v>
      </c>
      <c r="BF457" s="5" t="s">
        <v>1285</v>
      </c>
      <c r="BG457" s="5" t="s">
        <v>131</v>
      </c>
    </row>
    <row r="458" ht="16.5" hidden="1" customHeight="1">
      <c r="A458" s="5" t="s">
        <v>100</v>
      </c>
      <c r="B458" s="5" t="s">
        <v>137</v>
      </c>
      <c r="C458" s="5" t="b">
        <v>1</v>
      </c>
      <c r="D458" s="5" t="s">
        <v>1286</v>
      </c>
      <c r="E458" s="5" t="s">
        <v>1287</v>
      </c>
      <c r="F458" s="5"/>
      <c r="G458" s="5" t="s">
        <v>1109</v>
      </c>
      <c r="H458" s="5" t="s">
        <v>76</v>
      </c>
      <c r="I458" s="5" t="s">
        <v>82</v>
      </c>
      <c r="J458" s="25"/>
      <c r="K458" s="25"/>
      <c r="L458" s="25"/>
      <c r="M458" s="5" t="s">
        <v>66</v>
      </c>
      <c r="N458" s="5" t="s">
        <v>248</v>
      </c>
      <c r="O458" s="5" t="s">
        <v>69</v>
      </c>
      <c r="P458" s="5" t="s">
        <v>249</v>
      </c>
      <c r="Q458" s="5" t="s">
        <v>1284</v>
      </c>
      <c r="R458" s="5" t="s">
        <v>23</v>
      </c>
      <c r="S458" s="5"/>
      <c r="T458" s="5"/>
      <c r="U458" s="5"/>
      <c r="V458" s="5">
        <v>450.0</v>
      </c>
      <c r="W458" s="26">
        <v>2.08</v>
      </c>
      <c r="X458" s="5">
        <v>216.0</v>
      </c>
      <c r="Y458" s="27">
        <v>0.2</v>
      </c>
      <c r="Z458" s="28">
        <v>172.8</v>
      </c>
      <c r="AA458" s="27">
        <v>1.0</v>
      </c>
      <c r="AB458" s="5" t="s">
        <v>117</v>
      </c>
      <c r="AC458" s="27">
        <v>0.731</v>
      </c>
      <c r="AD458" s="5"/>
      <c r="AE458" s="5" t="s">
        <v>81</v>
      </c>
      <c r="AF458" s="5" t="s">
        <v>81</v>
      </c>
      <c r="AG458" s="5">
        <v>0.0</v>
      </c>
      <c r="AH458" s="5">
        <v>1.0</v>
      </c>
      <c r="AI458" s="5" t="s">
        <v>0</v>
      </c>
      <c r="AJ458" s="5" t="s">
        <v>0</v>
      </c>
      <c r="AK458" s="30">
        <v>300.0</v>
      </c>
      <c r="AL458" s="28">
        <v>258.0</v>
      </c>
      <c r="AM458" s="28">
        <v>306.0</v>
      </c>
      <c r="AN458" s="28">
        <v>241.0</v>
      </c>
      <c r="AO458" s="28">
        <v>145.0</v>
      </c>
      <c r="AP458" s="28">
        <v>64800.0</v>
      </c>
      <c r="AQ458" s="28">
        <v>55818.299999999996</v>
      </c>
      <c r="AR458" s="28">
        <v>31320.0</v>
      </c>
      <c r="AS458" s="28">
        <v>0.0</v>
      </c>
      <c r="AT458" s="28">
        <v>31320.0</v>
      </c>
      <c r="AU458" s="28">
        <v>51840.0</v>
      </c>
      <c r="AV458" s="28">
        <v>47983.35873626374</v>
      </c>
      <c r="AW458" s="28">
        <v>57276.212265199996</v>
      </c>
      <c r="AX458" s="28">
        <v>46495.55538461538</v>
      </c>
      <c r="AY458" s="28">
        <v>29590.857691999998</v>
      </c>
      <c r="AZ458" s="5"/>
      <c r="BA458" s="5" t="s">
        <v>125</v>
      </c>
      <c r="BB458" s="5" t="s">
        <v>127</v>
      </c>
      <c r="BD458" s="5" t="s">
        <v>248</v>
      </c>
      <c r="BE458" s="5" t="s">
        <v>1284</v>
      </c>
      <c r="BF458" s="5" t="s">
        <v>1285</v>
      </c>
      <c r="BG458" s="5" t="s">
        <v>131</v>
      </c>
    </row>
    <row r="459" ht="16.5" hidden="1" customHeight="1">
      <c r="A459" s="5" t="s">
        <v>100</v>
      </c>
      <c r="B459" s="5" t="s">
        <v>137</v>
      </c>
      <c r="C459" s="5" t="b">
        <v>1</v>
      </c>
      <c r="D459" s="5" t="s">
        <v>1288</v>
      </c>
      <c r="E459" s="5" t="s">
        <v>1289</v>
      </c>
      <c r="F459" s="5"/>
      <c r="G459" s="5" t="s">
        <v>1109</v>
      </c>
      <c r="H459" s="5" t="s">
        <v>76</v>
      </c>
      <c r="I459" s="5" t="s">
        <v>82</v>
      </c>
      <c r="J459" s="25"/>
      <c r="K459" s="25"/>
      <c r="L459" s="25"/>
      <c r="M459" s="5" t="s">
        <v>66</v>
      </c>
      <c r="N459" s="5" t="s">
        <v>248</v>
      </c>
      <c r="O459" s="5" t="s">
        <v>69</v>
      </c>
      <c r="P459" s="5" t="s">
        <v>249</v>
      </c>
      <c r="Q459" s="5" t="s">
        <v>1284</v>
      </c>
      <c r="R459" s="5" t="s">
        <v>23</v>
      </c>
      <c r="S459" s="5"/>
      <c r="T459" s="5"/>
      <c r="U459" s="5"/>
      <c r="V459" s="5">
        <v>500.0</v>
      </c>
      <c r="W459" s="26">
        <v>2.08</v>
      </c>
      <c r="X459" s="5">
        <v>240.0</v>
      </c>
      <c r="Y459" s="27">
        <v>0.2</v>
      </c>
      <c r="Z459" s="28">
        <v>192.0</v>
      </c>
      <c r="AA459" s="27">
        <v>1.0</v>
      </c>
      <c r="AB459" s="5" t="s">
        <v>117</v>
      </c>
      <c r="AC459" s="27">
        <v>0.6609999999999999</v>
      </c>
      <c r="AD459" s="5"/>
      <c r="AE459" s="5" t="s">
        <v>81</v>
      </c>
      <c r="AF459" s="5" t="s">
        <v>81</v>
      </c>
      <c r="AG459" s="5">
        <v>0.0</v>
      </c>
      <c r="AH459" s="5">
        <v>1.0</v>
      </c>
      <c r="AI459" s="5" t="s">
        <v>0</v>
      </c>
      <c r="AJ459" s="5" t="s">
        <v>0</v>
      </c>
      <c r="AK459" s="52">
        <v>200.0</v>
      </c>
      <c r="AL459" s="28">
        <v>228.0</v>
      </c>
      <c r="AM459" s="28">
        <v>251.0</v>
      </c>
      <c r="AN459" s="28">
        <v>321.0</v>
      </c>
      <c r="AO459" s="28">
        <v>126.0</v>
      </c>
      <c r="AP459" s="28">
        <v>48000.0</v>
      </c>
      <c r="AQ459" s="28">
        <v>54806.64</v>
      </c>
      <c r="AR459" s="28">
        <v>30240.0</v>
      </c>
      <c r="AS459" s="28">
        <v>0.0</v>
      </c>
      <c r="AT459" s="28">
        <v>30240.0</v>
      </c>
      <c r="AU459" s="28">
        <v>38400.0</v>
      </c>
      <c r="AV459" s="28">
        <v>47203.963296703296</v>
      </c>
      <c r="AW459" s="28">
        <v>52647.851005200006</v>
      </c>
      <c r="AX459" s="28">
        <v>66117.59596153846</v>
      </c>
      <c r="AY459" s="28">
        <v>28352.255592</v>
      </c>
      <c r="AZ459" s="5"/>
      <c r="BA459" s="5" t="s">
        <v>125</v>
      </c>
      <c r="BB459" s="5" t="s">
        <v>127</v>
      </c>
      <c r="BD459" s="5" t="s">
        <v>248</v>
      </c>
      <c r="BE459" s="5" t="s">
        <v>1284</v>
      </c>
      <c r="BF459" s="5" t="s">
        <v>1285</v>
      </c>
      <c r="BG459" s="5" t="s">
        <v>131</v>
      </c>
    </row>
    <row r="460" ht="16.5" hidden="1" customHeight="1">
      <c r="A460" s="5" t="s">
        <v>100</v>
      </c>
      <c r="B460" s="5" t="s">
        <v>137</v>
      </c>
      <c r="C460" s="5" t="b">
        <v>1</v>
      </c>
      <c r="D460" s="5" t="s">
        <v>1290</v>
      </c>
      <c r="E460" s="5" t="s">
        <v>1291</v>
      </c>
      <c r="F460" s="5"/>
      <c r="G460" s="5" t="s">
        <v>1109</v>
      </c>
      <c r="H460" s="5" t="s">
        <v>76</v>
      </c>
      <c r="I460" s="5" t="s">
        <v>82</v>
      </c>
      <c r="J460" s="25"/>
      <c r="K460" s="25"/>
      <c r="L460" s="25"/>
      <c r="M460" s="5" t="s">
        <v>66</v>
      </c>
      <c r="N460" s="5" t="s">
        <v>248</v>
      </c>
      <c r="O460" s="5" t="s">
        <v>69</v>
      </c>
      <c r="P460" s="5" t="s">
        <v>249</v>
      </c>
      <c r="Q460" s="5" t="s">
        <v>1284</v>
      </c>
      <c r="R460" s="5" t="s">
        <v>23</v>
      </c>
      <c r="S460" s="5"/>
      <c r="T460" s="5"/>
      <c r="U460" s="5"/>
      <c r="V460" s="5">
        <v>600.0</v>
      </c>
      <c r="W460" s="26">
        <v>2.08</v>
      </c>
      <c r="X460" s="5">
        <v>288.0</v>
      </c>
      <c r="Y460" s="27">
        <v>0.2</v>
      </c>
      <c r="Z460" s="28">
        <v>230.4</v>
      </c>
      <c r="AA460" s="27">
        <v>1.0</v>
      </c>
      <c r="AB460" s="5" t="s">
        <v>117</v>
      </c>
      <c r="AC460" s="27">
        <v>0.635</v>
      </c>
      <c r="AD460" s="5"/>
      <c r="AE460" s="5" t="s">
        <v>81</v>
      </c>
      <c r="AF460" s="5" t="s">
        <v>81</v>
      </c>
      <c r="AG460" s="5">
        <v>0.0</v>
      </c>
      <c r="AH460" s="5">
        <v>1.0</v>
      </c>
      <c r="AI460" s="5" t="s">
        <v>0</v>
      </c>
      <c r="AJ460" s="5" t="s">
        <v>0</v>
      </c>
      <c r="AK460" s="52">
        <v>200.0</v>
      </c>
      <c r="AL460" s="28">
        <v>238.0</v>
      </c>
      <c r="AM460" s="28">
        <v>191.0</v>
      </c>
      <c r="AN460" s="28">
        <v>321.0</v>
      </c>
      <c r="AO460" s="28">
        <v>126.0</v>
      </c>
      <c r="AP460" s="28">
        <v>57600.0</v>
      </c>
      <c r="AQ460" s="28">
        <v>68653.48</v>
      </c>
      <c r="AR460" s="28">
        <v>36288.0</v>
      </c>
      <c r="AS460" s="28">
        <v>0.0</v>
      </c>
      <c r="AT460" s="28">
        <v>36288.0</v>
      </c>
      <c r="AU460" s="28">
        <v>46080.0</v>
      </c>
      <c r="AV460" s="28">
        <v>58202.97956043956</v>
      </c>
      <c r="AW460" s="28">
        <v>48591.2164852</v>
      </c>
      <c r="AX460" s="28">
        <v>79400.13865384617</v>
      </c>
      <c r="AY460" s="28">
        <v>34083.051392</v>
      </c>
      <c r="AZ460" s="5"/>
      <c r="BA460" s="5" t="s">
        <v>125</v>
      </c>
      <c r="BB460" s="5" t="s">
        <v>127</v>
      </c>
      <c r="BD460" s="5" t="s">
        <v>248</v>
      </c>
      <c r="BE460" s="5" t="s">
        <v>1284</v>
      </c>
      <c r="BF460" s="5" t="s">
        <v>1285</v>
      </c>
      <c r="BG460" s="5" t="s">
        <v>131</v>
      </c>
    </row>
    <row r="461" ht="16.5" hidden="1" customHeight="1">
      <c r="A461" s="5" t="s">
        <v>100</v>
      </c>
      <c r="B461" s="5" t="s">
        <v>137</v>
      </c>
      <c r="C461" s="5" t="b">
        <v>1</v>
      </c>
      <c r="D461" s="83" t="s">
        <v>1295</v>
      </c>
      <c r="E461" s="5" t="s">
        <v>1296</v>
      </c>
      <c r="F461" s="5"/>
      <c r="G461" s="5" t="s">
        <v>1109</v>
      </c>
      <c r="H461" s="5" t="s">
        <v>76</v>
      </c>
      <c r="I461" s="5" t="s">
        <v>82</v>
      </c>
      <c r="J461" s="25"/>
      <c r="K461" s="25"/>
      <c r="L461" s="25"/>
      <c r="M461" s="5" t="s">
        <v>66</v>
      </c>
      <c r="N461" s="5" t="s">
        <v>248</v>
      </c>
      <c r="O461" s="5" t="s">
        <v>69</v>
      </c>
      <c r="P461" s="5" t="s">
        <v>249</v>
      </c>
      <c r="Q461" s="5" t="s">
        <v>1974</v>
      </c>
      <c r="R461" s="5" t="s">
        <v>23</v>
      </c>
      <c r="S461" s="5"/>
      <c r="T461" s="5"/>
      <c r="U461" s="5"/>
      <c r="V461" s="5">
        <v>500.0</v>
      </c>
      <c r="W461" s="26">
        <v>2.08</v>
      </c>
      <c r="X461" s="5">
        <v>240.0</v>
      </c>
      <c r="Y461" s="27">
        <v>0.2</v>
      </c>
      <c r="Z461" s="28">
        <v>192.0</v>
      </c>
      <c r="AA461" s="27">
        <v>1.0</v>
      </c>
      <c r="AB461" s="5" t="s">
        <v>117</v>
      </c>
      <c r="AC461" s="27">
        <v>0.0</v>
      </c>
      <c r="AD461" s="5"/>
      <c r="AE461" s="5" t="s">
        <v>81</v>
      </c>
      <c r="AF461" s="5" t="s">
        <v>81</v>
      </c>
      <c r="AG461" s="5">
        <v>0.0</v>
      </c>
      <c r="AH461" s="5">
        <v>1.0</v>
      </c>
      <c r="AI461" s="5" t="s">
        <v>0</v>
      </c>
      <c r="AJ461" s="5" t="s">
        <v>0</v>
      </c>
      <c r="AK461" s="52">
        <v>400.0</v>
      </c>
      <c r="AL461" s="28">
        <v>447.0</v>
      </c>
      <c r="AM461" s="28">
        <v>0.0</v>
      </c>
      <c r="AN461" s="28">
        <v>250.0</v>
      </c>
      <c r="AO461" s="28">
        <v>471.0</v>
      </c>
      <c r="AP461" s="28">
        <v>96000.0</v>
      </c>
      <c r="AQ461" s="28">
        <v>107449.86</v>
      </c>
      <c r="AR461" s="28">
        <v>113040.0</v>
      </c>
      <c r="AS461" s="28">
        <v>0.0</v>
      </c>
      <c r="AT461" s="28">
        <v>113040.0</v>
      </c>
      <c r="AU461" s="28">
        <v>76800.0</v>
      </c>
      <c r="AV461" s="28">
        <v>79812.43113553114</v>
      </c>
      <c r="AW461" s="28">
        <v>0.0</v>
      </c>
      <c r="AX461" s="28">
        <v>56700.30653846153</v>
      </c>
      <c r="AY461" s="28">
        <v>84427.878822</v>
      </c>
      <c r="AZ461" s="5"/>
      <c r="BA461" s="5" t="s">
        <v>125</v>
      </c>
      <c r="BB461" s="5" t="s">
        <v>174</v>
      </c>
      <c r="BD461" s="5" t="s">
        <v>248</v>
      </c>
      <c r="BE461" s="5" t="s">
        <v>1146</v>
      </c>
      <c r="BF461" s="5" t="s">
        <v>1147</v>
      </c>
      <c r="BG461" s="5" t="s">
        <v>131</v>
      </c>
    </row>
    <row r="462" ht="16.5" hidden="1" customHeight="1">
      <c r="A462" s="5" t="s">
        <v>100</v>
      </c>
      <c r="B462" s="5" t="s">
        <v>137</v>
      </c>
      <c r="C462" s="5" t="b">
        <v>1</v>
      </c>
      <c r="D462" s="5" t="s">
        <v>1297</v>
      </c>
      <c r="E462" s="5" t="s">
        <v>1298</v>
      </c>
      <c r="F462" s="5"/>
      <c r="G462" s="5" t="s">
        <v>1109</v>
      </c>
      <c r="H462" s="5" t="s">
        <v>76</v>
      </c>
      <c r="I462" s="5" t="s">
        <v>82</v>
      </c>
      <c r="J462" s="25"/>
      <c r="K462" s="25"/>
      <c r="L462" s="25"/>
      <c r="M462" s="5" t="s">
        <v>66</v>
      </c>
      <c r="N462" s="5" t="s">
        <v>248</v>
      </c>
      <c r="O462" s="5" t="s">
        <v>69</v>
      </c>
      <c r="P462" s="5" t="s">
        <v>249</v>
      </c>
      <c r="Q462" s="5" t="s">
        <v>1974</v>
      </c>
      <c r="R462" s="5" t="s">
        <v>23</v>
      </c>
      <c r="S462" s="5"/>
      <c r="T462" s="5"/>
      <c r="U462" s="5"/>
      <c r="V462" s="5">
        <v>400.0</v>
      </c>
      <c r="W462" s="26">
        <v>2.08</v>
      </c>
      <c r="X462" s="5">
        <v>192.0</v>
      </c>
      <c r="Y462" s="27">
        <v>0.2</v>
      </c>
      <c r="Z462" s="28">
        <v>153.60000000000002</v>
      </c>
      <c r="AA462" s="27">
        <v>1.0</v>
      </c>
      <c r="AB462" s="5" t="s">
        <v>117</v>
      </c>
      <c r="AC462" s="27">
        <v>0.0</v>
      </c>
      <c r="AD462" s="5"/>
      <c r="AE462" s="5" t="s">
        <v>81</v>
      </c>
      <c r="AF462" s="5" t="s">
        <v>81</v>
      </c>
      <c r="AG462" s="5">
        <v>0.0</v>
      </c>
      <c r="AH462" s="5">
        <v>1.0</v>
      </c>
      <c r="AI462" s="5" t="s">
        <v>0</v>
      </c>
      <c r="AJ462" s="5" t="s">
        <v>0</v>
      </c>
      <c r="AK462" s="30">
        <v>400.0</v>
      </c>
      <c r="AL462" s="28">
        <v>377.0</v>
      </c>
      <c r="AM462" s="28">
        <v>0.0</v>
      </c>
      <c r="AN462" s="28">
        <v>273.0</v>
      </c>
      <c r="AO462" s="28">
        <v>450.0</v>
      </c>
      <c r="AP462" s="28">
        <v>76800.0</v>
      </c>
      <c r="AQ462" s="28">
        <v>72500.87</v>
      </c>
      <c r="AR462" s="28">
        <v>86400.0</v>
      </c>
      <c r="AS462" s="28">
        <v>0.0</v>
      </c>
      <c r="AT462" s="28">
        <v>86400.0</v>
      </c>
      <c r="AU462" s="28">
        <v>61440.00000000001</v>
      </c>
      <c r="AV462" s="28">
        <v>63958.15803571428</v>
      </c>
      <c r="AW462" s="28">
        <v>0.0</v>
      </c>
      <c r="AX462" s="28">
        <v>50210.40082417583</v>
      </c>
      <c r="AY462" s="28">
        <v>63754.579922000004</v>
      </c>
      <c r="AZ462" s="5"/>
      <c r="BA462" s="5" t="s">
        <v>125</v>
      </c>
      <c r="BB462" s="5" t="s">
        <v>174</v>
      </c>
      <c r="BD462" s="5" t="s">
        <v>248</v>
      </c>
      <c r="BE462" s="5" t="s">
        <v>1146</v>
      </c>
      <c r="BF462" s="5" t="s">
        <v>1147</v>
      </c>
      <c r="BG462" s="5" t="s">
        <v>131</v>
      </c>
    </row>
    <row r="463" ht="16.5" hidden="1" customHeight="1">
      <c r="A463" s="5" t="s">
        <v>100</v>
      </c>
      <c r="B463" s="5" t="s">
        <v>137</v>
      </c>
      <c r="C463" s="5" t="b">
        <v>1</v>
      </c>
      <c r="D463" s="5" t="s">
        <v>1300</v>
      </c>
      <c r="E463" s="5" t="s">
        <v>1301</v>
      </c>
      <c r="F463" s="5"/>
      <c r="G463" s="5" t="s">
        <v>1109</v>
      </c>
      <c r="H463" s="5" t="s">
        <v>76</v>
      </c>
      <c r="I463" s="5" t="s">
        <v>82</v>
      </c>
      <c r="J463" s="25"/>
      <c r="K463" s="25"/>
      <c r="L463" s="25"/>
      <c r="M463" s="5" t="s">
        <v>66</v>
      </c>
      <c r="N463" s="5" t="s">
        <v>1119</v>
      </c>
      <c r="O463" s="5" t="s">
        <v>69</v>
      </c>
      <c r="P463" s="5" t="s">
        <v>249</v>
      </c>
      <c r="Q463" s="5" t="s">
        <v>1960</v>
      </c>
      <c r="R463" s="5" t="s">
        <v>1961</v>
      </c>
      <c r="S463" s="5"/>
      <c r="T463" s="5"/>
      <c r="U463" s="5"/>
      <c r="V463" s="5">
        <v>800.0</v>
      </c>
      <c r="W463" s="26">
        <v>2.08</v>
      </c>
      <c r="X463" s="5">
        <v>385.0</v>
      </c>
      <c r="Y463" s="27">
        <v>0.2</v>
      </c>
      <c r="Z463" s="28">
        <v>308.0</v>
      </c>
      <c r="AA463" s="27">
        <v>1.0</v>
      </c>
      <c r="AB463" s="5" t="s">
        <v>78</v>
      </c>
      <c r="AC463" s="27">
        <v>0.57</v>
      </c>
      <c r="AD463" s="5"/>
      <c r="AE463" s="5" t="s">
        <v>81</v>
      </c>
      <c r="AF463" s="5" t="s">
        <v>81</v>
      </c>
      <c r="AG463" s="5">
        <v>0.0</v>
      </c>
      <c r="AH463" s="5">
        <v>3.0</v>
      </c>
      <c r="AI463" s="5" t="s">
        <v>0</v>
      </c>
      <c r="AJ463" s="5" t="s">
        <v>0</v>
      </c>
      <c r="AK463" s="30">
        <v>1100.0</v>
      </c>
      <c r="AL463" s="28">
        <v>1141.0</v>
      </c>
      <c r="AM463" s="28">
        <v>1364.0</v>
      </c>
      <c r="AN463" s="28">
        <v>612.0</v>
      </c>
      <c r="AO463" s="28">
        <v>379.0</v>
      </c>
      <c r="AP463" s="28">
        <v>423500.0</v>
      </c>
      <c r="AQ463" s="28">
        <v>438851.42</v>
      </c>
      <c r="AR463" s="28">
        <v>145915.0</v>
      </c>
      <c r="AS463" s="28">
        <v>0.0</v>
      </c>
      <c r="AT463" s="28">
        <v>145915.0</v>
      </c>
      <c r="AU463" s="28">
        <v>338800.0</v>
      </c>
      <c r="AV463" s="28">
        <v>375298.1359890109</v>
      </c>
      <c r="AW463" s="28">
        <v>385424.02794000006</v>
      </c>
      <c r="AX463" s="28">
        <v>228094.93626373625</v>
      </c>
      <c r="AY463" s="28">
        <v>138793.37864999997</v>
      </c>
      <c r="AZ463" s="5"/>
      <c r="BA463" s="5" t="s">
        <v>125</v>
      </c>
      <c r="BB463" s="5" t="s">
        <v>174</v>
      </c>
      <c r="BD463" s="5" t="s">
        <v>1120</v>
      </c>
      <c r="BE463" s="5" t="s">
        <v>1121</v>
      </c>
      <c r="BF463" s="5" t="s">
        <v>1181</v>
      </c>
      <c r="BG463" s="5" t="s">
        <v>131</v>
      </c>
    </row>
    <row r="464" ht="16.5" hidden="1" customHeight="1">
      <c r="A464" s="5" t="s">
        <v>100</v>
      </c>
      <c r="B464" s="5" t="s">
        <v>137</v>
      </c>
      <c r="C464" s="5" t="b">
        <v>1</v>
      </c>
      <c r="D464" s="5" t="s">
        <v>1757</v>
      </c>
      <c r="E464" s="5" t="s">
        <v>1758</v>
      </c>
      <c r="F464" s="5"/>
      <c r="G464" s="5" t="s">
        <v>1109</v>
      </c>
      <c r="H464" s="5" t="s">
        <v>76</v>
      </c>
      <c r="I464" s="5" t="s">
        <v>82</v>
      </c>
      <c r="J464" s="25"/>
      <c r="K464" s="25"/>
      <c r="L464" s="25"/>
      <c r="M464" s="5" t="s">
        <v>247</v>
      </c>
      <c r="N464" s="5" t="s">
        <v>248</v>
      </c>
      <c r="O464" s="5" t="s">
        <v>69</v>
      </c>
      <c r="P464" s="5" t="s">
        <v>249</v>
      </c>
      <c r="Q464" s="5" t="s">
        <v>1974</v>
      </c>
      <c r="R464" s="5" t="s">
        <v>23</v>
      </c>
      <c r="S464" s="5"/>
      <c r="T464" s="5"/>
      <c r="U464" s="5"/>
      <c r="V464" s="5">
        <v>800.0</v>
      </c>
      <c r="W464" s="26">
        <v>2.08</v>
      </c>
      <c r="X464" s="5">
        <v>385.0</v>
      </c>
      <c r="Y464" s="27">
        <v>0.2</v>
      </c>
      <c r="Z464" s="28">
        <v>308.0</v>
      </c>
      <c r="AA464" s="27">
        <v>1.0</v>
      </c>
      <c r="AB464" s="5" t="s">
        <v>78</v>
      </c>
      <c r="AC464" s="27">
        <v>0.5529999999999999</v>
      </c>
      <c r="AD464" s="5"/>
      <c r="AE464" s="5" t="s">
        <v>81</v>
      </c>
      <c r="AF464" s="5" t="s">
        <v>81</v>
      </c>
      <c r="AG464" s="5">
        <v>0.0</v>
      </c>
      <c r="AH464" s="5">
        <v>3.0</v>
      </c>
      <c r="AI464" s="5" t="s">
        <v>0</v>
      </c>
      <c r="AJ464" s="5" t="s">
        <v>0</v>
      </c>
      <c r="AK464" s="30">
        <v>1000.0</v>
      </c>
      <c r="AL464" s="28">
        <v>0.0</v>
      </c>
      <c r="AM464" s="28">
        <v>0.0</v>
      </c>
      <c r="AN464" s="28">
        <v>1228.0</v>
      </c>
      <c r="AO464" s="28">
        <v>0.0</v>
      </c>
      <c r="AP464" s="28">
        <v>385000.0</v>
      </c>
      <c r="AQ464" s="28">
        <v>0.0</v>
      </c>
      <c r="AR464" s="28">
        <v>0.0</v>
      </c>
      <c r="AS464" s="28">
        <v>0.0</v>
      </c>
      <c r="AT464" s="28">
        <v>0.0</v>
      </c>
      <c r="AU464" s="28">
        <v>308000.0</v>
      </c>
      <c r="AV464" s="28">
        <v>0.0</v>
      </c>
      <c r="AW464" s="28">
        <v>0.0</v>
      </c>
      <c r="AX464" s="28">
        <v>370825.30027472525</v>
      </c>
      <c r="AY464" s="28">
        <v>0.0</v>
      </c>
      <c r="AZ464" s="5"/>
      <c r="BA464" s="5" t="s">
        <v>125</v>
      </c>
      <c r="BB464" s="5" t="s">
        <v>174</v>
      </c>
      <c r="BD464" s="5" t="s">
        <v>248</v>
      </c>
      <c r="BE464" s="5" t="s">
        <v>1146</v>
      </c>
      <c r="BF464" s="5" t="s">
        <v>1147</v>
      </c>
      <c r="BG464" s="5" t="s">
        <v>131</v>
      </c>
    </row>
    <row r="465" ht="16.5" hidden="1" customHeight="1">
      <c r="A465" s="5" t="s">
        <v>100</v>
      </c>
      <c r="B465" s="5" t="s">
        <v>137</v>
      </c>
      <c r="C465" s="5" t="b">
        <v>1</v>
      </c>
      <c r="D465" s="5" t="s">
        <v>1308</v>
      </c>
      <c r="E465" s="5" t="s">
        <v>1309</v>
      </c>
      <c r="F465" s="5"/>
      <c r="G465" s="5" t="s">
        <v>1109</v>
      </c>
      <c r="H465" s="5" t="s">
        <v>76</v>
      </c>
      <c r="I465" s="5" t="s">
        <v>82</v>
      </c>
      <c r="J465" s="25"/>
      <c r="K465" s="25"/>
      <c r="L465" s="25"/>
      <c r="M465" s="5" t="s">
        <v>66</v>
      </c>
      <c r="N465" s="5" t="s">
        <v>1110</v>
      </c>
      <c r="O465" s="5" t="s">
        <v>69</v>
      </c>
      <c r="P465" s="5" t="s">
        <v>249</v>
      </c>
      <c r="Q465" s="5" t="s">
        <v>1113</v>
      </c>
      <c r="R465" s="5" t="s">
        <v>1113</v>
      </c>
      <c r="S465" s="5"/>
      <c r="T465" s="5"/>
      <c r="U465" s="5"/>
      <c r="V465" s="5">
        <v>1600.0</v>
      </c>
      <c r="W465" s="26">
        <v>2.08</v>
      </c>
      <c r="X465" s="5">
        <v>769.0</v>
      </c>
      <c r="Y465" s="27">
        <v>0.2</v>
      </c>
      <c r="Z465" s="28">
        <v>615.2</v>
      </c>
      <c r="AA465" s="27">
        <v>1.0</v>
      </c>
      <c r="AB465" s="5" t="s">
        <v>117</v>
      </c>
      <c r="AC465" s="27">
        <v>0.556</v>
      </c>
      <c r="AD465" s="5"/>
      <c r="AE465" s="5" t="s">
        <v>81</v>
      </c>
      <c r="AF465" s="5" t="s">
        <v>81</v>
      </c>
      <c r="AG465" s="5">
        <v>0.0</v>
      </c>
      <c r="AH465" s="5">
        <v>1.0</v>
      </c>
      <c r="AI465" s="5" t="s">
        <v>0</v>
      </c>
      <c r="AJ465" s="5" t="s">
        <v>0</v>
      </c>
      <c r="AK465" s="30">
        <v>500.0</v>
      </c>
      <c r="AL465" s="28">
        <v>496.0</v>
      </c>
      <c r="AM465" s="28">
        <v>216.0</v>
      </c>
      <c r="AN465" s="28">
        <v>282.0</v>
      </c>
      <c r="AO465" s="28">
        <v>130.0</v>
      </c>
      <c r="AP465" s="28">
        <v>384500.0</v>
      </c>
      <c r="AQ465" s="28">
        <v>381538.07999999996</v>
      </c>
      <c r="AR465" s="28">
        <v>99970.0</v>
      </c>
      <c r="AS465" s="28">
        <v>0.0</v>
      </c>
      <c r="AT465" s="28">
        <v>99970.0</v>
      </c>
      <c r="AU465" s="28">
        <v>307600.0</v>
      </c>
      <c r="AV465" s="28">
        <v>326332.50000000006</v>
      </c>
      <c r="AW465" s="28">
        <v>141309.92039999997</v>
      </c>
      <c r="AX465" s="28">
        <v>183572.50769230767</v>
      </c>
      <c r="AY465" s="28">
        <v>88505.76075999999</v>
      </c>
      <c r="AZ465" s="5"/>
      <c r="BA465" s="5" t="s">
        <v>86</v>
      </c>
      <c r="BB465" s="5" t="s">
        <v>121</v>
      </c>
      <c r="BD465" s="5" t="s">
        <v>1112</v>
      </c>
      <c r="BE465" s="5" t="s">
        <v>1113</v>
      </c>
      <c r="BF465" s="5" t="s">
        <v>1170</v>
      </c>
      <c r="BG465" s="5" t="s">
        <v>131</v>
      </c>
    </row>
    <row r="466" ht="16.5" hidden="1" customHeight="1">
      <c r="A466" s="5" t="s">
        <v>100</v>
      </c>
      <c r="B466" s="5" t="s">
        <v>137</v>
      </c>
      <c r="C466" s="5" t="b">
        <v>1</v>
      </c>
      <c r="D466" s="5" t="s">
        <v>1310</v>
      </c>
      <c r="E466" s="5" t="s">
        <v>1311</v>
      </c>
      <c r="F466" s="5"/>
      <c r="G466" s="5" t="s">
        <v>1109</v>
      </c>
      <c r="H466" s="5" t="s">
        <v>76</v>
      </c>
      <c r="I466" s="5" t="s">
        <v>82</v>
      </c>
      <c r="J466" s="25"/>
      <c r="K466" s="25"/>
      <c r="L466" s="25"/>
      <c r="M466" s="5" t="s">
        <v>66</v>
      </c>
      <c r="N466" s="5" t="s">
        <v>1110</v>
      </c>
      <c r="O466" s="5" t="s">
        <v>69</v>
      </c>
      <c r="P466" s="5" t="s">
        <v>249</v>
      </c>
      <c r="Q466" s="5" t="s">
        <v>1113</v>
      </c>
      <c r="R466" s="5" t="s">
        <v>1113</v>
      </c>
      <c r="S466" s="5"/>
      <c r="T466" s="5"/>
      <c r="U466" s="5"/>
      <c r="V466" s="5">
        <v>1500.0</v>
      </c>
      <c r="W466" s="26">
        <v>2.08</v>
      </c>
      <c r="X466" s="5">
        <v>721.0</v>
      </c>
      <c r="Y466" s="27">
        <v>0.2</v>
      </c>
      <c r="Z466" s="28">
        <v>576.8000000000001</v>
      </c>
      <c r="AA466" s="27">
        <v>1.0</v>
      </c>
      <c r="AB466" s="5" t="s">
        <v>117</v>
      </c>
      <c r="AC466" s="27">
        <v>0.522</v>
      </c>
      <c r="AD466" s="5"/>
      <c r="AE466" s="5" t="s">
        <v>81</v>
      </c>
      <c r="AF466" s="5" t="s">
        <v>81</v>
      </c>
      <c r="AG466" s="5">
        <v>0.0</v>
      </c>
      <c r="AH466" s="5">
        <v>1.0</v>
      </c>
      <c r="AI466" s="5" t="s">
        <v>0</v>
      </c>
      <c r="AJ466" s="5" t="s">
        <v>0</v>
      </c>
      <c r="AK466" s="52">
        <v>400.0</v>
      </c>
      <c r="AL466" s="28">
        <v>370.0</v>
      </c>
      <c r="AM466" s="28">
        <v>247.0</v>
      </c>
      <c r="AN466" s="28">
        <v>267.0</v>
      </c>
      <c r="AO466" s="28">
        <v>121.0</v>
      </c>
      <c r="AP466" s="28">
        <v>288400.0</v>
      </c>
      <c r="AQ466" s="28">
        <v>266825.5</v>
      </c>
      <c r="AR466" s="28">
        <v>87241.0</v>
      </c>
      <c r="AS466" s="28">
        <v>0.0</v>
      </c>
      <c r="AT466" s="28">
        <v>87241.0</v>
      </c>
      <c r="AU466" s="28">
        <v>230720.00000000003</v>
      </c>
      <c r="AV466" s="28">
        <v>228962.74038461535</v>
      </c>
      <c r="AW466" s="28">
        <v>142616.7351</v>
      </c>
      <c r="AX466" s="28">
        <v>160796.13153846154</v>
      </c>
      <c r="AY466" s="28">
        <v>75788.84836</v>
      </c>
      <c r="AZ466" s="5"/>
      <c r="BA466" s="5" t="s">
        <v>86</v>
      </c>
      <c r="BB466" s="5" t="s">
        <v>121</v>
      </c>
      <c r="BD466" s="5" t="s">
        <v>1112</v>
      </c>
      <c r="BE466" s="5" t="s">
        <v>1113</v>
      </c>
      <c r="BF466" s="5" t="s">
        <v>1114</v>
      </c>
      <c r="BG466" s="5" t="s">
        <v>131</v>
      </c>
    </row>
    <row r="467" ht="16.5" hidden="1" customHeight="1">
      <c r="A467" s="5" t="s">
        <v>100</v>
      </c>
      <c r="B467" s="5" t="s">
        <v>137</v>
      </c>
      <c r="C467" s="5" t="b">
        <v>1</v>
      </c>
      <c r="D467" s="5" t="s">
        <v>1312</v>
      </c>
      <c r="E467" s="5" t="s">
        <v>1313</v>
      </c>
      <c r="F467" s="5"/>
      <c r="G467" s="5" t="s">
        <v>1109</v>
      </c>
      <c r="H467" s="5" t="s">
        <v>76</v>
      </c>
      <c r="I467" s="5" t="s">
        <v>82</v>
      </c>
      <c r="J467" s="25"/>
      <c r="K467" s="25"/>
      <c r="L467" s="25"/>
      <c r="M467" s="5" t="s">
        <v>66</v>
      </c>
      <c r="N467" s="5" t="s">
        <v>1110</v>
      </c>
      <c r="O467" s="5" t="s">
        <v>69</v>
      </c>
      <c r="P467" s="5" t="s">
        <v>249</v>
      </c>
      <c r="Q467" s="5" t="s">
        <v>1113</v>
      </c>
      <c r="R467" s="5" t="s">
        <v>1113</v>
      </c>
      <c r="S467" s="5"/>
      <c r="T467" s="5"/>
      <c r="U467" s="5"/>
      <c r="V467" s="5">
        <v>2200.0</v>
      </c>
      <c r="W467" s="26">
        <v>2.08</v>
      </c>
      <c r="X467" s="5">
        <v>1058.0</v>
      </c>
      <c r="Y467" s="27">
        <v>0.2</v>
      </c>
      <c r="Z467" s="28">
        <v>846.4000000000001</v>
      </c>
      <c r="AA467" s="27">
        <v>1.0</v>
      </c>
      <c r="AB467" s="5" t="s">
        <v>117</v>
      </c>
      <c r="AC467" s="27">
        <v>0.539</v>
      </c>
      <c r="AD467" s="5"/>
      <c r="AE467" s="5" t="s">
        <v>81</v>
      </c>
      <c r="AF467" s="5" t="s">
        <v>81</v>
      </c>
      <c r="AG467" s="5">
        <v>0.0</v>
      </c>
      <c r="AH467" s="5">
        <v>1.0</v>
      </c>
      <c r="AI467" s="5" t="s">
        <v>0</v>
      </c>
      <c r="AJ467" s="5" t="s">
        <v>0</v>
      </c>
      <c r="AK467" s="30">
        <v>600.0</v>
      </c>
      <c r="AL467" s="28">
        <v>565.0</v>
      </c>
      <c r="AM467" s="28">
        <v>301.0</v>
      </c>
      <c r="AN467" s="28">
        <v>1362.0</v>
      </c>
      <c r="AO467" s="28">
        <v>848.0</v>
      </c>
      <c r="AP467" s="28">
        <v>634800.0</v>
      </c>
      <c r="AQ467" s="28">
        <v>597594.85</v>
      </c>
      <c r="AR467" s="28">
        <v>897184.0</v>
      </c>
      <c r="AS467" s="28">
        <v>0.0</v>
      </c>
      <c r="AT467" s="28">
        <v>897184.0</v>
      </c>
      <c r="AU467" s="28">
        <v>507840.00000000006</v>
      </c>
      <c r="AV467" s="28">
        <v>493578.4375</v>
      </c>
      <c r="AW467" s="28">
        <v>262852.52710000006</v>
      </c>
      <c r="AX467" s="28">
        <v>1183708.3067307693</v>
      </c>
      <c r="AY467" s="28">
        <v>775474.0237599999</v>
      </c>
      <c r="AZ467" s="5"/>
      <c r="BA467" s="5" t="s">
        <v>86</v>
      </c>
      <c r="BB467" s="5" t="s">
        <v>121</v>
      </c>
      <c r="BD467" s="5" t="s">
        <v>1112</v>
      </c>
      <c r="BE467" s="5" t="s">
        <v>1113</v>
      </c>
      <c r="BF467" s="5" t="s">
        <v>1253</v>
      </c>
      <c r="BG467" s="5" t="s">
        <v>131</v>
      </c>
    </row>
    <row r="468" ht="16.5" hidden="1" customHeight="1">
      <c r="A468" s="5" t="s">
        <v>100</v>
      </c>
      <c r="B468" s="5" t="s">
        <v>137</v>
      </c>
      <c r="C468" s="5" t="b">
        <v>1</v>
      </c>
      <c r="D468" s="5" t="s">
        <v>1316</v>
      </c>
      <c r="E468" s="5" t="s">
        <v>1317</v>
      </c>
      <c r="F468" s="5"/>
      <c r="G468" s="5" t="s">
        <v>1109</v>
      </c>
      <c r="H468" s="5" t="s">
        <v>76</v>
      </c>
      <c r="I468" s="5" t="s">
        <v>82</v>
      </c>
      <c r="J468" s="25"/>
      <c r="K468" s="25"/>
      <c r="L468" s="25"/>
      <c r="M468" s="5" t="s">
        <v>66</v>
      </c>
      <c r="N468" s="5" t="s">
        <v>1110</v>
      </c>
      <c r="O468" s="5" t="s">
        <v>69</v>
      </c>
      <c r="P468" s="5" t="s">
        <v>249</v>
      </c>
      <c r="Q468" s="5" t="s">
        <v>1113</v>
      </c>
      <c r="R468" s="5" t="s">
        <v>1113</v>
      </c>
      <c r="S468" s="5"/>
      <c r="T468" s="5"/>
      <c r="U468" s="5"/>
      <c r="V468" s="5">
        <v>1800.0</v>
      </c>
      <c r="W468" s="26">
        <v>2.08</v>
      </c>
      <c r="X468" s="5">
        <v>865.0</v>
      </c>
      <c r="Y468" s="27">
        <v>0.2</v>
      </c>
      <c r="Z468" s="28">
        <v>692.0</v>
      </c>
      <c r="AA468" s="27">
        <v>1.0</v>
      </c>
      <c r="AB468" s="5" t="s">
        <v>117</v>
      </c>
      <c r="AC468" s="27">
        <v>0.568</v>
      </c>
      <c r="AD468" s="5"/>
      <c r="AE468" s="5" t="s">
        <v>81</v>
      </c>
      <c r="AF468" s="5" t="s">
        <v>81</v>
      </c>
      <c r="AG468" s="5">
        <v>0.0</v>
      </c>
      <c r="AH468" s="5">
        <v>1.0</v>
      </c>
      <c r="AI468" s="5" t="s">
        <v>0</v>
      </c>
      <c r="AJ468" s="5" t="s">
        <v>0</v>
      </c>
      <c r="AK468" s="30">
        <v>1800.0</v>
      </c>
      <c r="AL468" s="28">
        <v>1809.0</v>
      </c>
      <c r="AM468" s="28">
        <v>2217.0</v>
      </c>
      <c r="AN468" s="28">
        <v>1537.0</v>
      </c>
      <c r="AO468" s="28">
        <v>737.0</v>
      </c>
      <c r="AP468" s="28">
        <v>1557000.0</v>
      </c>
      <c r="AQ468" s="28">
        <v>1565472.42</v>
      </c>
      <c r="AR468" s="28">
        <v>637505.0</v>
      </c>
      <c r="AS468" s="28">
        <v>0.0</v>
      </c>
      <c r="AT468" s="28">
        <v>637505.0</v>
      </c>
      <c r="AU468" s="28">
        <v>1245600.0</v>
      </c>
      <c r="AV468" s="28">
        <v>1313107.7884615385</v>
      </c>
      <c r="AW468" s="28">
        <v>1429948.0068</v>
      </c>
      <c r="AX468" s="28">
        <v>1087302.7207692307</v>
      </c>
      <c r="AY468" s="28">
        <v>557377.54934</v>
      </c>
      <c r="AZ468" s="5"/>
      <c r="BA468" s="5" t="s">
        <v>86</v>
      </c>
      <c r="BB468" s="5" t="s">
        <v>121</v>
      </c>
      <c r="BD468" s="5" t="s">
        <v>1112</v>
      </c>
      <c r="BE468" s="5" t="s">
        <v>1113</v>
      </c>
      <c r="BF468" s="5" t="s">
        <v>1170</v>
      </c>
      <c r="BG468" s="5" t="s">
        <v>131</v>
      </c>
    </row>
    <row r="469" ht="16.5" hidden="1" customHeight="1">
      <c r="A469" s="5" t="s">
        <v>100</v>
      </c>
      <c r="B469" s="5" t="s">
        <v>137</v>
      </c>
      <c r="C469" s="5" t="b">
        <v>1</v>
      </c>
      <c r="D469" s="5" t="s">
        <v>1322</v>
      </c>
      <c r="E469" s="5" t="s">
        <v>1323</v>
      </c>
      <c r="F469" s="5"/>
      <c r="G469" s="5" t="s">
        <v>1109</v>
      </c>
      <c r="H469" s="5" t="s">
        <v>76</v>
      </c>
      <c r="I469" s="5" t="s">
        <v>82</v>
      </c>
      <c r="J469" s="25"/>
      <c r="K469" s="25"/>
      <c r="L469" s="25"/>
      <c r="M469" s="5" t="s">
        <v>66</v>
      </c>
      <c r="N469" s="5" t="s">
        <v>1110</v>
      </c>
      <c r="O469" s="5" t="s">
        <v>69</v>
      </c>
      <c r="P469" s="5" t="s">
        <v>249</v>
      </c>
      <c r="Q469" s="5" t="s">
        <v>1113</v>
      </c>
      <c r="R469" s="5" t="s">
        <v>1113</v>
      </c>
      <c r="S469" s="5"/>
      <c r="T469" s="5"/>
      <c r="U469" s="5"/>
      <c r="V469" s="5">
        <v>1200.0</v>
      </c>
      <c r="W469" s="26">
        <v>2.08</v>
      </c>
      <c r="X469" s="5">
        <v>577.0</v>
      </c>
      <c r="Y469" s="27">
        <v>0.2</v>
      </c>
      <c r="Z469" s="28">
        <v>461.6</v>
      </c>
      <c r="AA469" s="27">
        <v>1.0</v>
      </c>
      <c r="AB469" s="5" t="s">
        <v>117</v>
      </c>
      <c r="AC469" s="27">
        <v>0.564</v>
      </c>
      <c r="AD469" s="5"/>
      <c r="AE469" s="5" t="s">
        <v>81</v>
      </c>
      <c r="AF469" s="5" t="s">
        <v>81</v>
      </c>
      <c r="AG469" s="5">
        <v>0.0</v>
      </c>
      <c r="AH469" s="5">
        <v>1.0</v>
      </c>
      <c r="AI469" s="5" t="s">
        <v>0</v>
      </c>
      <c r="AJ469" s="5" t="s">
        <v>0</v>
      </c>
      <c r="AK469" s="30">
        <v>600.0</v>
      </c>
      <c r="AL469" s="28">
        <v>611.0</v>
      </c>
      <c r="AM469" s="28">
        <v>444.0</v>
      </c>
      <c r="AN469" s="28">
        <v>280.0</v>
      </c>
      <c r="AO469" s="28">
        <v>96.0</v>
      </c>
      <c r="AP469" s="28">
        <v>346200.0</v>
      </c>
      <c r="AQ469" s="28">
        <v>352498.12</v>
      </c>
      <c r="AR469" s="28">
        <v>55392.0</v>
      </c>
      <c r="AS469" s="28">
        <v>0.0</v>
      </c>
      <c r="AT469" s="28">
        <v>55392.0</v>
      </c>
      <c r="AU469" s="28">
        <v>276960.0</v>
      </c>
      <c r="AV469" s="28">
        <v>306346.1538461538</v>
      </c>
      <c r="AW469" s="28">
        <v>206096.8127</v>
      </c>
      <c r="AX469" s="28">
        <v>136588.8303846154</v>
      </c>
      <c r="AY469" s="28">
        <v>49556.13058</v>
      </c>
      <c r="AZ469" s="5"/>
      <c r="BA469" s="5" t="s">
        <v>86</v>
      </c>
      <c r="BB469" s="5" t="s">
        <v>121</v>
      </c>
      <c r="BD469" s="5" t="s">
        <v>1112</v>
      </c>
      <c r="BE469" s="5" t="s">
        <v>1113</v>
      </c>
      <c r="BF469" s="5" t="s">
        <v>1114</v>
      </c>
      <c r="BG469" s="5" t="s">
        <v>131</v>
      </c>
    </row>
    <row r="470" ht="16.5" hidden="1" customHeight="1">
      <c r="A470" s="5" t="s">
        <v>100</v>
      </c>
      <c r="B470" s="5" t="s">
        <v>137</v>
      </c>
      <c r="C470" s="5" t="b">
        <v>1</v>
      </c>
      <c r="D470" s="5" t="s">
        <v>1326</v>
      </c>
      <c r="E470" s="5" t="s">
        <v>1328</v>
      </c>
      <c r="F470" s="5"/>
      <c r="G470" s="5" t="s">
        <v>1109</v>
      </c>
      <c r="H470" s="5" t="s">
        <v>76</v>
      </c>
      <c r="I470" s="5" t="s">
        <v>82</v>
      </c>
      <c r="J470" s="25"/>
      <c r="K470" s="25"/>
      <c r="L470" s="25"/>
      <c r="M470" s="5" t="s">
        <v>66</v>
      </c>
      <c r="N470" s="5" t="s">
        <v>1129</v>
      </c>
      <c r="O470" s="5" t="s">
        <v>69</v>
      </c>
      <c r="P470" s="5" t="s">
        <v>249</v>
      </c>
      <c r="Q470" s="5" t="s">
        <v>1971</v>
      </c>
      <c r="R470" s="5" t="s">
        <v>1966</v>
      </c>
      <c r="S470" s="5"/>
      <c r="T470" s="5"/>
      <c r="U470" s="5"/>
      <c r="V470" s="5">
        <v>1300.0</v>
      </c>
      <c r="W470" s="26">
        <v>2.08</v>
      </c>
      <c r="X470" s="5">
        <v>625.0</v>
      </c>
      <c r="Y470" s="27">
        <v>0.2</v>
      </c>
      <c r="Z470" s="28">
        <v>500.0</v>
      </c>
      <c r="AA470" s="27">
        <v>1.0</v>
      </c>
      <c r="AB470" s="5" t="s">
        <v>117</v>
      </c>
      <c r="AC470" s="27">
        <v>0.61</v>
      </c>
      <c r="AD470" s="5"/>
      <c r="AE470" s="5" t="s">
        <v>81</v>
      </c>
      <c r="AF470" s="5" t="s">
        <v>81</v>
      </c>
      <c r="AG470" s="5">
        <v>0.0</v>
      </c>
      <c r="AH470" s="5">
        <v>2.0</v>
      </c>
      <c r="AI470" s="5" t="s">
        <v>0</v>
      </c>
      <c r="AJ470" s="5" t="s">
        <v>0</v>
      </c>
      <c r="AK470" s="30">
        <v>400.0</v>
      </c>
      <c r="AL470" s="28">
        <v>373.0</v>
      </c>
      <c r="AM470" s="28">
        <v>775.0</v>
      </c>
      <c r="AN470" s="28">
        <v>479.0</v>
      </c>
      <c r="AO470" s="28">
        <v>437.0</v>
      </c>
      <c r="AP470" s="28">
        <v>250000.0</v>
      </c>
      <c r="AQ470" s="28">
        <v>233125.0</v>
      </c>
      <c r="AR470" s="28">
        <v>273125.0</v>
      </c>
      <c r="AS470" s="28">
        <v>0.0</v>
      </c>
      <c r="AT470" s="28">
        <v>273125.0</v>
      </c>
      <c r="AU470" s="28">
        <v>200000.0</v>
      </c>
      <c r="AV470" s="28">
        <v>203109.12788461542</v>
      </c>
      <c r="AW470" s="28">
        <v>450103.79449999996</v>
      </c>
      <c r="AX470" s="28">
        <v>280567.14</v>
      </c>
      <c r="AY470" s="28">
        <v>262463.56499999994</v>
      </c>
      <c r="AZ470" s="5"/>
      <c r="BA470" s="5" t="s">
        <v>125</v>
      </c>
      <c r="BB470" s="5" t="s">
        <v>174</v>
      </c>
      <c r="BD470" s="5" t="s">
        <v>1186</v>
      </c>
      <c r="BE470" s="5" t="s">
        <v>1187</v>
      </c>
      <c r="BF470" s="5" t="s">
        <v>1132</v>
      </c>
      <c r="BG470" s="5" t="s">
        <v>131</v>
      </c>
    </row>
    <row r="471" ht="16.5" hidden="1" customHeight="1">
      <c r="A471" s="5" t="s">
        <v>100</v>
      </c>
      <c r="B471" s="5" t="s">
        <v>137</v>
      </c>
      <c r="C471" s="5" t="b">
        <v>1</v>
      </c>
      <c r="D471" s="5" t="s">
        <v>1332</v>
      </c>
      <c r="E471" s="5" t="s">
        <v>1333</v>
      </c>
      <c r="F471" s="5"/>
      <c r="G471" s="5" t="s">
        <v>1109</v>
      </c>
      <c r="H471" s="5" t="s">
        <v>76</v>
      </c>
      <c r="I471" s="5" t="s">
        <v>82</v>
      </c>
      <c r="J471" s="25"/>
      <c r="K471" s="25"/>
      <c r="L471" s="25"/>
      <c r="M471" s="5" t="s">
        <v>66</v>
      </c>
      <c r="N471" s="5" t="s">
        <v>248</v>
      </c>
      <c r="O471" s="5" t="s">
        <v>69</v>
      </c>
      <c r="P471" s="5" t="s">
        <v>249</v>
      </c>
      <c r="Q471" s="5" t="s">
        <v>1974</v>
      </c>
      <c r="R471" s="5" t="s">
        <v>23</v>
      </c>
      <c r="S471" s="5"/>
      <c r="T471" s="5"/>
      <c r="U471" s="5"/>
      <c r="V471" s="5">
        <v>350.0</v>
      </c>
      <c r="W471" s="26">
        <v>2.08</v>
      </c>
      <c r="X471" s="5">
        <v>168.0</v>
      </c>
      <c r="Y471" s="27">
        <v>0.2</v>
      </c>
      <c r="Z471" s="28">
        <v>134.4</v>
      </c>
      <c r="AA471" s="27">
        <v>1.0</v>
      </c>
      <c r="AB471" s="5" t="s">
        <v>78</v>
      </c>
      <c r="AC471" s="27">
        <v>0.618</v>
      </c>
      <c r="AD471" s="5"/>
      <c r="AE471" s="5" t="s">
        <v>81</v>
      </c>
      <c r="AF471" s="5" t="s">
        <v>81</v>
      </c>
      <c r="AG471" s="5">
        <v>0.0</v>
      </c>
      <c r="AH471" s="5">
        <v>5.0</v>
      </c>
      <c r="AI471" s="5" t="s">
        <v>0</v>
      </c>
      <c r="AJ471" s="5" t="s">
        <v>0</v>
      </c>
      <c r="AK471" s="30">
        <v>5200.0</v>
      </c>
      <c r="AL471" s="28">
        <v>5166.0</v>
      </c>
      <c r="AM471" s="28">
        <v>4295.0</v>
      </c>
      <c r="AN471" s="28">
        <v>3015.0</v>
      </c>
      <c r="AO471" s="28">
        <v>2384.0</v>
      </c>
      <c r="AP471" s="28">
        <v>873600.0</v>
      </c>
      <c r="AQ471" s="28">
        <v>869282.8200000003</v>
      </c>
      <c r="AR471" s="28">
        <v>400512.0</v>
      </c>
      <c r="AS471" s="28">
        <v>0.0</v>
      </c>
      <c r="AT471" s="28">
        <v>400512.0</v>
      </c>
      <c r="AU471" s="28">
        <v>698880.0</v>
      </c>
      <c r="AV471" s="28">
        <v>756791.2733424912</v>
      </c>
      <c r="AW471" s="28">
        <v>580641.6335814</v>
      </c>
      <c r="AX471" s="28">
        <v>440386.24153846153</v>
      </c>
      <c r="AY471" s="28">
        <v>348713.73224599997</v>
      </c>
      <c r="AZ471" s="5"/>
      <c r="BA471" s="5" t="s">
        <v>125</v>
      </c>
      <c r="BB471" s="5" t="s">
        <v>127</v>
      </c>
      <c r="BD471" s="5" t="s">
        <v>1120</v>
      </c>
      <c r="BE471" s="5" t="s">
        <v>1234</v>
      </c>
      <c r="BF471" s="5" t="s">
        <v>1181</v>
      </c>
      <c r="BG471" s="5" t="s">
        <v>131</v>
      </c>
    </row>
    <row r="472" ht="16.5" hidden="1" customHeight="1">
      <c r="A472" s="5" t="s">
        <v>100</v>
      </c>
      <c r="B472" s="5" t="s">
        <v>137</v>
      </c>
      <c r="C472" s="5" t="b">
        <v>1</v>
      </c>
      <c r="D472" s="5" t="s">
        <v>1338</v>
      </c>
      <c r="E472" s="5" t="s">
        <v>1339</v>
      </c>
      <c r="F472" s="5"/>
      <c r="G472" s="5" t="s">
        <v>1109</v>
      </c>
      <c r="H472" s="5" t="s">
        <v>76</v>
      </c>
      <c r="I472" s="5" t="s">
        <v>82</v>
      </c>
      <c r="J472" s="25"/>
      <c r="K472" s="25"/>
      <c r="L472" s="25"/>
      <c r="M472" s="5" t="s">
        <v>66</v>
      </c>
      <c r="N472" s="5" t="s">
        <v>248</v>
      </c>
      <c r="O472" s="5" t="s">
        <v>69</v>
      </c>
      <c r="P472" s="5" t="s">
        <v>249</v>
      </c>
      <c r="Q472" s="5" t="s">
        <v>1974</v>
      </c>
      <c r="R472" s="5" t="s">
        <v>23</v>
      </c>
      <c r="S472" s="5"/>
      <c r="T472" s="5"/>
      <c r="U472" s="5"/>
      <c r="V472" s="5">
        <v>450.0</v>
      </c>
      <c r="W472" s="26">
        <v>2.08</v>
      </c>
      <c r="X472" s="5">
        <v>216.0</v>
      </c>
      <c r="Y472" s="27">
        <v>0.2</v>
      </c>
      <c r="Z472" s="28">
        <v>172.8</v>
      </c>
      <c r="AA472" s="27">
        <v>1.0</v>
      </c>
      <c r="AB472" s="5" t="s">
        <v>78</v>
      </c>
      <c r="AC472" s="27">
        <v>0.618</v>
      </c>
      <c r="AD472" s="5"/>
      <c r="AE472" s="5" t="s">
        <v>81</v>
      </c>
      <c r="AF472" s="5" t="s">
        <v>81</v>
      </c>
      <c r="AG472" s="5">
        <v>0.0</v>
      </c>
      <c r="AH472" s="5">
        <v>5.0</v>
      </c>
      <c r="AI472" s="5" t="s">
        <v>0</v>
      </c>
      <c r="AJ472" s="5" t="s">
        <v>0</v>
      </c>
      <c r="AK472" s="30">
        <v>4200.0</v>
      </c>
      <c r="AL472" s="28">
        <v>4175.0</v>
      </c>
      <c r="AM472" s="28">
        <v>3565.0</v>
      </c>
      <c r="AN472" s="28">
        <v>2315.0</v>
      </c>
      <c r="AO472" s="28">
        <v>1896.0</v>
      </c>
      <c r="AP472" s="28">
        <v>907200.0</v>
      </c>
      <c r="AQ472" s="28">
        <v>903261.25</v>
      </c>
      <c r="AR472" s="28">
        <v>409536.0</v>
      </c>
      <c r="AS472" s="28">
        <v>0.0</v>
      </c>
      <c r="AT472" s="28">
        <v>409536.0</v>
      </c>
      <c r="AU472" s="28">
        <v>725760.0</v>
      </c>
      <c r="AV472" s="28">
        <v>720497.2095421244</v>
      </c>
      <c r="AW472" s="28">
        <v>595865.0350611998</v>
      </c>
      <c r="AX472" s="28">
        <v>437715.9028937729</v>
      </c>
      <c r="AY472" s="28">
        <v>354441.91331</v>
      </c>
      <c r="AZ472" s="5"/>
      <c r="BA472" s="5" t="s">
        <v>125</v>
      </c>
      <c r="BB472" s="5" t="s">
        <v>127</v>
      </c>
      <c r="BD472" s="5" t="s">
        <v>1120</v>
      </c>
      <c r="BE472" s="5" t="s">
        <v>1234</v>
      </c>
      <c r="BF472" s="5" t="s">
        <v>1181</v>
      </c>
      <c r="BG472" s="5" t="s">
        <v>131</v>
      </c>
    </row>
    <row r="473" ht="16.5" hidden="1" customHeight="1">
      <c r="A473" s="5" t="s">
        <v>100</v>
      </c>
      <c r="B473" s="5" t="s">
        <v>137</v>
      </c>
      <c r="C473" s="5" t="b">
        <v>1</v>
      </c>
      <c r="D473" s="5" t="s">
        <v>1341</v>
      </c>
      <c r="E473" s="5" t="s">
        <v>1342</v>
      </c>
      <c r="F473" s="5"/>
      <c r="G473" s="5" t="s">
        <v>1109</v>
      </c>
      <c r="H473" s="5" t="s">
        <v>76</v>
      </c>
      <c r="I473" s="5" t="s">
        <v>82</v>
      </c>
      <c r="J473" s="25"/>
      <c r="K473" s="25"/>
      <c r="L473" s="25"/>
      <c r="M473" s="5" t="s">
        <v>66</v>
      </c>
      <c r="N473" s="5" t="s">
        <v>1119</v>
      </c>
      <c r="O473" s="5" t="s">
        <v>69</v>
      </c>
      <c r="P473" s="5" t="s">
        <v>1243</v>
      </c>
      <c r="Q473" s="5" t="s">
        <v>1984</v>
      </c>
      <c r="R473" s="5" t="s">
        <v>1961</v>
      </c>
      <c r="S473" s="5"/>
      <c r="T473" s="5"/>
      <c r="U473" s="5"/>
      <c r="V473" s="5">
        <v>1000.0</v>
      </c>
      <c r="W473" s="26">
        <v>2.08</v>
      </c>
      <c r="X473" s="5">
        <v>481.0</v>
      </c>
      <c r="Y473" s="27">
        <v>0.2</v>
      </c>
      <c r="Z473" s="28">
        <v>384.8</v>
      </c>
      <c r="AA473" s="27">
        <v>1.0</v>
      </c>
      <c r="AB473" s="5" t="s">
        <v>117</v>
      </c>
      <c r="AC473" s="27">
        <v>0.5529999999999999</v>
      </c>
      <c r="AD473" s="5"/>
      <c r="AE473" s="5" t="s">
        <v>81</v>
      </c>
      <c r="AF473" s="5" t="s">
        <v>81</v>
      </c>
      <c r="AG473" s="5">
        <v>0.0</v>
      </c>
      <c r="AH473" s="5">
        <v>3.0</v>
      </c>
      <c r="AI473" s="5" t="s">
        <v>0</v>
      </c>
      <c r="AJ473" s="5" t="s">
        <v>0</v>
      </c>
      <c r="AK473" s="30">
        <v>1000.0</v>
      </c>
      <c r="AL473" s="28">
        <v>1001.0</v>
      </c>
      <c r="AM473" s="28">
        <v>841.0</v>
      </c>
      <c r="AN473" s="28">
        <v>990.0</v>
      </c>
      <c r="AO473" s="28">
        <v>674.0</v>
      </c>
      <c r="AP473" s="28">
        <v>481000.0</v>
      </c>
      <c r="AQ473" s="28">
        <v>481250.7700000001</v>
      </c>
      <c r="AR473" s="28">
        <v>324194.0</v>
      </c>
      <c r="AS473" s="28">
        <v>0.0</v>
      </c>
      <c r="AT473" s="28">
        <v>324194.0</v>
      </c>
      <c r="AU473" s="28">
        <v>384800.0</v>
      </c>
      <c r="AV473" s="28">
        <v>421813.1500000001</v>
      </c>
      <c r="AW473" s="28">
        <v>341732.41856039996</v>
      </c>
      <c r="AX473" s="28">
        <v>385300.4823076923</v>
      </c>
      <c r="AY473" s="28">
        <v>281603.0317139999</v>
      </c>
      <c r="AZ473" s="5"/>
      <c r="BA473" s="5" t="s">
        <v>125</v>
      </c>
      <c r="BB473" s="5" t="s">
        <v>174</v>
      </c>
      <c r="BD473" s="5" t="s">
        <v>1120</v>
      </c>
      <c r="BE473" s="5" t="s">
        <v>1345</v>
      </c>
      <c r="BF473" s="5" t="s">
        <v>1181</v>
      </c>
      <c r="BG473" s="5" t="s">
        <v>131</v>
      </c>
    </row>
    <row r="474" ht="16.5" hidden="1" customHeight="1">
      <c r="A474" s="5" t="s">
        <v>100</v>
      </c>
      <c r="B474" s="5" t="s">
        <v>137</v>
      </c>
      <c r="C474" s="5" t="b">
        <v>1</v>
      </c>
      <c r="D474" s="5" t="s">
        <v>1346</v>
      </c>
      <c r="E474" s="5" t="s">
        <v>1347</v>
      </c>
      <c r="F474" s="5"/>
      <c r="G474" s="5" t="s">
        <v>1109</v>
      </c>
      <c r="H474" s="5" t="s">
        <v>76</v>
      </c>
      <c r="I474" s="5" t="s">
        <v>82</v>
      </c>
      <c r="J474" s="25"/>
      <c r="K474" s="25"/>
      <c r="L474" s="25"/>
      <c r="M474" s="5" t="s">
        <v>66</v>
      </c>
      <c r="N474" s="5" t="s">
        <v>1119</v>
      </c>
      <c r="O474" s="5" t="s">
        <v>69</v>
      </c>
      <c r="P474" s="5" t="s">
        <v>1243</v>
      </c>
      <c r="Q474" s="5" t="s">
        <v>1984</v>
      </c>
      <c r="R474" s="5" t="s">
        <v>1961</v>
      </c>
      <c r="S474" s="5"/>
      <c r="T474" s="5"/>
      <c r="U474" s="5"/>
      <c r="V474" s="5">
        <v>900.0</v>
      </c>
      <c r="W474" s="26">
        <v>2.08</v>
      </c>
      <c r="X474" s="5">
        <v>433.0</v>
      </c>
      <c r="Y474" s="27">
        <v>0.2</v>
      </c>
      <c r="Z474" s="28">
        <v>346.40000000000003</v>
      </c>
      <c r="AA474" s="27">
        <v>1.0</v>
      </c>
      <c r="AB474" s="5" t="s">
        <v>117</v>
      </c>
      <c r="AC474" s="27">
        <v>0.5820000000000001</v>
      </c>
      <c r="AD474" s="5"/>
      <c r="AE474" s="5" t="s">
        <v>81</v>
      </c>
      <c r="AF474" s="5" t="s">
        <v>81</v>
      </c>
      <c r="AG474" s="5">
        <v>0.0</v>
      </c>
      <c r="AH474" s="5">
        <v>3.0</v>
      </c>
      <c r="AI474" s="5" t="s">
        <v>0</v>
      </c>
      <c r="AJ474" s="5" t="s">
        <v>0</v>
      </c>
      <c r="AK474" s="30">
        <v>800.0</v>
      </c>
      <c r="AL474" s="28">
        <v>767.0</v>
      </c>
      <c r="AM474" s="28">
        <v>693.0</v>
      </c>
      <c r="AN474" s="28">
        <v>777.0</v>
      </c>
      <c r="AO474" s="28">
        <v>436.0</v>
      </c>
      <c r="AP474" s="28">
        <v>346400.0</v>
      </c>
      <c r="AQ474" s="28">
        <v>331873.23</v>
      </c>
      <c r="AR474" s="28">
        <v>188788.0</v>
      </c>
      <c r="AS474" s="28">
        <v>0.0</v>
      </c>
      <c r="AT474" s="28">
        <v>188788.0</v>
      </c>
      <c r="AU474" s="28">
        <v>277120.0</v>
      </c>
      <c r="AV474" s="28">
        <v>279727.10961538466</v>
      </c>
      <c r="AW474" s="28">
        <v>255941.2500804</v>
      </c>
      <c r="AX474" s="28">
        <v>267663.92884615384</v>
      </c>
      <c r="AY474" s="28">
        <v>161735.694814</v>
      </c>
      <c r="AZ474" s="5"/>
      <c r="BA474" s="5" t="s">
        <v>125</v>
      </c>
      <c r="BB474" s="5" t="s">
        <v>174</v>
      </c>
      <c r="BD474" s="5" t="s">
        <v>1120</v>
      </c>
      <c r="BE474" s="5" t="s">
        <v>1345</v>
      </c>
      <c r="BF474" s="5" t="s">
        <v>1181</v>
      </c>
      <c r="BG474" s="5" t="s">
        <v>131</v>
      </c>
    </row>
    <row r="475" ht="16.5" hidden="1" customHeight="1">
      <c r="A475" s="5" t="s">
        <v>100</v>
      </c>
      <c r="B475" s="5" t="s">
        <v>137</v>
      </c>
      <c r="C475" s="5" t="b">
        <v>1</v>
      </c>
      <c r="D475" s="5" t="s">
        <v>1350</v>
      </c>
      <c r="E475" s="5" t="s">
        <v>1351</v>
      </c>
      <c r="F475" s="5"/>
      <c r="G475" s="5" t="s">
        <v>1109</v>
      </c>
      <c r="H475" s="5" t="s">
        <v>76</v>
      </c>
      <c r="I475" s="5" t="s">
        <v>82</v>
      </c>
      <c r="J475" s="25"/>
      <c r="K475" s="25"/>
      <c r="L475" s="25"/>
      <c r="M475" s="5" t="s">
        <v>66</v>
      </c>
      <c r="N475" s="5" t="s">
        <v>1119</v>
      </c>
      <c r="O475" s="5" t="s">
        <v>69</v>
      </c>
      <c r="P475" s="5" t="s">
        <v>249</v>
      </c>
      <c r="Q475" s="5" t="s">
        <v>1960</v>
      </c>
      <c r="R475" s="5" t="s">
        <v>1961</v>
      </c>
      <c r="S475" s="5"/>
      <c r="T475" s="5"/>
      <c r="U475" s="5"/>
      <c r="V475" s="5">
        <v>1200.0</v>
      </c>
      <c r="W475" s="26">
        <v>2.08</v>
      </c>
      <c r="X475" s="5">
        <v>577.0</v>
      </c>
      <c r="Y475" s="27">
        <v>0.2</v>
      </c>
      <c r="Z475" s="28">
        <v>461.6</v>
      </c>
      <c r="AA475" s="27">
        <v>1.0</v>
      </c>
      <c r="AB475" s="5" t="s">
        <v>117</v>
      </c>
      <c r="AC475" s="27">
        <v>0.611</v>
      </c>
      <c r="AD475" s="5"/>
      <c r="AE475" s="5" t="s">
        <v>81</v>
      </c>
      <c r="AF475" s="5" t="s">
        <v>81</v>
      </c>
      <c r="AG475" s="5">
        <v>0.0</v>
      </c>
      <c r="AH475" s="5">
        <v>3.0</v>
      </c>
      <c r="AI475" s="5" t="s">
        <v>0</v>
      </c>
      <c r="AJ475" s="5" t="s">
        <v>0</v>
      </c>
      <c r="AK475" s="30">
        <v>5600.0</v>
      </c>
      <c r="AL475" s="28">
        <v>5558.0</v>
      </c>
      <c r="AM475" s="28">
        <v>4294.0</v>
      </c>
      <c r="AN475" s="28">
        <v>5813.0</v>
      </c>
      <c r="AO475" s="28">
        <v>3422.0</v>
      </c>
      <c r="AP475" s="28">
        <v>3231200.0</v>
      </c>
      <c r="AQ475" s="28">
        <v>3206521.359999999</v>
      </c>
      <c r="AR475" s="28">
        <v>1974494.0</v>
      </c>
      <c r="AS475" s="28">
        <v>0.0</v>
      </c>
      <c r="AT475" s="28">
        <v>1974494.0</v>
      </c>
      <c r="AU475" s="28">
        <v>2584960.0</v>
      </c>
      <c r="AV475" s="28">
        <v>2591303.0459798533</v>
      </c>
      <c r="AW475" s="28">
        <v>2023431.2488999995</v>
      </c>
      <c r="AX475" s="28">
        <v>2750055.6167582413</v>
      </c>
      <c r="AY475" s="28">
        <v>1654099.7721000002</v>
      </c>
      <c r="AZ475" s="5"/>
      <c r="BA475" s="5" t="s">
        <v>125</v>
      </c>
      <c r="BB475" s="5" t="s">
        <v>174</v>
      </c>
      <c r="BD475" s="5" t="s">
        <v>1186</v>
      </c>
      <c r="BE475" s="5" t="s">
        <v>1187</v>
      </c>
      <c r="BF475" s="5">
        <v>0.0</v>
      </c>
      <c r="BG475" s="5" t="s">
        <v>131</v>
      </c>
    </row>
    <row r="476" ht="16.5" hidden="1" customHeight="1">
      <c r="A476" s="5" t="s">
        <v>100</v>
      </c>
      <c r="B476" s="5" t="s">
        <v>137</v>
      </c>
      <c r="C476" s="5" t="b">
        <v>1</v>
      </c>
      <c r="D476" s="5" t="s">
        <v>1354</v>
      </c>
      <c r="E476" s="5" t="s">
        <v>1355</v>
      </c>
      <c r="F476" s="5"/>
      <c r="G476" s="5" t="s">
        <v>1109</v>
      </c>
      <c r="H476" s="5" t="s">
        <v>76</v>
      </c>
      <c r="I476" s="5" t="s">
        <v>82</v>
      </c>
      <c r="J476" s="25"/>
      <c r="K476" s="25"/>
      <c r="L476" s="25"/>
      <c r="M476" s="5" t="s">
        <v>66</v>
      </c>
      <c r="N476" s="5" t="s">
        <v>1119</v>
      </c>
      <c r="O476" s="5" t="s">
        <v>69</v>
      </c>
      <c r="P476" s="5" t="s">
        <v>249</v>
      </c>
      <c r="Q476" s="5" t="s">
        <v>1960</v>
      </c>
      <c r="R476" s="5" t="s">
        <v>1961</v>
      </c>
      <c r="S476" s="5"/>
      <c r="T476" s="5"/>
      <c r="U476" s="5"/>
      <c r="V476" s="5">
        <v>1100.0</v>
      </c>
      <c r="W476" s="26">
        <v>2.08</v>
      </c>
      <c r="X476" s="5">
        <v>529.0</v>
      </c>
      <c r="Y476" s="27">
        <v>0.2</v>
      </c>
      <c r="Z476" s="28">
        <v>423.20000000000005</v>
      </c>
      <c r="AA476" s="27">
        <v>1.0</v>
      </c>
      <c r="AB476" s="5" t="s">
        <v>117</v>
      </c>
      <c r="AC476" s="27">
        <v>0.601</v>
      </c>
      <c r="AD476" s="5"/>
      <c r="AE476" s="5" t="s">
        <v>81</v>
      </c>
      <c r="AF476" s="5" t="s">
        <v>81</v>
      </c>
      <c r="AG476" s="5">
        <v>0.0</v>
      </c>
      <c r="AH476" s="5">
        <v>6.0</v>
      </c>
      <c r="AI476" s="5" t="s">
        <v>0</v>
      </c>
      <c r="AJ476" s="5" t="s">
        <v>0</v>
      </c>
      <c r="AK476" s="30">
        <v>6700.0</v>
      </c>
      <c r="AL476" s="28">
        <v>6725.0</v>
      </c>
      <c r="AM476" s="28">
        <v>5144.0</v>
      </c>
      <c r="AN476" s="28">
        <v>7493.0</v>
      </c>
      <c r="AO476" s="28">
        <v>3700.0</v>
      </c>
      <c r="AP476" s="28">
        <v>3544300.0</v>
      </c>
      <c r="AQ476" s="28">
        <v>3556516.25</v>
      </c>
      <c r="AR476" s="28">
        <v>1957300.0</v>
      </c>
      <c r="AS476" s="28">
        <v>0.0</v>
      </c>
      <c r="AT476" s="28">
        <v>1957300.0</v>
      </c>
      <c r="AU476" s="28">
        <v>2835440.0000000005</v>
      </c>
      <c r="AV476" s="28">
        <v>2840727.0467032962</v>
      </c>
      <c r="AW476" s="28">
        <v>2219021.5184299997</v>
      </c>
      <c r="AX476" s="28">
        <v>3154866.887362637</v>
      </c>
      <c r="AY476" s="28">
        <v>1618817.2650400007</v>
      </c>
      <c r="AZ476" s="5"/>
      <c r="BA476" s="5" t="s">
        <v>125</v>
      </c>
      <c r="BB476" s="5" t="s">
        <v>174</v>
      </c>
      <c r="BD476" s="5" t="s">
        <v>1186</v>
      </c>
      <c r="BE476" s="5" t="s">
        <v>1187</v>
      </c>
      <c r="BF476" s="5">
        <v>0.0</v>
      </c>
      <c r="BG476" s="5" t="s">
        <v>131</v>
      </c>
    </row>
    <row r="477" ht="16.5" hidden="1" customHeight="1">
      <c r="A477" s="5" t="s">
        <v>100</v>
      </c>
      <c r="B477" s="5" t="s">
        <v>137</v>
      </c>
      <c r="C477" s="5" t="b">
        <v>1</v>
      </c>
      <c r="D477" s="5" t="s">
        <v>1357</v>
      </c>
      <c r="E477" s="5" t="s">
        <v>1358</v>
      </c>
      <c r="F477" s="5"/>
      <c r="G477" s="5" t="s">
        <v>1109</v>
      </c>
      <c r="H477" s="5" t="s">
        <v>76</v>
      </c>
      <c r="I477" s="5" t="s">
        <v>82</v>
      </c>
      <c r="J477" s="25"/>
      <c r="K477" s="25"/>
      <c r="L477" s="25"/>
      <c r="M477" s="5" t="s">
        <v>66</v>
      </c>
      <c r="N477" s="5" t="s">
        <v>248</v>
      </c>
      <c r="O477" s="5" t="s">
        <v>69</v>
      </c>
      <c r="P477" s="5" t="s">
        <v>249</v>
      </c>
      <c r="Q477" s="5" t="s">
        <v>1974</v>
      </c>
      <c r="R477" s="5" t="s">
        <v>23</v>
      </c>
      <c r="S477" s="5"/>
      <c r="T477" s="5"/>
      <c r="U477" s="5"/>
      <c r="V477" s="5">
        <v>350.0</v>
      </c>
      <c r="W477" s="26">
        <v>2.08</v>
      </c>
      <c r="X477" s="5">
        <v>168.0</v>
      </c>
      <c r="Y477" s="27">
        <v>0.2</v>
      </c>
      <c r="Z477" s="28">
        <v>134.4</v>
      </c>
      <c r="AA477" s="27">
        <v>1.0</v>
      </c>
      <c r="AB477" s="5" t="s">
        <v>78</v>
      </c>
      <c r="AC477" s="27">
        <v>0.631</v>
      </c>
      <c r="AD477" s="5"/>
      <c r="AE477" s="5" t="s">
        <v>81</v>
      </c>
      <c r="AF477" s="5" t="s">
        <v>81</v>
      </c>
      <c r="AG477" s="5">
        <v>0.0</v>
      </c>
      <c r="AH477" s="5">
        <v>3.0</v>
      </c>
      <c r="AI477" s="5" t="s">
        <v>0</v>
      </c>
      <c r="AJ477" s="5" t="s">
        <v>0</v>
      </c>
      <c r="AK477" s="30">
        <v>3100.0</v>
      </c>
      <c r="AL477" s="28">
        <v>3079.0</v>
      </c>
      <c r="AM477" s="28">
        <v>2464.0</v>
      </c>
      <c r="AN477" s="28">
        <v>2268.0</v>
      </c>
      <c r="AO477" s="28">
        <v>2990.0</v>
      </c>
      <c r="AP477" s="28">
        <v>520800.0</v>
      </c>
      <c r="AQ477" s="28">
        <v>518103.33</v>
      </c>
      <c r="AR477" s="28">
        <v>502320.0</v>
      </c>
      <c r="AS477" s="28">
        <v>0.0</v>
      </c>
      <c r="AT477" s="28">
        <v>502320.0</v>
      </c>
      <c r="AU477" s="28">
        <v>416640.0</v>
      </c>
      <c r="AV477" s="28">
        <v>441974.8579963372</v>
      </c>
      <c r="AW477" s="28">
        <v>340766.3334592001</v>
      </c>
      <c r="AX477" s="28">
        <v>328938.556753663</v>
      </c>
      <c r="AY477" s="28">
        <v>378536.1772679999</v>
      </c>
      <c r="AZ477" s="5"/>
      <c r="BA477" s="5" t="s">
        <v>125</v>
      </c>
      <c r="BB477" s="5" t="s">
        <v>174</v>
      </c>
      <c r="BD477" s="5" t="s">
        <v>248</v>
      </c>
      <c r="BE477" s="5" t="s">
        <v>1146</v>
      </c>
      <c r="BF477" s="5" t="s">
        <v>1147</v>
      </c>
      <c r="BG477" s="5" t="s">
        <v>131</v>
      </c>
    </row>
    <row r="478" ht="16.5" hidden="1" customHeight="1">
      <c r="A478" s="5" t="s">
        <v>100</v>
      </c>
      <c r="B478" s="5" t="s">
        <v>137</v>
      </c>
      <c r="C478" s="5" t="b">
        <v>1</v>
      </c>
      <c r="D478" s="5" t="s">
        <v>1361</v>
      </c>
      <c r="E478" s="5" t="s">
        <v>1362</v>
      </c>
      <c r="F478" s="5"/>
      <c r="G478" s="5" t="s">
        <v>1109</v>
      </c>
      <c r="H478" s="5" t="s">
        <v>76</v>
      </c>
      <c r="I478" s="5" t="s">
        <v>82</v>
      </c>
      <c r="J478" s="25"/>
      <c r="K478" s="25"/>
      <c r="L478" s="25"/>
      <c r="M478" s="5" t="s">
        <v>66</v>
      </c>
      <c r="N478" s="5" t="s">
        <v>1119</v>
      </c>
      <c r="O478" s="5" t="s">
        <v>69</v>
      </c>
      <c r="P478" s="5" t="s">
        <v>249</v>
      </c>
      <c r="Q478" s="5" t="s">
        <v>1960</v>
      </c>
      <c r="R478" s="5" t="s">
        <v>1961</v>
      </c>
      <c r="S478" s="5"/>
      <c r="T478" s="5"/>
      <c r="U478" s="5"/>
      <c r="V478" s="5">
        <v>1300.0</v>
      </c>
      <c r="W478" s="26">
        <v>2.08</v>
      </c>
      <c r="X478" s="5">
        <v>625.0</v>
      </c>
      <c r="Y478" s="27">
        <v>0.2</v>
      </c>
      <c r="Z478" s="28">
        <v>500.0</v>
      </c>
      <c r="AA478" s="27">
        <v>1.0</v>
      </c>
      <c r="AB478" s="5" t="s">
        <v>242</v>
      </c>
      <c r="AC478" s="27">
        <v>0.635</v>
      </c>
      <c r="AD478" s="5"/>
      <c r="AE478" s="5" t="s">
        <v>81</v>
      </c>
      <c r="AF478" s="5" t="s">
        <v>81</v>
      </c>
      <c r="AG478" s="5">
        <v>0.0</v>
      </c>
      <c r="AH478" s="5">
        <v>1.0</v>
      </c>
      <c r="AI478" s="5" t="s">
        <v>0</v>
      </c>
      <c r="AJ478" s="5" t="s">
        <v>0</v>
      </c>
      <c r="AK478" s="30">
        <v>900.0</v>
      </c>
      <c r="AL478" s="28">
        <v>916.0</v>
      </c>
      <c r="AM478" s="28">
        <v>802.0</v>
      </c>
      <c r="AN478" s="28">
        <v>1956.0</v>
      </c>
      <c r="AO478" s="28">
        <v>1385.0</v>
      </c>
      <c r="AP478" s="28">
        <v>562500.0</v>
      </c>
      <c r="AQ478" s="28">
        <v>572500.0</v>
      </c>
      <c r="AR478" s="28">
        <v>865625.0</v>
      </c>
      <c r="AS478" s="28">
        <v>0.0</v>
      </c>
      <c r="AT478" s="28">
        <v>865625.0</v>
      </c>
      <c r="AU478" s="28">
        <v>450000.0</v>
      </c>
      <c r="AV478" s="28">
        <v>457693.2153846154</v>
      </c>
      <c r="AW478" s="28">
        <v>381203.8097000002</v>
      </c>
      <c r="AX478" s="28">
        <v>956271.796923077</v>
      </c>
      <c r="AY478" s="28">
        <v>695142.6600000001</v>
      </c>
      <c r="AZ478" s="5"/>
      <c r="BA478" s="5" t="s">
        <v>125</v>
      </c>
      <c r="BB478" s="5" t="s">
        <v>174</v>
      </c>
      <c r="BD478" s="5" t="s">
        <v>1186</v>
      </c>
      <c r="BE478" s="5" t="s">
        <v>1187</v>
      </c>
      <c r="BF478" s="5">
        <v>0.0</v>
      </c>
      <c r="BG478" s="5" t="s">
        <v>131</v>
      </c>
    </row>
    <row r="479" ht="16.5" hidden="1" customHeight="1">
      <c r="A479" s="5" t="s">
        <v>100</v>
      </c>
      <c r="B479" s="5" t="s">
        <v>137</v>
      </c>
      <c r="C479" s="5" t="b">
        <v>1</v>
      </c>
      <c r="D479" s="5" t="s">
        <v>1363</v>
      </c>
      <c r="E479" s="5" t="s">
        <v>1364</v>
      </c>
      <c r="F479" s="5"/>
      <c r="G479" s="5" t="s">
        <v>1109</v>
      </c>
      <c r="H479" s="5" t="s">
        <v>76</v>
      </c>
      <c r="I479" s="5" t="s">
        <v>82</v>
      </c>
      <c r="J479" s="25"/>
      <c r="K479" s="25"/>
      <c r="L479" s="25"/>
      <c r="M479" s="5" t="s">
        <v>66</v>
      </c>
      <c r="N479" s="5" t="s">
        <v>1119</v>
      </c>
      <c r="O479" s="5" t="s">
        <v>69</v>
      </c>
      <c r="P479" s="5" t="s">
        <v>249</v>
      </c>
      <c r="Q479" s="5" t="s">
        <v>1984</v>
      </c>
      <c r="R479" s="5" t="s">
        <v>1961</v>
      </c>
      <c r="S479" s="5"/>
      <c r="T479" s="5"/>
      <c r="U479" s="5"/>
      <c r="V479" s="5">
        <v>1200.0</v>
      </c>
      <c r="W479" s="26">
        <v>2.08</v>
      </c>
      <c r="X479" s="5">
        <v>577.0</v>
      </c>
      <c r="Y479" s="27">
        <v>0.2</v>
      </c>
      <c r="Z479" s="28">
        <v>461.6</v>
      </c>
      <c r="AA479" s="27">
        <v>1.0</v>
      </c>
      <c r="AB479" s="5" t="s">
        <v>242</v>
      </c>
      <c r="AC479" s="27">
        <v>0.625</v>
      </c>
      <c r="AD479" s="5"/>
      <c r="AE479" s="5" t="s">
        <v>81</v>
      </c>
      <c r="AF479" s="5" t="s">
        <v>81</v>
      </c>
      <c r="AG479" s="5">
        <v>0.0</v>
      </c>
      <c r="AH479" s="5">
        <v>1.0</v>
      </c>
      <c r="AI479" s="5" t="s">
        <v>0</v>
      </c>
      <c r="AJ479" s="5" t="s">
        <v>0</v>
      </c>
      <c r="AK479" s="30">
        <v>600.0</v>
      </c>
      <c r="AL479" s="28">
        <v>649.0</v>
      </c>
      <c r="AM479" s="28">
        <v>507.0</v>
      </c>
      <c r="AN479" s="28">
        <v>1805.0</v>
      </c>
      <c r="AO479" s="28">
        <v>1240.0</v>
      </c>
      <c r="AP479" s="28">
        <v>346200.0</v>
      </c>
      <c r="AQ479" s="28">
        <v>374421.08</v>
      </c>
      <c r="AR479" s="28">
        <v>715480.0</v>
      </c>
      <c r="AS479" s="28">
        <v>0.0</v>
      </c>
      <c r="AT479" s="28">
        <v>715480.0</v>
      </c>
      <c r="AU479" s="28">
        <v>276960.0</v>
      </c>
      <c r="AV479" s="28">
        <v>304202.00725274725</v>
      </c>
      <c r="AW479" s="28">
        <v>216760.2185</v>
      </c>
      <c r="AX479" s="28">
        <v>827792.956153846</v>
      </c>
      <c r="AY479" s="28">
        <v>584683.395</v>
      </c>
      <c r="AZ479" s="5"/>
      <c r="BA479" s="5" t="s">
        <v>125</v>
      </c>
      <c r="BB479" s="5" t="s">
        <v>174</v>
      </c>
      <c r="BD479" s="5" t="s">
        <v>1186</v>
      </c>
      <c r="BE479" s="5" t="s">
        <v>1187</v>
      </c>
      <c r="BF479" s="5">
        <v>0.0</v>
      </c>
      <c r="BG479" s="5" t="s">
        <v>131</v>
      </c>
    </row>
    <row r="480" ht="16.5" hidden="1" customHeight="1">
      <c r="A480" s="5" t="s">
        <v>100</v>
      </c>
      <c r="B480" s="5" t="s">
        <v>137</v>
      </c>
      <c r="C480" s="5" t="b">
        <v>1</v>
      </c>
      <c r="D480" s="5" t="s">
        <v>1365</v>
      </c>
      <c r="E480" s="5" t="s">
        <v>1366</v>
      </c>
      <c r="F480" s="5"/>
      <c r="G480" s="5" t="s">
        <v>1109</v>
      </c>
      <c r="H480" s="5" t="s">
        <v>76</v>
      </c>
      <c r="I480" s="5" t="s">
        <v>82</v>
      </c>
      <c r="J480" s="25"/>
      <c r="K480" s="25"/>
      <c r="L480" s="25"/>
      <c r="M480" s="5" t="s">
        <v>66</v>
      </c>
      <c r="N480" s="5" t="s">
        <v>1119</v>
      </c>
      <c r="O480" s="5" t="s">
        <v>69</v>
      </c>
      <c r="P480" s="5" t="s">
        <v>249</v>
      </c>
      <c r="Q480" s="5" t="s">
        <v>1984</v>
      </c>
      <c r="R480" s="5" t="s">
        <v>1961</v>
      </c>
      <c r="S480" s="5"/>
      <c r="T480" s="5"/>
      <c r="U480" s="5"/>
      <c r="V480" s="5">
        <v>1000.0</v>
      </c>
      <c r="W480" s="26">
        <v>2.08</v>
      </c>
      <c r="X480" s="5">
        <v>481.0</v>
      </c>
      <c r="Y480" s="27">
        <v>0.2</v>
      </c>
      <c r="Z480" s="28">
        <v>384.8</v>
      </c>
      <c r="AA480" s="27">
        <v>1.0</v>
      </c>
      <c r="AB480" s="5" t="s">
        <v>117</v>
      </c>
      <c r="AC480" s="27">
        <v>0.578</v>
      </c>
      <c r="AD480" s="5"/>
      <c r="AE480" s="5" t="s">
        <v>81</v>
      </c>
      <c r="AF480" s="5" t="s">
        <v>81</v>
      </c>
      <c r="AG480" s="5">
        <v>0.0</v>
      </c>
      <c r="AH480" s="5">
        <v>4.0</v>
      </c>
      <c r="AI480" s="5" t="s">
        <v>0</v>
      </c>
      <c r="AJ480" s="5" t="s">
        <v>0</v>
      </c>
      <c r="AK480" s="30">
        <v>2800.0</v>
      </c>
      <c r="AL480" s="28">
        <v>2833.0</v>
      </c>
      <c r="AM480" s="28">
        <v>2993.0</v>
      </c>
      <c r="AN480" s="28">
        <v>2949.0</v>
      </c>
      <c r="AO480" s="28">
        <v>2103.0</v>
      </c>
      <c r="AP480" s="28">
        <v>1346800.0</v>
      </c>
      <c r="AQ480" s="28">
        <v>1362021.4099999997</v>
      </c>
      <c r="AR480" s="28">
        <v>1011543.0</v>
      </c>
      <c r="AS480" s="28">
        <v>0.0</v>
      </c>
      <c r="AT480" s="28">
        <v>1011543.0</v>
      </c>
      <c r="AU480" s="28">
        <v>1077440.0</v>
      </c>
      <c r="AV480" s="28">
        <v>1105757.3938736268</v>
      </c>
      <c r="AW480" s="28">
        <v>1147091.3616199996</v>
      </c>
      <c r="AX480" s="28">
        <v>1140748.633846154</v>
      </c>
      <c r="AY480" s="28">
        <v>851962.7324800004</v>
      </c>
      <c r="AZ480" s="5"/>
      <c r="BA480" s="5" t="s">
        <v>125</v>
      </c>
      <c r="BB480" s="5" t="s">
        <v>174</v>
      </c>
      <c r="BD480" s="5" t="s">
        <v>1186</v>
      </c>
      <c r="BE480" s="5" t="s">
        <v>1187</v>
      </c>
      <c r="BF480" s="5">
        <v>0.0</v>
      </c>
      <c r="BG480" s="5" t="s">
        <v>131</v>
      </c>
    </row>
    <row r="481" ht="16.5" hidden="1" customHeight="1">
      <c r="A481" s="5" t="s">
        <v>100</v>
      </c>
      <c r="B481" s="5" t="s">
        <v>137</v>
      </c>
      <c r="C481" s="5" t="b">
        <v>1</v>
      </c>
      <c r="D481" s="5" t="s">
        <v>1372</v>
      </c>
      <c r="E481" s="5" t="s">
        <v>1373</v>
      </c>
      <c r="F481" s="5"/>
      <c r="G481" s="5" t="s">
        <v>1109</v>
      </c>
      <c r="H481" s="5" t="s">
        <v>76</v>
      </c>
      <c r="I481" s="5" t="s">
        <v>82</v>
      </c>
      <c r="J481" s="25"/>
      <c r="K481" s="25"/>
      <c r="L481" s="25"/>
      <c r="M481" s="5" t="s">
        <v>66</v>
      </c>
      <c r="N481" s="5" t="s">
        <v>1119</v>
      </c>
      <c r="O481" s="5" t="s">
        <v>69</v>
      </c>
      <c r="P481" s="5" t="s">
        <v>249</v>
      </c>
      <c r="Q481" s="5" t="s">
        <v>1960</v>
      </c>
      <c r="R481" s="5" t="s">
        <v>1961</v>
      </c>
      <c r="S481" s="5"/>
      <c r="T481" s="5"/>
      <c r="U481" s="5"/>
      <c r="V481" s="5">
        <v>1000.0</v>
      </c>
      <c r="W481" s="26">
        <v>2.08</v>
      </c>
      <c r="X481" s="5">
        <v>481.0</v>
      </c>
      <c r="Y481" s="27">
        <v>0.2</v>
      </c>
      <c r="Z481" s="28">
        <v>384.8</v>
      </c>
      <c r="AA481" s="27">
        <v>1.0</v>
      </c>
      <c r="AB481" s="5" t="s">
        <v>117</v>
      </c>
      <c r="AC481" s="27">
        <v>0.606</v>
      </c>
      <c r="AD481" s="5"/>
      <c r="AE481" s="5" t="s">
        <v>81</v>
      </c>
      <c r="AF481" s="5" t="s">
        <v>81</v>
      </c>
      <c r="AG481" s="5">
        <v>0.0</v>
      </c>
      <c r="AH481" s="5">
        <v>3.0</v>
      </c>
      <c r="AI481" s="5" t="s">
        <v>0</v>
      </c>
      <c r="AJ481" s="5" t="s">
        <v>0</v>
      </c>
      <c r="AK481" s="30">
        <v>1600.0</v>
      </c>
      <c r="AL481" s="28">
        <v>1641.0</v>
      </c>
      <c r="AM481" s="28">
        <v>1445.0</v>
      </c>
      <c r="AN481" s="28">
        <v>1262.0</v>
      </c>
      <c r="AO481" s="28">
        <v>1141.0</v>
      </c>
      <c r="AP481" s="28">
        <v>769600.0</v>
      </c>
      <c r="AQ481" s="28">
        <v>788943.5699999998</v>
      </c>
      <c r="AR481" s="28">
        <v>548821.0</v>
      </c>
      <c r="AS481" s="28">
        <v>0.0</v>
      </c>
      <c r="AT481" s="28">
        <v>548821.0</v>
      </c>
      <c r="AU481" s="28">
        <v>615680.0</v>
      </c>
      <c r="AV481" s="28">
        <v>638472.1193223442</v>
      </c>
      <c r="AW481" s="28">
        <v>589293.3264323999</v>
      </c>
      <c r="AX481" s="28">
        <v>522995.97721611726</v>
      </c>
      <c r="AY481" s="28">
        <v>454418.07586800004</v>
      </c>
      <c r="AZ481" s="5"/>
      <c r="BA481" s="5" t="s">
        <v>125</v>
      </c>
      <c r="BB481" s="5" t="s">
        <v>174</v>
      </c>
      <c r="BD481" s="5" t="s">
        <v>1186</v>
      </c>
      <c r="BE481" s="5" t="s">
        <v>1374</v>
      </c>
      <c r="BF481" s="5" t="s">
        <v>1155</v>
      </c>
      <c r="BG481" s="5" t="s">
        <v>131</v>
      </c>
    </row>
    <row r="482" ht="16.5" hidden="1" customHeight="1">
      <c r="A482" s="5" t="s">
        <v>100</v>
      </c>
      <c r="B482" s="5" t="s">
        <v>137</v>
      </c>
      <c r="C482" s="5" t="b">
        <v>1</v>
      </c>
      <c r="D482" s="5" t="s">
        <v>1375</v>
      </c>
      <c r="E482" s="5" t="s">
        <v>1376</v>
      </c>
      <c r="F482" s="5"/>
      <c r="G482" s="5" t="s">
        <v>1109</v>
      </c>
      <c r="H482" s="5" t="s">
        <v>76</v>
      </c>
      <c r="I482" s="5" t="s">
        <v>82</v>
      </c>
      <c r="J482" s="25"/>
      <c r="K482" s="25"/>
      <c r="L482" s="25"/>
      <c r="M482" s="5" t="s">
        <v>66</v>
      </c>
      <c r="N482" s="5" t="s">
        <v>1119</v>
      </c>
      <c r="O482" s="5" t="s">
        <v>69</v>
      </c>
      <c r="P482" s="5" t="s">
        <v>249</v>
      </c>
      <c r="Q482" s="5" t="s">
        <v>1984</v>
      </c>
      <c r="R482" s="5" t="s">
        <v>1961</v>
      </c>
      <c r="S482" s="5"/>
      <c r="T482" s="5"/>
      <c r="U482" s="5"/>
      <c r="V482" s="5">
        <v>900.0</v>
      </c>
      <c r="W482" s="26">
        <v>2.08</v>
      </c>
      <c r="X482" s="5">
        <v>433.0</v>
      </c>
      <c r="Y482" s="27">
        <v>0.2</v>
      </c>
      <c r="Z482" s="28">
        <v>346.40000000000003</v>
      </c>
      <c r="AA482" s="27">
        <v>1.0</v>
      </c>
      <c r="AB482" s="5" t="s">
        <v>117</v>
      </c>
      <c r="AC482" s="27">
        <v>0.563</v>
      </c>
      <c r="AD482" s="5"/>
      <c r="AE482" s="5" t="s">
        <v>81</v>
      </c>
      <c r="AF482" s="5" t="s">
        <v>81</v>
      </c>
      <c r="AG482" s="5">
        <v>0.0</v>
      </c>
      <c r="AH482" s="5">
        <v>3.0</v>
      </c>
      <c r="AI482" s="5" t="s">
        <v>0</v>
      </c>
      <c r="AJ482" s="5" t="s">
        <v>0</v>
      </c>
      <c r="AK482" s="30">
        <v>1700.0</v>
      </c>
      <c r="AL482" s="28">
        <v>1717.0</v>
      </c>
      <c r="AM482" s="28">
        <v>1600.0</v>
      </c>
      <c r="AN482" s="28">
        <v>1867.0</v>
      </c>
      <c r="AO482" s="28">
        <v>1429.0</v>
      </c>
      <c r="AP482" s="28">
        <v>736100.0</v>
      </c>
      <c r="AQ482" s="28">
        <v>742928.7299999999</v>
      </c>
      <c r="AR482" s="28">
        <v>618757.0</v>
      </c>
      <c r="AS482" s="28">
        <v>0.0</v>
      </c>
      <c r="AT482" s="28">
        <v>618757.0</v>
      </c>
      <c r="AU482" s="28">
        <v>588880.0</v>
      </c>
      <c r="AV482" s="28">
        <v>616844.8115384617</v>
      </c>
      <c r="AW482" s="28">
        <v>559694.5383649999</v>
      </c>
      <c r="AX482" s="28">
        <v>655802.3746153846</v>
      </c>
      <c r="AY482" s="28">
        <v>531890.00612</v>
      </c>
      <c r="AZ482" s="5"/>
      <c r="BA482" s="5" t="s">
        <v>125</v>
      </c>
      <c r="BB482" s="5" t="s">
        <v>174</v>
      </c>
      <c r="BD482" s="5" t="s">
        <v>1186</v>
      </c>
      <c r="BE482" s="5" t="s">
        <v>1187</v>
      </c>
      <c r="BF482" s="5">
        <v>0.0</v>
      </c>
      <c r="BG482" s="5" t="s">
        <v>131</v>
      </c>
    </row>
    <row r="483" ht="16.5" hidden="1" customHeight="1">
      <c r="A483" s="5" t="s">
        <v>100</v>
      </c>
      <c r="B483" s="5" t="s">
        <v>137</v>
      </c>
      <c r="C483" s="5" t="b">
        <v>1</v>
      </c>
      <c r="D483" s="5" t="s">
        <v>1377</v>
      </c>
      <c r="E483" s="5" t="s">
        <v>1378</v>
      </c>
      <c r="F483" s="5"/>
      <c r="G483" s="5" t="s">
        <v>1109</v>
      </c>
      <c r="H483" s="5" t="s">
        <v>76</v>
      </c>
      <c r="I483" s="5" t="s">
        <v>82</v>
      </c>
      <c r="J483" s="25"/>
      <c r="K483" s="25"/>
      <c r="L483" s="25"/>
      <c r="M483" s="5" t="s">
        <v>66</v>
      </c>
      <c r="N483" s="5" t="s">
        <v>248</v>
      </c>
      <c r="O483" s="5" t="s">
        <v>69</v>
      </c>
      <c r="P483" s="5" t="s">
        <v>249</v>
      </c>
      <c r="Q483" s="5" t="s">
        <v>1974</v>
      </c>
      <c r="R483" s="5" t="s">
        <v>23</v>
      </c>
      <c r="S483" s="5"/>
      <c r="T483" s="5"/>
      <c r="U483" s="5"/>
      <c r="V483" s="5">
        <v>800.0</v>
      </c>
      <c r="W483" s="26">
        <v>2.08</v>
      </c>
      <c r="X483" s="5">
        <v>385.0</v>
      </c>
      <c r="Y483" s="27">
        <v>0.2</v>
      </c>
      <c r="Z483" s="28">
        <v>308.0</v>
      </c>
      <c r="AA483" s="27">
        <v>1.0</v>
      </c>
      <c r="AB483" s="5" t="s">
        <v>117</v>
      </c>
      <c r="AC483" s="27">
        <v>0.0</v>
      </c>
      <c r="AD483" s="5"/>
      <c r="AE483" s="5" t="s">
        <v>81</v>
      </c>
      <c r="AF483" s="5" t="s">
        <v>81</v>
      </c>
      <c r="AG483" s="5">
        <v>0.0</v>
      </c>
      <c r="AH483" s="5">
        <v>2.0</v>
      </c>
      <c r="AI483" s="5" t="s">
        <v>0</v>
      </c>
      <c r="AJ483" s="5" t="s">
        <v>0</v>
      </c>
      <c r="AK483" s="30">
        <v>800.0</v>
      </c>
      <c r="AL483" s="28">
        <v>790.0</v>
      </c>
      <c r="AM483" s="28">
        <v>0.0</v>
      </c>
      <c r="AN483" s="28">
        <v>460.0</v>
      </c>
      <c r="AO483" s="28">
        <v>1013.0</v>
      </c>
      <c r="AP483" s="28">
        <v>308000.0</v>
      </c>
      <c r="AQ483" s="28">
        <v>303849.8</v>
      </c>
      <c r="AR483" s="28">
        <v>390005.0</v>
      </c>
      <c r="AS483" s="28">
        <v>0.0</v>
      </c>
      <c r="AT483" s="28">
        <v>390005.0</v>
      </c>
      <c r="AU483" s="28">
        <v>246400.0</v>
      </c>
      <c r="AV483" s="28">
        <v>238642.21112637362</v>
      </c>
      <c r="AW483" s="28">
        <v>0.0</v>
      </c>
      <c r="AX483" s="28">
        <v>159570.71112637362</v>
      </c>
      <c r="AY483" s="28">
        <v>274373.402144</v>
      </c>
      <c r="AZ483" s="5"/>
      <c r="BA483" s="5" t="s">
        <v>125</v>
      </c>
      <c r="BB483" s="5" t="s">
        <v>174</v>
      </c>
      <c r="BD483" s="5" t="s">
        <v>248</v>
      </c>
      <c r="BE483" s="5" t="s">
        <v>1146</v>
      </c>
      <c r="BF483" s="5" t="s">
        <v>1147</v>
      </c>
      <c r="BG483" s="5" t="s">
        <v>131</v>
      </c>
    </row>
    <row r="484" ht="16.5" hidden="1" customHeight="1">
      <c r="A484" s="5" t="s">
        <v>100</v>
      </c>
      <c r="B484" s="5" t="s">
        <v>137</v>
      </c>
      <c r="C484" s="5" t="b">
        <v>1</v>
      </c>
      <c r="D484" s="5" t="s">
        <v>1379</v>
      </c>
      <c r="E484" s="5" t="s">
        <v>1380</v>
      </c>
      <c r="F484" s="5"/>
      <c r="G484" s="5" t="s">
        <v>1109</v>
      </c>
      <c r="H484" s="5" t="s">
        <v>76</v>
      </c>
      <c r="I484" s="5" t="s">
        <v>82</v>
      </c>
      <c r="J484" s="25"/>
      <c r="K484" s="25"/>
      <c r="L484" s="25"/>
      <c r="M484" s="5" t="s">
        <v>247</v>
      </c>
      <c r="N484" s="5" t="s">
        <v>1119</v>
      </c>
      <c r="O484" s="5" t="s">
        <v>69</v>
      </c>
      <c r="P484" s="5" t="s">
        <v>249</v>
      </c>
      <c r="Q484" s="5" t="s">
        <v>1960</v>
      </c>
      <c r="R484" s="5" t="s">
        <v>1961</v>
      </c>
      <c r="S484" s="5"/>
      <c r="T484" s="5"/>
      <c r="U484" s="5"/>
      <c r="V484" s="5">
        <v>1500.0</v>
      </c>
      <c r="W484" s="26">
        <v>2.08</v>
      </c>
      <c r="X484" s="5">
        <v>721.0</v>
      </c>
      <c r="Y484" s="27">
        <v>0.2</v>
      </c>
      <c r="Z484" s="28">
        <v>576.8000000000001</v>
      </c>
      <c r="AA484" s="27">
        <v>1.0</v>
      </c>
      <c r="AB484" s="5" t="s">
        <v>117</v>
      </c>
      <c r="AC484" s="27">
        <v>0.0</v>
      </c>
      <c r="AD484" s="5"/>
      <c r="AE484" s="5" t="s">
        <v>81</v>
      </c>
      <c r="AF484" s="5" t="s">
        <v>81</v>
      </c>
      <c r="AG484" s="5">
        <v>0.0</v>
      </c>
      <c r="AH484" s="5">
        <v>2.0</v>
      </c>
      <c r="AI484" s="5" t="s">
        <v>0</v>
      </c>
      <c r="AJ484" s="5" t="s">
        <v>0</v>
      </c>
      <c r="AK484" s="30">
        <v>500.0</v>
      </c>
      <c r="AL484" s="28">
        <v>530.0</v>
      </c>
      <c r="AM484" s="28">
        <v>0.0</v>
      </c>
      <c r="AN484" s="28">
        <v>430.0</v>
      </c>
      <c r="AO484" s="28">
        <v>847.0</v>
      </c>
      <c r="AP484" s="28">
        <v>360500.0</v>
      </c>
      <c r="AQ484" s="28">
        <v>382209.5</v>
      </c>
      <c r="AR484" s="28">
        <v>610687.0</v>
      </c>
      <c r="AS484" s="28">
        <v>0.0</v>
      </c>
      <c r="AT484" s="28">
        <v>610687.0</v>
      </c>
      <c r="AU484" s="28">
        <v>288400.00000000006</v>
      </c>
      <c r="AV484" s="28">
        <v>345681.3245421245</v>
      </c>
      <c r="AW484" s="28">
        <v>0.0</v>
      </c>
      <c r="AX484" s="28">
        <v>276134.00937728933</v>
      </c>
      <c r="AY484" s="28">
        <v>565949.5193800001</v>
      </c>
      <c r="AZ484" s="5"/>
      <c r="BA484" s="5" t="s">
        <v>125</v>
      </c>
      <c r="BB484" s="5" t="s">
        <v>174</v>
      </c>
      <c r="BD484" s="5" t="s">
        <v>1120</v>
      </c>
      <c r="BE484" s="5" t="s">
        <v>1121</v>
      </c>
      <c r="BF484" s="5" t="s">
        <v>1155</v>
      </c>
      <c r="BG484" s="5" t="s">
        <v>131</v>
      </c>
    </row>
    <row r="485" ht="16.5" hidden="1" customHeight="1">
      <c r="A485" s="5" t="s">
        <v>100</v>
      </c>
      <c r="B485" s="5" t="s">
        <v>215</v>
      </c>
      <c r="C485" s="5" t="b">
        <v>0</v>
      </c>
      <c r="D485" s="5" t="s">
        <v>1814</v>
      </c>
      <c r="E485" s="5" t="s">
        <v>1815</v>
      </c>
      <c r="F485" s="5"/>
      <c r="G485" s="5" t="s">
        <v>1109</v>
      </c>
      <c r="H485" s="5" t="s">
        <v>76</v>
      </c>
      <c r="I485" s="5" t="s">
        <v>218</v>
      </c>
      <c r="J485" s="25" t="s">
        <v>219</v>
      </c>
      <c r="K485" s="25"/>
      <c r="L485" s="25"/>
      <c r="M485" s="5" t="s">
        <v>220</v>
      </c>
      <c r="N485" s="5" t="s">
        <v>1212</v>
      </c>
      <c r="O485" s="5" t="s">
        <v>69</v>
      </c>
      <c r="P485" s="5" t="s">
        <v>249</v>
      </c>
      <c r="Q485" s="5" t="s">
        <v>1981</v>
      </c>
      <c r="R485" s="5" t="s">
        <v>1961</v>
      </c>
      <c r="S485" s="5"/>
      <c r="T485" s="5"/>
      <c r="U485" s="5"/>
      <c r="V485" s="5">
        <v>2400.0</v>
      </c>
      <c r="W485" s="26">
        <v>2.08</v>
      </c>
      <c r="X485" s="5">
        <v>1154.0</v>
      </c>
      <c r="Y485" s="27">
        <v>0.0</v>
      </c>
      <c r="Z485" s="28">
        <v>1154.0</v>
      </c>
      <c r="AA485" s="27">
        <v>1.0</v>
      </c>
      <c r="AB485" s="5" t="s">
        <v>242</v>
      </c>
      <c r="AC485" s="27"/>
      <c r="AD485" s="5"/>
      <c r="AE485" s="5" t="s">
        <v>81</v>
      </c>
      <c r="AF485" s="5" t="s">
        <v>81</v>
      </c>
      <c r="AG485" s="5"/>
      <c r="AH485" s="5">
        <v>2.0</v>
      </c>
      <c r="AI485" s="5" t="s">
        <v>0</v>
      </c>
      <c r="AJ485" s="5" t="s">
        <v>0</v>
      </c>
      <c r="AK485" s="30"/>
      <c r="AL485" s="28">
        <v>0.0</v>
      </c>
      <c r="AM485" s="28">
        <v>0.0</v>
      </c>
      <c r="AN485" s="28">
        <v>795.0</v>
      </c>
      <c r="AO485" s="28">
        <v>0.0</v>
      </c>
      <c r="AP485" s="28">
        <v>0.0</v>
      </c>
      <c r="AQ485" s="28">
        <v>0.0</v>
      </c>
      <c r="AR485" s="28">
        <v>0.0</v>
      </c>
      <c r="AS485" s="28">
        <v>0.0</v>
      </c>
      <c r="AT485" s="28">
        <v>0.0</v>
      </c>
      <c r="AU485" s="28">
        <v>0.0</v>
      </c>
      <c r="AV485" s="28">
        <v>0.0</v>
      </c>
      <c r="AW485" s="28">
        <v>0.0</v>
      </c>
      <c r="AX485" s="28">
        <v>759167.5846153845</v>
      </c>
      <c r="AY485" s="28">
        <v>0.0</v>
      </c>
      <c r="AZ485" s="5" t="s">
        <v>124</v>
      </c>
      <c r="BA485" s="5" t="s">
        <v>86</v>
      </c>
      <c r="BB485" s="5" t="s">
        <v>1641</v>
      </c>
      <c r="BD485" s="5" t="s">
        <v>1120</v>
      </c>
      <c r="BE485" s="5" t="s">
        <v>1131</v>
      </c>
      <c r="BF485" s="5" t="s">
        <v>1132</v>
      </c>
      <c r="BG485" s="5" t="s">
        <v>131</v>
      </c>
    </row>
    <row r="486" ht="16.5" hidden="1" customHeight="1">
      <c r="A486" s="5" t="s">
        <v>100</v>
      </c>
      <c r="B486" s="5" t="s">
        <v>137</v>
      </c>
      <c r="C486" s="5" t="b">
        <v>1</v>
      </c>
      <c r="D486" s="5" t="s">
        <v>1382</v>
      </c>
      <c r="E486" s="5" t="s">
        <v>1383</v>
      </c>
      <c r="F486" s="5"/>
      <c r="G486" s="5" t="s">
        <v>1109</v>
      </c>
      <c r="H486" s="5" t="s">
        <v>76</v>
      </c>
      <c r="I486" s="5" t="s">
        <v>82</v>
      </c>
      <c r="J486" s="25"/>
      <c r="K486" s="25"/>
      <c r="L486" s="5"/>
      <c r="M486" s="5" t="s">
        <v>66</v>
      </c>
      <c r="N486" s="5" t="s">
        <v>1162</v>
      </c>
      <c r="O486" s="5" t="s">
        <v>69</v>
      </c>
      <c r="P486" s="5" t="s">
        <v>249</v>
      </c>
      <c r="Q486" s="5" t="s">
        <v>1960</v>
      </c>
      <c r="R486" s="5" t="s">
        <v>1961</v>
      </c>
      <c r="S486" s="5"/>
      <c r="T486" s="5"/>
      <c r="U486" s="5"/>
      <c r="V486" s="5">
        <v>1100.0</v>
      </c>
      <c r="W486" s="26">
        <v>2.08</v>
      </c>
      <c r="X486" s="5">
        <v>529.0</v>
      </c>
      <c r="Y486" s="27">
        <v>0.2</v>
      </c>
      <c r="Z486" s="28">
        <v>423.20000000000005</v>
      </c>
      <c r="AA486" s="27">
        <v>1.0</v>
      </c>
      <c r="AB486" s="5" t="s">
        <v>117</v>
      </c>
      <c r="AC486" s="27">
        <v>0.528</v>
      </c>
      <c r="AD486" s="5"/>
      <c r="AE486" s="5" t="s">
        <v>81</v>
      </c>
      <c r="AF486" s="5" t="s">
        <v>81</v>
      </c>
      <c r="AG486" s="5">
        <v>0.0</v>
      </c>
      <c r="AH486" s="5">
        <v>3.0</v>
      </c>
      <c r="AI486" s="5" t="s">
        <v>0</v>
      </c>
      <c r="AJ486" s="5" t="s">
        <v>0</v>
      </c>
      <c r="AK486" s="30">
        <v>2100.0</v>
      </c>
      <c r="AL486" s="5">
        <v>2149.0</v>
      </c>
      <c r="AM486" s="5">
        <v>0.0</v>
      </c>
      <c r="AN486" s="5">
        <v>2017.0</v>
      </c>
      <c r="AO486" s="5">
        <v>0.0</v>
      </c>
      <c r="AP486" s="28">
        <v>1110900.0</v>
      </c>
      <c r="AQ486" s="28">
        <v>1136498.65</v>
      </c>
      <c r="AR486" s="28">
        <v>0.0</v>
      </c>
      <c r="AS486" s="28">
        <v>0.0</v>
      </c>
      <c r="AT486" s="28">
        <v>0.0</v>
      </c>
      <c r="AU486" s="28">
        <v>888720.0000000001</v>
      </c>
      <c r="AV486" s="28">
        <v>955287.5832417582</v>
      </c>
      <c r="AW486" s="28">
        <v>0.0</v>
      </c>
      <c r="AX486" s="28">
        <v>853824.0392307692</v>
      </c>
      <c r="AY486" s="28">
        <v>0.0</v>
      </c>
      <c r="AZ486" s="5"/>
      <c r="BA486" s="5" t="s">
        <v>125</v>
      </c>
      <c r="BB486" s="5" t="s">
        <v>174</v>
      </c>
      <c r="BD486" s="5" t="s">
        <v>1120</v>
      </c>
      <c r="BE486" s="5" t="s">
        <v>1121</v>
      </c>
      <c r="BF486" s="5" t="s">
        <v>1155</v>
      </c>
      <c r="BG486" s="5" t="s">
        <v>131</v>
      </c>
    </row>
    <row r="487" ht="16.5" hidden="1" customHeight="1">
      <c r="A487" s="5" t="s">
        <v>100</v>
      </c>
      <c r="B487" s="5" t="s">
        <v>137</v>
      </c>
      <c r="C487" s="5" t="b">
        <v>1</v>
      </c>
      <c r="D487" s="5" t="s">
        <v>1386</v>
      </c>
      <c r="E487" s="5" t="s">
        <v>1387</v>
      </c>
      <c r="F487" s="5"/>
      <c r="G487" s="5" t="s">
        <v>1109</v>
      </c>
      <c r="H487" s="5" t="s">
        <v>76</v>
      </c>
      <c r="I487" s="5" t="s">
        <v>82</v>
      </c>
      <c r="J487" s="25"/>
      <c r="K487" s="25"/>
      <c r="L487" s="5"/>
      <c r="M487" s="5" t="s">
        <v>66</v>
      </c>
      <c r="N487" s="5" t="s">
        <v>1162</v>
      </c>
      <c r="O487" s="5" t="s">
        <v>69</v>
      </c>
      <c r="P487" s="5" t="s">
        <v>249</v>
      </c>
      <c r="Q487" s="5" t="s">
        <v>1960</v>
      </c>
      <c r="R487" s="5" t="s">
        <v>1961</v>
      </c>
      <c r="S487" s="5"/>
      <c r="T487" s="5"/>
      <c r="U487" s="5"/>
      <c r="V487" s="5">
        <v>1300.0</v>
      </c>
      <c r="W487" s="26">
        <v>2.08</v>
      </c>
      <c r="X487" s="5">
        <v>625.0</v>
      </c>
      <c r="Y487" s="27">
        <v>0.2</v>
      </c>
      <c r="Z487" s="28">
        <v>500.0</v>
      </c>
      <c r="AA487" s="27">
        <v>1.0</v>
      </c>
      <c r="AB487" s="5" t="s">
        <v>117</v>
      </c>
      <c r="AC487" s="27">
        <v>0.544</v>
      </c>
      <c r="AD487" s="5"/>
      <c r="AE487" s="5" t="s">
        <v>81</v>
      </c>
      <c r="AF487" s="5" t="s">
        <v>81</v>
      </c>
      <c r="AG487" s="5">
        <v>0.0</v>
      </c>
      <c r="AH487" s="5">
        <v>3.0</v>
      </c>
      <c r="AI487" s="5" t="s">
        <v>0</v>
      </c>
      <c r="AJ487" s="5" t="s">
        <v>0</v>
      </c>
      <c r="AK487" s="30">
        <v>2800.0</v>
      </c>
      <c r="AL487" s="5">
        <v>2799.0</v>
      </c>
      <c r="AM487" s="5">
        <v>0.0</v>
      </c>
      <c r="AN487" s="5">
        <v>2215.0</v>
      </c>
      <c r="AO487" s="5">
        <v>0.0</v>
      </c>
      <c r="AP487" s="28">
        <v>1750000.0</v>
      </c>
      <c r="AQ487" s="28">
        <v>1749375.0</v>
      </c>
      <c r="AR487" s="28">
        <v>0.0</v>
      </c>
      <c r="AS487" s="28">
        <v>0.0</v>
      </c>
      <c r="AT487" s="28">
        <v>0.0</v>
      </c>
      <c r="AU487" s="28">
        <v>1400000.0</v>
      </c>
      <c r="AV487" s="28">
        <v>1488306.2307692305</v>
      </c>
      <c r="AW487" s="28">
        <v>0.0</v>
      </c>
      <c r="AX487" s="28">
        <v>1137637.368076923</v>
      </c>
      <c r="AY487" s="28">
        <v>0.0</v>
      </c>
      <c r="AZ487" s="5"/>
      <c r="BA487" s="5" t="s">
        <v>125</v>
      </c>
      <c r="BB487" s="5" t="s">
        <v>174</v>
      </c>
      <c r="BD487" s="5" t="s">
        <v>1120</v>
      </c>
      <c r="BE487" s="5" t="s">
        <v>1121</v>
      </c>
      <c r="BF487" s="5" t="s">
        <v>1155</v>
      </c>
      <c r="BG487" s="5" t="s">
        <v>131</v>
      </c>
    </row>
    <row r="488" ht="16.5" hidden="1" customHeight="1">
      <c r="A488" s="5" t="s">
        <v>100</v>
      </c>
      <c r="B488" s="24" t="s">
        <v>0</v>
      </c>
      <c r="C488" s="5" t="b">
        <v>1</v>
      </c>
      <c r="D488" s="5" t="s">
        <v>1028</v>
      </c>
      <c r="E488" s="5" t="s">
        <v>1029</v>
      </c>
      <c r="F488" s="5"/>
      <c r="G488" s="5" t="s">
        <v>65</v>
      </c>
      <c r="H488" s="5" t="s">
        <v>84</v>
      </c>
      <c r="I488" s="5" t="s">
        <v>202</v>
      </c>
      <c r="J488" s="25"/>
      <c r="K488" s="25"/>
      <c r="L488" s="25"/>
      <c r="M488" s="5" t="s">
        <v>66</v>
      </c>
      <c r="N488" s="5" t="s">
        <v>113</v>
      </c>
      <c r="O488" s="24" t="s">
        <v>0</v>
      </c>
      <c r="P488" s="5" t="s">
        <v>107</v>
      </c>
      <c r="Q488" s="5" t="s">
        <v>1032</v>
      </c>
      <c r="R488" s="5" t="s">
        <v>181</v>
      </c>
      <c r="S488" s="5"/>
      <c r="T488" s="5"/>
      <c r="U488" s="5"/>
      <c r="V488" s="5">
        <v>1000.0</v>
      </c>
      <c r="W488" s="26">
        <v>2.1</v>
      </c>
      <c r="X488" s="5">
        <v>476.0</v>
      </c>
      <c r="Y488" s="27">
        <v>0.2</v>
      </c>
      <c r="Z488" s="28">
        <v>380.8</v>
      </c>
      <c r="AA488" s="27">
        <v>1.0</v>
      </c>
      <c r="AB488" s="24" t="s">
        <v>0</v>
      </c>
      <c r="AC488" s="27">
        <v>0.66</v>
      </c>
      <c r="AD488" s="5"/>
      <c r="AE488" s="24" t="s">
        <v>0</v>
      </c>
      <c r="AF488" s="24"/>
      <c r="AG488" s="5">
        <v>3.0</v>
      </c>
      <c r="AH488" s="5">
        <v>3.0</v>
      </c>
      <c r="AI488" s="5" t="s">
        <v>0</v>
      </c>
      <c r="AJ488" s="5"/>
      <c r="AK488" s="30">
        <v>1000.0</v>
      </c>
      <c r="AL488" s="28">
        <v>0.0</v>
      </c>
      <c r="AM488" s="28">
        <v>0.0</v>
      </c>
      <c r="AN488" s="28">
        <v>0.0</v>
      </c>
      <c r="AO488" s="28">
        <v>0.0</v>
      </c>
      <c r="AP488" s="28">
        <v>476000.0</v>
      </c>
      <c r="AQ488" s="28">
        <v>0.0</v>
      </c>
      <c r="AR488" s="28">
        <v>0.0</v>
      </c>
      <c r="AS488" s="28">
        <v>0.0</v>
      </c>
      <c r="AT488" s="28">
        <v>0.0</v>
      </c>
      <c r="AU488" s="28">
        <v>380800.0</v>
      </c>
      <c r="AV488" s="28">
        <v>0.0</v>
      </c>
      <c r="AW488" s="28">
        <v>0.0</v>
      </c>
      <c r="AX488" s="28">
        <v>0.0</v>
      </c>
      <c r="AY488" s="28">
        <v>0.0</v>
      </c>
      <c r="AZ488" s="5"/>
      <c r="BA488" s="5" t="s">
        <v>125</v>
      </c>
      <c r="BB488" s="5" t="s">
        <v>127</v>
      </c>
      <c r="BD488" s="5" t="s">
        <v>126</v>
      </c>
      <c r="BE488" s="5" t="s">
        <v>1032</v>
      </c>
      <c r="BF488" s="5" t="s">
        <v>130</v>
      </c>
      <c r="BG488" s="5" t="s">
        <v>131</v>
      </c>
    </row>
    <row r="489" ht="16.5" hidden="1" customHeight="1">
      <c r="A489" s="5" t="s">
        <v>100</v>
      </c>
      <c r="B489" s="5" t="s">
        <v>137</v>
      </c>
      <c r="C489" s="5" t="b">
        <v>1</v>
      </c>
      <c r="D489" s="5" t="s">
        <v>1174</v>
      </c>
      <c r="E489" s="5" t="s">
        <v>1175</v>
      </c>
      <c r="F489" s="5"/>
      <c r="G489" s="5" t="s">
        <v>65</v>
      </c>
      <c r="H489" s="5" t="s">
        <v>84</v>
      </c>
      <c r="I489" s="5" t="s">
        <v>202</v>
      </c>
      <c r="J489" s="25"/>
      <c r="K489" s="25"/>
      <c r="L489" s="25"/>
      <c r="M489" s="5" t="s">
        <v>66</v>
      </c>
      <c r="N489" s="5" t="s">
        <v>113</v>
      </c>
      <c r="O489" s="5" t="s">
        <v>69</v>
      </c>
      <c r="P489" s="5" t="s">
        <v>70</v>
      </c>
      <c r="Q489" s="5" t="s">
        <v>180</v>
      </c>
      <c r="R489" s="5" t="s">
        <v>181</v>
      </c>
      <c r="S489" s="5"/>
      <c r="T489" s="5"/>
      <c r="U489" s="5"/>
      <c r="V489" s="5">
        <v>1200.0</v>
      </c>
      <c r="W489" s="26">
        <v>2.1</v>
      </c>
      <c r="X489" s="5">
        <v>571.0</v>
      </c>
      <c r="Y489" s="27">
        <v>0.2</v>
      </c>
      <c r="Z489" s="28">
        <v>456.8</v>
      </c>
      <c r="AA489" s="27">
        <v>1.0</v>
      </c>
      <c r="AB489" s="5" t="s">
        <v>78</v>
      </c>
      <c r="AC489" s="27">
        <v>0.6</v>
      </c>
      <c r="AD489" s="5"/>
      <c r="AE489" s="24" t="s">
        <v>0</v>
      </c>
      <c r="AF489" s="5"/>
      <c r="AG489" s="5">
        <v>3.0</v>
      </c>
      <c r="AH489" s="5">
        <v>3.0</v>
      </c>
      <c r="AI489" s="5" t="s">
        <v>169</v>
      </c>
      <c r="AJ489" s="5"/>
      <c r="AK489" s="30">
        <v>3500.0</v>
      </c>
      <c r="AL489" s="28">
        <v>0.0</v>
      </c>
      <c r="AM489" s="28">
        <v>0.0</v>
      </c>
      <c r="AN489" s="28">
        <v>0.0</v>
      </c>
      <c r="AO489" s="28">
        <v>0.0</v>
      </c>
      <c r="AP489" s="28">
        <v>1998500.0</v>
      </c>
      <c r="AQ489" s="28">
        <v>0.0</v>
      </c>
      <c r="AR489" s="28">
        <v>0.0</v>
      </c>
      <c r="AS489" s="28">
        <v>0.0</v>
      </c>
      <c r="AT489" s="28">
        <v>0.0</v>
      </c>
      <c r="AU489" s="28">
        <v>1598800.0</v>
      </c>
      <c r="AV489" s="28">
        <v>0.0</v>
      </c>
      <c r="AW489" s="28">
        <v>0.0</v>
      </c>
      <c r="AX489" s="28">
        <v>0.0</v>
      </c>
      <c r="AY489" s="28">
        <v>0.0</v>
      </c>
      <c r="AZ489" s="5"/>
      <c r="BA489" s="5" t="s">
        <v>125</v>
      </c>
      <c r="BB489" s="5" t="s">
        <v>127</v>
      </c>
      <c r="BC489" s="32" t="s">
        <v>608</v>
      </c>
      <c r="BD489" s="5" t="s">
        <v>126</v>
      </c>
      <c r="BE489" s="5" t="s">
        <v>128</v>
      </c>
      <c r="BF489" s="5" t="s">
        <v>130</v>
      </c>
      <c r="BG489" s="5" t="s">
        <v>131</v>
      </c>
    </row>
    <row r="490" ht="16.5" hidden="1" customHeight="1">
      <c r="A490" s="5" t="s">
        <v>100</v>
      </c>
      <c r="B490" s="5" t="s">
        <v>137</v>
      </c>
      <c r="C490" s="5" t="b">
        <v>1</v>
      </c>
      <c r="D490" s="5" t="s">
        <v>1184</v>
      </c>
      <c r="E490" s="5" t="s">
        <v>1185</v>
      </c>
      <c r="F490" s="5"/>
      <c r="G490" s="5" t="s">
        <v>65</v>
      </c>
      <c r="H490" s="5" t="s">
        <v>84</v>
      </c>
      <c r="I490" s="5" t="s">
        <v>202</v>
      </c>
      <c r="J490" s="25"/>
      <c r="K490" s="25"/>
      <c r="L490" s="25"/>
      <c r="M490" s="5" t="s">
        <v>66</v>
      </c>
      <c r="N490" s="5" t="s">
        <v>113</v>
      </c>
      <c r="O490" s="5" t="s">
        <v>69</v>
      </c>
      <c r="P490" s="5" t="s">
        <v>107</v>
      </c>
      <c r="Q490" s="5" t="s">
        <v>180</v>
      </c>
      <c r="R490" s="5" t="s">
        <v>181</v>
      </c>
      <c r="S490" s="5"/>
      <c r="T490" s="5"/>
      <c r="U490" s="5"/>
      <c r="V490" s="5">
        <v>1200.0</v>
      </c>
      <c r="W490" s="26">
        <v>2.1</v>
      </c>
      <c r="X490" s="5">
        <v>571.0</v>
      </c>
      <c r="Y490" s="27">
        <v>0.2</v>
      </c>
      <c r="Z490" s="28">
        <v>456.8</v>
      </c>
      <c r="AA490" s="27">
        <v>1.0</v>
      </c>
      <c r="AB490" s="5" t="s">
        <v>78</v>
      </c>
      <c r="AC490" s="27">
        <v>0.61</v>
      </c>
      <c r="AD490" s="5"/>
      <c r="AE490" s="24" t="s">
        <v>0</v>
      </c>
      <c r="AF490" s="5"/>
      <c r="AG490" s="5">
        <v>3.0</v>
      </c>
      <c r="AH490" s="5">
        <v>3.0</v>
      </c>
      <c r="AI490" s="5" t="s">
        <v>169</v>
      </c>
      <c r="AJ490" s="5"/>
      <c r="AK490" s="30">
        <v>2600.0</v>
      </c>
      <c r="AL490" s="28">
        <v>0.0</v>
      </c>
      <c r="AM490" s="28">
        <v>0.0</v>
      </c>
      <c r="AN490" s="28">
        <v>0.0</v>
      </c>
      <c r="AO490" s="28">
        <v>0.0</v>
      </c>
      <c r="AP490" s="28">
        <v>1484600.0</v>
      </c>
      <c r="AQ490" s="28">
        <v>0.0</v>
      </c>
      <c r="AR490" s="28">
        <v>0.0</v>
      </c>
      <c r="AS490" s="28">
        <v>0.0</v>
      </c>
      <c r="AT490" s="28">
        <v>0.0</v>
      </c>
      <c r="AU490" s="28">
        <v>1187680.0</v>
      </c>
      <c r="AV490" s="28">
        <v>0.0</v>
      </c>
      <c r="AW490" s="28">
        <v>0.0</v>
      </c>
      <c r="AX490" s="28">
        <v>0.0</v>
      </c>
      <c r="AY490" s="28">
        <v>0.0</v>
      </c>
      <c r="AZ490" s="5"/>
      <c r="BA490" s="5" t="s">
        <v>125</v>
      </c>
      <c r="BB490" s="5" t="s">
        <v>127</v>
      </c>
      <c r="BC490" s="32" t="s">
        <v>608</v>
      </c>
      <c r="BD490" s="5" t="s">
        <v>126</v>
      </c>
      <c r="BE490" s="5" t="s">
        <v>128</v>
      </c>
      <c r="BF490" s="5" t="s">
        <v>130</v>
      </c>
      <c r="BG490" s="5" t="s">
        <v>131</v>
      </c>
    </row>
    <row r="491" ht="16.5" hidden="1" customHeight="1">
      <c r="A491" s="5" t="s">
        <v>100</v>
      </c>
      <c r="B491" s="5" t="s">
        <v>137</v>
      </c>
      <c r="C491" s="5" t="b">
        <v>1</v>
      </c>
      <c r="D491" s="5" t="s">
        <v>1190</v>
      </c>
      <c r="E491" s="5" t="s">
        <v>1191</v>
      </c>
      <c r="F491" s="5"/>
      <c r="G491" s="5" t="s">
        <v>65</v>
      </c>
      <c r="H491" s="5" t="s">
        <v>84</v>
      </c>
      <c r="I491" s="5" t="s">
        <v>202</v>
      </c>
      <c r="J491" s="25"/>
      <c r="K491" s="25"/>
      <c r="L491" s="25"/>
      <c r="M491" s="5" t="s">
        <v>66</v>
      </c>
      <c r="N491" s="5" t="s">
        <v>113</v>
      </c>
      <c r="O491" s="5" t="s">
        <v>69</v>
      </c>
      <c r="P491" s="5" t="s">
        <v>70</v>
      </c>
      <c r="Q491" s="5" t="s">
        <v>147</v>
      </c>
      <c r="R491" s="5" t="s">
        <v>181</v>
      </c>
      <c r="S491" s="5"/>
      <c r="T491" s="5"/>
      <c r="U491" s="5"/>
      <c r="V491" s="5">
        <v>1000.0</v>
      </c>
      <c r="W491" s="26">
        <v>2.1</v>
      </c>
      <c r="X491" s="5">
        <v>476.0</v>
      </c>
      <c r="Y491" s="27">
        <v>0.2</v>
      </c>
      <c r="Z491" s="28">
        <v>380.8</v>
      </c>
      <c r="AA491" s="27">
        <v>1.0</v>
      </c>
      <c r="AB491" s="5" t="s">
        <v>78</v>
      </c>
      <c r="AC491" s="27">
        <v>0.6</v>
      </c>
      <c r="AD491" s="5"/>
      <c r="AE491" s="24" t="s">
        <v>0</v>
      </c>
      <c r="AF491" s="5"/>
      <c r="AG491" s="5">
        <v>3.0</v>
      </c>
      <c r="AH491" s="5">
        <v>3.0</v>
      </c>
      <c r="AI491" s="5" t="s">
        <v>169</v>
      </c>
      <c r="AJ491" s="5"/>
      <c r="AK491" s="30">
        <v>4200.0</v>
      </c>
      <c r="AL491" s="28">
        <v>0.0</v>
      </c>
      <c r="AM491" s="28">
        <v>0.0</v>
      </c>
      <c r="AN491" s="28">
        <v>0.0</v>
      </c>
      <c r="AO491" s="28">
        <v>0.0</v>
      </c>
      <c r="AP491" s="28">
        <v>1999200.0</v>
      </c>
      <c r="AQ491" s="28">
        <v>0.0</v>
      </c>
      <c r="AR491" s="28">
        <v>0.0</v>
      </c>
      <c r="AS491" s="28">
        <v>0.0</v>
      </c>
      <c r="AT491" s="28">
        <v>0.0</v>
      </c>
      <c r="AU491" s="28">
        <v>1599360.0</v>
      </c>
      <c r="AV491" s="28">
        <v>0.0</v>
      </c>
      <c r="AW491" s="28">
        <v>0.0</v>
      </c>
      <c r="AX491" s="28">
        <v>0.0</v>
      </c>
      <c r="AY491" s="28">
        <v>0.0</v>
      </c>
      <c r="AZ491" s="5"/>
      <c r="BA491" s="5" t="s">
        <v>125</v>
      </c>
      <c r="BB491" s="5" t="s">
        <v>127</v>
      </c>
      <c r="BD491" s="5" t="s">
        <v>126</v>
      </c>
      <c r="BE491" s="5" t="s">
        <v>147</v>
      </c>
      <c r="BF491" s="5" t="s">
        <v>130</v>
      </c>
      <c r="BG491" s="5" t="s">
        <v>131</v>
      </c>
    </row>
    <row r="492" ht="16.5" hidden="1" customHeight="1">
      <c r="A492" s="5" t="s">
        <v>100</v>
      </c>
      <c r="B492" s="5" t="s">
        <v>137</v>
      </c>
      <c r="C492" s="5" t="b">
        <v>1</v>
      </c>
      <c r="D492" s="5" t="s">
        <v>1196</v>
      </c>
      <c r="E492" s="5" t="s">
        <v>1198</v>
      </c>
      <c r="F492" s="5"/>
      <c r="G492" s="5" t="s">
        <v>65</v>
      </c>
      <c r="H492" s="5" t="s">
        <v>84</v>
      </c>
      <c r="I492" s="5" t="s">
        <v>202</v>
      </c>
      <c r="J492" s="25"/>
      <c r="K492" s="25"/>
      <c r="L492" s="25"/>
      <c r="M492" s="5" t="s">
        <v>66</v>
      </c>
      <c r="N492" s="5" t="s">
        <v>113</v>
      </c>
      <c r="O492" s="5" t="s">
        <v>69</v>
      </c>
      <c r="P492" s="5" t="s">
        <v>107</v>
      </c>
      <c r="Q492" s="5" t="s">
        <v>147</v>
      </c>
      <c r="R492" s="5" t="s">
        <v>181</v>
      </c>
      <c r="S492" s="5"/>
      <c r="T492" s="5"/>
      <c r="U492" s="5"/>
      <c r="V492" s="5">
        <v>1000.0</v>
      </c>
      <c r="W492" s="26">
        <v>2.1</v>
      </c>
      <c r="X492" s="5">
        <v>476.0</v>
      </c>
      <c r="Y492" s="27">
        <v>0.2</v>
      </c>
      <c r="Z492" s="28">
        <v>380.8</v>
      </c>
      <c r="AA492" s="27">
        <v>1.0</v>
      </c>
      <c r="AB492" s="5" t="s">
        <v>78</v>
      </c>
      <c r="AC492" s="27">
        <v>0.61</v>
      </c>
      <c r="AD492" s="5"/>
      <c r="AE492" s="24" t="s">
        <v>0</v>
      </c>
      <c r="AF492" s="5"/>
      <c r="AG492" s="5">
        <v>3.0</v>
      </c>
      <c r="AH492" s="5">
        <v>3.0</v>
      </c>
      <c r="AI492" s="5" t="s">
        <v>169</v>
      </c>
      <c r="AJ492" s="5"/>
      <c r="AK492" s="30">
        <v>2800.0</v>
      </c>
      <c r="AL492" s="28">
        <v>0.0</v>
      </c>
      <c r="AM492" s="28">
        <v>0.0</v>
      </c>
      <c r="AN492" s="28">
        <v>0.0</v>
      </c>
      <c r="AO492" s="28">
        <v>0.0</v>
      </c>
      <c r="AP492" s="28">
        <v>1332800.0</v>
      </c>
      <c r="AQ492" s="28">
        <v>0.0</v>
      </c>
      <c r="AR492" s="28">
        <v>0.0</v>
      </c>
      <c r="AS492" s="28">
        <v>0.0</v>
      </c>
      <c r="AT492" s="28">
        <v>0.0</v>
      </c>
      <c r="AU492" s="28">
        <v>1066240.0</v>
      </c>
      <c r="AV492" s="28">
        <v>0.0</v>
      </c>
      <c r="AW492" s="28">
        <v>0.0</v>
      </c>
      <c r="AX492" s="28">
        <v>0.0</v>
      </c>
      <c r="AY492" s="28">
        <v>0.0</v>
      </c>
      <c r="AZ492" s="5"/>
      <c r="BA492" s="5" t="s">
        <v>125</v>
      </c>
      <c r="BB492" s="5" t="s">
        <v>127</v>
      </c>
      <c r="BD492" s="5" t="s">
        <v>126</v>
      </c>
      <c r="BE492" s="5" t="s">
        <v>147</v>
      </c>
      <c r="BF492" s="5" t="s">
        <v>130</v>
      </c>
      <c r="BG492" s="5" t="s">
        <v>131</v>
      </c>
    </row>
    <row r="493" ht="16.5" hidden="1" customHeight="1">
      <c r="A493" s="5" t="s">
        <v>100</v>
      </c>
      <c r="B493" s="5" t="s">
        <v>137</v>
      </c>
      <c r="C493" s="5" t="b">
        <v>1</v>
      </c>
      <c r="D493" s="5" t="s">
        <v>1318</v>
      </c>
      <c r="E493" s="5" t="s">
        <v>1319</v>
      </c>
      <c r="F493" s="5"/>
      <c r="G493" s="5" t="s">
        <v>65</v>
      </c>
      <c r="H493" s="5" t="s">
        <v>84</v>
      </c>
      <c r="I493" s="5" t="s">
        <v>992</v>
      </c>
      <c r="J493" s="25"/>
      <c r="K493" s="25"/>
      <c r="L493" s="25"/>
      <c r="M493" s="5" t="s">
        <v>247</v>
      </c>
      <c r="N493" s="5" t="s">
        <v>113</v>
      </c>
      <c r="O493" s="5" t="s">
        <v>69</v>
      </c>
      <c r="P493" s="5" t="s">
        <v>70</v>
      </c>
      <c r="Q493" s="5" t="s">
        <v>180</v>
      </c>
      <c r="R493" s="5" t="s">
        <v>181</v>
      </c>
      <c r="S493" s="5"/>
      <c r="T493" s="5"/>
      <c r="U493" s="5"/>
      <c r="V493" s="5">
        <v>1800.0</v>
      </c>
      <c r="W493" s="26">
        <v>2.1</v>
      </c>
      <c r="X493" s="5">
        <v>857.0</v>
      </c>
      <c r="Y493" s="27">
        <v>0.2</v>
      </c>
      <c r="Z493" s="28">
        <v>685.6</v>
      </c>
      <c r="AA493" s="27">
        <v>1.0</v>
      </c>
      <c r="AB493" s="5" t="s">
        <v>242</v>
      </c>
      <c r="AC493" s="27">
        <v>0.55</v>
      </c>
      <c r="AD493" s="5"/>
      <c r="AE493" s="5" t="s">
        <v>81</v>
      </c>
      <c r="AF493" s="5"/>
      <c r="AG493" s="5">
        <v>0.0</v>
      </c>
      <c r="AH493" s="5">
        <v>2.0</v>
      </c>
      <c r="AI493" s="5" t="s">
        <v>0</v>
      </c>
      <c r="AJ493" s="5"/>
      <c r="AK493" s="30">
        <v>1000.0</v>
      </c>
      <c r="AL493" s="28">
        <v>0.0</v>
      </c>
      <c r="AM493" s="28">
        <v>0.0</v>
      </c>
      <c r="AN493" s="28">
        <v>0.0</v>
      </c>
      <c r="AO493" s="28">
        <v>0.0</v>
      </c>
      <c r="AP493" s="28">
        <v>857000.0</v>
      </c>
      <c r="AQ493" s="28">
        <v>0.0</v>
      </c>
      <c r="AR493" s="28">
        <v>0.0</v>
      </c>
      <c r="AS493" s="28">
        <v>0.0</v>
      </c>
      <c r="AT493" s="28">
        <v>0.0</v>
      </c>
      <c r="AU493" s="28">
        <v>685600.0</v>
      </c>
      <c r="AV493" s="28">
        <v>0.0</v>
      </c>
      <c r="AW493" s="28">
        <v>0.0</v>
      </c>
      <c r="AX493" s="28">
        <v>0.0</v>
      </c>
      <c r="AY493" s="28">
        <v>0.0</v>
      </c>
      <c r="AZ493" s="5"/>
      <c r="BA493" s="5" t="s">
        <v>125</v>
      </c>
      <c r="BB493" s="5" t="s">
        <v>174</v>
      </c>
      <c r="BC493" s="5" t="s">
        <v>237</v>
      </c>
      <c r="BD493" s="5" t="s">
        <v>126</v>
      </c>
      <c r="BE493" s="5" t="s">
        <v>128</v>
      </c>
      <c r="BF493" s="5" t="s">
        <v>130</v>
      </c>
      <c r="BG493" s="5" t="s">
        <v>131</v>
      </c>
    </row>
    <row r="494" ht="16.5" hidden="1" customHeight="1">
      <c r="A494" s="5" t="s">
        <v>100</v>
      </c>
      <c r="B494" s="5" t="s">
        <v>137</v>
      </c>
      <c r="C494" s="5" t="b">
        <v>1</v>
      </c>
      <c r="D494" s="5" t="s">
        <v>1324</v>
      </c>
      <c r="E494" s="5" t="s">
        <v>1325</v>
      </c>
      <c r="F494" s="5"/>
      <c r="G494" s="5" t="s">
        <v>65</v>
      </c>
      <c r="H494" s="5" t="s">
        <v>84</v>
      </c>
      <c r="I494" s="5" t="s">
        <v>992</v>
      </c>
      <c r="J494" s="25"/>
      <c r="K494" s="25"/>
      <c r="L494" s="25"/>
      <c r="M494" s="5" t="s">
        <v>247</v>
      </c>
      <c r="N494" s="5" t="s">
        <v>113</v>
      </c>
      <c r="O494" s="5" t="s">
        <v>69</v>
      </c>
      <c r="P494" s="5" t="s">
        <v>107</v>
      </c>
      <c r="Q494" s="5" t="s">
        <v>180</v>
      </c>
      <c r="R494" s="5" t="s">
        <v>181</v>
      </c>
      <c r="S494" s="5"/>
      <c r="T494" s="5"/>
      <c r="U494" s="5"/>
      <c r="V494" s="5">
        <v>1800.0</v>
      </c>
      <c r="W494" s="26">
        <v>2.1</v>
      </c>
      <c r="X494" s="5">
        <v>857.0</v>
      </c>
      <c r="Y494" s="27">
        <v>0.2</v>
      </c>
      <c r="Z494" s="28">
        <v>685.6</v>
      </c>
      <c r="AA494" s="27">
        <v>1.0</v>
      </c>
      <c r="AB494" s="5" t="s">
        <v>242</v>
      </c>
      <c r="AC494" s="27">
        <v>0.6</v>
      </c>
      <c r="AD494" s="5"/>
      <c r="AE494" s="5" t="s">
        <v>81</v>
      </c>
      <c r="AF494" s="5"/>
      <c r="AG494" s="5">
        <v>0.0</v>
      </c>
      <c r="AH494" s="5">
        <v>2.0</v>
      </c>
      <c r="AI494" s="5" t="s">
        <v>0</v>
      </c>
      <c r="AJ494" s="5"/>
      <c r="AK494" s="30">
        <v>800.0</v>
      </c>
      <c r="AL494" s="28">
        <v>0.0</v>
      </c>
      <c r="AM494" s="28">
        <v>0.0</v>
      </c>
      <c r="AN494" s="28">
        <v>0.0</v>
      </c>
      <c r="AO494" s="28">
        <v>0.0</v>
      </c>
      <c r="AP494" s="28">
        <v>685600.0</v>
      </c>
      <c r="AQ494" s="28">
        <v>0.0</v>
      </c>
      <c r="AR494" s="28">
        <v>0.0</v>
      </c>
      <c r="AS494" s="28">
        <v>0.0</v>
      </c>
      <c r="AT494" s="28">
        <v>0.0</v>
      </c>
      <c r="AU494" s="28">
        <v>548480.0</v>
      </c>
      <c r="AV494" s="28">
        <v>0.0</v>
      </c>
      <c r="AW494" s="28">
        <v>0.0</v>
      </c>
      <c r="AX494" s="28">
        <v>0.0</v>
      </c>
      <c r="AY494" s="28">
        <v>0.0</v>
      </c>
      <c r="AZ494" s="5"/>
      <c r="BA494" s="5" t="s">
        <v>125</v>
      </c>
      <c r="BB494" s="5" t="s">
        <v>174</v>
      </c>
      <c r="BC494" s="5" t="s">
        <v>237</v>
      </c>
      <c r="BD494" s="5" t="s">
        <v>126</v>
      </c>
      <c r="BE494" s="5" t="s">
        <v>128</v>
      </c>
      <c r="BF494" s="5" t="s">
        <v>130</v>
      </c>
      <c r="BG494" s="5" t="s">
        <v>131</v>
      </c>
    </row>
    <row r="495" ht="16.5" hidden="1" customHeight="1">
      <c r="A495" s="5" t="s">
        <v>100</v>
      </c>
      <c r="B495" s="5" t="s">
        <v>137</v>
      </c>
      <c r="C495" s="5" t="b">
        <v>1</v>
      </c>
      <c r="D495" s="5" t="s">
        <v>1422</v>
      </c>
      <c r="E495" s="5" t="s">
        <v>1423</v>
      </c>
      <c r="F495" s="5"/>
      <c r="G495" s="5" t="s">
        <v>65</v>
      </c>
      <c r="H495" s="5" t="s">
        <v>84</v>
      </c>
      <c r="I495" s="5" t="s">
        <v>202</v>
      </c>
      <c r="J495" s="25"/>
      <c r="K495" s="25"/>
      <c r="L495" s="25"/>
      <c r="M495" s="5" t="s">
        <v>66</v>
      </c>
      <c r="N495" s="5" t="s">
        <v>113</v>
      </c>
      <c r="O495" s="5" t="s">
        <v>69</v>
      </c>
      <c r="P495" s="5" t="s">
        <v>107</v>
      </c>
      <c r="Q495" s="5" t="s">
        <v>1032</v>
      </c>
      <c r="R495" s="5" t="s">
        <v>181</v>
      </c>
      <c r="S495" s="5"/>
      <c r="T495" s="5"/>
      <c r="U495" s="5"/>
      <c r="V495" s="5">
        <v>1200.0</v>
      </c>
      <c r="W495" s="26">
        <v>2.1</v>
      </c>
      <c r="X495" s="5">
        <v>571.0</v>
      </c>
      <c r="Y495" s="27">
        <v>0.2</v>
      </c>
      <c r="Z495" s="28">
        <v>456.8</v>
      </c>
      <c r="AA495" s="27">
        <v>1.0</v>
      </c>
      <c r="AB495" s="5" t="s">
        <v>117</v>
      </c>
      <c r="AC495" s="27">
        <v>0.6</v>
      </c>
      <c r="AD495" s="5"/>
      <c r="AE495" s="24" t="s">
        <v>0</v>
      </c>
      <c r="AF495" s="5"/>
      <c r="AG495" s="5">
        <v>2.0</v>
      </c>
      <c r="AH495" s="5">
        <v>2.0</v>
      </c>
      <c r="AI495" s="5" t="s">
        <v>169</v>
      </c>
      <c r="AJ495" s="5"/>
      <c r="AK495" s="30">
        <v>1500.0</v>
      </c>
      <c r="AL495" s="28">
        <v>0.0</v>
      </c>
      <c r="AM495" s="28">
        <v>0.0</v>
      </c>
      <c r="AN495" s="28">
        <v>0.0</v>
      </c>
      <c r="AO495" s="28">
        <v>0.0</v>
      </c>
      <c r="AP495" s="28">
        <v>856500.0</v>
      </c>
      <c r="AQ495" s="28">
        <v>0.0</v>
      </c>
      <c r="AR495" s="28">
        <v>0.0</v>
      </c>
      <c r="AS495" s="28">
        <v>0.0</v>
      </c>
      <c r="AT495" s="28">
        <v>0.0</v>
      </c>
      <c r="AU495" s="28">
        <v>685200.0</v>
      </c>
      <c r="AV495" s="28">
        <v>0.0</v>
      </c>
      <c r="AW495" s="28">
        <v>0.0</v>
      </c>
      <c r="AX495" s="28">
        <v>0.0</v>
      </c>
      <c r="AY495" s="28">
        <v>0.0</v>
      </c>
      <c r="AZ495" s="5"/>
      <c r="BA495" s="5" t="s">
        <v>125</v>
      </c>
      <c r="BB495" s="5" t="s">
        <v>127</v>
      </c>
      <c r="BC495" s="32" t="s">
        <v>264</v>
      </c>
      <c r="BD495" s="5" t="s">
        <v>126</v>
      </c>
      <c r="BE495" s="5" t="s">
        <v>1032</v>
      </c>
      <c r="BF495" s="5" t="s">
        <v>130</v>
      </c>
      <c r="BG495" s="5" t="s">
        <v>131</v>
      </c>
    </row>
    <row r="496" ht="16.5" hidden="1" customHeight="1">
      <c r="A496" s="5" t="s">
        <v>100</v>
      </c>
      <c r="B496" s="5" t="s">
        <v>137</v>
      </c>
      <c r="C496" s="5" t="b">
        <v>1</v>
      </c>
      <c r="D496" s="5" t="s">
        <v>1431</v>
      </c>
      <c r="E496" s="5" t="s">
        <v>1432</v>
      </c>
      <c r="F496" s="5"/>
      <c r="G496" s="5" t="s">
        <v>65</v>
      </c>
      <c r="H496" s="5" t="s">
        <v>84</v>
      </c>
      <c r="I496" s="5" t="s">
        <v>202</v>
      </c>
      <c r="J496" s="25" t="s">
        <v>2021</v>
      </c>
      <c r="K496" s="25"/>
      <c r="L496" s="25"/>
      <c r="M496" s="5" t="s">
        <v>66</v>
      </c>
      <c r="N496" s="5" t="s">
        <v>334</v>
      </c>
      <c r="O496" s="5" t="s">
        <v>69</v>
      </c>
      <c r="P496" s="5" t="s">
        <v>70</v>
      </c>
      <c r="Q496" s="5" t="s">
        <v>778</v>
      </c>
      <c r="R496" s="5" t="s">
        <v>110</v>
      </c>
      <c r="S496" s="5"/>
      <c r="T496" s="5"/>
      <c r="U496" s="5"/>
      <c r="V496" s="5">
        <v>1000.0</v>
      </c>
      <c r="W496" s="26">
        <v>2.1</v>
      </c>
      <c r="X496" s="5">
        <v>476.0</v>
      </c>
      <c r="Y496" s="27">
        <v>0.2</v>
      </c>
      <c r="Z496" s="28">
        <v>380.8</v>
      </c>
      <c r="AA496" s="27">
        <v>1.0</v>
      </c>
      <c r="AB496" s="5" t="s">
        <v>117</v>
      </c>
      <c r="AC496" s="27">
        <v>0.61</v>
      </c>
      <c r="AD496" s="5"/>
      <c r="AE496" s="24" t="s">
        <v>0</v>
      </c>
      <c r="AF496" s="5"/>
      <c r="AG496" s="5">
        <v>3.0</v>
      </c>
      <c r="AH496" s="5">
        <v>3.0</v>
      </c>
      <c r="AI496" s="5" t="s">
        <v>125</v>
      </c>
      <c r="AJ496" s="5"/>
      <c r="AK496" s="30">
        <v>1000.0</v>
      </c>
      <c r="AL496" s="28">
        <v>0.0</v>
      </c>
      <c r="AM496" s="28">
        <v>0.0</v>
      </c>
      <c r="AN496" s="28">
        <v>0.0</v>
      </c>
      <c r="AO496" s="28">
        <v>0.0</v>
      </c>
      <c r="AP496" s="28">
        <v>476000.0</v>
      </c>
      <c r="AQ496" s="28">
        <v>0.0</v>
      </c>
      <c r="AR496" s="28">
        <v>0.0</v>
      </c>
      <c r="AS496" s="28">
        <v>0.0</v>
      </c>
      <c r="AT496" s="28">
        <v>0.0</v>
      </c>
      <c r="AU496" s="28">
        <v>380800.0</v>
      </c>
      <c r="AV496" s="28">
        <v>0.0</v>
      </c>
      <c r="AW496" s="28">
        <v>0.0</v>
      </c>
      <c r="AX496" s="28">
        <v>0.0</v>
      </c>
      <c r="AY496" s="28">
        <v>0.0</v>
      </c>
      <c r="AZ496" s="5"/>
      <c r="BA496" s="5" t="s">
        <v>125</v>
      </c>
      <c r="BB496" s="5" t="s">
        <v>127</v>
      </c>
      <c r="BC496" s="5" t="s">
        <v>237</v>
      </c>
      <c r="BD496" s="5" t="s">
        <v>334</v>
      </c>
      <c r="BE496" s="5" t="s">
        <v>337</v>
      </c>
      <c r="BF496" s="5" t="s">
        <v>387</v>
      </c>
      <c r="BG496" s="5" t="s">
        <v>131</v>
      </c>
    </row>
    <row r="497" ht="16.5" hidden="1" customHeight="1">
      <c r="A497" s="5" t="s">
        <v>100</v>
      </c>
      <c r="B497" s="5" t="s">
        <v>137</v>
      </c>
      <c r="C497" s="5" t="b">
        <v>1</v>
      </c>
      <c r="D497" s="5" t="s">
        <v>1436</v>
      </c>
      <c r="E497" s="5" t="s">
        <v>1437</v>
      </c>
      <c r="F497" s="5"/>
      <c r="G497" s="5" t="s">
        <v>65</v>
      </c>
      <c r="H497" s="5" t="s">
        <v>84</v>
      </c>
      <c r="I497" s="5" t="s">
        <v>202</v>
      </c>
      <c r="J497" s="25" t="s">
        <v>2021</v>
      </c>
      <c r="K497" s="25"/>
      <c r="L497" s="25"/>
      <c r="M497" s="5" t="s">
        <v>66</v>
      </c>
      <c r="N497" s="5" t="s">
        <v>334</v>
      </c>
      <c r="O497" s="5" t="s">
        <v>69</v>
      </c>
      <c r="P497" s="5" t="s">
        <v>107</v>
      </c>
      <c r="Q497" s="5" t="s">
        <v>778</v>
      </c>
      <c r="R497" s="5" t="s">
        <v>110</v>
      </c>
      <c r="S497" s="5"/>
      <c r="T497" s="5"/>
      <c r="U497" s="5"/>
      <c r="V497" s="5">
        <v>1000.0</v>
      </c>
      <c r="W497" s="26">
        <v>2.1</v>
      </c>
      <c r="X497" s="5">
        <v>476.0</v>
      </c>
      <c r="Y497" s="27">
        <v>0.2</v>
      </c>
      <c r="Z497" s="28">
        <v>380.8</v>
      </c>
      <c r="AA497" s="27">
        <v>1.0</v>
      </c>
      <c r="AB497" s="5" t="s">
        <v>117</v>
      </c>
      <c r="AC497" s="27">
        <v>0.62</v>
      </c>
      <c r="AD497" s="5"/>
      <c r="AE497" s="24" t="s">
        <v>0</v>
      </c>
      <c r="AF497" s="5"/>
      <c r="AG497" s="5">
        <v>3.0</v>
      </c>
      <c r="AH497" s="5">
        <v>3.0</v>
      </c>
      <c r="AI497" s="5" t="s">
        <v>125</v>
      </c>
      <c r="AJ497" s="5"/>
      <c r="AK497" s="30">
        <v>1000.0</v>
      </c>
      <c r="AL497" s="28">
        <v>0.0</v>
      </c>
      <c r="AM497" s="28">
        <v>0.0</v>
      </c>
      <c r="AN497" s="28">
        <v>0.0</v>
      </c>
      <c r="AO497" s="28">
        <v>0.0</v>
      </c>
      <c r="AP497" s="28">
        <v>476000.0</v>
      </c>
      <c r="AQ497" s="28">
        <v>0.0</v>
      </c>
      <c r="AR497" s="28">
        <v>0.0</v>
      </c>
      <c r="AS497" s="28">
        <v>0.0</v>
      </c>
      <c r="AT497" s="28">
        <v>0.0</v>
      </c>
      <c r="AU497" s="28">
        <v>380800.0</v>
      </c>
      <c r="AV497" s="28">
        <v>0.0</v>
      </c>
      <c r="AW497" s="28">
        <v>0.0</v>
      </c>
      <c r="AX497" s="28">
        <v>0.0</v>
      </c>
      <c r="AY497" s="28">
        <v>0.0</v>
      </c>
      <c r="AZ497" s="5"/>
      <c r="BA497" s="5" t="s">
        <v>125</v>
      </c>
      <c r="BB497" s="5" t="s">
        <v>127</v>
      </c>
      <c r="BC497" s="5" t="s">
        <v>237</v>
      </c>
      <c r="BD497" s="5" t="s">
        <v>334</v>
      </c>
      <c r="BE497" s="5" t="s">
        <v>337</v>
      </c>
      <c r="BF497" s="5" t="s">
        <v>387</v>
      </c>
      <c r="BG497" s="5" t="s">
        <v>131</v>
      </c>
    </row>
    <row r="498" ht="16.5" hidden="1" customHeight="1">
      <c r="A498" s="5" t="s">
        <v>100</v>
      </c>
      <c r="B498" s="5" t="s">
        <v>137</v>
      </c>
      <c r="C498" s="5" t="b">
        <v>1</v>
      </c>
      <c r="D498" s="5" t="s">
        <v>1445</v>
      </c>
      <c r="E498" s="5" t="s">
        <v>1446</v>
      </c>
      <c r="F498" s="5"/>
      <c r="G498" s="5" t="s">
        <v>65</v>
      </c>
      <c r="H498" s="5" t="s">
        <v>84</v>
      </c>
      <c r="I498" s="5" t="s">
        <v>202</v>
      </c>
      <c r="J498" s="25" t="s">
        <v>2021</v>
      </c>
      <c r="K498" s="25"/>
      <c r="L498" s="25"/>
      <c r="M498" s="5" t="s">
        <v>66</v>
      </c>
      <c r="N498" s="5" t="s">
        <v>334</v>
      </c>
      <c r="O498" s="5" t="s">
        <v>69</v>
      </c>
      <c r="P498" s="5" t="s">
        <v>70</v>
      </c>
      <c r="Q498" s="5" t="s">
        <v>805</v>
      </c>
      <c r="R498" s="5" t="s">
        <v>110</v>
      </c>
      <c r="S498" s="5"/>
      <c r="T498" s="5"/>
      <c r="U498" s="5"/>
      <c r="V498" s="5">
        <v>900.0</v>
      </c>
      <c r="W498" s="26">
        <v>2.1</v>
      </c>
      <c r="X498" s="5">
        <v>429.0</v>
      </c>
      <c r="Y498" s="27">
        <v>0.2</v>
      </c>
      <c r="Z498" s="28">
        <v>343.20000000000005</v>
      </c>
      <c r="AA498" s="27">
        <v>1.0</v>
      </c>
      <c r="AB498" s="5" t="s">
        <v>117</v>
      </c>
      <c r="AC498" s="27">
        <v>0.61</v>
      </c>
      <c r="AD498" s="5"/>
      <c r="AE498" s="24" t="s">
        <v>0</v>
      </c>
      <c r="AF498" s="5"/>
      <c r="AG498" s="5">
        <v>3.0</v>
      </c>
      <c r="AH498" s="5">
        <v>3.0</v>
      </c>
      <c r="AI498" s="5" t="s">
        <v>125</v>
      </c>
      <c r="AJ498" s="5"/>
      <c r="AK498" s="30">
        <v>1500.0</v>
      </c>
      <c r="AL498" s="28">
        <v>0.0</v>
      </c>
      <c r="AM498" s="28">
        <v>0.0</v>
      </c>
      <c r="AN498" s="28">
        <v>0.0</v>
      </c>
      <c r="AO498" s="28">
        <v>0.0</v>
      </c>
      <c r="AP498" s="28">
        <v>643500.0</v>
      </c>
      <c r="AQ498" s="28">
        <v>0.0</v>
      </c>
      <c r="AR498" s="28">
        <v>0.0</v>
      </c>
      <c r="AS498" s="28">
        <v>0.0</v>
      </c>
      <c r="AT498" s="28">
        <v>0.0</v>
      </c>
      <c r="AU498" s="28">
        <v>514800.00000000006</v>
      </c>
      <c r="AV498" s="28">
        <v>0.0</v>
      </c>
      <c r="AW498" s="28">
        <v>0.0</v>
      </c>
      <c r="AX498" s="28">
        <v>0.0</v>
      </c>
      <c r="AY498" s="28">
        <v>0.0</v>
      </c>
      <c r="AZ498" s="5"/>
      <c r="BA498" s="5" t="s">
        <v>125</v>
      </c>
      <c r="BB498" s="5" t="s">
        <v>127</v>
      </c>
      <c r="BC498" s="5" t="s">
        <v>237</v>
      </c>
      <c r="BD498" s="5" t="s">
        <v>334</v>
      </c>
      <c r="BE498" s="5" t="s">
        <v>348</v>
      </c>
      <c r="BF498" s="5" t="s">
        <v>387</v>
      </c>
      <c r="BG498" s="5" t="s">
        <v>131</v>
      </c>
    </row>
    <row r="499" ht="16.5" hidden="1" customHeight="1">
      <c r="A499" s="5" t="s">
        <v>100</v>
      </c>
      <c r="B499" s="5" t="s">
        <v>137</v>
      </c>
      <c r="C499" s="5" t="b">
        <v>1</v>
      </c>
      <c r="D499" s="5" t="s">
        <v>1450</v>
      </c>
      <c r="E499" s="5" t="s">
        <v>1451</v>
      </c>
      <c r="F499" s="5"/>
      <c r="G499" s="5" t="s">
        <v>65</v>
      </c>
      <c r="H499" s="5" t="s">
        <v>84</v>
      </c>
      <c r="I499" s="5" t="s">
        <v>202</v>
      </c>
      <c r="J499" s="25" t="s">
        <v>2021</v>
      </c>
      <c r="K499" s="25"/>
      <c r="L499" s="25"/>
      <c r="M499" s="5" t="s">
        <v>66</v>
      </c>
      <c r="N499" s="5" t="s">
        <v>334</v>
      </c>
      <c r="O499" s="5" t="s">
        <v>69</v>
      </c>
      <c r="P499" s="5" t="s">
        <v>107</v>
      </c>
      <c r="Q499" s="5" t="s">
        <v>805</v>
      </c>
      <c r="R499" s="5" t="s">
        <v>110</v>
      </c>
      <c r="S499" s="5"/>
      <c r="T499" s="5"/>
      <c r="U499" s="5"/>
      <c r="V499" s="5">
        <v>900.0</v>
      </c>
      <c r="W499" s="26">
        <v>2.1</v>
      </c>
      <c r="X499" s="5">
        <v>429.0</v>
      </c>
      <c r="Y499" s="27">
        <v>0.2</v>
      </c>
      <c r="Z499" s="28">
        <v>343.20000000000005</v>
      </c>
      <c r="AA499" s="27">
        <v>1.0</v>
      </c>
      <c r="AB499" s="5" t="s">
        <v>117</v>
      </c>
      <c r="AC499" s="27">
        <v>0.62</v>
      </c>
      <c r="AD499" s="5"/>
      <c r="AE499" s="24" t="s">
        <v>0</v>
      </c>
      <c r="AF499" s="5"/>
      <c r="AG499" s="5">
        <v>3.0</v>
      </c>
      <c r="AH499" s="5">
        <v>3.0</v>
      </c>
      <c r="AI499" s="5" t="s">
        <v>125</v>
      </c>
      <c r="AJ499" s="5"/>
      <c r="AK499" s="30">
        <v>1400.0</v>
      </c>
      <c r="AL499" s="28">
        <v>0.0</v>
      </c>
      <c r="AM499" s="28">
        <v>0.0</v>
      </c>
      <c r="AN499" s="28">
        <v>0.0</v>
      </c>
      <c r="AO499" s="28">
        <v>0.0</v>
      </c>
      <c r="AP499" s="28">
        <v>600600.0</v>
      </c>
      <c r="AQ499" s="28">
        <v>0.0</v>
      </c>
      <c r="AR499" s="28">
        <v>0.0</v>
      </c>
      <c r="AS499" s="28">
        <v>0.0</v>
      </c>
      <c r="AT499" s="28">
        <v>0.0</v>
      </c>
      <c r="AU499" s="28">
        <v>480480.00000000006</v>
      </c>
      <c r="AV499" s="28">
        <v>0.0</v>
      </c>
      <c r="AW499" s="28">
        <v>0.0</v>
      </c>
      <c r="AX499" s="28">
        <v>0.0</v>
      </c>
      <c r="AY499" s="28">
        <v>0.0</v>
      </c>
      <c r="AZ499" s="5"/>
      <c r="BA499" s="5" t="s">
        <v>125</v>
      </c>
      <c r="BB499" s="5" t="s">
        <v>127</v>
      </c>
      <c r="BC499" s="5" t="s">
        <v>237</v>
      </c>
      <c r="BD499" s="5" t="s">
        <v>334</v>
      </c>
      <c r="BE499" s="5" t="s">
        <v>348</v>
      </c>
      <c r="BF499" s="5" t="s">
        <v>387</v>
      </c>
      <c r="BG499" s="5" t="s">
        <v>131</v>
      </c>
    </row>
    <row r="500" ht="16.5" hidden="1" customHeight="1">
      <c r="A500" s="5" t="s">
        <v>100</v>
      </c>
      <c r="B500" s="5" t="s">
        <v>137</v>
      </c>
      <c r="C500" s="5" t="b">
        <v>1</v>
      </c>
      <c r="D500" s="5" t="s">
        <v>1464</v>
      </c>
      <c r="E500" s="5" t="s">
        <v>1465</v>
      </c>
      <c r="F500" s="5"/>
      <c r="G500" s="5" t="s">
        <v>65</v>
      </c>
      <c r="H500" s="5" t="s">
        <v>84</v>
      </c>
      <c r="I500" s="5" t="s">
        <v>202</v>
      </c>
      <c r="J500" s="25"/>
      <c r="K500" s="25"/>
      <c r="L500" s="25"/>
      <c r="M500" s="5" t="s">
        <v>66</v>
      </c>
      <c r="N500" s="5" t="s">
        <v>334</v>
      </c>
      <c r="O500" s="5" t="s">
        <v>69</v>
      </c>
      <c r="P500" s="5" t="s">
        <v>107</v>
      </c>
      <c r="Q500" s="5" t="s">
        <v>600</v>
      </c>
      <c r="R500" s="5" t="s">
        <v>110</v>
      </c>
      <c r="S500" s="5"/>
      <c r="T500" s="5"/>
      <c r="U500" s="5"/>
      <c r="V500" s="5">
        <v>750.0</v>
      </c>
      <c r="W500" s="26">
        <v>2.1</v>
      </c>
      <c r="X500" s="5">
        <v>357.0</v>
      </c>
      <c r="Y500" s="27">
        <v>0.2</v>
      </c>
      <c r="Z500" s="28">
        <v>285.6</v>
      </c>
      <c r="AA500" s="27">
        <v>1.0</v>
      </c>
      <c r="AB500" s="5" t="s">
        <v>117</v>
      </c>
      <c r="AC500" s="27">
        <v>0.62</v>
      </c>
      <c r="AD500" s="5"/>
      <c r="AE500" s="24" t="s">
        <v>0</v>
      </c>
      <c r="AF500" s="5"/>
      <c r="AG500" s="5">
        <v>3.0</v>
      </c>
      <c r="AH500" s="5">
        <v>3.0</v>
      </c>
      <c r="AI500" s="5" t="s">
        <v>125</v>
      </c>
      <c r="AJ500" s="5"/>
      <c r="AK500" s="30">
        <v>800.0</v>
      </c>
      <c r="AL500" s="28">
        <v>0.0</v>
      </c>
      <c r="AM500" s="28">
        <v>0.0</v>
      </c>
      <c r="AN500" s="28">
        <v>0.0</v>
      </c>
      <c r="AO500" s="28">
        <v>0.0</v>
      </c>
      <c r="AP500" s="28">
        <v>285600.0</v>
      </c>
      <c r="AQ500" s="28">
        <v>0.0</v>
      </c>
      <c r="AR500" s="28">
        <v>0.0</v>
      </c>
      <c r="AS500" s="28">
        <v>0.0</v>
      </c>
      <c r="AT500" s="28">
        <v>0.0</v>
      </c>
      <c r="AU500" s="28">
        <v>228480.00000000003</v>
      </c>
      <c r="AV500" s="28">
        <v>0.0</v>
      </c>
      <c r="AW500" s="28">
        <v>0.0</v>
      </c>
      <c r="AX500" s="28">
        <v>0.0</v>
      </c>
      <c r="AY500" s="28">
        <v>0.0</v>
      </c>
      <c r="AZ500" s="5"/>
      <c r="BA500" s="5" t="s">
        <v>125</v>
      </c>
      <c r="BB500" s="5" t="s">
        <v>127</v>
      </c>
      <c r="BC500" s="5" t="s">
        <v>237</v>
      </c>
      <c r="BD500" s="5" t="s">
        <v>334</v>
      </c>
      <c r="BE500" s="5" t="s">
        <v>600</v>
      </c>
      <c r="BF500" s="5" t="s">
        <v>387</v>
      </c>
      <c r="BG500" s="5" t="s">
        <v>131</v>
      </c>
    </row>
    <row r="501" ht="16.5" customHeight="1">
      <c r="A501" s="5" t="s">
        <v>100</v>
      </c>
      <c r="B501" s="5" t="s">
        <v>137</v>
      </c>
      <c r="C501" s="5" t="b">
        <v>1</v>
      </c>
      <c r="D501" s="5" t="s">
        <v>1589</v>
      </c>
      <c r="E501" s="5" t="s">
        <v>1590</v>
      </c>
      <c r="F501" s="5"/>
      <c r="G501" s="5" t="s">
        <v>65</v>
      </c>
      <c r="H501" s="5" t="s">
        <v>84</v>
      </c>
      <c r="I501" s="5" t="s">
        <v>202</v>
      </c>
      <c r="J501" s="25"/>
      <c r="K501" s="25"/>
      <c r="L501" s="25"/>
      <c r="M501" s="5" t="s">
        <v>109</v>
      </c>
      <c r="N501" s="5" t="s">
        <v>68</v>
      </c>
      <c r="O501" s="5" t="s">
        <v>69</v>
      </c>
      <c r="P501" s="5" t="s">
        <v>70</v>
      </c>
      <c r="Q501" s="5" t="s">
        <v>89</v>
      </c>
      <c r="R501" s="5" t="s">
        <v>110</v>
      </c>
      <c r="S501" s="5"/>
      <c r="T501" s="5"/>
      <c r="U501" s="5"/>
      <c r="V501" s="5">
        <v>3700.0</v>
      </c>
      <c r="W501" s="26">
        <v>2.1</v>
      </c>
      <c r="X501" s="5">
        <v>1762.0</v>
      </c>
      <c r="Y501" s="27">
        <v>0.2</v>
      </c>
      <c r="Z501" s="28">
        <v>1409.6000000000001</v>
      </c>
      <c r="AA501" s="27">
        <v>1.0</v>
      </c>
      <c r="AB501" s="5" t="s">
        <v>242</v>
      </c>
      <c r="AC501" s="27">
        <v>0.5</v>
      </c>
      <c r="AD501" s="5"/>
      <c r="AE501" s="5" t="s">
        <v>166</v>
      </c>
      <c r="AF501" s="5"/>
      <c r="AG501" s="5">
        <v>3.0</v>
      </c>
      <c r="AH501" s="5">
        <v>3.0</v>
      </c>
      <c r="AI501" s="5" t="s">
        <v>0</v>
      </c>
      <c r="AJ501" s="5"/>
      <c r="AK501" s="30">
        <v>800.0</v>
      </c>
      <c r="AL501" s="28">
        <v>0.0</v>
      </c>
      <c r="AM501" s="28">
        <v>0.0</v>
      </c>
      <c r="AN501" s="28">
        <v>0.0</v>
      </c>
      <c r="AO501" s="28">
        <v>0.0</v>
      </c>
      <c r="AP501" s="28">
        <v>1409600.0</v>
      </c>
      <c r="AQ501" s="28">
        <v>0.0</v>
      </c>
      <c r="AR501" s="28">
        <v>0.0</v>
      </c>
      <c r="AS501" s="28">
        <v>0.0</v>
      </c>
      <c r="AT501" s="28">
        <v>0.0</v>
      </c>
      <c r="AU501" s="28">
        <v>1127680.0</v>
      </c>
      <c r="AV501" s="28">
        <v>0.0</v>
      </c>
      <c r="AW501" s="28">
        <v>0.0</v>
      </c>
      <c r="AX501" s="28">
        <v>0.0</v>
      </c>
      <c r="AY501" s="28">
        <v>0.0</v>
      </c>
      <c r="AZ501" s="5"/>
      <c r="BA501" s="5" t="s">
        <v>86</v>
      </c>
      <c r="BB501" s="5" t="s">
        <v>512</v>
      </c>
      <c r="BC501" s="5" t="s">
        <v>88</v>
      </c>
      <c r="BD501" s="5" t="s">
        <v>68</v>
      </c>
      <c r="BE501" s="5" t="s">
        <v>89</v>
      </c>
      <c r="BF501" s="5" t="s">
        <v>132</v>
      </c>
      <c r="BG501" s="5" t="s">
        <v>91</v>
      </c>
    </row>
    <row r="502" ht="16.5" customHeight="1">
      <c r="A502" s="5" t="s">
        <v>100</v>
      </c>
      <c r="B502" s="5" t="s">
        <v>137</v>
      </c>
      <c r="C502" s="5" t="b">
        <v>1</v>
      </c>
      <c r="D502" s="5" t="s">
        <v>1593</v>
      </c>
      <c r="E502" s="5" t="s">
        <v>1594</v>
      </c>
      <c r="F502" s="5"/>
      <c r="G502" s="5" t="s">
        <v>65</v>
      </c>
      <c r="H502" s="5" t="s">
        <v>84</v>
      </c>
      <c r="I502" s="5" t="s">
        <v>202</v>
      </c>
      <c r="J502" s="25"/>
      <c r="K502" s="25"/>
      <c r="L502" s="25"/>
      <c r="M502" s="5" t="s">
        <v>109</v>
      </c>
      <c r="N502" s="5" t="s">
        <v>68</v>
      </c>
      <c r="O502" s="5" t="s">
        <v>69</v>
      </c>
      <c r="P502" s="5" t="s">
        <v>107</v>
      </c>
      <c r="Q502" s="5" t="s">
        <v>89</v>
      </c>
      <c r="R502" s="5" t="s">
        <v>110</v>
      </c>
      <c r="S502" s="5"/>
      <c r="T502" s="5"/>
      <c r="U502" s="5"/>
      <c r="V502" s="5">
        <v>3700.0</v>
      </c>
      <c r="W502" s="26">
        <v>2.1</v>
      </c>
      <c r="X502" s="5">
        <v>1762.0</v>
      </c>
      <c r="Y502" s="27">
        <v>0.2</v>
      </c>
      <c r="Z502" s="28">
        <v>1409.6000000000001</v>
      </c>
      <c r="AA502" s="27">
        <v>1.0</v>
      </c>
      <c r="AB502" s="5" t="s">
        <v>242</v>
      </c>
      <c r="AC502" s="27">
        <v>0.5</v>
      </c>
      <c r="AD502" s="5"/>
      <c r="AE502" s="5" t="s">
        <v>166</v>
      </c>
      <c r="AF502" s="5"/>
      <c r="AG502" s="5">
        <v>3.0</v>
      </c>
      <c r="AH502" s="5">
        <v>3.0</v>
      </c>
      <c r="AI502" s="5" t="s">
        <v>0</v>
      </c>
      <c r="AJ502" s="5"/>
      <c r="AK502" s="30">
        <v>700.0</v>
      </c>
      <c r="AL502" s="28">
        <v>0.0</v>
      </c>
      <c r="AM502" s="28">
        <v>0.0</v>
      </c>
      <c r="AN502" s="28">
        <v>0.0</v>
      </c>
      <c r="AO502" s="28">
        <v>0.0</v>
      </c>
      <c r="AP502" s="28">
        <v>1233400.0</v>
      </c>
      <c r="AQ502" s="28">
        <v>0.0</v>
      </c>
      <c r="AR502" s="28">
        <v>0.0</v>
      </c>
      <c r="AS502" s="28">
        <v>0.0</v>
      </c>
      <c r="AT502" s="28">
        <v>0.0</v>
      </c>
      <c r="AU502" s="28">
        <v>986720.0000000001</v>
      </c>
      <c r="AV502" s="28">
        <v>0.0</v>
      </c>
      <c r="AW502" s="28">
        <v>0.0</v>
      </c>
      <c r="AX502" s="28">
        <v>0.0</v>
      </c>
      <c r="AY502" s="28">
        <v>0.0</v>
      </c>
      <c r="AZ502" s="5"/>
      <c r="BA502" s="5" t="s">
        <v>86</v>
      </c>
      <c r="BB502" s="5" t="s">
        <v>512</v>
      </c>
      <c r="BC502" s="5" t="s">
        <v>88</v>
      </c>
      <c r="BD502" s="5" t="s">
        <v>68</v>
      </c>
      <c r="BE502" s="5" t="s">
        <v>89</v>
      </c>
      <c r="BF502" s="5" t="s">
        <v>132</v>
      </c>
      <c r="BG502" s="5" t="s">
        <v>91</v>
      </c>
    </row>
    <row r="503" ht="16.5" customHeight="1">
      <c r="A503" s="5" t="s">
        <v>100</v>
      </c>
      <c r="B503" s="5" t="s">
        <v>137</v>
      </c>
      <c r="C503" s="5" t="b">
        <v>1</v>
      </c>
      <c r="D503" s="5" t="s">
        <v>158</v>
      </c>
      <c r="E503" s="5" t="s">
        <v>2026</v>
      </c>
      <c r="F503" s="5"/>
      <c r="G503" s="5" t="s">
        <v>65</v>
      </c>
      <c r="H503" s="5" t="s">
        <v>84</v>
      </c>
      <c r="I503" s="5" t="s">
        <v>202</v>
      </c>
      <c r="J503" s="25" t="s">
        <v>2021</v>
      </c>
      <c r="K503" s="25"/>
      <c r="L503" s="25"/>
      <c r="M503" s="5" t="s">
        <v>109</v>
      </c>
      <c r="N503" s="5" t="s">
        <v>68</v>
      </c>
      <c r="O503" s="5" t="s">
        <v>69</v>
      </c>
      <c r="P503" s="5" t="s">
        <v>70</v>
      </c>
      <c r="Q503" s="5" t="s">
        <v>89</v>
      </c>
      <c r="R503" s="5" t="s">
        <v>110</v>
      </c>
      <c r="S503" s="5"/>
      <c r="T503" s="5"/>
      <c r="U503" s="5"/>
      <c r="V503" s="5">
        <v>2500.0</v>
      </c>
      <c r="W503" s="26">
        <v>2.1</v>
      </c>
      <c r="X503" s="5">
        <v>1190.0</v>
      </c>
      <c r="Y503" s="27">
        <v>0.2</v>
      </c>
      <c r="Z503" s="28">
        <v>952.0</v>
      </c>
      <c r="AA503" s="27">
        <v>1.0</v>
      </c>
      <c r="AB503" s="5" t="s">
        <v>117</v>
      </c>
      <c r="AC503" s="27">
        <v>0.58</v>
      </c>
      <c r="AD503" s="5"/>
      <c r="AE503" s="5" t="s">
        <v>166</v>
      </c>
      <c r="AF503" s="5"/>
      <c r="AG503" s="5">
        <v>5.0</v>
      </c>
      <c r="AH503" s="5">
        <v>5.0</v>
      </c>
      <c r="AI503" s="5" t="s">
        <v>169</v>
      </c>
      <c r="AJ503" s="5"/>
      <c r="AK503" s="30">
        <v>3000.0</v>
      </c>
      <c r="AL503" s="28">
        <v>0.0</v>
      </c>
      <c r="AM503" s="28">
        <v>0.0</v>
      </c>
      <c r="AN503" s="28">
        <v>0.0</v>
      </c>
      <c r="AO503" s="28">
        <v>0.0</v>
      </c>
      <c r="AP503" s="28">
        <v>3570000.0</v>
      </c>
      <c r="AQ503" s="28">
        <v>0.0</v>
      </c>
      <c r="AR503" s="28">
        <v>0.0</v>
      </c>
      <c r="AS503" s="28">
        <v>0.0</v>
      </c>
      <c r="AT503" s="28">
        <v>0.0</v>
      </c>
      <c r="AU503" s="28">
        <v>2856000.0</v>
      </c>
      <c r="AV503" s="28">
        <v>0.0</v>
      </c>
      <c r="AW503" s="28">
        <v>0.0</v>
      </c>
      <c r="AX503" s="28">
        <v>0.0</v>
      </c>
      <c r="AY503" s="28">
        <v>0.0</v>
      </c>
      <c r="AZ503" s="5"/>
      <c r="BA503" s="5" t="s">
        <v>86</v>
      </c>
      <c r="BB503" s="5" t="s">
        <v>512</v>
      </c>
      <c r="BC503" s="5" t="s">
        <v>88</v>
      </c>
      <c r="BD503" s="5" t="s">
        <v>68</v>
      </c>
      <c r="BE503" s="5" t="s">
        <v>89</v>
      </c>
      <c r="BF503" s="5" t="s">
        <v>178</v>
      </c>
      <c r="BG503" s="5" t="s">
        <v>91</v>
      </c>
    </row>
    <row r="504" ht="16.5" customHeight="1">
      <c r="A504" s="5" t="s">
        <v>100</v>
      </c>
      <c r="B504" s="5" t="s">
        <v>137</v>
      </c>
      <c r="C504" s="5" t="b">
        <v>1</v>
      </c>
      <c r="D504" s="5" t="s">
        <v>183</v>
      </c>
      <c r="E504" s="5" t="s">
        <v>2029</v>
      </c>
      <c r="F504" s="5"/>
      <c r="G504" s="5" t="s">
        <v>65</v>
      </c>
      <c r="H504" s="5" t="s">
        <v>84</v>
      </c>
      <c r="I504" s="5" t="s">
        <v>202</v>
      </c>
      <c r="J504" s="25" t="s">
        <v>2021</v>
      </c>
      <c r="K504" s="25"/>
      <c r="L504" s="25"/>
      <c r="M504" s="5" t="s">
        <v>109</v>
      </c>
      <c r="N504" s="5" t="s">
        <v>68</v>
      </c>
      <c r="O504" s="5" t="s">
        <v>69</v>
      </c>
      <c r="P504" s="5" t="s">
        <v>107</v>
      </c>
      <c r="Q504" s="5" t="s">
        <v>89</v>
      </c>
      <c r="R504" s="5" t="s">
        <v>110</v>
      </c>
      <c r="S504" s="5"/>
      <c r="T504" s="5"/>
      <c r="U504" s="5"/>
      <c r="V504" s="5">
        <v>2500.0</v>
      </c>
      <c r="W504" s="26">
        <v>2.1</v>
      </c>
      <c r="X504" s="5">
        <v>1190.0</v>
      </c>
      <c r="Y504" s="27">
        <v>0.2</v>
      </c>
      <c r="Z504" s="28">
        <v>952.0</v>
      </c>
      <c r="AA504" s="27">
        <v>1.0</v>
      </c>
      <c r="AB504" s="5" t="s">
        <v>117</v>
      </c>
      <c r="AC504" s="27">
        <v>0.6</v>
      </c>
      <c r="AD504" s="5"/>
      <c r="AE504" s="5" t="s">
        <v>166</v>
      </c>
      <c r="AF504" s="5"/>
      <c r="AG504" s="5">
        <v>5.0</v>
      </c>
      <c r="AH504" s="5">
        <v>5.0</v>
      </c>
      <c r="AI504" s="5" t="s">
        <v>169</v>
      </c>
      <c r="AJ504" s="5"/>
      <c r="AK504" s="30">
        <v>2500.0</v>
      </c>
      <c r="AL504" s="28">
        <v>0.0</v>
      </c>
      <c r="AM504" s="28">
        <v>0.0</v>
      </c>
      <c r="AN504" s="28">
        <v>0.0</v>
      </c>
      <c r="AO504" s="28">
        <v>0.0</v>
      </c>
      <c r="AP504" s="28">
        <v>2975000.0</v>
      </c>
      <c r="AQ504" s="28">
        <v>0.0</v>
      </c>
      <c r="AR504" s="28">
        <v>0.0</v>
      </c>
      <c r="AS504" s="28">
        <v>0.0</v>
      </c>
      <c r="AT504" s="28">
        <v>0.0</v>
      </c>
      <c r="AU504" s="28">
        <v>2380000.0</v>
      </c>
      <c r="AV504" s="28">
        <v>0.0</v>
      </c>
      <c r="AW504" s="28">
        <v>0.0</v>
      </c>
      <c r="AX504" s="28">
        <v>0.0</v>
      </c>
      <c r="AY504" s="28">
        <v>0.0</v>
      </c>
      <c r="AZ504" s="5"/>
      <c r="BA504" s="5" t="s">
        <v>86</v>
      </c>
      <c r="BB504" s="5" t="s">
        <v>512</v>
      </c>
      <c r="BC504" s="5" t="s">
        <v>88</v>
      </c>
      <c r="BD504" s="5" t="s">
        <v>68</v>
      </c>
      <c r="BE504" s="5" t="s">
        <v>89</v>
      </c>
      <c r="BF504" s="5" t="s">
        <v>178</v>
      </c>
      <c r="BG504" s="5" t="s">
        <v>91</v>
      </c>
    </row>
    <row r="505" ht="16.5" customHeight="1">
      <c r="A505" s="5" t="s">
        <v>100</v>
      </c>
      <c r="B505" s="5" t="s">
        <v>137</v>
      </c>
      <c r="C505" s="5" t="b">
        <v>1</v>
      </c>
      <c r="D505" s="5" t="s">
        <v>197</v>
      </c>
      <c r="E505" s="5" t="s">
        <v>2030</v>
      </c>
      <c r="F505" s="5"/>
      <c r="G505" s="5" t="s">
        <v>65</v>
      </c>
      <c r="H505" s="5" t="s">
        <v>84</v>
      </c>
      <c r="I505" s="5" t="s">
        <v>202</v>
      </c>
      <c r="J505" s="25" t="s">
        <v>2021</v>
      </c>
      <c r="K505" s="25"/>
      <c r="L505" s="25"/>
      <c r="M505" s="5" t="s">
        <v>109</v>
      </c>
      <c r="N505" s="5" t="s">
        <v>68</v>
      </c>
      <c r="O505" s="5" t="s">
        <v>69</v>
      </c>
      <c r="P505" s="5" t="s">
        <v>70</v>
      </c>
      <c r="Q505" s="5" t="s">
        <v>180</v>
      </c>
      <c r="R505" s="5" t="s">
        <v>181</v>
      </c>
      <c r="S505" s="5"/>
      <c r="T505" s="5"/>
      <c r="U505" s="5"/>
      <c r="V505" s="5">
        <v>2000.0</v>
      </c>
      <c r="W505" s="26">
        <v>2.1</v>
      </c>
      <c r="X505" s="5">
        <v>952.0</v>
      </c>
      <c r="Y505" s="27">
        <v>0.2</v>
      </c>
      <c r="Z505" s="28">
        <v>761.6</v>
      </c>
      <c r="AA505" s="27">
        <v>1.0</v>
      </c>
      <c r="AB505" s="5" t="s">
        <v>117</v>
      </c>
      <c r="AC505" s="27">
        <v>0.59</v>
      </c>
      <c r="AD505" s="5"/>
      <c r="AE505" s="5" t="s">
        <v>166</v>
      </c>
      <c r="AF505" s="5"/>
      <c r="AG505" s="5">
        <v>2.0</v>
      </c>
      <c r="AH505" s="5">
        <v>2.0</v>
      </c>
      <c r="AI505" s="5" t="s">
        <v>169</v>
      </c>
      <c r="AJ505" s="5"/>
      <c r="AK505" s="30">
        <v>1500.0</v>
      </c>
      <c r="AL505" s="28">
        <v>0.0</v>
      </c>
      <c r="AM505" s="28">
        <v>0.0</v>
      </c>
      <c r="AN505" s="28">
        <v>0.0</v>
      </c>
      <c r="AO505" s="28">
        <v>0.0</v>
      </c>
      <c r="AP505" s="28">
        <v>1428000.0</v>
      </c>
      <c r="AQ505" s="28">
        <v>0.0</v>
      </c>
      <c r="AR505" s="28">
        <v>0.0</v>
      </c>
      <c r="AS505" s="28">
        <v>0.0</v>
      </c>
      <c r="AT505" s="28">
        <v>0.0</v>
      </c>
      <c r="AU505" s="28">
        <v>1142400.0</v>
      </c>
      <c r="AV505" s="28">
        <v>0.0</v>
      </c>
      <c r="AW505" s="28">
        <v>0.0</v>
      </c>
      <c r="AX505" s="28">
        <v>0.0</v>
      </c>
      <c r="AY505" s="28">
        <v>0.0</v>
      </c>
      <c r="AZ505" s="5"/>
      <c r="BA505" s="5" t="s">
        <v>86</v>
      </c>
      <c r="BB505" s="5" t="s">
        <v>512</v>
      </c>
      <c r="BC505" s="5" t="s">
        <v>88</v>
      </c>
      <c r="BD505" s="5" t="s">
        <v>68</v>
      </c>
      <c r="BE505" s="5" t="s">
        <v>128</v>
      </c>
      <c r="BF505" s="5" t="s">
        <v>178</v>
      </c>
      <c r="BG505" s="5" t="s">
        <v>91</v>
      </c>
    </row>
    <row r="506" ht="16.5" customHeight="1">
      <c r="A506" s="5" t="s">
        <v>100</v>
      </c>
      <c r="B506" s="5" t="s">
        <v>137</v>
      </c>
      <c r="C506" s="5" t="b">
        <v>1</v>
      </c>
      <c r="D506" s="5" t="s">
        <v>210</v>
      </c>
      <c r="E506" s="5" t="s">
        <v>2032</v>
      </c>
      <c r="F506" s="5"/>
      <c r="G506" s="5" t="s">
        <v>65</v>
      </c>
      <c r="H506" s="5" t="s">
        <v>84</v>
      </c>
      <c r="I506" s="5" t="s">
        <v>202</v>
      </c>
      <c r="J506" s="25" t="s">
        <v>2021</v>
      </c>
      <c r="K506" s="25"/>
      <c r="L506" s="25"/>
      <c r="M506" s="5" t="s">
        <v>109</v>
      </c>
      <c r="N506" s="5" t="s">
        <v>68</v>
      </c>
      <c r="O506" s="5" t="s">
        <v>69</v>
      </c>
      <c r="P506" s="5" t="s">
        <v>107</v>
      </c>
      <c r="Q506" s="5" t="s">
        <v>180</v>
      </c>
      <c r="R506" s="5" t="s">
        <v>181</v>
      </c>
      <c r="S506" s="5"/>
      <c r="T506" s="5"/>
      <c r="U506" s="5"/>
      <c r="V506" s="5">
        <v>2000.0</v>
      </c>
      <c r="W506" s="26">
        <v>2.1</v>
      </c>
      <c r="X506" s="5">
        <v>952.0</v>
      </c>
      <c r="Y506" s="27">
        <v>0.2</v>
      </c>
      <c r="Z506" s="28">
        <v>761.6</v>
      </c>
      <c r="AA506" s="27">
        <v>1.0</v>
      </c>
      <c r="AB506" s="5" t="s">
        <v>117</v>
      </c>
      <c r="AC506" s="27">
        <v>0.6</v>
      </c>
      <c r="AD506" s="5"/>
      <c r="AE506" s="5" t="s">
        <v>166</v>
      </c>
      <c r="AF506" s="5"/>
      <c r="AG506" s="5">
        <v>2.0</v>
      </c>
      <c r="AH506" s="5">
        <v>2.0</v>
      </c>
      <c r="AI506" s="5" t="s">
        <v>169</v>
      </c>
      <c r="AJ506" s="5"/>
      <c r="AK506" s="30">
        <v>1200.0</v>
      </c>
      <c r="AL506" s="28">
        <v>0.0</v>
      </c>
      <c r="AM506" s="28">
        <v>0.0</v>
      </c>
      <c r="AN506" s="28">
        <v>0.0</v>
      </c>
      <c r="AO506" s="28">
        <v>0.0</v>
      </c>
      <c r="AP506" s="28">
        <v>1142400.0</v>
      </c>
      <c r="AQ506" s="28">
        <v>0.0</v>
      </c>
      <c r="AR506" s="28">
        <v>0.0</v>
      </c>
      <c r="AS506" s="28">
        <v>0.0</v>
      </c>
      <c r="AT506" s="28">
        <v>0.0</v>
      </c>
      <c r="AU506" s="28">
        <v>913920.0</v>
      </c>
      <c r="AV506" s="28">
        <v>0.0</v>
      </c>
      <c r="AW506" s="28">
        <v>0.0</v>
      </c>
      <c r="AX506" s="28">
        <v>0.0</v>
      </c>
      <c r="AY506" s="28">
        <v>0.0</v>
      </c>
      <c r="AZ506" s="5"/>
      <c r="BA506" s="5" t="s">
        <v>86</v>
      </c>
      <c r="BB506" s="5" t="s">
        <v>512</v>
      </c>
      <c r="BC506" s="5" t="s">
        <v>88</v>
      </c>
      <c r="BD506" s="5" t="s">
        <v>68</v>
      </c>
      <c r="BE506" s="5" t="s">
        <v>128</v>
      </c>
      <c r="BF506" s="5" t="s">
        <v>178</v>
      </c>
      <c r="BG506" s="5" t="s">
        <v>91</v>
      </c>
    </row>
    <row r="507" ht="16.5" customHeight="1">
      <c r="A507" s="5" t="s">
        <v>100</v>
      </c>
      <c r="B507" s="5" t="s">
        <v>137</v>
      </c>
      <c r="C507" s="5" t="b">
        <v>1</v>
      </c>
      <c r="D507" s="5" t="s">
        <v>1642</v>
      </c>
      <c r="E507" s="5" t="s">
        <v>1644</v>
      </c>
      <c r="F507" s="5"/>
      <c r="G507" s="5" t="s">
        <v>65</v>
      </c>
      <c r="H507" s="5" t="s">
        <v>84</v>
      </c>
      <c r="I507" s="5" t="s">
        <v>202</v>
      </c>
      <c r="J507" s="25"/>
      <c r="K507" s="25"/>
      <c r="L507" s="25"/>
      <c r="M507" s="5" t="s">
        <v>109</v>
      </c>
      <c r="N507" s="5" t="s">
        <v>355</v>
      </c>
      <c r="O507" s="5" t="s">
        <v>69</v>
      </c>
      <c r="P507" s="5" t="s">
        <v>70</v>
      </c>
      <c r="Q507" s="5" t="s">
        <v>282</v>
      </c>
      <c r="R507" s="5" t="s">
        <v>110</v>
      </c>
      <c r="S507" s="5"/>
      <c r="T507" s="5"/>
      <c r="U507" s="5"/>
      <c r="V507" s="5">
        <v>6000.0</v>
      </c>
      <c r="W507" s="26">
        <v>2.1</v>
      </c>
      <c r="X507" s="5">
        <v>2857.0</v>
      </c>
      <c r="Y507" s="27">
        <v>0.2</v>
      </c>
      <c r="Z507" s="28">
        <v>2285.6</v>
      </c>
      <c r="AA507" s="27">
        <v>1.0</v>
      </c>
      <c r="AB507" s="5" t="s">
        <v>242</v>
      </c>
      <c r="AC507" s="27">
        <v>0.5</v>
      </c>
      <c r="AD507" s="5"/>
      <c r="AE507" s="5" t="s">
        <v>359</v>
      </c>
      <c r="AF507" s="5"/>
      <c r="AG507" s="5">
        <v>3.0</v>
      </c>
      <c r="AH507" s="5">
        <v>3.0</v>
      </c>
      <c r="AI507" s="5" t="s">
        <v>0</v>
      </c>
      <c r="AJ507" s="5"/>
      <c r="AK507" s="30">
        <v>1000.0</v>
      </c>
      <c r="AL507" s="28">
        <v>0.0</v>
      </c>
      <c r="AM507" s="28">
        <v>0.0</v>
      </c>
      <c r="AN507" s="28">
        <v>0.0</v>
      </c>
      <c r="AO507" s="28">
        <v>0.0</v>
      </c>
      <c r="AP507" s="28">
        <v>2857000.0</v>
      </c>
      <c r="AQ507" s="28">
        <v>0.0</v>
      </c>
      <c r="AR507" s="28">
        <v>0.0</v>
      </c>
      <c r="AS507" s="28">
        <v>0.0</v>
      </c>
      <c r="AT507" s="28">
        <v>0.0</v>
      </c>
      <c r="AU507" s="28">
        <v>2285600.0</v>
      </c>
      <c r="AV507" s="28">
        <v>0.0</v>
      </c>
      <c r="AW507" s="28">
        <v>0.0</v>
      </c>
      <c r="AX507" s="28">
        <v>0.0</v>
      </c>
      <c r="AY507" s="28">
        <v>0.0</v>
      </c>
      <c r="AZ507" s="5"/>
      <c r="BA507" s="5" t="s">
        <v>86</v>
      </c>
      <c r="BB507" s="5" t="s">
        <v>512</v>
      </c>
      <c r="BC507" s="5" t="s">
        <v>88</v>
      </c>
      <c r="BD507" s="5" t="s">
        <v>355</v>
      </c>
      <c r="BE507" s="5" t="s">
        <v>161</v>
      </c>
      <c r="BF507" s="5" t="s">
        <v>360</v>
      </c>
      <c r="BG507" s="5" t="s">
        <v>131</v>
      </c>
    </row>
    <row r="508" ht="16.5" customHeight="1">
      <c r="A508" s="5" t="s">
        <v>100</v>
      </c>
      <c r="B508" s="5" t="s">
        <v>137</v>
      </c>
      <c r="C508" s="5" t="b">
        <v>1</v>
      </c>
      <c r="D508" s="5" t="s">
        <v>1646</v>
      </c>
      <c r="E508" s="5" t="s">
        <v>1647</v>
      </c>
      <c r="F508" s="5"/>
      <c r="G508" s="5" t="s">
        <v>65</v>
      </c>
      <c r="H508" s="5" t="s">
        <v>84</v>
      </c>
      <c r="I508" s="5" t="s">
        <v>202</v>
      </c>
      <c r="J508" s="25"/>
      <c r="K508" s="25"/>
      <c r="L508" s="25"/>
      <c r="M508" s="5" t="s">
        <v>109</v>
      </c>
      <c r="N508" s="5" t="s">
        <v>355</v>
      </c>
      <c r="O508" s="5" t="s">
        <v>69</v>
      </c>
      <c r="P508" s="5" t="s">
        <v>107</v>
      </c>
      <c r="Q508" s="5" t="s">
        <v>282</v>
      </c>
      <c r="R508" s="5" t="s">
        <v>110</v>
      </c>
      <c r="S508" s="5"/>
      <c r="T508" s="5"/>
      <c r="U508" s="5"/>
      <c r="V508" s="5">
        <v>6000.0</v>
      </c>
      <c r="W508" s="26">
        <v>2.1</v>
      </c>
      <c r="X508" s="5">
        <v>2857.0</v>
      </c>
      <c r="Y508" s="27">
        <v>0.2</v>
      </c>
      <c r="Z508" s="28">
        <v>2285.6</v>
      </c>
      <c r="AA508" s="27">
        <v>1.0</v>
      </c>
      <c r="AB508" s="5" t="s">
        <v>242</v>
      </c>
      <c r="AC508" s="27">
        <v>0.5</v>
      </c>
      <c r="AD508" s="5"/>
      <c r="AE508" s="5" t="s">
        <v>359</v>
      </c>
      <c r="AF508" s="5"/>
      <c r="AG508" s="5">
        <v>3.0</v>
      </c>
      <c r="AH508" s="5">
        <v>3.0</v>
      </c>
      <c r="AI508" s="5" t="s">
        <v>0</v>
      </c>
      <c r="AJ508" s="5"/>
      <c r="AK508" s="30">
        <v>800.0</v>
      </c>
      <c r="AL508" s="28">
        <v>0.0</v>
      </c>
      <c r="AM508" s="28">
        <v>0.0</v>
      </c>
      <c r="AN508" s="28">
        <v>0.0</v>
      </c>
      <c r="AO508" s="28">
        <v>0.0</v>
      </c>
      <c r="AP508" s="28">
        <v>2285600.0</v>
      </c>
      <c r="AQ508" s="28">
        <v>0.0</v>
      </c>
      <c r="AR508" s="28">
        <v>0.0</v>
      </c>
      <c r="AS508" s="28">
        <v>0.0</v>
      </c>
      <c r="AT508" s="28">
        <v>0.0</v>
      </c>
      <c r="AU508" s="28">
        <v>1828480.0</v>
      </c>
      <c r="AV508" s="28">
        <v>0.0</v>
      </c>
      <c r="AW508" s="28">
        <v>0.0</v>
      </c>
      <c r="AX508" s="28">
        <v>0.0</v>
      </c>
      <c r="AY508" s="28">
        <v>0.0</v>
      </c>
      <c r="AZ508" s="5"/>
      <c r="BA508" s="5" t="s">
        <v>86</v>
      </c>
      <c r="BB508" s="5" t="s">
        <v>512</v>
      </c>
      <c r="BC508" s="5" t="s">
        <v>88</v>
      </c>
      <c r="BD508" s="5" t="s">
        <v>355</v>
      </c>
      <c r="BE508" s="5" t="s">
        <v>161</v>
      </c>
      <c r="BF508" s="5" t="s">
        <v>360</v>
      </c>
      <c r="BG508" s="5" t="s">
        <v>131</v>
      </c>
    </row>
    <row r="509" ht="16.5" customHeight="1">
      <c r="A509" s="5" t="s">
        <v>100</v>
      </c>
      <c r="B509" s="5" t="s">
        <v>137</v>
      </c>
      <c r="C509" s="5" t="b">
        <v>1</v>
      </c>
      <c r="D509" s="5" t="s">
        <v>1748</v>
      </c>
      <c r="E509" s="5" t="s">
        <v>1749</v>
      </c>
      <c r="F509" s="5"/>
      <c r="G509" s="5" t="s">
        <v>65</v>
      </c>
      <c r="H509" s="5" t="s">
        <v>84</v>
      </c>
      <c r="I509" s="5" t="s">
        <v>202</v>
      </c>
      <c r="J509" s="25"/>
      <c r="K509" s="25"/>
      <c r="L509" s="5"/>
      <c r="M509" s="5" t="s">
        <v>109</v>
      </c>
      <c r="N509" s="5" t="s">
        <v>113</v>
      </c>
      <c r="O509" s="5" t="s">
        <v>69</v>
      </c>
      <c r="P509" s="5" t="s">
        <v>70</v>
      </c>
      <c r="Q509" s="5" t="s">
        <v>180</v>
      </c>
      <c r="R509" s="5" t="s">
        <v>181</v>
      </c>
      <c r="S509" s="5"/>
      <c r="T509" s="5"/>
      <c r="U509" s="5"/>
      <c r="V509" s="5">
        <v>1900.0</v>
      </c>
      <c r="W509" s="26">
        <v>2.1</v>
      </c>
      <c r="X509" s="5">
        <v>905.0</v>
      </c>
      <c r="Y509" s="27">
        <v>0.2</v>
      </c>
      <c r="Z509" s="28">
        <v>724.0</v>
      </c>
      <c r="AA509" s="27">
        <v>1.0</v>
      </c>
      <c r="AB509" s="5" t="s">
        <v>242</v>
      </c>
      <c r="AC509" s="27">
        <v>0.5</v>
      </c>
      <c r="AD509" s="5"/>
      <c r="AE509" s="24" t="s">
        <v>0</v>
      </c>
      <c r="AF509" s="5"/>
      <c r="AG509" s="5">
        <v>3.0</v>
      </c>
      <c r="AH509" s="5">
        <v>3.0</v>
      </c>
      <c r="AI509" s="5" t="s">
        <v>0</v>
      </c>
      <c r="AJ509" s="5"/>
      <c r="AK509" s="30">
        <v>1000.0</v>
      </c>
      <c r="AL509" s="5">
        <v>0.0</v>
      </c>
      <c r="AM509" s="5">
        <v>0.0</v>
      </c>
      <c r="AN509" s="5">
        <v>0.0</v>
      </c>
      <c r="AO509" s="5">
        <v>0.0</v>
      </c>
      <c r="AP509" s="28">
        <v>905000.0</v>
      </c>
      <c r="AQ509" s="28">
        <v>0.0</v>
      </c>
      <c r="AR509" s="28">
        <v>0.0</v>
      </c>
      <c r="AS509" s="28">
        <v>0.0</v>
      </c>
      <c r="AT509" s="28">
        <v>0.0</v>
      </c>
      <c r="AU509" s="28">
        <v>724000.0</v>
      </c>
      <c r="AV509" s="28">
        <v>0.0</v>
      </c>
      <c r="AW509" s="28">
        <v>0.0</v>
      </c>
      <c r="AX509" s="28">
        <v>0.0</v>
      </c>
      <c r="AY509" s="28">
        <v>0.0</v>
      </c>
      <c r="AZ509" s="5"/>
      <c r="BA509" s="5" t="s">
        <v>86</v>
      </c>
      <c r="BB509" s="5" t="s">
        <v>512</v>
      </c>
      <c r="BC509" s="5" t="s">
        <v>88</v>
      </c>
      <c r="BD509" s="5" t="s">
        <v>126</v>
      </c>
      <c r="BE509" s="5" t="s">
        <v>128</v>
      </c>
      <c r="BF509" s="5" t="s">
        <v>130</v>
      </c>
      <c r="BG509" s="5" t="s">
        <v>131</v>
      </c>
    </row>
    <row r="510" ht="16.5" customHeight="1">
      <c r="A510" s="5" t="s">
        <v>100</v>
      </c>
      <c r="B510" s="5" t="s">
        <v>137</v>
      </c>
      <c r="C510" s="5" t="b">
        <v>1</v>
      </c>
      <c r="D510" s="5" t="s">
        <v>1751</v>
      </c>
      <c r="E510" s="5" t="s">
        <v>1752</v>
      </c>
      <c r="F510" s="5"/>
      <c r="G510" s="5" t="s">
        <v>65</v>
      </c>
      <c r="H510" s="5" t="s">
        <v>84</v>
      </c>
      <c r="I510" s="5" t="s">
        <v>202</v>
      </c>
      <c r="J510" s="25"/>
      <c r="K510" s="25"/>
      <c r="L510" s="5"/>
      <c r="M510" s="5" t="s">
        <v>109</v>
      </c>
      <c r="N510" s="5" t="s">
        <v>113</v>
      </c>
      <c r="O510" s="5" t="s">
        <v>69</v>
      </c>
      <c r="P510" s="5" t="s">
        <v>107</v>
      </c>
      <c r="Q510" s="5" t="s">
        <v>180</v>
      </c>
      <c r="R510" s="5" t="s">
        <v>181</v>
      </c>
      <c r="S510" s="5"/>
      <c r="T510" s="5"/>
      <c r="U510" s="5"/>
      <c r="V510" s="5">
        <v>1900.0</v>
      </c>
      <c r="W510" s="26">
        <v>2.1</v>
      </c>
      <c r="X510" s="5">
        <v>905.0</v>
      </c>
      <c r="Y510" s="27">
        <v>0.2</v>
      </c>
      <c r="Z510" s="28">
        <v>724.0</v>
      </c>
      <c r="AA510" s="27">
        <v>1.0</v>
      </c>
      <c r="AB510" s="5" t="s">
        <v>242</v>
      </c>
      <c r="AC510" s="27">
        <v>0.5</v>
      </c>
      <c r="AD510" s="5"/>
      <c r="AE510" s="24" t="s">
        <v>0</v>
      </c>
      <c r="AF510" s="5"/>
      <c r="AG510" s="5">
        <v>3.0</v>
      </c>
      <c r="AH510" s="5">
        <v>3.0</v>
      </c>
      <c r="AI510" s="5" t="s">
        <v>0</v>
      </c>
      <c r="AJ510" s="5"/>
      <c r="AK510" s="30">
        <v>1000.0</v>
      </c>
      <c r="AL510" s="5">
        <v>0.0</v>
      </c>
      <c r="AM510" s="5">
        <v>0.0</v>
      </c>
      <c r="AN510" s="5">
        <v>0.0</v>
      </c>
      <c r="AO510" s="5">
        <v>0.0</v>
      </c>
      <c r="AP510" s="28">
        <v>905000.0</v>
      </c>
      <c r="AQ510" s="28">
        <v>0.0</v>
      </c>
      <c r="AR510" s="28">
        <v>0.0</v>
      </c>
      <c r="AS510" s="28">
        <v>0.0</v>
      </c>
      <c r="AT510" s="28">
        <v>0.0</v>
      </c>
      <c r="AU510" s="28">
        <v>724000.0</v>
      </c>
      <c r="AV510" s="28">
        <v>0.0</v>
      </c>
      <c r="AW510" s="28">
        <v>0.0</v>
      </c>
      <c r="AX510" s="28">
        <v>0.0</v>
      </c>
      <c r="AY510" s="28">
        <v>0.0</v>
      </c>
      <c r="AZ510" s="5"/>
      <c r="BA510" s="5" t="s">
        <v>86</v>
      </c>
      <c r="BB510" s="5" t="s">
        <v>512</v>
      </c>
      <c r="BC510" s="5" t="s">
        <v>88</v>
      </c>
      <c r="BD510" s="5" t="s">
        <v>126</v>
      </c>
      <c r="BE510" s="5" t="s">
        <v>128</v>
      </c>
      <c r="BF510" s="5" t="s">
        <v>130</v>
      </c>
      <c r="BG510" s="5" t="s">
        <v>131</v>
      </c>
    </row>
    <row r="511" ht="16.5" customHeight="1">
      <c r="A511" s="5" t="s">
        <v>100</v>
      </c>
      <c r="B511" s="5" t="s">
        <v>200</v>
      </c>
      <c r="C511" s="5" t="b">
        <v>1</v>
      </c>
      <c r="D511" s="5" t="s">
        <v>1826</v>
      </c>
      <c r="E511" s="5" t="s">
        <v>1827</v>
      </c>
      <c r="F511" s="5"/>
      <c r="G511" s="5" t="s">
        <v>65</v>
      </c>
      <c r="H511" s="5" t="s">
        <v>84</v>
      </c>
      <c r="I511" s="5" t="s">
        <v>202</v>
      </c>
      <c r="J511" s="25"/>
      <c r="K511" s="25"/>
      <c r="L511" s="5"/>
      <c r="M511" s="5" t="s">
        <v>109</v>
      </c>
      <c r="N511" s="5" t="s">
        <v>334</v>
      </c>
      <c r="O511" s="5" t="s">
        <v>69</v>
      </c>
      <c r="P511" s="5" t="s">
        <v>70</v>
      </c>
      <c r="Q511" s="5" t="s">
        <v>805</v>
      </c>
      <c r="R511" s="5" t="s">
        <v>110</v>
      </c>
      <c r="S511" s="5"/>
      <c r="T511" s="5"/>
      <c r="U511" s="5"/>
      <c r="V511" s="5">
        <v>1200.0</v>
      </c>
      <c r="W511" s="26">
        <v>2.1</v>
      </c>
      <c r="X511" s="5">
        <v>571.0</v>
      </c>
      <c r="Y511" s="27">
        <v>0.2</v>
      </c>
      <c r="Z511" s="28">
        <v>456.8</v>
      </c>
      <c r="AA511" s="27">
        <v>1.0</v>
      </c>
      <c r="AB511" s="5" t="s">
        <v>242</v>
      </c>
      <c r="AC511" s="27">
        <v>0.5</v>
      </c>
      <c r="AD511" s="5"/>
      <c r="AE511" s="24" t="s">
        <v>0</v>
      </c>
      <c r="AF511" s="5"/>
      <c r="AG511" s="5">
        <v>3.0</v>
      </c>
      <c r="AH511" s="5">
        <v>3.0</v>
      </c>
      <c r="AI511" s="5" t="s">
        <v>0</v>
      </c>
      <c r="AJ511" s="5"/>
      <c r="AK511" s="30">
        <v>1000.0</v>
      </c>
      <c r="AL511" s="5">
        <v>0.0</v>
      </c>
      <c r="AM511" s="5">
        <v>0.0</v>
      </c>
      <c r="AN511" s="5">
        <v>0.0</v>
      </c>
      <c r="AO511" s="5">
        <v>0.0</v>
      </c>
      <c r="AP511" s="28">
        <v>571000.0</v>
      </c>
      <c r="AQ511" s="28">
        <v>0.0</v>
      </c>
      <c r="AR511" s="28">
        <v>0.0</v>
      </c>
      <c r="AS511" s="28">
        <v>0.0</v>
      </c>
      <c r="AT511" s="28">
        <v>0.0</v>
      </c>
      <c r="AU511" s="28">
        <v>456800.0</v>
      </c>
      <c r="AV511" s="28">
        <v>0.0</v>
      </c>
      <c r="AW511" s="28">
        <v>0.0</v>
      </c>
      <c r="AX511" s="28">
        <v>0.0</v>
      </c>
      <c r="AY511" s="28">
        <v>0.0</v>
      </c>
      <c r="AZ511" s="5"/>
      <c r="BA511" s="5" t="s">
        <v>86</v>
      </c>
      <c r="BB511" s="5" t="s">
        <v>512</v>
      </c>
      <c r="BD511" s="5" t="s">
        <v>334</v>
      </c>
      <c r="BE511" s="5" t="s">
        <v>348</v>
      </c>
      <c r="BF511" s="5" t="s">
        <v>338</v>
      </c>
      <c r="BG511" s="5" t="s">
        <v>131</v>
      </c>
    </row>
    <row r="512" ht="16.5" customHeight="1">
      <c r="A512" s="5" t="s">
        <v>100</v>
      </c>
      <c r="B512" s="5" t="s">
        <v>200</v>
      </c>
      <c r="C512" s="5" t="b">
        <v>1</v>
      </c>
      <c r="D512" s="5" t="s">
        <v>1831</v>
      </c>
      <c r="E512" s="5" t="s">
        <v>1832</v>
      </c>
      <c r="F512" s="5"/>
      <c r="G512" s="5" t="s">
        <v>65</v>
      </c>
      <c r="H512" s="5" t="s">
        <v>84</v>
      </c>
      <c r="I512" s="5" t="s">
        <v>202</v>
      </c>
      <c r="J512" s="25"/>
      <c r="K512" s="25"/>
      <c r="L512" s="5"/>
      <c r="M512" s="5" t="s">
        <v>109</v>
      </c>
      <c r="N512" s="5" t="s">
        <v>334</v>
      </c>
      <c r="O512" s="5" t="s">
        <v>69</v>
      </c>
      <c r="P512" s="5" t="s">
        <v>107</v>
      </c>
      <c r="Q512" s="5" t="s">
        <v>805</v>
      </c>
      <c r="R512" s="5" t="s">
        <v>110</v>
      </c>
      <c r="S512" s="5"/>
      <c r="T512" s="5"/>
      <c r="U512" s="5"/>
      <c r="V512" s="5">
        <v>1200.0</v>
      </c>
      <c r="W512" s="26">
        <v>2.1</v>
      </c>
      <c r="X512" s="5">
        <v>571.0</v>
      </c>
      <c r="Y512" s="27">
        <v>0.2</v>
      </c>
      <c r="Z512" s="28">
        <v>456.8</v>
      </c>
      <c r="AA512" s="27">
        <v>1.0</v>
      </c>
      <c r="AB512" s="5" t="s">
        <v>242</v>
      </c>
      <c r="AC512" s="27">
        <v>0.5</v>
      </c>
      <c r="AD512" s="5"/>
      <c r="AE512" s="24" t="s">
        <v>0</v>
      </c>
      <c r="AF512" s="5"/>
      <c r="AG512" s="5">
        <v>3.0</v>
      </c>
      <c r="AH512" s="5">
        <v>3.0</v>
      </c>
      <c r="AI512" s="5" t="s">
        <v>0</v>
      </c>
      <c r="AJ512" s="5"/>
      <c r="AK512" s="30">
        <v>1000.0</v>
      </c>
      <c r="AL512" s="5">
        <v>0.0</v>
      </c>
      <c r="AM512" s="5">
        <v>0.0</v>
      </c>
      <c r="AN512" s="5">
        <v>0.0</v>
      </c>
      <c r="AO512" s="5">
        <v>0.0</v>
      </c>
      <c r="AP512" s="28">
        <v>571000.0</v>
      </c>
      <c r="AQ512" s="28">
        <v>0.0</v>
      </c>
      <c r="AR512" s="28">
        <v>0.0</v>
      </c>
      <c r="AS512" s="28">
        <v>0.0</v>
      </c>
      <c r="AT512" s="28">
        <v>0.0</v>
      </c>
      <c r="AU512" s="28">
        <v>456800.0</v>
      </c>
      <c r="AV512" s="28">
        <v>0.0</v>
      </c>
      <c r="AW512" s="28">
        <v>0.0</v>
      </c>
      <c r="AX512" s="28">
        <v>0.0</v>
      </c>
      <c r="AY512" s="28">
        <v>0.0</v>
      </c>
      <c r="AZ512" s="5"/>
      <c r="BA512" s="5" t="s">
        <v>86</v>
      </c>
      <c r="BB512" s="5" t="s">
        <v>512</v>
      </c>
      <c r="BD512" s="5" t="s">
        <v>334</v>
      </c>
      <c r="BE512" s="5" t="s">
        <v>348</v>
      </c>
      <c r="BF512" s="5" t="s">
        <v>338</v>
      </c>
      <c r="BG512" s="5" t="s">
        <v>131</v>
      </c>
    </row>
    <row r="513" ht="16.5" customHeight="1">
      <c r="A513" s="5" t="s">
        <v>100</v>
      </c>
      <c r="B513" s="5" t="s">
        <v>137</v>
      </c>
      <c r="C513" s="5" t="b">
        <v>1</v>
      </c>
      <c r="D513" s="5" t="s">
        <v>1837</v>
      </c>
      <c r="E513" s="5" t="s">
        <v>1838</v>
      </c>
      <c r="F513" s="5"/>
      <c r="G513" s="5" t="s">
        <v>65</v>
      </c>
      <c r="H513" s="5" t="s">
        <v>84</v>
      </c>
      <c r="I513" s="5" t="s">
        <v>202</v>
      </c>
      <c r="J513" s="25"/>
      <c r="K513" s="25"/>
      <c r="L513" s="25"/>
      <c r="M513" s="5" t="s">
        <v>109</v>
      </c>
      <c r="N513" s="5" t="s">
        <v>68</v>
      </c>
      <c r="O513" s="5" t="s">
        <v>69</v>
      </c>
      <c r="P513" s="5" t="s">
        <v>70</v>
      </c>
      <c r="Q513" s="5" t="s">
        <v>89</v>
      </c>
      <c r="R513" s="5" t="s">
        <v>110</v>
      </c>
      <c r="S513" s="5"/>
      <c r="T513" s="5"/>
      <c r="U513" s="5"/>
      <c r="V513" s="5">
        <v>2000.0</v>
      </c>
      <c r="W513" s="26">
        <v>2.1</v>
      </c>
      <c r="X513" s="5">
        <v>952.0</v>
      </c>
      <c r="Y513" s="27">
        <v>0.2</v>
      </c>
      <c r="Z513" s="28">
        <v>761.6</v>
      </c>
      <c r="AA513" s="27">
        <v>1.0</v>
      </c>
      <c r="AB513" s="5" t="s">
        <v>242</v>
      </c>
      <c r="AC513" s="27">
        <v>0.5</v>
      </c>
      <c r="AD513" s="5"/>
      <c r="AE513" s="24" t="s">
        <v>0</v>
      </c>
      <c r="AF513" s="5"/>
      <c r="AG513" s="5">
        <v>3.0</v>
      </c>
      <c r="AH513" s="5">
        <v>3.0</v>
      </c>
      <c r="AI513" s="5" t="s">
        <v>0</v>
      </c>
      <c r="AJ513" s="5"/>
      <c r="AK513" s="30">
        <v>1500.0</v>
      </c>
      <c r="AL513" s="28">
        <v>0.0</v>
      </c>
      <c r="AM513" s="28">
        <v>0.0</v>
      </c>
      <c r="AN513" s="28">
        <v>0.0</v>
      </c>
      <c r="AO513" s="28">
        <v>0.0</v>
      </c>
      <c r="AP513" s="28">
        <v>1428000.0</v>
      </c>
      <c r="AQ513" s="28">
        <v>0.0</v>
      </c>
      <c r="AR513" s="28">
        <v>0.0</v>
      </c>
      <c r="AS513" s="28">
        <v>0.0</v>
      </c>
      <c r="AT513" s="28">
        <v>0.0</v>
      </c>
      <c r="AU513" s="28">
        <v>1142400.0</v>
      </c>
      <c r="AV513" s="28">
        <v>0.0</v>
      </c>
      <c r="AW513" s="28">
        <v>0.0</v>
      </c>
      <c r="AX513" s="28">
        <v>0.0</v>
      </c>
      <c r="AY513" s="28">
        <v>0.0</v>
      </c>
      <c r="AZ513" s="5"/>
      <c r="BA513" s="5" t="s">
        <v>86</v>
      </c>
      <c r="BB513" s="5" t="s">
        <v>512</v>
      </c>
      <c r="BC513" s="32" t="s">
        <v>379</v>
      </c>
      <c r="BD513" s="5" t="s">
        <v>126</v>
      </c>
      <c r="BE513" s="5" t="s">
        <v>89</v>
      </c>
      <c r="BF513" s="5" t="s">
        <v>616</v>
      </c>
      <c r="BG513" s="5" t="s">
        <v>131</v>
      </c>
    </row>
    <row r="514" ht="16.5" customHeight="1">
      <c r="A514" s="5" t="s">
        <v>100</v>
      </c>
      <c r="B514" s="5" t="s">
        <v>137</v>
      </c>
      <c r="C514" s="5" t="b">
        <v>1</v>
      </c>
      <c r="D514" s="5" t="s">
        <v>1842</v>
      </c>
      <c r="E514" s="5" t="s">
        <v>1843</v>
      </c>
      <c r="F514" s="5"/>
      <c r="G514" s="5" t="s">
        <v>65</v>
      </c>
      <c r="H514" s="5" t="s">
        <v>84</v>
      </c>
      <c r="I514" s="5" t="s">
        <v>202</v>
      </c>
      <c r="J514" s="25"/>
      <c r="K514" s="25"/>
      <c r="L514" s="25"/>
      <c r="M514" s="5" t="s">
        <v>109</v>
      </c>
      <c r="N514" s="5" t="s">
        <v>68</v>
      </c>
      <c r="O514" s="5" t="s">
        <v>69</v>
      </c>
      <c r="P514" s="5" t="s">
        <v>107</v>
      </c>
      <c r="Q514" s="5" t="s">
        <v>89</v>
      </c>
      <c r="R514" s="5" t="s">
        <v>110</v>
      </c>
      <c r="S514" s="5"/>
      <c r="T514" s="5"/>
      <c r="U514" s="5"/>
      <c r="V514" s="5">
        <v>2000.0</v>
      </c>
      <c r="W514" s="26">
        <v>2.1</v>
      </c>
      <c r="X514" s="5">
        <v>952.0</v>
      </c>
      <c r="Y514" s="27">
        <v>0.2</v>
      </c>
      <c r="Z514" s="28">
        <v>761.6</v>
      </c>
      <c r="AA514" s="27">
        <v>1.0</v>
      </c>
      <c r="AB514" s="5" t="s">
        <v>242</v>
      </c>
      <c r="AC514" s="27">
        <v>0.5</v>
      </c>
      <c r="AD514" s="5"/>
      <c r="AE514" s="24" t="s">
        <v>0</v>
      </c>
      <c r="AF514" s="5"/>
      <c r="AG514" s="5">
        <v>3.0</v>
      </c>
      <c r="AH514" s="5">
        <v>3.0</v>
      </c>
      <c r="AI514" s="5" t="s">
        <v>0</v>
      </c>
      <c r="AJ514" s="5"/>
      <c r="AK514" s="30">
        <v>1200.0</v>
      </c>
      <c r="AL514" s="28">
        <v>0.0</v>
      </c>
      <c r="AM514" s="28">
        <v>0.0</v>
      </c>
      <c r="AN514" s="28">
        <v>0.0</v>
      </c>
      <c r="AO514" s="28">
        <v>0.0</v>
      </c>
      <c r="AP514" s="28">
        <v>1142400.0</v>
      </c>
      <c r="AQ514" s="28">
        <v>0.0</v>
      </c>
      <c r="AR514" s="28">
        <v>0.0</v>
      </c>
      <c r="AS514" s="28">
        <v>0.0</v>
      </c>
      <c r="AT514" s="28">
        <v>0.0</v>
      </c>
      <c r="AU514" s="28">
        <v>913920.0</v>
      </c>
      <c r="AV514" s="28">
        <v>0.0</v>
      </c>
      <c r="AW514" s="28">
        <v>0.0</v>
      </c>
      <c r="AX514" s="28">
        <v>0.0</v>
      </c>
      <c r="AY514" s="28">
        <v>0.0</v>
      </c>
      <c r="AZ514" s="5"/>
      <c r="BA514" s="5" t="s">
        <v>86</v>
      </c>
      <c r="BB514" s="5" t="s">
        <v>512</v>
      </c>
      <c r="BC514" s="32" t="s">
        <v>379</v>
      </c>
      <c r="BD514" s="5" t="s">
        <v>126</v>
      </c>
      <c r="BE514" s="5" t="s">
        <v>89</v>
      </c>
      <c r="BF514" s="5" t="s">
        <v>616</v>
      </c>
      <c r="BG514" s="5" t="s">
        <v>131</v>
      </c>
    </row>
    <row r="515" ht="16.5" hidden="1" customHeight="1">
      <c r="A515" s="5" t="s">
        <v>100</v>
      </c>
      <c r="B515" s="24" t="s">
        <v>0</v>
      </c>
      <c r="C515" s="5" t="b">
        <v>1</v>
      </c>
      <c r="D515" s="5" t="s">
        <v>1972</v>
      </c>
      <c r="E515" s="5" t="s">
        <v>1973</v>
      </c>
      <c r="F515" s="5"/>
      <c r="G515" s="5" t="s">
        <v>65</v>
      </c>
      <c r="H515" s="5" t="s">
        <v>84</v>
      </c>
      <c r="I515" s="5" t="s">
        <v>202</v>
      </c>
      <c r="J515" s="25"/>
      <c r="K515" s="25"/>
      <c r="L515" s="25"/>
      <c r="M515" s="5" t="s">
        <v>66</v>
      </c>
      <c r="N515" s="5" t="s">
        <v>248</v>
      </c>
      <c r="O515" s="24" t="s">
        <v>0</v>
      </c>
      <c r="P515" s="5" t="s">
        <v>249</v>
      </c>
      <c r="Q515" s="5" t="s">
        <v>755</v>
      </c>
      <c r="R515" s="5" t="s">
        <v>23</v>
      </c>
      <c r="S515" s="5"/>
      <c r="T515" s="5"/>
      <c r="U515" s="5"/>
      <c r="V515" s="5">
        <v>300.0</v>
      </c>
      <c r="W515" s="26">
        <v>2.1</v>
      </c>
      <c r="X515" s="5">
        <v>143.0</v>
      </c>
      <c r="Y515" s="27">
        <v>0.2</v>
      </c>
      <c r="Z515" s="28">
        <v>114.4</v>
      </c>
      <c r="AA515" s="27">
        <v>1.0</v>
      </c>
      <c r="AB515" s="24" t="s">
        <v>0</v>
      </c>
      <c r="AC515" s="27">
        <v>0.0</v>
      </c>
      <c r="AD515" s="5"/>
      <c r="AE515" s="24" t="s">
        <v>0</v>
      </c>
      <c r="AF515" s="24"/>
      <c r="AG515" s="5">
        <v>3.0</v>
      </c>
      <c r="AH515" s="5">
        <v>3.0</v>
      </c>
      <c r="AI515" s="5" t="s">
        <v>0</v>
      </c>
      <c r="AJ515" s="5"/>
      <c r="AK515" s="30">
        <v>1500.0</v>
      </c>
      <c r="AL515" s="28">
        <v>0.0</v>
      </c>
      <c r="AM515" s="28">
        <v>0.0</v>
      </c>
      <c r="AN515" s="28">
        <v>0.0</v>
      </c>
      <c r="AO515" s="28">
        <v>0.0</v>
      </c>
      <c r="AP515" s="28">
        <v>214500.0</v>
      </c>
      <c r="AQ515" s="28">
        <v>0.0</v>
      </c>
      <c r="AR515" s="28">
        <v>0.0</v>
      </c>
      <c r="AS515" s="28">
        <v>0.0</v>
      </c>
      <c r="AT515" s="28">
        <v>0.0</v>
      </c>
      <c r="AU515" s="28">
        <v>171600.0</v>
      </c>
      <c r="AV515" s="28">
        <v>0.0</v>
      </c>
      <c r="AW515" s="28">
        <v>0.0</v>
      </c>
      <c r="AX515" s="28">
        <v>0.0</v>
      </c>
      <c r="AY515" s="28">
        <v>0.0</v>
      </c>
      <c r="AZ515" s="5"/>
      <c r="BA515" s="5" t="s">
        <v>125</v>
      </c>
      <c r="BB515" s="5" t="s">
        <v>127</v>
      </c>
      <c r="BD515" s="5" t="s">
        <v>248</v>
      </c>
      <c r="BE515" s="5" t="s">
        <v>1976</v>
      </c>
      <c r="BG515" s="5" t="s">
        <v>131</v>
      </c>
    </row>
    <row r="516" ht="16.5" hidden="1" customHeight="1">
      <c r="A516" s="5" t="s">
        <v>100</v>
      </c>
      <c r="B516" s="5" t="s">
        <v>137</v>
      </c>
      <c r="C516" s="5" t="b">
        <v>1</v>
      </c>
      <c r="D516" s="5" t="s">
        <v>2003</v>
      </c>
      <c r="E516" s="5" t="s">
        <v>2004</v>
      </c>
      <c r="F516" s="5"/>
      <c r="G516" s="5" t="s">
        <v>65</v>
      </c>
      <c r="H516" s="5" t="s">
        <v>84</v>
      </c>
      <c r="I516" s="5" t="s">
        <v>202</v>
      </c>
      <c r="J516" s="25" t="s">
        <v>2021</v>
      </c>
      <c r="K516" s="25"/>
      <c r="L516" s="25"/>
      <c r="M516" s="5" t="s">
        <v>66</v>
      </c>
      <c r="N516" s="5" t="s">
        <v>334</v>
      </c>
      <c r="O516" s="5" t="s">
        <v>69</v>
      </c>
      <c r="P516" s="5" t="s">
        <v>70</v>
      </c>
      <c r="Q516" s="5" t="s">
        <v>778</v>
      </c>
      <c r="R516" s="5" t="s">
        <v>110</v>
      </c>
      <c r="S516" s="5"/>
      <c r="T516" s="5"/>
      <c r="U516" s="5"/>
      <c r="V516" s="5">
        <v>800.0</v>
      </c>
      <c r="W516" s="26">
        <v>2.1</v>
      </c>
      <c r="X516" s="5">
        <v>381.0</v>
      </c>
      <c r="Y516" s="27">
        <v>0.2</v>
      </c>
      <c r="Z516" s="28">
        <v>304.8</v>
      </c>
      <c r="AA516" s="27">
        <v>1.0</v>
      </c>
      <c r="AB516" s="5" t="s">
        <v>117</v>
      </c>
      <c r="AC516" s="27">
        <v>0.62</v>
      </c>
      <c r="AD516" s="5"/>
      <c r="AE516" s="24" t="s">
        <v>0</v>
      </c>
      <c r="AF516" s="5"/>
      <c r="AG516" s="5">
        <v>4.0</v>
      </c>
      <c r="AH516" s="5">
        <v>4.0</v>
      </c>
      <c r="AI516" s="5" t="s">
        <v>125</v>
      </c>
      <c r="AJ516" s="5"/>
      <c r="AK516" s="30">
        <v>2000.0</v>
      </c>
      <c r="AL516" s="28">
        <v>0.0</v>
      </c>
      <c r="AM516" s="28">
        <v>0.0</v>
      </c>
      <c r="AN516" s="28">
        <v>0.0</v>
      </c>
      <c r="AO516" s="28">
        <v>0.0</v>
      </c>
      <c r="AP516" s="28">
        <v>762000.0</v>
      </c>
      <c r="AQ516" s="28">
        <v>0.0</v>
      </c>
      <c r="AR516" s="28">
        <v>0.0</v>
      </c>
      <c r="AS516" s="28">
        <v>0.0</v>
      </c>
      <c r="AT516" s="28">
        <v>0.0</v>
      </c>
      <c r="AU516" s="28">
        <v>609600.0</v>
      </c>
      <c r="AV516" s="28">
        <v>0.0</v>
      </c>
      <c r="AW516" s="28">
        <v>0.0</v>
      </c>
      <c r="AX516" s="28">
        <v>0.0</v>
      </c>
      <c r="AY516" s="28">
        <v>0.0</v>
      </c>
      <c r="AZ516" s="5"/>
      <c r="BA516" s="5" t="s">
        <v>125</v>
      </c>
      <c r="BB516" s="5" t="s">
        <v>127</v>
      </c>
      <c r="BC516" s="5" t="s">
        <v>237</v>
      </c>
      <c r="BD516" s="5" t="s">
        <v>334</v>
      </c>
      <c r="BE516" s="5" t="s">
        <v>337</v>
      </c>
      <c r="BF516" s="5" t="s">
        <v>539</v>
      </c>
      <c r="BG516" s="5" t="s">
        <v>131</v>
      </c>
    </row>
    <row r="517" ht="16.5" hidden="1" customHeight="1">
      <c r="A517" s="5" t="s">
        <v>100</v>
      </c>
      <c r="B517" s="5" t="s">
        <v>137</v>
      </c>
      <c r="C517" s="5" t="b">
        <v>1</v>
      </c>
      <c r="D517" s="5" t="s">
        <v>2006</v>
      </c>
      <c r="E517" s="5" t="s">
        <v>2007</v>
      </c>
      <c r="F517" s="5"/>
      <c r="G517" s="5" t="s">
        <v>65</v>
      </c>
      <c r="H517" s="5" t="s">
        <v>84</v>
      </c>
      <c r="I517" s="5" t="s">
        <v>202</v>
      </c>
      <c r="J517" s="25" t="s">
        <v>2021</v>
      </c>
      <c r="K517" s="25"/>
      <c r="L517" s="25"/>
      <c r="M517" s="5" t="s">
        <v>66</v>
      </c>
      <c r="N517" s="5" t="s">
        <v>334</v>
      </c>
      <c r="O517" s="5" t="s">
        <v>69</v>
      </c>
      <c r="P517" s="5" t="s">
        <v>107</v>
      </c>
      <c r="Q517" s="5" t="s">
        <v>778</v>
      </c>
      <c r="R517" s="5" t="s">
        <v>110</v>
      </c>
      <c r="S517" s="5"/>
      <c r="T517" s="5"/>
      <c r="U517" s="5"/>
      <c r="V517" s="5">
        <v>800.0</v>
      </c>
      <c r="W517" s="26">
        <v>2.1</v>
      </c>
      <c r="X517" s="5">
        <v>381.0</v>
      </c>
      <c r="Y517" s="27">
        <v>0.2</v>
      </c>
      <c r="Z517" s="28">
        <v>304.8</v>
      </c>
      <c r="AA517" s="27">
        <v>1.0</v>
      </c>
      <c r="AB517" s="5" t="s">
        <v>117</v>
      </c>
      <c r="AC517" s="27">
        <v>0.63</v>
      </c>
      <c r="AD517" s="5"/>
      <c r="AE517" s="24" t="s">
        <v>0</v>
      </c>
      <c r="AF517" s="5"/>
      <c r="AG517" s="5">
        <v>4.0</v>
      </c>
      <c r="AH517" s="5">
        <v>4.0</v>
      </c>
      <c r="AI517" s="5" t="s">
        <v>125</v>
      </c>
      <c r="AJ517" s="5"/>
      <c r="AK517" s="30">
        <v>1000.0</v>
      </c>
      <c r="AL517" s="28">
        <v>0.0</v>
      </c>
      <c r="AM517" s="28">
        <v>0.0</v>
      </c>
      <c r="AN517" s="28">
        <v>0.0</v>
      </c>
      <c r="AO517" s="28">
        <v>0.0</v>
      </c>
      <c r="AP517" s="28">
        <v>381000.0</v>
      </c>
      <c r="AQ517" s="28">
        <v>0.0</v>
      </c>
      <c r="AR517" s="28">
        <v>0.0</v>
      </c>
      <c r="AS517" s="28">
        <v>0.0</v>
      </c>
      <c r="AT517" s="28">
        <v>0.0</v>
      </c>
      <c r="AU517" s="28">
        <v>304800.0</v>
      </c>
      <c r="AV517" s="28">
        <v>0.0</v>
      </c>
      <c r="AW517" s="28">
        <v>0.0</v>
      </c>
      <c r="AX517" s="28">
        <v>0.0</v>
      </c>
      <c r="AY517" s="28">
        <v>0.0</v>
      </c>
      <c r="AZ517" s="5"/>
      <c r="BA517" s="5" t="s">
        <v>125</v>
      </c>
      <c r="BB517" s="5" t="s">
        <v>127</v>
      </c>
      <c r="BC517" s="5" t="s">
        <v>237</v>
      </c>
      <c r="BD517" s="5" t="s">
        <v>334</v>
      </c>
      <c r="BE517" s="5" t="s">
        <v>337</v>
      </c>
      <c r="BF517" s="5" t="s">
        <v>539</v>
      </c>
      <c r="BG517" s="5" t="s">
        <v>131</v>
      </c>
    </row>
    <row r="518" ht="16.5" hidden="1" customHeight="1">
      <c r="A518" s="5" t="s">
        <v>100</v>
      </c>
      <c r="B518" s="5" t="s">
        <v>137</v>
      </c>
      <c r="C518" s="5" t="b">
        <v>1</v>
      </c>
      <c r="D518" s="5" t="s">
        <v>2008</v>
      </c>
      <c r="E518" s="5" t="s">
        <v>2009</v>
      </c>
      <c r="F518" s="5"/>
      <c r="G518" s="5" t="s">
        <v>65</v>
      </c>
      <c r="H518" s="5" t="s">
        <v>84</v>
      </c>
      <c r="I518" s="5" t="s">
        <v>202</v>
      </c>
      <c r="J518" s="25" t="s">
        <v>2021</v>
      </c>
      <c r="K518" s="25"/>
      <c r="L518" s="25"/>
      <c r="M518" s="5" t="s">
        <v>66</v>
      </c>
      <c r="N518" s="5" t="s">
        <v>334</v>
      </c>
      <c r="O518" s="5" t="s">
        <v>69</v>
      </c>
      <c r="P518" s="5" t="s">
        <v>70</v>
      </c>
      <c r="Q518" s="5" t="s">
        <v>805</v>
      </c>
      <c r="R518" s="5" t="s">
        <v>110</v>
      </c>
      <c r="S518" s="5"/>
      <c r="T518" s="5"/>
      <c r="U518" s="5"/>
      <c r="V518" s="5">
        <v>700.0</v>
      </c>
      <c r="W518" s="26">
        <v>2.1</v>
      </c>
      <c r="X518" s="5">
        <v>333.0</v>
      </c>
      <c r="Y518" s="27">
        <v>0.2</v>
      </c>
      <c r="Z518" s="28">
        <v>266.40000000000003</v>
      </c>
      <c r="AA518" s="27">
        <v>1.0</v>
      </c>
      <c r="AB518" s="5" t="s">
        <v>117</v>
      </c>
      <c r="AC518" s="27">
        <v>0.62</v>
      </c>
      <c r="AD518" s="5"/>
      <c r="AE518" s="24" t="s">
        <v>0</v>
      </c>
      <c r="AF518" s="5"/>
      <c r="AG518" s="5">
        <v>5.0</v>
      </c>
      <c r="AH518" s="5">
        <v>5.0</v>
      </c>
      <c r="AI518" s="5" t="s">
        <v>125</v>
      </c>
      <c r="AJ518" s="5"/>
      <c r="AK518" s="30">
        <v>4000.0</v>
      </c>
      <c r="AL518" s="28">
        <v>0.0</v>
      </c>
      <c r="AM518" s="28">
        <v>0.0</v>
      </c>
      <c r="AN518" s="28">
        <v>0.0</v>
      </c>
      <c r="AO518" s="28">
        <v>0.0</v>
      </c>
      <c r="AP518" s="28">
        <v>1332000.0</v>
      </c>
      <c r="AQ518" s="28">
        <v>0.0</v>
      </c>
      <c r="AR518" s="28">
        <v>0.0</v>
      </c>
      <c r="AS518" s="28">
        <v>0.0</v>
      </c>
      <c r="AT518" s="28">
        <v>0.0</v>
      </c>
      <c r="AU518" s="28">
        <v>1065600.0000000002</v>
      </c>
      <c r="AV518" s="28">
        <v>0.0</v>
      </c>
      <c r="AW518" s="28">
        <v>0.0</v>
      </c>
      <c r="AX518" s="28">
        <v>0.0</v>
      </c>
      <c r="AY518" s="28">
        <v>0.0</v>
      </c>
      <c r="AZ518" s="5"/>
      <c r="BA518" s="5" t="s">
        <v>125</v>
      </c>
      <c r="BB518" s="5" t="s">
        <v>127</v>
      </c>
      <c r="BC518" s="5" t="s">
        <v>237</v>
      </c>
      <c r="BD518" s="5" t="s">
        <v>334</v>
      </c>
      <c r="BE518" s="5" t="s">
        <v>348</v>
      </c>
      <c r="BF518" s="5" t="s">
        <v>539</v>
      </c>
      <c r="BG518" s="5" t="s">
        <v>131</v>
      </c>
    </row>
    <row r="519" ht="16.5" hidden="1" customHeight="1">
      <c r="A519" s="5" t="s">
        <v>100</v>
      </c>
      <c r="B519" s="5" t="s">
        <v>137</v>
      </c>
      <c r="C519" s="5" t="b">
        <v>1</v>
      </c>
      <c r="D519" s="5" t="s">
        <v>2011</v>
      </c>
      <c r="E519" s="5" t="s">
        <v>2012</v>
      </c>
      <c r="F519" s="5"/>
      <c r="G519" s="5" t="s">
        <v>65</v>
      </c>
      <c r="H519" s="5" t="s">
        <v>84</v>
      </c>
      <c r="I519" s="5" t="s">
        <v>202</v>
      </c>
      <c r="J519" s="25" t="s">
        <v>2021</v>
      </c>
      <c r="K519" s="25"/>
      <c r="L519" s="25"/>
      <c r="M519" s="5" t="s">
        <v>66</v>
      </c>
      <c r="N519" s="5" t="s">
        <v>334</v>
      </c>
      <c r="O519" s="5" t="s">
        <v>69</v>
      </c>
      <c r="P519" s="5" t="s">
        <v>107</v>
      </c>
      <c r="Q519" s="5" t="s">
        <v>805</v>
      </c>
      <c r="R519" s="5" t="s">
        <v>110</v>
      </c>
      <c r="S519" s="5"/>
      <c r="T519" s="5"/>
      <c r="U519" s="5"/>
      <c r="V519" s="5">
        <v>700.0</v>
      </c>
      <c r="W519" s="26">
        <v>2.1</v>
      </c>
      <c r="X519" s="5">
        <v>333.0</v>
      </c>
      <c r="Y519" s="27">
        <v>0.2</v>
      </c>
      <c r="Z519" s="28">
        <v>266.40000000000003</v>
      </c>
      <c r="AA519" s="27">
        <v>1.0</v>
      </c>
      <c r="AB519" s="5" t="s">
        <v>117</v>
      </c>
      <c r="AC519" s="27">
        <v>0.63</v>
      </c>
      <c r="AD519" s="5"/>
      <c r="AE519" s="24" t="s">
        <v>0</v>
      </c>
      <c r="AF519" s="5"/>
      <c r="AG519" s="5">
        <v>5.0</v>
      </c>
      <c r="AH519" s="5">
        <v>5.0</v>
      </c>
      <c r="AI519" s="5" t="s">
        <v>125</v>
      </c>
      <c r="AJ519" s="5"/>
      <c r="AK519" s="30">
        <v>2000.0</v>
      </c>
      <c r="AL519" s="28">
        <v>0.0</v>
      </c>
      <c r="AM519" s="28">
        <v>0.0</v>
      </c>
      <c r="AN519" s="28">
        <v>0.0</v>
      </c>
      <c r="AO519" s="28">
        <v>0.0</v>
      </c>
      <c r="AP519" s="28">
        <v>666000.0</v>
      </c>
      <c r="AQ519" s="28">
        <v>0.0</v>
      </c>
      <c r="AR519" s="28">
        <v>0.0</v>
      </c>
      <c r="AS519" s="28">
        <v>0.0</v>
      </c>
      <c r="AT519" s="28">
        <v>0.0</v>
      </c>
      <c r="AU519" s="28">
        <v>532800.0000000001</v>
      </c>
      <c r="AV519" s="28">
        <v>0.0</v>
      </c>
      <c r="AW519" s="28">
        <v>0.0</v>
      </c>
      <c r="AX519" s="28">
        <v>0.0</v>
      </c>
      <c r="AY519" s="28">
        <v>0.0</v>
      </c>
      <c r="AZ519" s="5"/>
      <c r="BA519" s="5" t="s">
        <v>125</v>
      </c>
      <c r="BB519" s="5" t="s">
        <v>127</v>
      </c>
      <c r="BC519" s="5" t="s">
        <v>237</v>
      </c>
      <c r="BD519" s="5" t="s">
        <v>334</v>
      </c>
      <c r="BE519" s="5" t="s">
        <v>348</v>
      </c>
      <c r="BF519" s="5" t="s">
        <v>539</v>
      </c>
      <c r="BG519" s="5" t="s">
        <v>131</v>
      </c>
    </row>
    <row r="520" ht="16.5" hidden="1" customHeight="1">
      <c r="A520" s="5" t="s">
        <v>100</v>
      </c>
      <c r="B520" s="5" t="s">
        <v>137</v>
      </c>
      <c r="C520" s="5" t="b">
        <v>1</v>
      </c>
      <c r="D520" s="5" t="s">
        <v>2040</v>
      </c>
      <c r="E520" s="5" t="s">
        <v>2041</v>
      </c>
      <c r="F520" s="5"/>
      <c r="G520" s="5" t="s">
        <v>65</v>
      </c>
      <c r="H520" s="5" t="s">
        <v>84</v>
      </c>
      <c r="I520" s="5" t="s">
        <v>202</v>
      </c>
      <c r="J520" s="25" t="s">
        <v>2021</v>
      </c>
      <c r="K520" s="25"/>
      <c r="L520" s="25"/>
      <c r="M520" s="5" t="s">
        <v>66</v>
      </c>
      <c r="N520" s="5" t="s">
        <v>334</v>
      </c>
      <c r="O520" s="5" t="s">
        <v>69</v>
      </c>
      <c r="P520" s="5" t="s">
        <v>70</v>
      </c>
      <c r="Q520" s="5" t="s">
        <v>778</v>
      </c>
      <c r="R520" s="5" t="s">
        <v>110</v>
      </c>
      <c r="S520" s="5"/>
      <c r="T520" s="5"/>
      <c r="U520" s="5"/>
      <c r="V520" s="5">
        <v>700.0</v>
      </c>
      <c r="W520" s="26">
        <v>2.1</v>
      </c>
      <c r="X520" s="5">
        <v>333.0</v>
      </c>
      <c r="Y520" s="27">
        <v>0.2</v>
      </c>
      <c r="Z520" s="28">
        <v>266.40000000000003</v>
      </c>
      <c r="AA520" s="27">
        <v>1.0</v>
      </c>
      <c r="AB520" s="5" t="s">
        <v>78</v>
      </c>
      <c r="AC520" s="27">
        <v>0.62</v>
      </c>
      <c r="AD520" s="5"/>
      <c r="AE520" s="24" t="s">
        <v>0</v>
      </c>
      <c r="AF520" s="5"/>
      <c r="AG520" s="5">
        <v>4.0</v>
      </c>
      <c r="AH520" s="5">
        <v>4.0</v>
      </c>
      <c r="AI520" s="5" t="s">
        <v>125</v>
      </c>
      <c r="AJ520" s="5"/>
      <c r="AK520" s="30">
        <v>1200.0</v>
      </c>
      <c r="AL520" s="28">
        <v>0.0</v>
      </c>
      <c r="AM520" s="28">
        <v>0.0</v>
      </c>
      <c r="AN520" s="28">
        <v>0.0</v>
      </c>
      <c r="AO520" s="28">
        <v>0.0</v>
      </c>
      <c r="AP520" s="28">
        <v>399600.0</v>
      </c>
      <c r="AQ520" s="28">
        <v>0.0</v>
      </c>
      <c r="AR520" s="28">
        <v>0.0</v>
      </c>
      <c r="AS520" s="28">
        <v>0.0</v>
      </c>
      <c r="AT520" s="28">
        <v>0.0</v>
      </c>
      <c r="AU520" s="28">
        <v>319680.00000000006</v>
      </c>
      <c r="AV520" s="28">
        <v>0.0</v>
      </c>
      <c r="AW520" s="28">
        <v>0.0</v>
      </c>
      <c r="AX520" s="28">
        <v>0.0</v>
      </c>
      <c r="AY520" s="28">
        <v>0.0</v>
      </c>
      <c r="AZ520" s="5"/>
      <c r="BA520" s="5" t="s">
        <v>125</v>
      </c>
      <c r="BB520" s="5" t="s">
        <v>127</v>
      </c>
      <c r="BC520" s="5" t="s">
        <v>237</v>
      </c>
      <c r="BD520" s="5" t="s">
        <v>334</v>
      </c>
      <c r="BE520" s="5" t="s">
        <v>337</v>
      </c>
      <c r="BF520" s="5" t="s">
        <v>553</v>
      </c>
      <c r="BG520" s="5" t="s">
        <v>131</v>
      </c>
    </row>
    <row r="521" ht="16.5" hidden="1" customHeight="1">
      <c r="A521" s="5" t="s">
        <v>100</v>
      </c>
      <c r="B521" s="5" t="s">
        <v>137</v>
      </c>
      <c r="C521" s="5" t="b">
        <v>1</v>
      </c>
      <c r="D521" s="5" t="s">
        <v>2042</v>
      </c>
      <c r="E521" s="5" t="s">
        <v>2043</v>
      </c>
      <c r="F521" s="5"/>
      <c r="G521" s="5" t="s">
        <v>65</v>
      </c>
      <c r="H521" s="5" t="s">
        <v>84</v>
      </c>
      <c r="I521" s="5" t="s">
        <v>202</v>
      </c>
      <c r="J521" s="25" t="s">
        <v>2021</v>
      </c>
      <c r="K521" s="25"/>
      <c r="L521" s="25"/>
      <c r="M521" s="5" t="s">
        <v>66</v>
      </c>
      <c r="N521" s="5" t="s">
        <v>334</v>
      </c>
      <c r="O521" s="5" t="s">
        <v>69</v>
      </c>
      <c r="P521" s="5" t="s">
        <v>107</v>
      </c>
      <c r="Q521" s="5" t="s">
        <v>778</v>
      </c>
      <c r="R521" s="5" t="s">
        <v>110</v>
      </c>
      <c r="S521" s="5"/>
      <c r="T521" s="5"/>
      <c r="U521" s="5"/>
      <c r="V521" s="5">
        <v>700.0</v>
      </c>
      <c r="W521" s="26">
        <v>2.1</v>
      </c>
      <c r="X521" s="5">
        <v>333.0</v>
      </c>
      <c r="Y521" s="27">
        <v>0.2</v>
      </c>
      <c r="Z521" s="28">
        <v>266.40000000000003</v>
      </c>
      <c r="AA521" s="27">
        <v>1.0</v>
      </c>
      <c r="AB521" s="5" t="s">
        <v>78</v>
      </c>
      <c r="AC521" s="27">
        <v>0.63</v>
      </c>
      <c r="AD521" s="5"/>
      <c r="AE521" s="24" t="s">
        <v>0</v>
      </c>
      <c r="AF521" s="5"/>
      <c r="AG521" s="5">
        <v>4.0</v>
      </c>
      <c r="AH521" s="5">
        <v>4.0</v>
      </c>
      <c r="AI521" s="5" t="s">
        <v>125</v>
      </c>
      <c r="AJ521" s="5"/>
      <c r="AK521" s="30">
        <v>900.0</v>
      </c>
      <c r="AL521" s="28">
        <v>0.0</v>
      </c>
      <c r="AM521" s="28">
        <v>0.0</v>
      </c>
      <c r="AN521" s="28">
        <v>0.0</v>
      </c>
      <c r="AO521" s="28">
        <v>0.0</v>
      </c>
      <c r="AP521" s="28">
        <v>299700.0</v>
      </c>
      <c r="AQ521" s="28">
        <v>0.0</v>
      </c>
      <c r="AR521" s="28">
        <v>0.0</v>
      </c>
      <c r="AS521" s="28">
        <v>0.0</v>
      </c>
      <c r="AT521" s="28">
        <v>0.0</v>
      </c>
      <c r="AU521" s="28">
        <v>239760.00000000003</v>
      </c>
      <c r="AV521" s="28">
        <v>0.0</v>
      </c>
      <c r="AW521" s="28">
        <v>0.0</v>
      </c>
      <c r="AX521" s="28">
        <v>0.0</v>
      </c>
      <c r="AY521" s="28">
        <v>0.0</v>
      </c>
      <c r="AZ521" s="5"/>
      <c r="BA521" s="5" t="s">
        <v>125</v>
      </c>
      <c r="BB521" s="5" t="s">
        <v>127</v>
      </c>
      <c r="BC521" s="5" t="s">
        <v>237</v>
      </c>
      <c r="BD521" s="5" t="s">
        <v>334</v>
      </c>
      <c r="BE521" s="5" t="s">
        <v>337</v>
      </c>
      <c r="BF521" s="5" t="s">
        <v>553</v>
      </c>
      <c r="BG521" s="5" t="s">
        <v>131</v>
      </c>
    </row>
    <row r="522" ht="16.5" hidden="1" customHeight="1">
      <c r="A522" s="5" t="s">
        <v>100</v>
      </c>
      <c r="B522" s="5" t="s">
        <v>137</v>
      </c>
      <c r="C522" s="5" t="b">
        <v>1</v>
      </c>
      <c r="D522" s="5" t="s">
        <v>2045</v>
      </c>
      <c r="E522" s="5" t="s">
        <v>2046</v>
      </c>
      <c r="F522" s="5"/>
      <c r="G522" s="5" t="s">
        <v>65</v>
      </c>
      <c r="H522" s="5" t="s">
        <v>84</v>
      </c>
      <c r="I522" s="5" t="s">
        <v>202</v>
      </c>
      <c r="J522" s="25" t="s">
        <v>2021</v>
      </c>
      <c r="K522" s="25"/>
      <c r="L522" s="25"/>
      <c r="M522" s="5" t="s">
        <v>66</v>
      </c>
      <c r="N522" s="5" t="s">
        <v>334</v>
      </c>
      <c r="O522" s="5" t="s">
        <v>69</v>
      </c>
      <c r="P522" s="5" t="s">
        <v>70</v>
      </c>
      <c r="Q522" s="5" t="s">
        <v>805</v>
      </c>
      <c r="R522" s="5" t="s">
        <v>110</v>
      </c>
      <c r="S522" s="5"/>
      <c r="T522" s="5"/>
      <c r="U522" s="5"/>
      <c r="V522" s="5">
        <v>500.0</v>
      </c>
      <c r="W522" s="26">
        <v>2.1</v>
      </c>
      <c r="X522" s="5">
        <v>238.0</v>
      </c>
      <c r="Y522" s="27">
        <v>0.2</v>
      </c>
      <c r="Z522" s="28">
        <v>190.4</v>
      </c>
      <c r="AA522" s="27">
        <v>1.0</v>
      </c>
      <c r="AB522" s="5" t="s">
        <v>78</v>
      </c>
      <c r="AC522" s="27">
        <v>0.62</v>
      </c>
      <c r="AD522" s="5"/>
      <c r="AE522" s="24" t="s">
        <v>0</v>
      </c>
      <c r="AF522" s="5"/>
      <c r="AG522" s="5">
        <v>5.0</v>
      </c>
      <c r="AH522" s="5">
        <v>5.0</v>
      </c>
      <c r="AI522" s="5" t="s">
        <v>125</v>
      </c>
      <c r="AJ522" s="5"/>
      <c r="AK522" s="30">
        <v>3000.0</v>
      </c>
      <c r="AL522" s="28">
        <v>0.0</v>
      </c>
      <c r="AM522" s="28">
        <v>0.0</v>
      </c>
      <c r="AN522" s="28">
        <v>0.0</v>
      </c>
      <c r="AO522" s="28">
        <v>0.0</v>
      </c>
      <c r="AP522" s="28">
        <v>714000.0</v>
      </c>
      <c r="AQ522" s="28">
        <v>0.0</v>
      </c>
      <c r="AR522" s="28">
        <v>0.0</v>
      </c>
      <c r="AS522" s="28">
        <v>0.0</v>
      </c>
      <c r="AT522" s="28">
        <v>0.0</v>
      </c>
      <c r="AU522" s="28">
        <v>571200.0</v>
      </c>
      <c r="AV522" s="28">
        <v>0.0</v>
      </c>
      <c r="AW522" s="28">
        <v>0.0</v>
      </c>
      <c r="AX522" s="28">
        <v>0.0</v>
      </c>
      <c r="AY522" s="28">
        <v>0.0</v>
      </c>
      <c r="AZ522" s="5"/>
      <c r="BA522" s="5" t="s">
        <v>125</v>
      </c>
      <c r="BB522" s="5" t="s">
        <v>127</v>
      </c>
      <c r="BC522" s="5" t="s">
        <v>237</v>
      </c>
      <c r="BD522" s="5" t="s">
        <v>334</v>
      </c>
      <c r="BE522" s="5" t="s">
        <v>348</v>
      </c>
      <c r="BF522" s="5" t="s">
        <v>553</v>
      </c>
      <c r="BG522" s="5" t="s">
        <v>131</v>
      </c>
    </row>
    <row r="523" ht="16.5" hidden="1" customHeight="1">
      <c r="A523" s="5" t="s">
        <v>100</v>
      </c>
      <c r="B523" s="5" t="s">
        <v>137</v>
      </c>
      <c r="C523" s="5" t="b">
        <v>1</v>
      </c>
      <c r="D523" s="5" t="s">
        <v>2047</v>
      </c>
      <c r="E523" s="5" t="s">
        <v>2048</v>
      </c>
      <c r="F523" s="5"/>
      <c r="G523" s="5" t="s">
        <v>65</v>
      </c>
      <c r="H523" s="5" t="s">
        <v>84</v>
      </c>
      <c r="I523" s="5" t="s">
        <v>202</v>
      </c>
      <c r="J523" s="25" t="s">
        <v>2021</v>
      </c>
      <c r="K523" s="25"/>
      <c r="L523" s="25"/>
      <c r="M523" s="5" t="s">
        <v>66</v>
      </c>
      <c r="N523" s="5" t="s">
        <v>334</v>
      </c>
      <c r="O523" s="5" t="s">
        <v>69</v>
      </c>
      <c r="P523" s="5" t="s">
        <v>107</v>
      </c>
      <c r="Q523" s="5" t="s">
        <v>805</v>
      </c>
      <c r="R523" s="5" t="s">
        <v>110</v>
      </c>
      <c r="S523" s="5"/>
      <c r="T523" s="5"/>
      <c r="U523" s="5"/>
      <c r="V523" s="5">
        <v>500.0</v>
      </c>
      <c r="W523" s="26">
        <v>2.1</v>
      </c>
      <c r="X523" s="5">
        <v>238.0</v>
      </c>
      <c r="Y523" s="27">
        <v>0.2</v>
      </c>
      <c r="Z523" s="28">
        <v>190.4</v>
      </c>
      <c r="AA523" s="27">
        <v>1.0</v>
      </c>
      <c r="AB523" s="5" t="s">
        <v>78</v>
      </c>
      <c r="AC523" s="27">
        <v>0.63</v>
      </c>
      <c r="AD523" s="5"/>
      <c r="AE523" s="24" t="s">
        <v>0</v>
      </c>
      <c r="AF523" s="5"/>
      <c r="AG523" s="5">
        <v>5.0</v>
      </c>
      <c r="AH523" s="5">
        <v>5.0</v>
      </c>
      <c r="AI523" s="5" t="s">
        <v>125</v>
      </c>
      <c r="AJ523" s="5"/>
      <c r="AK523" s="30">
        <v>2500.0</v>
      </c>
      <c r="AL523" s="28">
        <v>0.0</v>
      </c>
      <c r="AM523" s="28">
        <v>0.0</v>
      </c>
      <c r="AN523" s="28">
        <v>0.0</v>
      </c>
      <c r="AO523" s="28">
        <v>0.0</v>
      </c>
      <c r="AP523" s="28">
        <v>595000.0</v>
      </c>
      <c r="AQ523" s="28">
        <v>0.0</v>
      </c>
      <c r="AR523" s="28">
        <v>0.0</v>
      </c>
      <c r="AS523" s="28">
        <v>0.0</v>
      </c>
      <c r="AT523" s="28">
        <v>0.0</v>
      </c>
      <c r="AU523" s="28">
        <v>476000.0</v>
      </c>
      <c r="AV523" s="28">
        <v>0.0</v>
      </c>
      <c r="AW523" s="28">
        <v>0.0</v>
      </c>
      <c r="AX523" s="28">
        <v>0.0</v>
      </c>
      <c r="AY523" s="28">
        <v>0.0</v>
      </c>
      <c r="AZ523" s="5"/>
      <c r="BA523" s="5" t="s">
        <v>125</v>
      </c>
      <c r="BB523" s="5" t="s">
        <v>127</v>
      </c>
      <c r="BC523" s="5" t="s">
        <v>237</v>
      </c>
      <c r="BD523" s="5" t="s">
        <v>334</v>
      </c>
      <c r="BE523" s="5" t="s">
        <v>348</v>
      </c>
      <c r="BF523" s="5" t="s">
        <v>553</v>
      </c>
      <c r="BG523" s="5" t="s">
        <v>131</v>
      </c>
    </row>
    <row r="524" ht="16.5" customHeight="1">
      <c r="A524" s="5" t="s">
        <v>100</v>
      </c>
      <c r="B524" s="5" t="s">
        <v>137</v>
      </c>
      <c r="C524" s="5" t="b">
        <v>1</v>
      </c>
      <c r="D524" s="5" t="s">
        <v>2049</v>
      </c>
      <c r="E524" s="5" t="s">
        <v>2050</v>
      </c>
      <c r="F524" s="5"/>
      <c r="G524" s="5" t="s">
        <v>1002</v>
      </c>
      <c r="H524" s="5" t="s">
        <v>84</v>
      </c>
      <c r="I524" s="5" t="s">
        <v>202</v>
      </c>
      <c r="J524" s="25"/>
      <c r="K524" s="25"/>
      <c r="L524" s="25"/>
      <c r="M524" s="5" t="s">
        <v>109</v>
      </c>
      <c r="N524" s="5" t="s">
        <v>1027</v>
      </c>
      <c r="O524" s="5" t="s">
        <v>69</v>
      </c>
      <c r="P524" s="5" t="s">
        <v>70</v>
      </c>
      <c r="Q524" s="5" t="s">
        <v>1920</v>
      </c>
      <c r="R524" s="5" t="s">
        <v>1920</v>
      </c>
      <c r="S524" s="5"/>
      <c r="T524" s="5"/>
      <c r="U524" s="5"/>
      <c r="V524" s="5">
        <v>2200.0</v>
      </c>
      <c r="W524" s="26">
        <v>2.08</v>
      </c>
      <c r="X524" s="5">
        <v>1058.0</v>
      </c>
      <c r="Y524" s="27">
        <v>0.2</v>
      </c>
      <c r="Z524" s="28">
        <v>846.4000000000001</v>
      </c>
      <c r="AA524" s="27">
        <v>1.0</v>
      </c>
      <c r="AB524" s="5" t="s">
        <v>242</v>
      </c>
      <c r="AC524" s="27">
        <v>0.6</v>
      </c>
      <c r="AD524" s="5"/>
      <c r="AE524" s="5" t="s">
        <v>81</v>
      </c>
      <c r="AF524" s="5"/>
      <c r="AG524" s="5">
        <v>3.0</v>
      </c>
      <c r="AH524" s="5">
        <v>4.0</v>
      </c>
      <c r="AI524" s="5" t="s">
        <v>0</v>
      </c>
      <c r="AJ524" s="5"/>
      <c r="AK524" s="30">
        <v>5000.0</v>
      </c>
      <c r="AL524" s="28">
        <v>0.0</v>
      </c>
      <c r="AM524" s="28">
        <v>0.0</v>
      </c>
      <c r="AN524" s="28">
        <v>0.0</v>
      </c>
      <c r="AO524" s="28">
        <v>0.0</v>
      </c>
      <c r="AP524" s="28">
        <v>5290000.0</v>
      </c>
      <c r="AQ524" s="28">
        <v>0.0</v>
      </c>
      <c r="AR524" s="28">
        <v>0.0</v>
      </c>
      <c r="AS524" s="28">
        <v>0.0</v>
      </c>
      <c r="AT524" s="28">
        <v>0.0</v>
      </c>
      <c r="AU524" s="28">
        <v>4232000.0</v>
      </c>
      <c r="AV524" s="28">
        <v>0.0</v>
      </c>
      <c r="AW524" s="28">
        <v>0.0</v>
      </c>
      <c r="AX524" s="28">
        <v>0.0</v>
      </c>
      <c r="AY524" s="28">
        <v>0.0</v>
      </c>
      <c r="AZ524" s="5"/>
      <c r="BA524" s="5" t="s">
        <v>86</v>
      </c>
      <c r="BB524" s="5" t="s">
        <v>512</v>
      </c>
      <c r="BD524" s="5" t="s">
        <v>1002</v>
      </c>
      <c r="BE524" s="5" t="s">
        <v>1005</v>
      </c>
      <c r="BF524" s="5" t="s">
        <v>1006</v>
      </c>
      <c r="BG524" s="5" t="s">
        <v>131</v>
      </c>
    </row>
    <row r="525" ht="16.5" customHeight="1">
      <c r="A525" s="5" t="s">
        <v>100</v>
      </c>
      <c r="B525" s="5" t="s">
        <v>137</v>
      </c>
      <c r="C525" s="5" t="b">
        <v>1</v>
      </c>
      <c r="D525" s="5" t="s">
        <v>2051</v>
      </c>
      <c r="E525" s="5" t="s">
        <v>2052</v>
      </c>
      <c r="F525" s="5"/>
      <c r="G525" s="5" t="s">
        <v>1002</v>
      </c>
      <c r="H525" s="5" t="s">
        <v>84</v>
      </c>
      <c r="I525" s="5" t="s">
        <v>202</v>
      </c>
      <c r="J525" s="25"/>
      <c r="K525" s="25"/>
      <c r="L525" s="25"/>
      <c r="M525" s="5" t="s">
        <v>109</v>
      </c>
      <c r="N525" s="5" t="s">
        <v>1027</v>
      </c>
      <c r="O525" s="5" t="s">
        <v>69</v>
      </c>
      <c r="P525" s="5" t="s">
        <v>107</v>
      </c>
      <c r="Q525" s="5" t="s">
        <v>1920</v>
      </c>
      <c r="R525" s="5" t="s">
        <v>1920</v>
      </c>
      <c r="S525" s="5"/>
      <c r="T525" s="5"/>
      <c r="U525" s="5"/>
      <c r="V525" s="5">
        <v>2200.0</v>
      </c>
      <c r="W525" s="26">
        <v>2.08</v>
      </c>
      <c r="X525" s="5">
        <v>1058.0</v>
      </c>
      <c r="Y525" s="27">
        <v>0.2</v>
      </c>
      <c r="Z525" s="28">
        <v>846.4000000000001</v>
      </c>
      <c r="AA525" s="27">
        <v>1.0</v>
      </c>
      <c r="AB525" s="5" t="s">
        <v>242</v>
      </c>
      <c r="AC525" s="27">
        <v>0.6</v>
      </c>
      <c r="AD525" s="5"/>
      <c r="AE525" s="5" t="s">
        <v>81</v>
      </c>
      <c r="AF525" s="5"/>
      <c r="AG525" s="5">
        <v>3.0</v>
      </c>
      <c r="AH525" s="5">
        <v>4.0</v>
      </c>
      <c r="AI525" s="5" t="s">
        <v>0</v>
      </c>
      <c r="AJ525" s="5"/>
      <c r="AK525" s="30">
        <v>4000.0</v>
      </c>
      <c r="AL525" s="28">
        <v>0.0</v>
      </c>
      <c r="AM525" s="28">
        <v>0.0</v>
      </c>
      <c r="AN525" s="28">
        <v>0.0</v>
      </c>
      <c r="AO525" s="28">
        <v>0.0</v>
      </c>
      <c r="AP525" s="28">
        <v>4232000.0</v>
      </c>
      <c r="AQ525" s="28">
        <v>0.0</v>
      </c>
      <c r="AR525" s="28">
        <v>0.0</v>
      </c>
      <c r="AS525" s="28">
        <v>0.0</v>
      </c>
      <c r="AT525" s="28">
        <v>0.0</v>
      </c>
      <c r="AU525" s="28">
        <v>3385600.0000000005</v>
      </c>
      <c r="AV525" s="28">
        <v>0.0</v>
      </c>
      <c r="AW525" s="28">
        <v>0.0</v>
      </c>
      <c r="AX525" s="28">
        <v>0.0</v>
      </c>
      <c r="AY525" s="28">
        <v>0.0</v>
      </c>
      <c r="AZ525" s="5"/>
      <c r="BA525" s="5" t="s">
        <v>86</v>
      </c>
      <c r="BB525" s="5" t="s">
        <v>512</v>
      </c>
      <c r="BD525" s="5" t="s">
        <v>1002</v>
      </c>
      <c r="BE525" s="5" t="s">
        <v>1005</v>
      </c>
      <c r="BF525" s="5" t="s">
        <v>1006</v>
      </c>
      <c r="BG525" s="5" t="s">
        <v>131</v>
      </c>
    </row>
    <row r="526" ht="16.5" customHeight="1">
      <c r="A526" s="5" t="s">
        <v>100</v>
      </c>
      <c r="B526" s="5" t="s">
        <v>137</v>
      </c>
      <c r="C526" s="5" t="b">
        <v>1</v>
      </c>
      <c r="D526" s="5" t="s">
        <v>2053</v>
      </c>
      <c r="E526" s="5" t="s">
        <v>2054</v>
      </c>
      <c r="F526" s="5"/>
      <c r="G526" s="5" t="s">
        <v>1002</v>
      </c>
      <c r="H526" s="5" t="s">
        <v>84</v>
      </c>
      <c r="I526" s="5" t="s">
        <v>202</v>
      </c>
      <c r="J526" s="25"/>
      <c r="K526" s="25"/>
      <c r="L526" s="25"/>
      <c r="M526" s="5" t="s">
        <v>109</v>
      </c>
      <c r="N526" s="5" t="s">
        <v>1027</v>
      </c>
      <c r="O526" s="5" t="s">
        <v>69</v>
      </c>
      <c r="P526" s="5" t="s">
        <v>70</v>
      </c>
      <c r="Q526" s="5" t="s">
        <v>1920</v>
      </c>
      <c r="R526" s="5" t="s">
        <v>1920</v>
      </c>
      <c r="S526" s="5"/>
      <c r="T526" s="5"/>
      <c r="U526" s="5"/>
      <c r="V526" s="5">
        <v>2700.0</v>
      </c>
      <c r="W526" s="26">
        <v>2.08</v>
      </c>
      <c r="X526" s="5">
        <v>1298.0</v>
      </c>
      <c r="Y526" s="27">
        <v>0.2</v>
      </c>
      <c r="Z526" s="28">
        <v>1038.4</v>
      </c>
      <c r="AA526" s="27">
        <v>1.0</v>
      </c>
      <c r="AB526" s="5" t="s">
        <v>242</v>
      </c>
      <c r="AC526" s="27">
        <v>0.573</v>
      </c>
      <c r="AD526" s="5"/>
      <c r="AE526" s="5" t="s">
        <v>80</v>
      </c>
      <c r="AF526" s="5"/>
      <c r="AG526" s="5">
        <v>2.0</v>
      </c>
      <c r="AH526" s="5">
        <v>2.0</v>
      </c>
      <c r="AI526" s="5" t="s">
        <v>0</v>
      </c>
      <c r="AJ526" s="5"/>
      <c r="AK526" s="30">
        <v>3500.0</v>
      </c>
      <c r="AL526" s="28">
        <v>0.0</v>
      </c>
      <c r="AM526" s="28">
        <v>0.0</v>
      </c>
      <c r="AN526" s="28">
        <v>0.0</v>
      </c>
      <c r="AO526" s="28">
        <v>0.0</v>
      </c>
      <c r="AP526" s="28">
        <v>4543000.0</v>
      </c>
      <c r="AQ526" s="28">
        <v>0.0</v>
      </c>
      <c r="AR526" s="28">
        <v>0.0</v>
      </c>
      <c r="AS526" s="28">
        <v>0.0</v>
      </c>
      <c r="AT526" s="28">
        <v>0.0</v>
      </c>
      <c r="AU526" s="28">
        <v>3634400.0000000005</v>
      </c>
      <c r="AV526" s="28">
        <v>0.0</v>
      </c>
      <c r="AW526" s="28">
        <v>0.0</v>
      </c>
      <c r="AX526" s="28">
        <v>0.0</v>
      </c>
      <c r="AY526" s="28">
        <v>0.0</v>
      </c>
      <c r="AZ526" s="5"/>
      <c r="BA526" s="5" t="s">
        <v>86</v>
      </c>
      <c r="BB526" s="5" t="s">
        <v>512</v>
      </c>
      <c r="BD526" s="5" t="s">
        <v>1002</v>
      </c>
      <c r="BE526" s="5" t="s">
        <v>1005</v>
      </c>
      <c r="BF526" s="5" t="s">
        <v>1016</v>
      </c>
      <c r="BG526" s="5" t="s">
        <v>91</v>
      </c>
    </row>
    <row r="527" ht="16.5" customHeight="1">
      <c r="A527" s="5" t="s">
        <v>100</v>
      </c>
      <c r="B527" s="5" t="s">
        <v>137</v>
      </c>
      <c r="C527" s="5" t="b">
        <v>1</v>
      </c>
      <c r="D527" s="5" t="s">
        <v>2055</v>
      </c>
      <c r="E527" s="5" t="s">
        <v>2056</v>
      </c>
      <c r="F527" s="5"/>
      <c r="G527" s="5" t="s">
        <v>1002</v>
      </c>
      <c r="H527" s="5" t="s">
        <v>84</v>
      </c>
      <c r="I527" s="5" t="s">
        <v>202</v>
      </c>
      <c r="J527" s="25"/>
      <c r="K527" s="25"/>
      <c r="L527" s="25"/>
      <c r="M527" s="5" t="s">
        <v>109</v>
      </c>
      <c r="N527" s="5" t="s">
        <v>1027</v>
      </c>
      <c r="O527" s="5" t="s">
        <v>69</v>
      </c>
      <c r="P527" s="5" t="s">
        <v>107</v>
      </c>
      <c r="Q527" s="5" t="s">
        <v>1920</v>
      </c>
      <c r="R527" s="5" t="s">
        <v>1920</v>
      </c>
      <c r="S527" s="5"/>
      <c r="T527" s="5"/>
      <c r="U527" s="5"/>
      <c r="V527" s="5">
        <v>2700.0</v>
      </c>
      <c r="W527" s="26">
        <v>2.08</v>
      </c>
      <c r="X527" s="5">
        <v>1298.0</v>
      </c>
      <c r="Y527" s="27">
        <v>0.2</v>
      </c>
      <c r="Z527" s="28">
        <v>1038.4</v>
      </c>
      <c r="AA527" s="27">
        <v>1.0</v>
      </c>
      <c r="AB527" s="5" t="s">
        <v>242</v>
      </c>
      <c r="AC527" s="27">
        <v>0.573</v>
      </c>
      <c r="AD527" s="5"/>
      <c r="AE527" s="5" t="s">
        <v>80</v>
      </c>
      <c r="AF527" s="5"/>
      <c r="AG527" s="5">
        <v>2.0</v>
      </c>
      <c r="AH527" s="5">
        <v>2.0</v>
      </c>
      <c r="AI527" s="5" t="s">
        <v>0</v>
      </c>
      <c r="AJ527" s="5"/>
      <c r="AK527" s="30">
        <v>2500.0</v>
      </c>
      <c r="AL527" s="28">
        <v>0.0</v>
      </c>
      <c r="AM527" s="28">
        <v>0.0</v>
      </c>
      <c r="AN527" s="28">
        <v>0.0</v>
      </c>
      <c r="AO527" s="28">
        <v>0.0</v>
      </c>
      <c r="AP527" s="28">
        <v>3245000.0</v>
      </c>
      <c r="AQ527" s="28">
        <v>0.0</v>
      </c>
      <c r="AR527" s="28">
        <v>0.0</v>
      </c>
      <c r="AS527" s="28">
        <v>0.0</v>
      </c>
      <c r="AT527" s="28">
        <v>0.0</v>
      </c>
      <c r="AU527" s="28">
        <v>2596000.0</v>
      </c>
      <c r="AV527" s="28">
        <v>0.0</v>
      </c>
      <c r="AW527" s="28">
        <v>0.0</v>
      </c>
      <c r="AX527" s="28">
        <v>0.0</v>
      </c>
      <c r="AY527" s="28">
        <v>0.0</v>
      </c>
      <c r="AZ527" s="5"/>
      <c r="BA527" s="5" t="s">
        <v>86</v>
      </c>
      <c r="BB527" s="5" t="s">
        <v>512</v>
      </c>
      <c r="BD527" s="5" t="s">
        <v>1002</v>
      </c>
      <c r="BE527" s="5" t="s">
        <v>1005</v>
      </c>
      <c r="BF527" s="5" t="s">
        <v>1016</v>
      </c>
      <c r="BG527" s="5" t="s">
        <v>91</v>
      </c>
    </row>
    <row r="528" ht="16.5" customHeight="1">
      <c r="A528" s="5" t="s">
        <v>100</v>
      </c>
      <c r="B528" s="5" t="s">
        <v>137</v>
      </c>
      <c r="C528" s="5" t="b">
        <v>1</v>
      </c>
      <c r="D528" s="5" t="s">
        <v>2057</v>
      </c>
      <c r="E528" s="5" t="s">
        <v>2058</v>
      </c>
      <c r="F528" s="5"/>
      <c r="G528" s="5" t="s">
        <v>1002</v>
      </c>
      <c r="H528" s="5" t="s">
        <v>84</v>
      </c>
      <c r="I528" s="5" t="s">
        <v>202</v>
      </c>
      <c r="J528" s="25"/>
      <c r="K528" s="25"/>
      <c r="L528" s="25"/>
      <c r="M528" s="5" t="s">
        <v>109</v>
      </c>
      <c r="N528" s="5" t="s">
        <v>1027</v>
      </c>
      <c r="O528" s="5" t="s">
        <v>69</v>
      </c>
      <c r="P528" s="5" t="s">
        <v>70</v>
      </c>
      <c r="Q528" s="5" t="s">
        <v>1920</v>
      </c>
      <c r="R528" s="5" t="s">
        <v>1920</v>
      </c>
      <c r="S528" s="5"/>
      <c r="T528" s="5"/>
      <c r="U528" s="5"/>
      <c r="V528" s="5">
        <v>2400.0</v>
      </c>
      <c r="W528" s="26">
        <v>2.08</v>
      </c>
      <c r="X528" s="5">
        <v>1154.0</v>
      </c>
      <c r="Y528" s="27">
        <v>0.2</v>
      </c>
      <c r="Z528" s="28">
        <v>923.2</v>
      </c>
      <c r="AA528" s="27">
        <v>1.0</v>
      </c>
      <c r="AB528" s="5" t="s">
        <v>242</v>
      </c>
      <c r="AC528" s="27">
        <v>0.5670000000000001</v>
      </c>
      <c r="AD528" s="5"/>
      <c r="AE528" s="5" t="s">
        <v>81</v>
      </c>
      <c r="AF528" s="5"/>
      <c r="AG528" s="5">
        <v>2.0</v>
      </c>
      <c r="AH528" s="5">
        <v>2.0</v>
      </c>
      <c r="AI528" s="5" t="s">
        <v>0</v>
      </c>
      <c r="AJ528" s="5"/>
      <c r="AK528" s="30">
        <v>3500.0</v>
      </c>
      <c r="AL528" s="28">
        <v>0.0</v>
      </c>
      <c r="AM528" s="28">
        <v>0.0</v>
      </c>
      <c r="AN528" s="28">
        <v>0.0</v>
      </c>
      <c r="AO528" s="28">
        <v>0.0</v>
      </c>
      <c r="AP528" s="28">
        <v>4039000.0</v>
      </c>
      <c r="AQ528" s="28">
        <v>0.0</v>
      </c>
      <c r="AR528" s="28">
        <v>0.0</v>
      </c>
      <c r="AS528" s="28">
        <v>0.0</v>
      </c>
      <c r="AT528" s="28">
        <v>0.0</v>
      </c>
      <c r="AU528" s="28">
        <v>3231200.0</v>
      </c>
      <c r="AV528" s="28">
        <v>0.0</v>
      </c>
      <c r="AW528" s="28">
        <v>0.0</v>
      </c>
      <c r="AX528" s="28">
        <v>0.0</v>
      </c>
      <c r="AY528" s="28">
        <v>0.0</v>
      </c>
      <c r="AZ528" s="5"/>
      <c r="BA528" s="5" t="s">
        <v>86</v>
      </c>
      <c r="BB528" s="5" t="s">
        <v>512</v>
      </c>
      <c r="BD528" s="5" t="s">
        <v>1002</v>
      </c>
      <c r="BE528" s="5" t="s">
        <v>1005</v>
      </c>
      <c r="BF528" s="5" t="s">
        <v>1006</v>
      </c>
      <c r="BG528" s="5" t="s">
        <v>131</v>
      </c>
    </row>
    <row r="529" ht="16.5" customHeight="1">
      <c r="A529" s="5" t="s">
        <v>100</v>
      </c>
      <c r="B529" s="5" t="s">
        <v>137</v>
      </c>
      <c r="C529" s="5" t="b">
        <v>1</v>
      </c>
      <c r="D529" s="5" t="s">
        <v>2059</v>
      </c>
      <c r="E529" s="5" t="s">
        <v>2060</v>
      </c>
      <c r="F529" s="5"/>
      <c r="G529" s="5" t="s">
        <v>1002</v>
      </c>
      <c r="H529" s="5" t="s">
        <v>84</v>
      </c>
      <c r="I529" s="5" t="s">
        <v>202</v>
      </c>
      <c r="J529" s="25"/>
      <c r="K529" s="25"/>
      <c r="L529" s="25"/>
      <c r="M529" s="5" t="s">
        <v>109</v>
      </c>
      <c r="N529" s="5" t="s">
        <v>1027</v>
      </c>
      <c r="O529" s="5" t="s">
        <v>69</v>
      </c>
      <c r="P529" s="5" t="s">
        <v>107</v>
      </c>
      <c r="Q529" s="5" t="s">
        <v>1920</v>
      </c>
      <c r="R529" s="5" t="s">
        <v>1920</v>
      </c>
      <c r="S529" s="5"/>
      <c r="T529" s="5"/>
      <c r="U529" s="5"/>
      <c r="V529" s="5">
        <v>2400.0</v>
      </c>
      <c r="W529" s="26">
        <v>2.08</v>
      </c>
      <c r="X529" s="5">
        <v>1154.0</v>
      </c>
      <c r="Y529" s="27">
        <v>0.2</v>
      </c>
      <c r="Z529" s="28">
        <v>923.2</v>
      </c>
      <c r="AA529" s="27">
        <v>1.0</v>
      </c>
      <c r="AB529" s="5" t="s">
        <v>242</v>
      </c>
      <c r="AC529" s="27">
        <v>0.5670000000000001</v>
      </c>
      <c r="AD529" s="5"/>
      <c r="AE529" s="5" t="s">
        <v>81</v>
      </c>
      <c r="AF529" s="5"/>
      <c r="AG529" s="5">
        <v>2.0</v>
      </c>
      <c r="AH529" s="5">
        <v>2.0</v>
      </c>
      <c r="AI529" s="5" t="s">
        <v>0</v>
      </c>
      <c r="AJ529" s="5"/>
      <c r="AK529" s="30">
        <v>2500.0</v>
      </c>
      <c r="AL529" s="28">
        <v>0.0</v>
      </c>
      <c r="AM529" s="28">
        <v>0.0</v>
      </c>
      <c r="AN529" s="28">
        <v>0.0</v>
      </c>
      <c r="AO529" s="28">
        <v>0.0</v>
      </c>
      <c r="AP529" s="28">
        <v>2885000.0</v>
      </c>
      <c r="AQ529" s="28">
        <v>0.0</v>
      </c>
      <c r="AR529" s="28">
        <v>0.0</v>
      </c>
      <c r="AS529" s="28">
        <v>0.0</v>
      </c>
      <c r="AT529" s="28">
        <v>0.0</v>
      </c>
      <c r="AU529" s="28">
        <v>2308000.0</v>
      </c>
      <c r="AV529" s="28">
        <v>0.0</v>
      </c>
      <c r="AW529" s="28">
        <v>0.0</v>
      </c>
      <c r="AX529" s="28">
        <v>0.0</v>
      </c>
      <c r="AY529" s="28">
        <v>0.0</v>
      </c>
      <c r="AZ529" s="5"/>
      <c r="BA529" s="5" t="s">
        <v>86</v>
      </c>
      <c r="BB529" s="5" t="s">
        <v>512</v>
      </c>
      <c r="BD529" s="5" t="s">
        <v>1002</v>
      </c>
      <c r="BE529" s="5" t="s">
        <v>1005</v>
      </c>
      <c r="BF529" s="5" t="s">
        <v>1006</v>
      </c>
      <c r="BG529" s="5" t="s">
        <v>131</v>
      </c>
    </row>
    <row r="530" ht="16.5" hidden="1" customHeight="1">
      <c r="A530" s="5" t="s">
        <v>100</v>
      </c>
      <c r="B530" s="24" t="s">
        <v>0</v>
      </c>
      <c r="C530" s="5" t="b">
        <v>1</v>
      </c>
      <c r="D530" s="5" t="s">
        <v>2062</v>
      </c>
      <c r="E530" s="5" t="s">
        <v>2063</v>
      </c>
      <c r="F530" s="5"/>
      <c r="G530" s="5" t="s">
        <v>1109</v>
      </c>
      <c r="H530" s="5" t="s">
        <v>84</v>
      </c>
      <c r="I530" s="5" t="s">
        <v>202</v>
      </c>
      <c r="J530" s="25"/>
      <c r="K530" s="25"/>
      <c r="L530" s="25"/>
      <c r="M530" s="5" t="s">
        <v>66</v>
      </c>
      <c r="N530" s="5" t="s">
        <v>248</v>
      </c>
      <c r="O530" s="5" t="s">
        <v>69</v>
      </c>
      <c r="P530" s="5" t="s">
        <v>249</v>
      </c>
      <c r="Q530" s="5" t="s">
        <v>1974</v>
      </c>
      <c r="R530" s="5" t="s">
        <v>23</v>
      </c>
      <c r="S530" s="5"/>
      <c r="T530" s="5"/>
      <c r="U530" s="5"/>
      <c r="V530" s="5">
        <v>500.0</v>
      </c>
      <c r="W530" s="26">
        <v>2.08</v>
      </c>
      <c r="X530" s="5">
        <v>240.0</v>
      </c>
      <c r="Y530" s="27">
        <v>0.2</v>
      </c>
      <c r="Z530" s="28">
        <v>192.0</v>
      </c>
      <c r="AA530" s="27">
        <v>1.0</v>
      </c>
      <c r="AB530" s="5" t="s">
        <v>78</v>
      </c>
      <c r="AC530" s="27">
        <v>0.598</v>
      </c>
      <c r="AD530" s="5"/>
      <c r="AE530" s="5" t="s">
        <v>81</v>
      </c>
      <c r="AF530" s="5"/>
      <c r="AG530" s="5">
        <v>3.0</v>
      </c>
      <c r="AH530" s="5">
        <v>2.0</v>
      </c>
      <c r="AI530" s="5" t="s">
        <v>0</v>
      </c>
      <c r="AJ530" s="5"/>
      <c r="AK530" s="30">
        <v>2400.0</v>
      </c>
      <c r="AL530" s="28">
        <v>0.0</v>
      </c>
      <c r="AM530" s="28">
        <v>0.0</v>
      </c>
      <c r="AN530" s="28">
        <v>0.0</v>
      </c>
      <c r="AO530" s="28">
        <v>0.0</v>
      </c>
      <c r="AP530" s="28">
        <v>576000.0</v>
      </c>
      <c r="AQ530" s="28">
        <v>0.0</v>
      </c>
      <c r="AR530" s="28">
        <v>0.0</v>
      </c>
      <c r="AS530" s="28">
        <v>0.0</v>
      </c>
      <c r="AT530" s="28">
        <v>0.0</v>
      </c>
      <c r="AU530" s="28">
        <v>460800.0</v>
      </c>
      <c r="AV530" s="28">
        <v>0.0</v>
      </c>
      <c r="AW530" s="28">
        <v>0.0</v>
      </c>
      <c r="AX530" s="28">
        <v>0.0</v>
      </c>
      <c r="AY530" s="28">
        <v>0.0</v>
      </c>
      <c r="AZ530" s="5"/>
      <c r="BA530" s="5" t="s">
        <v>125</v>
      </c>
      <c r="BB530" s="5" t="s">
        <v>174</v>
      </c>
      <c r="BD530" s="5" t="s">
        <v>248</v>
      </c>
      <c r="BE530" s="5" t="s">
        <v>1146</v>
      </c>
      <c r="BG530" s="5" t="s">
        <v>131</v>
      </c>
    </row>
    <row r="531" ht="16.5" hidden="1" customHeight="1">
      <c r="A531" s="5" t="s">
        <v>100</v>
      </c>
      <c r="B531" s="24" t="s">
        <v>0</v>
      </c>
      <c r="C531" s="5" t="b">
        <v>1</v>
      </c>
      <c r="D531" s="5" t="s">
        <v>2064</v>
      </c>
      <c r="E531" s="5" t="s">
        <v>2065</v>
      </c>
      <c r="F531" s="5"/>
      <c r="G531" s="5" t="s">
        <v>1109</v>
      </c>
      <c r="H531" s="5" t="s">
        <v>84</v>
      </c>
      <c r="I531" s="5" t="s">
        <v>202</v>
      </c>
      <c r="J531" s="25"/>
      <c r="K531" s="25"/>
      <c r="L531" s="25"/>
      <c r="M531" s="5" t="s">
        <v>66</v>
      </c>
      <c r="N531" s="5" t="s">
        <v>248</v>
      </c>
      <c r="O531" s="5" t="s">
        <v>69</v>
      </c>
      <c r="P531" s="5" t="s">
        <v>249</v>
      </c>
      <c r="Q531" s="5" t="s">
        <v>1974</v>
      </c>
      <c r="R531" s="5" t="s">
        <v>23</v>
      </c>
      <c r="S531" s="5"/>
      <c r="T531" s="5"/>
      <c r="U531" s="5"/>
      <c r="V531" s="5">
        <v>450.0</v>
      </c>
      <c r="W531" s="26">
        <v>2.08</v>
      </c>
      <c r="X531" s="5">
        <v>216.0</v>
      </c>
      <c r="Y531" s="27">
        <v>0.2</v>
      </c>
      <c r="Z531" s="28">
        <v>172.8</v>
      </c>
      <c r="AA531" s="27">
        <v>1.0</v>
      </c>
      <c r="AB531" s="5" t="s">
        <v>78</v>
      </c>
      <c r="AC531" s="27">
        <v>0.605</v>
      </c>
      <c r="AD531" s="5"/>
      <c r="AE531" s="5" t="s">
        <v>81</v>
      </c>
      <c r="AF531" s="5"/>
      <c r="AG531" s="5">
        <v>2.0</v>
      </c>
      <c r="AH531" s="5">
        <v>2.0</v>
      </c>
      <c r="AI531" s="5" t="s">
        <v>0</v>
      </c>
      <c r="AJ531" s="5"/>
      <c r="AK531" s="30">
        <v>1500.0</v>
      </c>
      <c r="AL531" s="28">
        <v>0.0</v>
      </c>
      <c r="AM531" s="28">
        <v>0.0</v>
      </c>
      <c r="AN531" s="28">
        <v>0.0</v>
      </c>
      <c r="AO531" s="28">
        <v>0.0</v>
      </c>
      <c r="AP531" s="28">
        <v>324000.0</v>
      </c>
      <c r="AQ531" s="28">
        <v>0.0</v>
      </c>
      <c r="AR531" s="28">
        <v>0.0</v>
      </c>
      <c r="AS531" s="28">
        <v>0.0</v>
      </c>
      <c r="AT531" s="28">
        <v>0.0</v>
      </c>
      <c r="AU531" s="28">
        <v>259200.00000000003</v>
      </c>
      <c r="AV531" s="28">
        <v>0.0</v>
      </c>
      <c r="AW531" s="28">
        <v>0.0</v>
      </c>
      <c r="AX531" s="28">
        <v>0.0</v>
      </c>
      <c r="AY531" s="28">
        <v>0.0</v>
      </c>
      <c r="AZ531" s="5"/>
      <c r="BA531" s="5" t="s">
        <v>125</v>
      </c>
      <c r="BB531" s="5" t="s">
        <v>174</v>
      </c>
      <c r="BD531" s="5" t="s">
        <v>248</v>
      </c>
      <c r="BE531" s="5" t="s">
        <v>1146</v>
      </c>
      <c r="BG531" s="5" t="s">
        <v>131</v>
      </c>
    </row>
  </sheetData>
  <autoFilter ref="$A$2:$BJ$531">
    <filterColumn colId="2">
      <filters>
        <filter val="TRUE"/>
      </filters>
    </filterColumn>
    <filterColumn colId="12">
      <filters>
        <filter val="L.I.M"/>
      </filters>
    </filterColumn>
  </autoFilter>
  <conditionalFormatting sqref="B2:BA531">
    <cfRule type="expression" dxfId="0" priority="1">
      <formula>$H2="CANCELED"</formula>
    </cfRule>
  </conditionalFormatting>
  <conditionalFormatting sqref="B2:BA531">
    <cfRule type="expression" dxfId="0" priority="2">
      <formula>$H2="SEASONAL DROP"</formula>
    </cfRule>
  </conditionalFormatting>
  <conditionalFormatting sqref="B2:BA531">
    <cfRule type="expression" dxfId="1" priority="3">
      <formula>$C2&lt;&gt;""</formula>
    </cfRule>
  </conditionalFormatting>
  <conditionalFormatting sqref="D2:I531">
    <cfRule type="expression" dxfId="2" priority="4">
      <formula>$H2="NEW"</formula>
    </cfRule>
  </conditionalFormatting>
  <conditionalFormatting sqref="D2:I531">
    <cfRule type="expression" dxfId="3" priority="5">
      <formula>$H2="UPDATE"</formula>
    </cfRule>
  </conditionalFormatting>
  <conditionalFormatting sqref="O2:O531">
    <cfRule type="cellIs" dxfId="4" priority="6" operator="equal">
      <formula>"ABS Exclusive"</formula>
    </cfRule>
  </conditionalFormatting>
  <conditionalFormatting sqref="O2:O531">
    <cfRule type="cellIs" dxfId="5" priority="7" operator="equal">
      <formula>"ABS"</formula>
    </cfRule>
  </conditionalFormatting>
  <dataValidations>
    <dataValidation type="list" allowBlank="1" showErrorMessage="1" sqref="I3:I531">
      <formula1>"CO,NEW,UPDATE,CANCELED,SEASONAL DROP"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1.22" defaultRowHeight="15.0"/>
  <cols>
    <col customWidth="1" min="1" max="5" width="11.0"/>
    <col customWidth="1" min="6" max="6" width="16.67"/>
    <col customWidth="1" min="7" max="18" width="11.0"/>
    <col customWidth="1" hidden="1" min="19" max="49" width="11.0"/>
    <col customWidth="1" min="50" max="51" width="11.0"/>
    <col customWidth="1" min="52" max="52" width="36.0"/>
    <col customWidth="1" min="53" max="53" width="31.56"/>
    <col customWidth="1" min="54" max="60" width="11.0"/>
  </cols>
  <sheetData>
    <row r="1" ht="16.5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 t="s">
        <v>61</v>
      </c>
      <c r="AJ1" s="4"/>
      <c r="AK1" s="4"/>
      <c r="AL1" s="4"/>
      <c r="AM1" s="4"/>
      <c r="AN1" s="4" t="s">
        <v>73</v>
      </c>
      <c r="AO1" s="4"/>
      <c r="AP1" s="4"/>
      <c r="AQ1" s="4"/>
      <c r="AR1" s="4"/>
      <c r="AS1" s="4" t="s">
        <v>83</v>
      </c>
      <c r="AT1" s="4"/>
      <c r="AU1" s="4"/>
      <c r="AV1" s="4"/>
      <c r="AW1" s="4"/>
      <c r="AX1" s="4" t="s">
        <v>92</v>
      </c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6.5" customHeight="1">
      <c r="A2" s="5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10</v>
      </c>
      <c r="I2" s="4" t="s">
        <v>13</v>
      </c>
      <c r="J2" s="4" t="s">
        <v>15</v>
      </c>
      <c r="K2" s="4" t="s">
        <v>17</v>
      </c>
      <c r="L2" s="4" t="s">
        <v>23</v>
      </c>
      <c r="M2" s="4" t="s">
        <v>8</v>
      </c>
      <c r="N2" s="4" t="s">
        <v>9</v>
      </c>
      <c r="O2" s="4" t="s">
        <v>11</v>
      </c>
      <c r="P2" s="4" t="s">
        <v>12</v>
      </c>
      <c r="Q2" s="4" t="s">
        <v>16</v>
      </c>
      <c r="R2" s="4" t="s">
        <v>18</v>
      </c>
      <c r="S2" s="4" t="s">
        <v>41</v>
      </c>
      <c r="T2" s="4" t="s">
        <v>19</v>
      </c>
      <c r="U2" s="4" t="s">
        <v>20</v>
      </c>
      <c r="V2" s="4" t="s">
        <v>21</v>
      </c>
      <c r="W2" s="4" t="s">
        <v>46</v>
      </c>
      <c r="X2" s="4" t="s">
        <v>50</v>
      </c>
      <c r="Y2" s="4" t="s">
        <v>22</v>
      </c>
      <c r="Z2" s="4" t="s">
        <v>24</v>
      </c>
      <c r="AA2" s="4" t="s">
        <v>55</v>
      </c>
      <c r="AB2" s="4" t="s">
        <v>59</v>
      </c>
      <c r="AC2" s="4" t="s">
        <v>26</v>
      </c>
      <c r="AD2" s="4" t="s">
        <v>27</v>
      </c>
      <c r="AE2" s="4" t="s">
        <v>63</v>
      </c>
      <c r="AF2" s="4" t="s">
        <v>67</v>
      </c>
      <c r="AG2" s="4" t="s">
        <v>28</v>
      </c>
      <c r="AH2" s="4" t="s">
        <v>29</v>
      </c>
      <c r="AI2" s="4" t="s">
        <v>71</v>
      </c>
      <c r="AJ2" s="4" t="s">
        <v>76</v>
      </c>
      <c r="AK2" s="4" t="s">
        <v>77</v>
      </c>
      <c r="AL2" s="4" t="s">
        <v>84</v>
      </c>
      <c r="AM2" s="4" t="s">
        <v>74</v>
      </c>
      <c r="AN2" s="4" t="s">
        <v>71</v>
      </c>
      <c r="AO2" s="4" t="s">
        <v>76</v>
      </c>
      <c r="AP2" s="4" t="s">
        <v>77</v>
      </c>
      <c r="AQ2" s="4" t="s">
        <v>84</v>
      </c>
      <c r="AR2" s="4" t="s">
        <v>74</v>
      </c>
      <c r="AS2" s="4" t="s">
        <v>71</v>
      </c>
      <c r="AT2" s="4" t="s">
        <v>76</v>
      </c>
      <c r="AU2" s="4" t="s">
        <v>77</v>
      </c>
      <c r="AV2" s="4" t="s">
        <v>84</v>
      </c>
      <c r="AW2" s="4" t="s">
        <v>74</v>
      </c>
      <c r="AX2" s="4" t="s">
        <v>93</v>
      </c>
      <c r="AY2" s="3" t="s">
        <v>47</v>
      </c>
      <c r="AZ2" s="3" t="s">
        <v>48</v>
      </c>
      <c r="BA2" s="15" t="s">
        <v>51</v>
      </c>
      <c r="BB2" s="3" t="s">
        <v>52</v>
      </c>
      <c r="BC2" s="3" t="s">
        <v>53</v>
      </c>
      <c r="BD2" s="3" t="s">
        <v>54</v>
      </c>
      <c r="BE2" s="3" t="s">
        <v>56</v>
      </c>
      <c r="BF2" s="3" t="s">
        <v>57</v>
      </c>
      <c r="BG2" s="3" t="s">
        <v>58</v>
      </c>
      <c r="BH2" s="3" t="s">
        <v>99</v>
      </c>
    </row>
    <row r="3" ht="16.5" customHeight="1">
      <c r="A3" s="5" t="s">
        <v>155</v>
      </c>
      <c r="B3" s="5" t="s">
        <v>137</v>
      </c>
      <c r="C3" s="5" t="b">
        <v>1</v>
      </c>
      <c r="D3" s="5" t="s">
        <v>158</v>
      </c>
      <c r="E3" s="5" t="s">
        <v>159</v>
      </c>
      <c r="F3" s="5"/>
      <c r="G3" s="5" t="s">
        <v>65</v>
      </c>
      <c r="H3" s="5" t="s">
        <v>84</v>
      </c>
      <c r="I3" s="5" t="s">
        <v>82</v>
      </c>
      <c r="J3" s="25" t="s">
        <v>164</v>
      </c>
      <c r="K3" s="25"/>
      <c r="L3" s="25" t="s">
        <v>110</v>
      </c>
      <c r="M3" s="5" t="s">
        <v>66</v>
      </c>
      <c r="N3" s="5" t="s">
        <v>68</v>
      </c>
      <c r="O3" s="5" t="s">
        <v>69</v>
      </c>
      <c r="P3" s="5" t="s">
        <v>70</v>
      </c>
      <c r="Q3" s="5" t="b">
        <v>1</v>
      </c>
      <c r="R3" s="5" t="b">
        <v>0</v>
      </c>
      <c r="S3" s="5"/>
      <c r="T3" s="5">
        <v>2500.0</v>
      </c>
      <c r="U3" s="26">
        <v>2.1</v>
      </c>
      <c r="V3" s="5">
        <v>1190.0</v>
      </c>
      <c r="W3" s="27">
        <v>0.0</v>
      </c>
      <c r="X3" s="28">
        <v>1190.0</v>
      </c>
      <c r="Y3" s="27">
        <v>1.0</v>
      </c>
      <c r="Z3" s="5" t="s">
        <v>117</v>
      </c>
      <c r="AA3" s="27">
        <v>0.58</v>
      </c>
      <c r="AB3" s="5"/>
      <c r="AC3" s="5" t="s">
        <v>166</v>
      </c>
      <c r="AD3" s="24" t="s">
        <v>0</v>
      </c>
      <c r="AE3" s="5">
        <v>4.0</v>
      </c>
      <c r="AF3" s="5">
        <v>0.0</v>
      </c>
      <c r="AG3" s="5" t="s">
        <v>169</v>
      </c>
      <c r="AH3" s="5" t="s">
        <v>0</v>
      </c>
      <c r="AI3" s="42"/>
      <c r="AJ3" s="28">
        <v>0.0</v>
      </c>
      <c r="AK3" s="28">
        <v>0.0</v>
      </c>
      <c r="AL3" s="28">
        <v>0.0</v>
      </c>
      <c r="AM3" s="28">
        <v>0.0</v>
      </c>
      <c r="AN3" s="28">
        <v>0.0</v>
      </c>
      <c r="AO3" s="28">
        <v>0.0</v>
      </c>
      <c r="AP3" s="28">
        <v>0.0</v>
      </c>
      <c r="AQ3" s="28">
        <v>0.0</v>
      </c>
      <c r="AR3" s="28">
        <v>0.0</v>
      </c>
      <c r="AS3" s="28">
        <v>0.0</v>
      </c>
      <c r="AT3" s="28">
        <v>0.0</v>
      </c>
      <c r="AU3" s="28">
        <v>0.0</v>
      </c>
      <c r="AV3" s="28">
        <v>0.0</v>
      </c>
      <c r="AW3" s="28">
        <v>0.0</v>
      </c>
      <c r="AX3" s="5"/>
      <c r="AY3" s="5" t="s">
        <v>125</v>
      </c>
      <c r="AZ3" s="5" t="s">
        <v>127</v>
      </c>
      <c r="BB3" s="5" t="s">
        <v>68</v>
      </c>
      <c r="BC3" s="5" t="s">
        <v>89</v>
      </c>
      <c r="BD3" s="5" t="s">
        <v>178</v>
      </c>
      <c r="BE3" s="5" t="s">
        <v>91</v>
      </c>
      <c r="BF3" s="5" t="s">
        <v>179</v>
      </c>
    </row>
    <row r="4" ht="16.5" customHeight="1">
      <c r="A4" s="5" t="s">
        <v>155</v>
      </c>
      <c r="B4" s="5" t="s">
        <v>137</v>
      </c>
      <c r="C4" s="5" t="b">
        <v>1</v>
      </c>
      <c r="D4" s="5" t="s">
        <v>183</v>
      </c>
      <c r="E4" s="5" t="s">
        <v>185</v>
      </c>
      <c r="F4" s="5"/>
      <c r="G4" s="5" t="s">
        <v>65</v>
      </c>
      <c r="H4" s="5" t="s">
        <v>84</v>
      </c>
      <c r="I4" s="5" t="s">
        <v>82</v>
      </c>
      <c r="J4" s="25" t="s">
        <v>164</v>
      </c>
      <c r="K4" s="25"/>
      <c r="L4" s="25" t="s">
        <v>110</v>
      </c>
      <c r="M4" s="5" t="s">
        <v>66</v>
      </c>
      <c r="N4" s="5" t="s">
        <v>68</v>
      </c>
      <c r="O4" s="5" t="s">
        <v>69</v>
      </c>
      <c r="P4" s="5" t="s">
        <v>107</v>
      </c>
      <c r="Q4" s="5" t="b">
        <v>1</v>
      </c>
      <c r="R4" s="5" t="b">
        <v>0</v>
      </c>
      <c r="S4" s="5"/>
      <c r="T4" s="5">
        <v>2500.0</v>
      </c>
      <c r="U4" s="26">
        <v>2.1</v>
      </c>
      <c r="V4" s="5">
        <v>1190.0</v>
      </c>
      <c r="W4" s="27">
        <v>0.0</v>
      </c>
      <c r="X4" s="28">
        <v>1190.0</v>
      </c>
      <c r="Y4" s="27">
        <v>1.0</v>
      </c>
      <c r="Z4" s="5" t="s">
        <v>117</v>
      </c>
      <c r="AA4" s="5">
        <v>0.6</v>
      </c>
      <c r="AB4" s="5"/>
      <c r="AC4" s="5" t="s">
        <v>166</v>
      </c>
      <c r="AD4" s="24" t="s">
        <v>0</v>
      </c>
      <c r="AE4" s="5">
        <v>4.0</v>
      </c>
      <c r="AF4" s="5">
        <v>0.0</v>
      </c>
      <c r="AG4" s="5" t="s">
        <v>169</v>
      </c>
      <c r="AH4" s="5" t="s">
        <v>0</v>
      </c>
      <c r="AI4" s="42"/>
      <c r="AJ4" s="28">
        <v>0.0</v>
      </c>
      <c r="AK4" s="28">
        <v>0.0</v>
      </c>
      <c r="AL4" s="28">
        <v>0.0</v>
      </c>
      <c r="AM4" s="28">
        <v>0.0</v>
      </c>
      <c r="AN4" s="28">
        <v>0.0</v>
      </c>
      <c r="AO4" s="28">
        <v>0.0</v>
      </c>
      <c r="AP4" s="28">
        <v>0.0</v>
      </c>
      <c r="AQ4" s="28">
        <v>0.0</v>
      </c>
      <c r="AR4" s="28">
        <v>0.0</v>
      </c>
      <c r="AS4" s="28">
        <v>0.0</v>
      </c>
      <c r="AT4" s="28">
        <v>0.0</v>
      </c>
      <c r="AU4" s="28">
        <v>0.0</v>
      </c>
      <c r="AV4" s="28">
        <v>0.0</v>
      </c>
      <c r="AW4" s="28">
        <v>0.0</v>
      </c>
      <c r="AX4" s="5"/>
      <c r="AY4" s="5" t="s">
        <v>125</v>
      </c>
      <c r="AZ4" s="5" t="s">
        <v>127</v>
      </c>
      <c r="BB4" s="5" t="s">
        <v>68</v>
      </c>
      <c r="BC4" s="5" t="s">
        <v>89</v>
      </c>
      <c r="BD4" s="5" t="s">
        <v>178</v>
      </c>
      <c r="BE4" s="5" t="s">
        <v>91</v>
      </c>
      <c r="BF4" s="5" t="s">
        <v>179</v>
      </c>
    </row>
    <row r="5" ht="16.5" customHeight="1">
      <c r="A5" s="5" t="s">
        <v>155</v>
      </c>
      <c r="B5" s="5" t="s">
        <v>137</v>
      </c>
      <c r="C5" s="5" t="b">
        <v>1</v>
      </c>
      <c r="D5" s="5" t="s">
        <v>197</v>
      </c>
      <c r="E5" s="5" t="s">
        <v>199</v>
      </c>
      <c r="F5" s="5"/>
      <c r="G5" s="5" t="s">
        <v>65</v>
      </c>
      <c r="H5" s="5" t="s">
        <v>84</v>
      </c>
      <c r="I5" s="5" t="s">
        <v>82</v>
      </c>
      <c r="J5" s="25" t="s">
        <v>164</v>
      </c>
      <c r="K5" s="25"/>
      <c r="L5" s="25" t="s">
        <v>181</v>
      </c>
      <c r="M5" s="5" t="s">
        <v>66</v>
      </c>
      <c r="N5" s="5" t="s">
        <v>68</v>
      </c>
      <c r="O5" s="5" t="s">
        <v>69</v>
      </c>
      <c r="P5" s="5" t="s">
        <v>70</v>
      </c>
      <c r="Q5" s="5" t="b">
        <v>1</v>
      </c>
      <c r="R5" s="5" t="b">
        <v>0</v>
      </c>
      <c r="S5" s="5"/>
      <c r="T5" s="5">
        <v>2000.0</v>
      </c>
      <c r="U5" s="26">
        <v>2.1</v>
      </c>
      <c r="V5" s="5">
        <v>952.0</v>
      </c>
      <c r="W5" s="27">
        <v>0.0</v>
      </c>
      <c r="X5" s="28">
        <v>952.0</v>
      </c>
      <c r="Y5" s="27">
        <v>1.0</v>
      </c>
      <c r="Z5" s="5" t="s">
        <v>117</v>
      </c>
      <c r="AA5" s="5">
        <v>0.59</v>
      </c>
      <c r="AB5" s="5"/>
      <c r="AC5" s="5" t="s">
        <v>166</v>
      </c>
      <c r="AD5" s="24" t="s">
        <v>0</v>
      </c>
      <c r="AE5" s="5">
        <v>2.0</v>
      </c>
      <c r="AF5" s="5">
        <v>0.0</v>
      </c>
      <c r="AG5" s="5" t="s">
        <v>169</v>
      </c>
      <c r="AH5" s="5" t="s">
        <v>0</v>
      </c>
      <c r="AI5" s="42"/>
      <c r="AJ5" s="28">
        <v>0.0</v>
      </c>
      <c r="AK5" s="28">
        <v>0.0</v>
      </c>
      <c r="AL5" s="28">
        <v>0.0</v>
      </c>
      <c r="AM5" s="28">
        <v>0.0</v>
      </c>
      <c r="AN5" s="28">
        <v>0.0</v>
      </c>
      <c r="AO5" s="28">
        <v>0.0</v>
      </c>
      <c r="AP5" s="28">
        <v>0.0</v>
      </c>
      <c r="AQ5" s="28">
        <v>0.0</v>
      </c>
      <c r="AR5" s="28">
        <v>0.0</v>
      </c>
      <c r="AS5" s="28">
        <v>0.0</v>
      </c>
      <c r="AT5" s="28">
        <v>0.0</v>
      </c>
      <c r="AU5" s="28">
        <v>0.0</v>
      </c>
      <c r="AV5" s="28">
        <v>0.0</v>
      </c>
      <c r="AW5" s="28">
        <v>0.0</v>
      </c>
      <c r="AX5" s="5"/>
      <c r="AY5" s="5" t="s">
        <v>125</v>
      </c>
      <c r="AZ5" s="5" t="s">
        <v>127</v>
      </c>
      <c r="BB5" s="5" t="s">
        <v>68</v>
      </c>
      <c r="BC5" s="5" t="s">
        <v>128</v>
      </c>
      <c r="BD5" s="5" t="s">
        <v>178</v>
      </c>
      <c r="BE5" s="5" t="s">
        <v>91</v>
      </c>
      <c r="BF5" s="5" t="s">
        <v>179</v>
      </c>
    </row>
    <row r="6" ht="16.5" customHeight="1">
      <c r="A6" s="5" t="s">
        <v>155</v>
      </c>
      <c r="B6" s="5" t="s">
        <v>137</v>
      </c>
      <c r="C6" s="5" t="b">
        <v>1</v>
      </c>
      <c r="D6" s="5" t="s">
        <v>210</v>
      </c>
      <c r="E6" s="5" t="s">
        <v>211</v>
      </c>
      <c r="F6" s="5"/>
      <c r="G6" s="5" t="s">
        <v>65</v>
      </c>
      <c r="H6" s="5" t="s">
        <v>84</v>
      </c>
      <c r="I6" s="5" t="s">
        <v>82</v>
      </c>
      <c r="J6" s="25" t="s">
        <v>164</v>
      </c>
      <c r="K6" s="25"/>
      <c r="L6" s="25" t="s">
        <v>181</v>
      </c>
      <c r="M6" s="5" t="s">
        <v>66</v>
      </c>
      <c r="N6" s="5" t="s">
        <v>68</v>
      </c>
      <c r="O6" s="5" t="s">
        <v>69</v>
      </c>
      <c r="P6" s="5" t="s">
        <v>107</v>
      </c>
      <c r="Q6" s="5" t="b">
        <v>1</v>
      </c>
      <c r="R6" s="5" t="b">
        <v>0</v>
      </c>
      <c r="S6" s="5"/>
      <c r="T6" s="5">
        <v>2000.0</v>
      </c>
      <c r="U6" s="26">
        <v>2.1</v>
      </c>
      <c r="V6" s="5">
        <v>952.0</v>
      </c>
      <c r="W6" s="27">
        <v>0.0</v>
      </c>
      <c r="X6" s="28">
        <v>952.0</v>
      </c>
      <c r="Y6" s="27">
        <v>1.0</v>
      </c>
      <c r="Z6" s="5" t="s">
        <v>117</v>
      </c>
      <c r="AA6" s="5">
        <v>0.6</v>
      </c>
      <c r="AB6" s="5"/>
      <c r="AC6" s="5" t="s">
        <v>166</v>
      </c>
      <c r="AD6" s="24" t="s">
        <v>0</v>
      </c>
      <c r="AE6" s="5">
        <v>2.0</v>
      </c>
      <c r="AF6" s="5">
        <v>0.0</v>
      </c>
      <c r="AG6" s="5" t="s">
        <v>169</v>
      </c>
      <c r="AH6" s="5" t="s">
        <v>0</v>
      </c>
      <c r="AI6" s="42"/>
      <c r="AJ6" s="28">
        <v>0.0</v>
      </c>
      <c r="AK6" s="28">
        <v>0.0</v>
      </c>
      <c r="AL6" s="28">
        <v>0.0</v>
      </c>
      <c r="AM6" s="28">
        <v>0.0</v>
      </c>
      <c r="AN6" s="28">
        <v>0.0</v>
      </c>
      <c r="AO6" s="28">
        <v>0.0</v>
      </c>
      <c r="AP6" s="28">
        <v>0.0</v>
      </c>
      <c r="AQ6" s="28">
        <v>0.0</v>
      </c>
      <c r="AR6" s="28">
        <v>0.0</v>
      </c>
      <c r="AS6" s="28">
        <v>0.0</v>
      </c>
      <c r="AT6" s="28">
        <v>0.0</v>
      </c>
      <c r="AU6" s="28">
        <v>0.0</v>
      </c>
      <c r="AV6" s="28">
        <v>0.0</v>
      </c>
      <c r="AW6" s="28">
        <v>0.0</v>
      </c>
      <c r="AX6" s="5"/>
      <c r="AY6" s="5" t="s">
        <v>125</v>
      </c>
      <c r="AZ6" s="5" t="s">
        <v>127</v>
      </c>
      <c r="BB6" s="5" t="s">
        <v>68</v>
      </c>
      <c r="BC6" s="5" t="s">
        <v>128</v>
      </c>
      <c r="BD6" s="5" t="s">
        <v>178</v>
      </c>
      <c r="BE6" s="5" t="s">
        <v>91</v>
      </c>
      <c r="BF6" s="5" t="s">
        <v>179</v>
      </c>
    </row>
    <row r="7" ht="16.5" hidden="1" customHeight="1">
      <c r="A7" s="5" t="s">
        <v>155</v>
      </c>
      <c r="B7" s="5" t="s">
        <v>137</v>
      </c>
      <c r="C7" s="5" t="b">
        <v>0</v>
      </c>
      <c r="D7" s="43" t="s">
        <v>231</v>
      </c>
      <c r="E7" s="43" t="s">
        <v>234</v>
      </c>
      <c r="F7" s="43"/>
      <c r="G7" s="43" t="s">
        <v>65</v>
      </c>
      <c r="H7" s="43" t="s">
        <v>84</v>
      </c>
      <c r="I7" s="43" t="s">
        <v>106</v>
      </c>
      <c r="J7" s="44" t="s">
        <v>238</v>
      </c>
      <c r="K7" s="25"/>
      <c r="L7" s="25" t="s">
        <v>110</v>
      </c>
      <c r="M7" s="5" t="s">
        <v>66</v>
      </c>
      <c r="N7" s="5" t="s">
        <v>68</v>
      </c>
      <c r="O7" s="5" t="s">
        <v>69</v>
      </c>
      <c r="P7" s="5" t="s">
        <v>70</v>
      </c>
      <c r="Q7" s="5" t="b">
        <v>1</v>
      </c>
      <c r="R7" s="5" t="b">
        <v>0</v>
      </c>
      <c r="S7" s="5"/>
      <c r="T7" s="5">
        <v>5000.0</v>
      </c>
      <c r="U7" s="26">
        <v>2.1</v>
      </c>
      <c r="V7" s="5">
        <v>2381.0</v>
      </c>
      <c r="W7" s="27">
        <v>0.0</v>
      </c>
      <c r="X7" s="28">
        <v>2381.0</v>
      </c>
      <c r="Y7" s="27">
        <v>1.0</v>
      </c>
      <c r="Z7" s="5" t="s">
        <v>242</v>
      </c>
      <c r="AA7" s="5">
        <v>0.5</v>
      </c>
      <c r="AB7" s="5"/>
      <c r="AC7" s="5" t="s">
        <v>80</v>
      </c>
      <c r="AD7" s="24" t="s">
        <v>0</v>
      </c>
      <c r="AE7" s="5">
        <v>3.0</v>
      </c>
      <c r="AF7" s="5">
        <v>0.0</v>
      </c>
      <c r="AG7" s="5" t="s">
        <v>169</v>
      </c>
      <c r="AH7" s="5" t="s">
        <v>0</v>
      </c>
      <c r="AI7" s="42"/>
      <c r="AJ7" s="28">
        <v>0.0</v>
      </c>
      <c r="AK7" s="28">
        <v>0.0</v>
      </c>
      <c r="AL7" s="28">
        <v>0.0</v>
      </c>
      <c r="AM7" s="28">
        <v>0.0</v>
      </c>
      <c r="AN7" s="28">
        <v>0.0</v>
      </c>
      <c r="AO7" s="28">
        <v>0.0</v>
      </c>
      <c r="AP7" s="28">
        <v>0.0</v>
      </c>
      <c r="AQ7" s="28">
        <v>0.0</v>
      </c>
      <c r="AR7" s="28">
        <v>0.0</v>
      </c>
      <c r="AS7" s="28">
        <v>0.0</v>
      </c>
      <c r="AT7" s="28">
        <v>0.0</v>
      </c>
      <c r="AU7" s="28">
        <v>0.0</v>
      </c>
      <c r="AV7" s="28">
        <v>0.0</v>
      </c>
      <c r="AW7" s="28">
        <v>0.0</v>
      </c>
      <c r="AX7" s="5"/>
      <c r="AY7" s="5" t="s">
        <v>125</v>
      </c>
      <c r="AZ7" s="5" t="s">
        <v>127</v>
      </c>
      <c r="BB7" s="5" t="s">
        <v>68</v>
      </c>
      <c r="BC7" s="5" t="s">
        <v>89</v>
      </c>
      <c r="BD7" s="5" t="s">
        <v>132</v>
      </c>
      <c r="BE7" s="5" t="s">
        <v>91</v>
      </c>
      <c r="BF7" s="5" t="s">
        <v>252</v>
      </c>
    </row>
    <row r="8" ht="16.5" hidden="1" customHeight="1">
      <c r="A8" s="5" t="s">
        <v>155</v>
      </c>
      <c r="B8" s="5" t="s">
        <v>137</v>
      </c>
      <c r="C8" s="5" t="b">
        <v>0</v>
      </c>
      <c r="D8" s="43" t="s">
        <v>257</v>
      </c>
      <c r="E8" s="43" t="s">
        <v>259</v>
      </c>
      <c r="F8" s="43"/>
      <c r="G8" s="43" t="s">
        <v>65</v>
      </c>
      <c r="H8" s="43" t="s">
        <v>84</v>
      </c>
      <c r="I8" s="43" t="s">
        <v>106</v>
      </c>
      <c r="J8" s="44" t="s">
        <v>238</v>
      </c>
      <c r="K8" s="25"/>
      <c r="L8" s="25" t="s">
        <v>110</v>
      </c>
      <c r="M8" s="5" t="s">
        <v>66</v>
      </c>
      <c r="N8" s="5" t="s">
        <v>68</v>
      </c>
      <c r="O8" s="5" t="s">
        <v>69</v>
      </c>
      <c r="P8" s="5" t="s">
        <v>107</v>
      </c>
      <c r="Q8" s="5" t="b">
        <v>1</v>
      </c>
      <c r="R8" s="5" t="b">
        <v>0</v>
      </c>
      <c r="S8" s="5"/>
      <c r="T8" s="5">
        <v>5000.0</v>
      </c>
      <c r="U8" s="26">
        <v>2.1</v>
      </c>
      <c r="V8" s="5">
        <v>2381.0</v>
      </c>
      <c r="W8" s="27">
        <v>0.0</v>
      </c>
      <c r="X8" s="28">
        <v>2381.0</v>
      </c>
      <c r="Y8" s="27">
        <v>1.0</v>
      </c>
      <c r="Z8" s="5" t="s">
        <v>242</v>
      </c>
      <c r="AA8" s="5">
        <v>0.52</v>
      </c>
      <c r="AB8" s="5"/>
      <c r="AC8" s="5" t="s">
        <v>80</v>
      </c>
      <c r="AD8" s="24" t="s">
        <v>0</v>
      </c>
      <c r="AE8" s="5">
        <v>3.0</v>
      </c>
      <c r="AF8" s="5">
        <v>0.0</v>
      </c>
      <c r="AG8" s="5" t="s">
        <v>169</v>
      </c>
      <c r="AH8" s="5" t="s">
        <v>0</v>
      </c>
      <c r="AI8" s="42"/>
      <c r="AJ8" s="28">
        <v>0.0</v>
      </c>
      <c r="AK8" s="28">
        <v>0.0</v>
      </c>
      <c r="AL8" s="28">
        <v>0.0</v>
      </c>
      <c r="AM8" s="28">
        <v>0.0</v>
      </c>
      <c r="AN8" s="28">
        <v>0.0</v>
      </c>
      <c r="AO8" s="28">
        <v>0.0</v>
      </c>
      <c r="AP8" s="28">
        <v>0.0</v>
      </c>
      <c r="AQ8" s="28">
        <v>0.0</v>
      </c>
      <c r="AR8" s="28">
        <v>0.0</v>
      </c>
      <c r="AS8" s="28">
        <v>0.0</v>
      </c>
      <c r="AT8" s="28">
        <v>0.0</v>
      </c>
      <c r="AU8" s="28">
        <v>0.0</v>
      </c>
      <c r="AV8" s="28">
        <v>0.0</v>
      </c>
      <c r="AW8" s="28">
        <v>0.0</v>
      </c>
      <c r="AX8" s="5"/>
      <c r="AY8" s="5" t="s">
        <v>125</v>
      </c>
      <c r="AZ8" s="5" t="s">
        <v>127</v>
      </c>
      <c r="BB8" s="5" t="s">
        <v>68</v>
      </c>
      <c r="BC8" s="5" t="s">
        <v>89</v>
      </c>
      <c r="BD8" s="5" t="s">
        <v>132</v>
      </c>
      <c r="BE8" s="5" t="s">
        <v>91</v>
      </c>
      <c r="BF8" s="5" t="s">
        <v>252</v>
      </c>
    </row>
    <row r="9" ht="16.5" hidden="1" customHeight="1">
      <c r="A9" s="5" t="s">
        <v>155</v>
      </c>
      <c r="B9" s="24" t="s">
        <v>0</v>
      </c>
      <c r="C9" s="5" t="b">
        <v>0</v>
      </c>
      <c r="D9" s="5" t="s">
        <v>102</v>
      </c>
      <c r="E9" s="5" t="s">
        <v>103</v>
      </c>
      <c r="F9" s="5"/>
      <c r="G9" s="5" t="s">
        <v>65</v>
      </c>
      <c r="H9" s="5" t="s">
        <v>76</v>
      </c>
      <c r="I9" s="5" t="s">
        <v>106</v>
      </c>
      <c r="J9" s="25" t="s">
        <v>271</v>
      </c>
      <c r="K9" s="25" t="s">
        <v>272</v>
      </c>
      <c r="L9" s="25" t="s">
        <v>110</v>
      </c>
      <c r="M9" s="5" t="s">
        <v>109</v>
      </c>
      <c r="N9" s="5" t="s">
        <v>68</v>
      </c>
      <c r="O9" s="5" t="s">
        <v>96</v>
      </c>
      <c r="P9" s="5" t="s">
        <v>70</v>
      </c>
      <c r="Q9" s="5" t="b">
        <v>1</v>
      </c>
      <c r="R9" s="5" t="b">
        <v>0</v>
      </c>
      <c r="S9" s="5"/>
      <c r="T9" s="24">
        <v>0.0</v>
      </c>
      <c r="U9" s="26">
        <v>2.1</v>
      </c>
      <c r="V9" s="5">
        <v>0.0</v>
      </c>
      <c r="W9" s="27">
        <v>0.0</v>
      </c>
      <c r="X9" s="28">
        <v>0.0</v>
      </c>
      <c r="Y9" s="27">
        <v>0.0</v>
      </c>
      <c r="Z9" s="24" t="s">
        <v>0</v>
      </c>
      <c r="AA9" s="5">
        <v>0.5920000000000001</v>
      </c>
      <c r="AB9" s="5"/>
      <c r="AC9" s="5" t="s">
        <v>80</v>
      </c>
      <c r="AD9" s="24" t="s">
        <v>0</v>
      </c>
      <c r="AE9" s="24">
        <v>0.0</v>
      </c>
      <c r="AF9" s="5">
        <v>1.0</v>
      </c>
      <c r="AG9" s="5" t="s">
        <v>0</v>
      </c>
      <c r="AH9" s="5" t="s">
        <v>116</v>
      </c>
      <c r="AI9" s="42"/>
      <c r="AJ9" s="28">
        <v>0.0</v>
      </c>
      <c r="AK9" s="28">
        <v>0.0</v>
      </c>
      <c r="AL9" s="28">
        <v>0.0</v>
      </c>
      <c r="AM9" s="28">
        <v>0.0</v>
      </c>
      <c r="AN9" s="28">
        <v>0.0</v>
      </c>
      <c r="AO9" s="28">
        <v>0.0</v>
      </c>
      <c r="AP9" s="28">
        <v>0.0</v>
      </c>
      <c r="AQ9" s="28">
        <v>0.0</v>
      </c>
      <c r="AR9" s="28">
        <v>0.0</v>
      </c>
      <c r="AS9" s="28">
        <v>0.0</v>
      </c>
      <c r="AT9" s="28">
        <v>0.0</v>
      </c>
      <c r="AU9" s="28">
        <v>0.0</v>
      </c>
      <c r="AV9" s="28">
        <v>0.0</v>
      </c>
      <c r="AW9" s="28">
        <v>0.0</v>
      </c>
      <c r="AX9" s="5"/>
      <c r="AY9" s="5" t="str">
        <f t="array" ref="AY9">IFERROR(_xlfn.XLOOKUP($E9,'FW27'!$C$3:$C$1102,'FW27'!$AM$3:$AM$1102),"")</f>
        <v>Essentials</v>
      </c>
      <c r="AZ9" s="5" t="str">
        <f t="array" ref="AZ9">IFERROR(_xlfn.XLOOKUP($E9,'FW27'!$C$3:$C$1102,'FW27'!$AN$3:$AN$1102),"")</f>
        <v>Active Essentials</v>
      </c>
      <c r="BB9" s="5" t="str">
        <f t="array" ref="BB9">IFERROR(_xlfn.XLOOKUP($E9,'FW27'!$C$3:$C$1102,'FW27'!$AS$3:$AS$1102),"")</f>
        <v>Shell</v>
      </c>
      <c r="BC9" s="5" t="str">
        <f t="array" ref="BC9">IFERROR(_xlfn.XLOOKUP($E9,'FW27'!$C$3:$C$1102,'FW27'!$AT$3:$AT$1102),"")</f>
        <v>Jacket</v>
      </c>
      <c r="BD9" s="5" t="str">
        <f t="array" ref="BD9">IFERROR(_xlfn.XLOOKUP($E9,'FW27'!$C$3:$C$1102,'FW27'!$AU$3:$AU$1102),"")</f>
        <v>3L</v>
      </c>
      <c r="BE9" s="5" t="str">
        <f t="array" ref="BE9">IFERROR(_xlfn.XLOOKUP($E9,'FW27'!$C$3:$C$1102,'FW27'!$AV$3:$AV$1102),"")</f>
        <v>Y</v>
      </c>
    </row>
    <row r="10" ht="16.5" hidden="1" customHeight="1">
      <c r="A10" s="5" t="s">
        <v>155</v>
      </c>
      <c r="B10" s="5" t="s">
        <v>137</v>
      </c>
      <c r="C10" s="5" t="b">
        <v>1</v>
      </c>
      <c r="D10" s="5" t="s">
        <v>62</v>
      </c>
      <c r="E10" s="5" t="s">
        <v>64</v>
      </c>
      <c r="F10" s="5"/>
      <c r="G10" s="5" t="s">
        <v>65</v>
      </c>
      <c r="H10" s="5" t="s">
        <v>84</v>
      </c>
      <c r="I10" s="5" t="s">
        <v>82</v>
      </c>
      <c r="J10" s="25"/>
      <c r="K10" s="25"/>
      <c r="L10" s="25" t="s">
        <v>110</v>
      </c>
      <c r="M10" s="5" t="s">
        <v>66</v>
      </c>
      <c r="N10" s="5" t="s">
        <v>68</v>
      </c>
      <c r="O10" s="5" t="s">
        <v>69</v>
      </c>
      <c r="P10" s="5" t="s">
        <v>70</v>
      </c>
      <c r="Q10" s="5" t="b">
        <v>1</v>
      </c>
      <c r="R10" s="5" t="b">
        <v>0</v>
      </c>
      <c r="S10" s="5"/>
      <c r="T10" s="5">
        <v>3800.0</v>
      </c>
      <c r="U10" s="26">
        <v>2.1</v>
      </c>
      <c r="V10" s="5">
        <v>1810.0</v>
      </c>
      <c r="W10" s="27">
        <v>0.0</v>
      </c>
      <c r="X10" s="28">
        <v>1810.0</v>
      </c>
      <c r="Y10" s="27">
        <v>1.0</v>
      </c>
      <c r="Z10" s="5" t="s">
        <v>78</v>
      </c>
      <c r="AA10" s="5">
        <v>0.58</v>
      </c>
      <c r="AB10" s="5"/>
      <c r="AC10" s="5" t="s">
        <v>80</v>
      </c>
      <c r="AD10" s="5" t="s">
        <v>81</v>
      </c>
      <c r="AE10" s="5">
        <v>4.0</v>
      </c>
      <c r="AF10" s="5">
        <v>3.0</v>
      </c>
      <c r="AG10" s="5" t="s">
        <v>301</v>
      </c>
      <c r="AH10" s="5" t="s">
        <v>0</v>
      </c>
      <c r="AI10" s="42"/>
      <c r="AJ10" s="28">
        <v>1130.0</v>
      </c>
      <c r="AK10" s="28">
        <v>861.0</v>
      </c>
      <c r="AL10" s="28">
        <v>0.0</v>
      </c>
      <c r="AM10" s="28">
        <v>1453.0</v>
      </c>
      <c r="AN10" s="28">
        <v>0.0</v>
      </c>
      <c r="AO10" s="28">
        <v>2044757.6</v>
      </c>
      <c r="AP10" s="28">
        <v>1558410.0</v>
      </c>
      <c r="AQ10" s="28">
        <v>0.0</v>
      </c>
      <c r="AR10" s="28">
        <v>2629232.56</v>
      </c>
      <c r="AS10" s="28">
        <v>0.0</v>
      </c>
      <c r="AT10" s="28">
        <v>1691169.7430786265</v>
      </c>
      <c r="AU10" s="28">
        <v>1353722.423175</v>
      </c>
      <c r="AV10" s="28">
        <v>0.0</v>
      </c>
      <c r="AW10" s="28">
        <v>2248445.1915836106</v>
      </c>
      <c r="AX10" s="5"/>
      <c r="AY10" s="5" t="str">
        <f t="array" ref="AY10">IFERROR(_xlfn.XLOOKUP($E10,'FW27'!$C$3:$C$1102,'FW27'!$AM$3:$AM$1102),"")</f>
        <v>Outdoor</v>
      </c>
      <c r="AZ10" s="5" t="str">
        <f t="array" ref="AZ10">IFERROR(_xlfn.XLOOKUP($E10,'FW27'!$C$3:$C$1102,'FW27'!$AN$3:$AN$1102),"")</f>
        <v>Day Hiking</v>
      </c>
      <c r="BA10" s="5" t="s">
        <v>88</v>
      </c>
      <c r="BB10" s="5" t="str">
        <f t="array" ref="BB10">IFERROR(_xlfn.XLOOKUP($E10,'FW27'!$C$3:$C$1102,'FW27'!$AS$3:$AS$1102),"")</f>
        <v>Shell</v>
      </c>
      <c r="BC10" s="5" t="str">
        <f t="array" ref="BC10">IFERROR(_xlfn.XLOOKUP($E10,'FW27'!$C$3:$C$1102,'FW27'!$AT$3:$AT$1102),"")</f>
        <v>Jacket</v>
      </c>
      <c r="BD10" s="5" t="str">
        <f t="array" ref="BD10">IFERROR(_xlfn.XLOOKUP($E10,'FW27'!$C$3:$C$1102,'FW27'!$AU$3:$AU$1102),"")</f>
        <v>2L</v>
      </c>
      <c r="BE10" s="5" t="str">
        <f t="array" ref="BE10">IFERROR(_xlfn.XLOOKUP($E10,'FW27'!$C$3:$C$1102,'FW27'!$AV$3:$AV$1102),"")</f>
        <v>Y</v>
      </c>
    </row>
    <row r="11" ht="16.5" hidden="1" customHeight="1">
      <c r="A11" s="5" t="s">
        <v>155</v>
      </c>
      <c r="B11" s="5" t="s">
        <v>137</v>
      </c>
      <c r="C11" s="5" t="b">
        <v>1</v>
      </c>
      <c r="D11" s="47" t="s">
        <v>94</v>
      </c>
      <c r="E11" s="47" t="s">
        <v>95</v>
      </c>
      <c r="F11" s="47"/>
      <c r="G11" s="47" t="s">
        <v>65</v>
      </c>
      <c r="H11" s="47" t="s">
        <v>76</v>
      </c>
      <c r="I11" s="47" t="s">
        <v>82</v>
      </c>
      <c r="J11" s="48" t="s">
        <v>322</v>
      </c>
      <c r="K11" s="25" t="s">
        <v>150</v>
      </c>
      <c r="L11" s="25" t="s">
        <v>110</v>
      </c>
      <c r="M11" s="5" t="s">
        <v>66</v>
      </c>
      <c r="N11" s="5" t="s">
        <v>68</v>
      </c>
      <c r="O11" s="5" t="s">
        <v>96</v>
      </c>
      <c r="P11" s="5" t="s">
        <v>70</v>
      </c>
      <c r="Q11" s="5" t="b">
        <v>1</v>
      </c>
      <c r="R11" s="5" t="b">
        <v>0</v>
      </c>
      <c r="S11" s="5"/>
      <c r="T11" s="5">
        <v>3800.0</v>
      </c>
      <c r="U11" s="26">
        <v>2.1</v>
      </c>
      <c r="V11" s="5">
        <v>1810.0</v>
      </c>
      <c r="W11" s="27">
        <v>0.0</v>
      </c>
      <c r="X11" s="28">
        <v>1810.0</v>
      </c>
      <c r="Y11" s="27">
        <v>1.0</v>
      </c>
      <c r="Z11" s="5" t="s">
        <v>78</v>
      </c>
      <c r="AA11" s="5">
        <v>0.58</v>
      </c>
      <c r="AB11" s="5"/>
      <c r="AC11" s="5" t="s">
        <v>80</v>
      </c>
      <c r="AD11" s="5" t="s">
        <v>81</v>
      </c>
      <c r="AE11" s="5">
        <v>4.0</v>
      </c>
      <c r="AF11" s="5">
        <v>4.0</v>
      </c>
      <c r="AG11" s="5" t="s">
        <v>151</v>
      </c>
      <c r="AH11" s="5" t="s">
        <v>97</v>
      </c>
      <c r="AI11" s="42"/>
      <c r="AJ11" s="28">
        <v>300.0</v>
      </c>
      <c r="AK11" s="28">
        <v>0.0</v>
      </c>
      <c r="AL11" s="28">
        <v>0.0</v>
      </c>
      <c r="AM11" s="28">
        <v>1000.0</v>
      </c>
      <c r="AN11" s="28">
        <v>0.0</v>
      </c>
      <c r="AO11" s="28">
        <v>542856.0</v>
      </c>
      <c r="AP11" s="28">
        <v>0.0</v>
      </c>
      <c r="AQ11" s="28">
        <v>0.0</v>
      </c>
      <c r="AR11" s="28">
        <v>1809520.0</v>
      </c>
      <c r="AS11" s="28">
        <v>0.0</v>
      </c>
      <c r="AT11" s="28">
        <v>190023.0</v>
      </c>
      <c r="AU11" s="28">
        <v>0.0</v>
      </c>
      <c r="AV11" s="28">
        <v>0.0</v>
      </c>
      <c r="AW11" s="28">
        <v>633410.0</v>
      </c>
      <c r="AX11" s="5"/>
      <c r="AY11" s="5" t="str">
        <f t="array" ref="AY11">IFERROR(_xlfn.XLOOKUP($E11,'FW27'!$C$3:$C$1102,'FW27'!$AM$3:$AM$1102),"")</f>
        <v>Outdoor</v>
      </c>
      <c r="AZ11" s="5" t="str">
        <f t="array" ref="AZ11">IFERROR(_xlfn.XLOOKUP($E11,'FW27'!$C$3:$C$1102,'FW27'!$AN$3:$AN$1102),"")</f>
        <v>Day Hiking</v>
      </c>
      <c r="BA11" s="5" t="s">
        <v>88</v>
      </c>
      <c r="BB11" s="5" t="str">
        <f t="array" ref="BB11">IFERROR(_xlfn.XLOOKUP($E11,'FW27'!$C$3:$C$1102,'FW27'!$AS$3:$AS$1102),"")</f>
        <v>Shell</v>
      </c>
      <c r="BC11" s="5" t="str">
        <f t="array" ref="BC11">IFERROR(_xlfn.XLOOKUP($E11,'FW27'!$C$3:$C$1102,'FW27'!$AT$3:$AT$1102),"")</f>
        <v>Jacket</v>
      </c>
      <c r="BD11" s="5" t="str">
        <f t="array" ref="BD11">IFERROR(_xlfn.XLOOKUP($E11,'FW27'!$C$3:$C$1102,'FW27'!$AU$3:$AU$1102),"")</f>
        <v>2L</v>
      </c>
      <c r="BE11" s="5" t="str">
        <f t="array" ref="BE11">IFERROR(_xlfn.XLOOKUP($E11,'FW27'!$C$3:$C$1102,'FW27'!$AV$3:$AV$1102),"")</f>
        <v>Y</v>
      </c>
    </row>
    <row r="12" ht="16.5" hidden="1" customHeight="1">
      <c r="A12" s="5" t="s">
        <v>155</v>
      </c>
      <c r="B12" s="5" t="s">
        <v>137</v>
      </c>
      <c r="C12" s="5" t="b">
        <v>1</v>
      </c>
      <c r="D12" s="5" t="s">
        <v>104</v>
      </c>
      <c r="E12" s="5" t="s">
        <v>105</v>
      </c>
      <c r="F12" s="5"/>
      <c r="G12" s="5" t="s">
        <v>65</v>
      </c>
      <c r="H12" s="5" t="s">
        <v>84</v>
      </c>
      <c r="I12" s="5" t="s">
        <v>82</v>
      </c>
      <c r="J12" s="25"/>
      <c r="K12" s="25"/>
      <c r="L12" s="25" t="s">
        <v>110</v>
      </c>
      <c r="M12" s="5" t="s">
        <v>66</v>
      </c>
      <c r="N12" s="5" t="s">
        <v>68</v>
      </c>
      <c r="O12" s="5" t="s">
        <v>69</v>
      </c>
      <c r="P12" s="5" t="s">
        <v>107</v>
      </c>
      <c r="Q12" s="5" t="b">
        <v>1</v>
      </c>
      <c r="R12" s="5" t="b">
        <v>0</v>
      </c>
      <c r="S12" s="5"/>
      <c r="T12" s="5">
        <v>3800.0</v>
      </c>
      <c r="U12" s="26">
        <v>2.1</v>
      </c>
      <c r="V12" s="5">
        <v>1810.0</v>
      </c>
      <c r="W12" s="27">
        <v>0.0</v>
      </c>
      <c r="X12" s="28">
        <v>1810.0</v>
      </c>
      <c r="Y12" s="27">
        <v>1.0</v>
      </c>
      <c r="Z12" s="5" t="s">
        <v>78</v>
      </c>
      <c r="AA12" s="5">
        <v>0.6</v>
      </c>
      <c r="AB12" s="5"/>
      <c r="AC12" s="5" t="s">
        <v>80</v>
      </c>
      <c r="AD12" s="5" t="s">
        <v>81</v>
      </c>
      <c r="AE12" s="5">
        <v>4.0</v>
      </c>
      <c r="AF12" s="5">
        <v>3.0</v>
      </c>
      <c r="AG12" s="5" t="s">
        <v>344</v>
      </c>
      <c r="AH12" s="5" t="s">
        <v>0</v>
      </c>
      <c r="AI12" s="42"/>
      <c r="AJ12" s="28">
        <v>1039.0</v>
      </c>
      <c r="AK12" s="28">
        <v>521.0</v>
      </c>
      <c r="AL12" s="28">
        <v>0.0</v>
      </c>
      <c r="AM12" s="28">
        <v>1789.0</v>
      </c>
      <c r="AN12" s="28">
        <v>0.0</v>
      </c>
      <c r="AO12" s="28">
        <v>1880091.28</v>
      </c>
      <c r="AP12" s="28">
        <v>943010.0</v>
      </c>
      <c r="AQ12" s="28">
        <v>0.0</v>
      </c>
      <c r="AR12" s="28">
        <v>3237231.28</v>
      </c>
      <c r="AS12" s="28">
        <v>0.0</v>
      </c>
      <c r="AT12" s="28">
        <v>1374054.114507198</v>
      </c>
      <c r="AU12" s="28">
        <v>831871.751675</v>
      </c>
      <c r="AV12" s="28">
        <v>0.0</v>
      </c>
      <c r="AW12" s="28">
        <v>2355706.2544850493</v>
      </c>
      <c r="AX12" s="5"/>
      <c r="AY12" s="5" t="str">
        <f t="array" ref="AY12">IFERROR(_xlfn.XLOOKUP($E12,'FW27'!$C$3:$C$1102,'FW27'!$AM$3:$AM$1102),"")</f>
        <v>Outdoor</v>
      </c>
      <c r="AZ12" s="5" t="str">
        <f t="array" ref="AZ12">IFERROR(_xlfn.XLOOKUP($E12,'FW27'!$C$3:$C$1102,'FW27'!$AN$3:$AN$1102),"")</f>
        <v>Day Hiking</v>
      </c>
      <c r="BA12" s="5" t="s">
        <v>88</v>
      </c>
      <c r="BB12" s="5" t="str">
        <f t="array" ref="BB12">IFERROR(_xlfn.XLOOKUP($E12,'FW27'!$C$3:$C$1102,'FW27'!$AS$3:$AS$1102),"")</f>
        <v>Shell</v>
      </c>
      <c r="BC12" s="5" t="str">
        <f t="array" ref="BC12">IFERROR(_xlfn.XLOOKUP($E12,'FW27'!$C$3:$C$1102,'FW27'!$AT$3:$AT$1102),"")</f>
        <v>Jacket</v>
      </c>
      <c r="BD12" s="5" t="str">
        <f t="array" ref="BD12">IFERROR(_xlfn.XLOOKUP($E12,'FW27'!$C$3:$C$1102,'FW27'!$AU$3:$AU$1102),"")</f>
        <v>2L</v>
      </c>
      <c r="BE12" s="5" t="str">
        <f t="array" ref="BE12">IFERROR(_xlfn.XLOOKUP($E12,'FW27'!$C$3:$C$1102,'FW27'!$AV$3:$AV$1102),"")</f>
        <v>Y</v>
      </c>
    </row>
    <row r="13" ht="16.5" hidden="1" customHeight="1">
      <c r="A13" s="5" t="s">
        <v>155</v>
      </c>
      <c r="B13" s="5" t="s">
        <v>137</v>
      </c>
      <c r="C13" s="5" t="b">
        <v>1</v>
      </c>
      <c r="D13" s="5" t="s">
        <v>111</v>
      </c>
      <c r="E13" s="5" t="s">
        <v>112</v>
      </c>
      <c r="F13" s="5"/>
      <c r="G13" s="5" t="s">
        <v>65</v>
      </c>
      <c r="H13" s="5" t="s">
        <v>84</v>
      </c>
      <c r="I13" s="5" t="s">
        <v>82</v>
      </c>
      <c r="J13" s="25"/>
      <c r="K13" s="25"/>
      <c r="L13" s="25"/>
      <c r="M13" s="5" t="s">
        <v>66</v>
      </c>
      <c r="N13" s="5" t="s">
        <v>113</v>
      </c>
      <c r="O13" s="5" t="s">
        <v>69</v>
      </c>
      <c r="P13" s="5" t="s">
        <v>70</v>
      </c>
      <c r="Q13" s="5" t="b">
        <v>1</v>
      </c>
      <c r="R13" s="5" t="b">
        <v>0</v>
      </c>
      <c r="S13" s="5"/>
      <c r="T13" s="5">
        <v>1700.0</v>
      </c>
      <c r="U13" s="26">
        <v>2.1</v>
      </c>
      <c r="V13" s="5">
        <v>810.0</v>
      </c>
      <c r="W13" s="27">
        <v>0.0</v>
      </c>
      <c r="X13" s="28">
        <v>810.0</v>
      </c>
      <c r="Y13" s="27">
        <v>1.0</v>
      </c>
      <c r="Z13" s="5" t="s">
        <v>117</v>
      </c>
      <c r="AA13" s="5">
        <v>0.62</v>
      </c>
      <c r="AB13" s="5"/>
      <c r="AC13" s="5" t="s">
        <v>81</v>
      </c>
      <c r="AD13" s="5" t="s">
        <v>81</v>
      </c>
      <c r="AE13" s="5">
        <v>4.0</v>
      </c>
      <c r="AF13" s="5">
        <v>3.0</v>
      </c>
      <c r="AG13" s="5" t="s">
        <v>0</v>
      </c>
      <c r="AH13" s="5" t="s">
        <v>0</v>
      </c>
      <c r="AI13" s="42"/>
      <c r="AJ13" s="28">
        <v>4683.0</v>
      </c>
      <c r="AK13" s="28">
        <v>4400.0</v>
      </c>
      <c r="AL13" s="28">
        <v>0.0</v>
      </c>
      <c r="AM13" s="28">
        <v>4595.0</v>
      </c>
      <c r="AN13" s="28">
        <v>0.0</v>
      </c>
      <c r="AO13" s="28">
        <v>3790982.1600000006</v>
      </c>
      <c r="AP13" s="28">
        <v>3564000.0</v>
      </c>
      <c r="AQ13" s="28">
        <v>0.0</v>
      </c>
      <c r="AR13" s="28">
        <v>3719744.400000001</v>
      </c>
      <c r="AS13" s="28">
        <v>0.0</v>
      </c>
      <c r="AT13" s="28">
        <v>2865350.6428571437</v>
      </c>
      <c r="AU13" s="28">
        <v>2723876.6905190004</v>
      </c>
      <c r="AV13" s="28">
        <v>0.0</v>
      </c>
      <c r="AW13" s="28">
        <v>3018362.2314507193</v>
      </c>
      <c r="AX13" s="5"/>
      <c r="AY13" s="5" t="str">
        <f t="array" ref="AY13">IFERROR(_xlfn.XLOOKUP($E13,'FW27'!$C$3:$C$1102,'FW27'!$AM$3:$AM$1102),"")</f>
        <v>Outdoor</v>
      </c>
      <c r="AZ13" s="5" t="str">
        <f t="array" ref="AZ13">IFERROR(_xlfn.XLOOKUP($E13,'FW27'!$C$3:$C$1102,'FW27'!$AN$3:$AN$1102),"")</f>
        <v>Trekking</v>
      </c>
      <c r="BA13" s="32" t="s">
        <v>122</v>
      </c>
      <c r="BB13" s="5" t="str">
        <f t="array" ref="BB13">IFERROR(_xlfn.XLOOKUP($E13,'FW27'!$C$3:$C$1102,'FW27'!$AS$3:$AS$1102),"")</f>
        <v>Softshell</v>
      </c>
      <c r="BC13" s="5" t="str">
        <f t="array" ref="BC13">IFERROR(_xlfn.XLOOKUP($E13,'FW27'!$C$3:$C$1102,'FW27'!$AT$3:$AT$1102),"")</f>
        <v>Pant</v>
      </c>
      <c r="BD13" s="5" t="str">
        <f t="array" ref="BD13">IFERROR(_xlfn.XLOOKUP($E13,'FW27'!$C$3:$C$1102,'FW27'!$AU$3:$AU$1102),"")</f>
        <v>Classic Softshell</v>
      </c>
      <c r="BE13" s="5" t="str">
        <f t="array" ref="BE13">IFERROR(_xlfn.XLOOKUP($E13,'FW27'!$C$3:$C$1102,'FW27'!$AV$3:$AV$1102),"")</f>
        <v>N</v>
      </c>
    </row>
    <row r="14" ht="16.5" hidden="1" customHeight="1">
      <c r="A14" s="5" t="s">
        <v>155</v>
      </c>
      <c r="B14" s="5" t="s">
        <v>137</v>
      </c>
      <c r="C14" s="5" t="b">
        <v>1</v>
      </c>
      <c r="D14" s="5" t="s">
        <v>134</v>
      </c>
      <c r="E14" s="5" t="s">
        <v>135</v>
      </c>
      <c r="F14" s="5"/>
      <c r="G14" s="5" t="s">
        <v>65</v>
      </c>
      <c r="H14" s="5" t="s">
        <v>84</v>
      </c>
      <c r="I14" s="5" t="s">
        <v>82</v>
      </c>
      <c r="J14" s="25"/>
      <c r="K14" s="25"/>
      <c r="L14" s="25"/>
      <c r="M14" s="5" t="s">
        <v>66</v>
      </c>
      <c r="N14" s="5" t="s">
        <v>113</v>
      </c>
      <c r="O14" s="5" t="s">
        <v>69</v>
      </c>
      <c r="P14" s="5" t="s">
        <v>107</v>
      </c>
      <c r="Q14" s="5" t="b">
        <v>1</v>
      </c>
      <c r="R14" s="5" t="b">
        <v>0</v>
      </c>
      <c r="S14" s="5"/>
      <c r="T14" s="5">
        <v>1700.0</v>
      </c>
      <c r="U14" s="26">
        <v>2.1</v>
      </c>
      <c r="V14" s="5">
        <v>810.0</v>
      </c>
      <c r="W14" s="27">
        <v>0.0</v>
      </c>
      <c r="X14" s="28">
        <v>810.0</v>
      </c>
      <c r="Y14" s="27">
        <v>1.0</v>
      </c>
      <c r="Z14" s="5" t="s">
        <v>117</v>
      </c>
      <c r="AA14" s="5">
        <v>0.63</v>
      </c>
      <c r="AB14" s="5"/>
      <c r="AC14" s="5" t="s">
        <v>81</v>
      </c>
      <c r="AD14" s="5" t="s">
        <v>81</v>
      </c>
      <c r="AE14" s="5">
        <v>4.0</v>
      </c>
      <c r="AF14" s="5">
        <v>3.0</v>
      </c>
      <c r="AG14" s="5" t="s">
        <v>0</v>
      </c>
      <c r="AH14" s="5" t="s">
        <v>0</v>
      </c>
      <c r="AI14" s="42"/>
      <c r="AJ14" s="28">
        <v>3297.0</v>
      </c>
      <c r="AK14" s="28">
        <v>2958.0</v>
      </c>
      <c r="AL14" s="28">
        <v>0.0</v>
      </c>
      <c r="AM14" s="28">
        <v>3187.0</v>
      </c>
      <c r="AN14" s="28">
        <v>0.0</v>
      </c>
      <c r="AO14" s="28">
        <v>2668987.4400000004</v>
      </c>
      <c r="AP14" s="28">
        <v>2395980.0</v>
      </c>
      <c r="AQ14" s="28">
        <v>0.0</v>
      </c>
      <c r="AR14" s="28">
        <v>2579940.24</v>
      </c>
      <c r="AS14" s="28">
        <v>0.0</v>
      </c>
      <c r="AT14" s="28">
        <v>2047921.1944629014</v>
      </c>
      <c r="AU14" s="28">
        <v>1855962.8514060006</v>
      </c>
      <c r="AV14" s="28">
        <v>0.0</v>
      </c>
      <c r="AW14" s="28">
        <v>2116088.9756367663</v>
      </c>
      <c r="AX14" s="5"/>
      <c r="AY14" s="5" t="str">
        <f t="array" ref="AY14">IFERROR(_xlfn.XLOOKUP($E14,'FW27'!$C$3:$C$1102,'FW27'!$AM$3:$AM$1102),"")</f>
        <v>Outdoor</v>
      </c>
      <c r="AZ14" s="5" t="str">
        <f t="array" ref="AZ14">IFERROR(_xlfn.XLOOKUP($E14,'FW27'!$C$3:$C$1102,'FW27'!$AN$3:$AN$1102),"")</f>
        <v>Trekking</v>
      </c>
      <c r="BA14" s="32" t="s">
        <v>122</v>
      </c>
      <c r="BB14" s="5" t="str">
        <f t="array" ref="BB14">IFERROR(_xlfn.XLOOKUP($E14,'FW27'!$C$3:$C$1102,'FW27'!$AS$3:$AS$1102),"")</f>
        <v>Softshell</v>
      </c>
      <c r="BC14" s="5" t="str">
        <f t="array" ref="BC14">IFERROR(_xlfn.XLOOKUP($E14,'FW27'!$C$3:$C$1102,'FW27'!$AT$3:$AT$1102),"")</f>
        <v>Pant</v>
      </c>
      <c r="BD14" s="5" t="str">
        <f t="array" ref="BD14">IFERROR(_xlfn.XLOOKUP($E14,'FW27'!$C$3:$C$1102,'FW27'!$AU$3:$AU$1102),"")</f>
        <v>Classic Softshell</v>
      </c>
      <c r="BE14" s="5" t="str">
        <f t="array" ref="BE14">IFERROR(_xlfn.XLOOKUP($E14,'FW27'!$C$3:$C$1102,'FW27'!$AV$3:$AV$1102),"")</f>
        <v>N</v>
      </c>
    </row>
    <row r="15" ht="16.5" hidden="1" customHeight="1">
      <c r="A15" s="5" t="s">
        <v>155</v>
      </c>
      <c r="B15" s="5" t="s">
        <v>200</v>
      </c>
      <c r="C15" s="5" t="b">
        <v>0</v>
      </c>
      <c r="D15" s="5" t="s">
        <v>143</v>
      </c>
      <c r="E15" s="5" t="s">
        <v>144</v>
      </c>
      <c r="F15" s="5"/>
      <c r="G15" s="5" t="s">
        <v>65</v>
      </c>
      <c r="H15" s="5" t="s">
        <v>84</v>
      </c>
      <c r="I15" s="5" t="s">
        <v>106</v>
      </c>
      <c r="J15" s="25" t="s">
        <v>413</v>
      </c>
      <c r="K15" s="25"/>
      <c r="L15" s="25"/>
      <c r="M15" s="5" t="s">
        <v>66</v>
      </c>
      <c r="N15" s="5" t="s">
        <v>113</v>
      </c>
      <c r="O15" s="5" t="s">
        <v>69</v>
      </c>
      <c r="P15" s="5" t="s">
        <v>70</v>
      </c>
      <c r="Q15" s="5" t="b">
        <v>1</v>
      </c>
      <c r="R15" s="5" t="b">
        <v>0</v>
      </c>
      <c r="S15" s="5"/>
      <c r="T15" s="5">
        <v>1200.0</v>
      </c>
      <c r="U15" s="26">
        <v>2.1</v>
      </c>
      <c r="V15" s="5">
        <v>571.0</v>
      </c>
      <c r="W15" s="27">
        <v>0.0</v>
      </c>
      <c r="X15" s="28">
        <v>571.0</v>
      </c>
      <c r="Y15" s="27">
        <v>1.0</v>
      </c>
      <c r="Z15" s="5" t="s">
        <v>117</v>
      </c>
      <c r="AA15" s="5">
        <v>0.63</v>
      </c>
      <c r="AB15" s="5"/>
      <c r="AC15" s="5" t="s">
        <v>81</v>
      </c>
      <c r="AD15" s="5" t="s">
        <v>81</v>
      </c>
      <c r="AE15" s="5">
        <v>5.0</v>
      </c>
      <c r="AF15" s="5">
        <v>4.0</v>
      </c>
      <c r="AG15" s="5" t="s">
        <v>421</v>
      </c>
      <c r="AH15" s="5" t="s">
        <v>0</v>
      </c>
      <c r="AI15" s="42"/>
      <c r="AJ15" s="28">
        <v>0.0</v>
      </c>
      <c r="AK15" s="28">
        <v>0.0</v>
      </c>
      <c r="AL15" s="28">
        <v>0.0</v>
      </c>
      <c r="AM15" s="28">
        <v>5066.0</v>
      </c>
      <c r="AN15" s="28">
        <v>0.0</v>
      </c>
      <c r="AO15" s="28">
        <v>0.0</v>
      </c>
      <c r="AP15" s="28">
        <v>0.0</v>
      </c>
      <c r="AQ15" s="28">
        <v>0.0</v>
      </c>
      <c r="AR15" s="28">
        <v>2894864.38</v>
      </c>
      <c r="AS15" s="28">
        <v>0.0</v>
      </c>
      <c r="AT15" s="28">
        <v>0.0</v>
      </c>
      <c r="AU15" s="28">
        <v>0.0</v>
      </c>
      <c r="AV15" s="28">
        <v>0.0</v>
      </c>
      <c r="AW15" s="28">
        <v>2473686.7436323366</v>
      </c>
      <c r="AX15" s="5"/>
      <c r="AY15" s="5" t="s">
        <v>125</v>
      </c>
      <c r="AZ15" s="5" t="s">
        <v>121</v>
      </c>
      <c r="BB15" s="5" t="s">
        <v>126</v>
      </c>
      <c r="BC15" s="5" t="s">
        <v>147</v>
      </c>
      <c r="BD15" s="5" t="s">
        <v>130</v>
      </c>
      <c r="BE15" s="5" t="s">
        <v>131</v>
      </c>
      <c r="BF15" s="5" t="s">
        <v>428</v>
      </c>
    </row>
    <row r="16" ht="16.5" hidden="1" customHeight="1">
      <c r="A16" s="5" t="s">
        <v>155</v>
      </c>
      <c r="B16" s="5" t="s">
        <v>200</v>
      </c>
      <c r="C16" s="5" t="b">
        <v>0</v>
      </c>
      <c r="D16" s="5" t="s">
        <v>148</v>
      </c>
      <c r="E16" s="5" t="s">
        <v>149</v>
      </c>
      <c r="F16" s="5"/>
      <c r="G16" s="5" t="s">
        <v>65</v>
      </c>
      <c r="H16" s="5" t="s">
        <v>84</v>
      </c>
      <c r="I16" s="5" t="s">
        <v>106</v>
      </c>
      <c r="J16" s="25" t="s">
        <v>413</v>
      </c>
      <c r="K16" s="25"/>
      <c r="L16" s="25"/>
      <c r="M16" s="5" t="s">
        <v>66</v>
      </c>
      <c r="N16" s="5" t="s">
        <v>113</v>
      </c>
      <c r="O16" s="5" t="s">
        <v>69</v>
      </c>
      <c r="P16" s="5" t="s">
        <v>107</v>
      </c>
      <c r="Q16" s="5" t="b">
        <v>1</v>
      </c>
      <c r="R16" s="5" t="b">
        <v>0</v>
      </c>
      <c r="S16" s="5"/>
      <c r="T16" s="5">
        <v>1200.0</v>
      </c>
      <c r="U16" s="26">
        <v>2.1</v>
      </c>
      <c r="V16" s="5">
        <v>571.0</v>
      </c>
      <c r="W16" s="27">
        <v>0.0</v>
      </c>
      <c r="X16" s="28">
        <v>571.0</v>
      </c>
      <c r="Y16" s="27">
        <v>1.0</v>
      </c>
      <c r="Z16" s="5" t="s">
        <v>117</v>
      </c>
      <c r="AA16" s="5">
        <v>0.64</v>
      </c>
      <c r="AB16" s="5"/>
      <c r="AC16" s="5" t="s">
        <v>81</v>
      </c>
      <c r="AD16" s="5" t="s">
        <v>81</v>
      </c>
      <c r="AE16" s="5">
        <v>4.0</v>
      </c>
      <c r="AF16" s="5">
        <v>3.0</v>
      </c>
      <c r="AG16" s="5" t="s">
        <v>433</v>
      </c>
      <c r="AH16" s="5" t="s">
        <v>0</v>
      </c>
      <c r="AI16" s="42"/>
      <c r="AJ16" s="28">
        <v>0.0</v>
      </c>
      <c r="AK16" s="28">
        <v>0.0</v>
      </c>
      <c r="AL16" s="28">
        <v>0.0</v>
      </c>
      <c r="AM16" s="28">
        <v>3383.0</v>
      </c>
      <c r="AN16" s="28">
        <v>0.0</v>
      </c>
      <c r="AO16" s="28">
        <v>0.0</v>
      </c>
      <c r="AP16" s="28">
        <v>0.0</v>
      </c>
      <c r="AQ16" s="28">
        <v>0.0</v>
      </c>
      <c r="AR16" s="28">
        <v>1933147.6899999997</v>
      </c>
      <c r="AS16" s="28">
        <v>0.0</v>
      </c>
      <c r="AT16" s="28">
        <v>0.0</v>
      </c>
      <c r="AU16" s="28">
        <v>0.0</v>
      </c>
      <c r="AV16" s="28">
        <v>0.0</v>
      </c>
      <c r="AW16" s="28">
        <v>1630457.5531561458</v>
      </c>
      <c r="AX16" s="5"/>
      <c r="AY16" s="5" t="s">
        <v>125</v>
      </c>
      <c r="AZ16" s="5" t="s">
        <v>121</v>
      </c>
      <c r="BB16" s="5" t="s">
        <v>126</v>
      </c>
      <c r="BC16" s="5" t="s">
        <v>147</v>
      </c>
      <c r="BD16" s="5" t="s">
        <v>130</v>
      </c>
      <c r="BE16" s="5" t="s">
        <v>131</v>
      </c>
      <c r="BF16" s="5" t="s">
        <v>428</v>
      </c>
    </row>
    <row r="17" ht="16.5" hidden="1" customHeight="1">
      <c r="A17" s="5" t="s">
        <v>155</v>
      </c>
      <c r="B17" s="5" t="s">
        <v>215</v>
      </c>
      <c r="C17" s="5" t="b">
        <v>1</v>
      </c>
      <c r="D17" s="5" t="s">
        <v>216</v>
      </c>
      <c r="E17" s="5" t="s">
        <v>217</v>
      </c>
      <c r="F17" s="5"/>
      <c r="G17" s="5" t="s">
        <v>65</v>
      </c>
      <c r="H17" s="5" t="s">
        <v>76</v>
      </c>
      <c r="I17" s="5" t="s">
        <v>82</v>
      </c>
      <c r="J17" s="25"/>
      <c r="K17" s="25"/>
      <c r="L17" s="25" t="s">
        <v>110</v>
      </c>
      <c r="M17" s="5" t="s">
        <v>220</v>
      </c>
      <c r="N17" s="5" t="s">
        <v>68</v>
      </c>
      <c r="O17" s="5" t="s">
        <v>69</v>
      </c>
      <c r="P17" s="5" t="s">
        <v>70</v>
      </c>
      <c r="Q17" s="5" t="b">
        <v>1</v>
      </c>
      <c r="R17" s="5" t="b">
        <v>0</v>
      </c>
      <c r="S17" s="5"/>
      <c r="T17" s="5">
        <v>4000.0</v>
      </c>
      <c r="U17" s="26">
        <v>2.1</v>
      </c>
      <c r="V17" s="5">
        <v>1905.0</v>
      </c>
      <c r="W17" s="27">
        <v>0.0</v>
      </c>
      <c r="X17" s="28">
        <v>1905.0</v>
      </c>
      <c r="Y17" s="27">
        <v>1.0</v>
      </c>
      <c r="Z17" s="5" t="s">
        <v>117</v>
      </c>
      <c r="AA17" s="5">
        <v>0.6</v>
      </c>
      <c r="AB17" s="5"/>
      <c r="AC17" s="5" t="s">
        <v>166</v>
      </c>
      <c r="AD17" s="5" t="s">
        <v>81</v>
      </c>
      <c r="AE17" s="5">
        <v>4.0</v>
      </c>
      <c r="AF17" s="5">
        <v>4.0</v>
      </c>
      <c r="AG17" s="5" t="s">
        <v>223</v>
      </c>
      <c r="AH17" s="5" t="s">
        <v>0</v>
      </c>
      <c r="AI17" s="42"/>
      <c r="AJ17" s="28">
        <v>2097.0</v>
      </c>
      <c r="AK17" s="28">
        <v>1964.0</v>
      </c>
      <c r="AL17" s="28">
        <v>0.0</v>
      </c>
      <c r="AM17" s="28">
        <v>0.0</v>
      </c>
      <c r="AN17" s="28">
        <v>0.0</v>
      </c>
      <c r="AO17" s="28">
        <v>3994281.72</v>
      </c>
      <c r="AP17" s="28">
        <v>3741420.0</v>
      </c>
      <c r="AQ17" s="28">
        <v>0.0</v>
      </c>
      <c r="AR17" s="28">
        <v>0.0</v>
      </c>
      <c r="AS17" s="28">
        <v>0.0</v>
      </c>
      <c r="AT17" s="28">
        <v>3173250.8397563677</v>
      </c>
      <c r="AU17" s="28">
        <v>3026580.9562190007</v>
      </c>
      <c r="AV17" s="28">
        <v>0.0</v>
      </c>
      <c r="AW17" s="28">
        <v>0.0</v>
      </c>
      <c r="AX17" s="5"/>
      <c r="AY17" s="5" t="str">
        <f t="array" ref="AY17">IFERROR(_xlfn.XLOOKUP($E17,'FW27'!$C$3:$C$1102,'FW27'!$AM$3:$AM$1102),"")</f>
        <v>Skiing/Snowboarding</v>
      </c>
      <c r="AZ17" s="5" t="str">
        <f t="array" ref="AZ17">IFERROR(_xlfn.XLOOKUP($E17,'FW27'!$C$3:$C$1102,'FW27'!$AN$3:$AN$1102),"")</f>
        <v>All Mountain</v>
      </c>
      <c r="BA17" s="32" t="s">
        <v>229</v>
      </c>
      <c r="BB17" s="5" t="str">
        <f t="array" ref="BB17">IFERROR(_xlfn.XLOOKUP($E17,'FW27'!$C$3:$C$1102,'FW27'!$AS$3:$AS$1102),"")</f>
        <v>Shell</v>
      </c>
      <c r="BC17" s="5" t="str">
        <f t="array" ref="BC17">IFERROR(_xlfn.XLOOKUP($E17,'FW27'!$C$3:$C$1102,'FW27'!$AT$3:$AT$1102),"")</f>
        <v>Jacket</v>
      </c>
      <c r="BD17" s="5" t="str">
        <f t="array" ref="BD17">IFERROR(_xlfn.XLOOKUP($E17,'FW27'!$C$3:$C$1102,'FW27'!$AU$3:$AU$1102),"")</f>
        <v>3L</v>
      </c>
      <c r="BE17" s="5" t="str">
        <f t="array" ref="BE17">IFERROR(_xlfn.XLOOKUP($E17,'FW27'!$C$3:$C$1102,'FW27'!$AV$3:$AV$1102),"")</f>
        <v>Y</v>
      </c>
    </row>
    <row r="18" ht="16.5" hidden="1" customHeight="1">
      <c r="A18" s="5" t="s">
        <v>155</v>
      </c>
      <c r="B18" s="5" t="s">
        <v>215</v>
      </c>
      <c r="C18" s="5" t="b">
        <v>1</v>
      </c>
      <c r="D18" s="5" t="s">
        <v>232</v>
      </c>
      <c r="E18" s="5" t="s">
        <v>233</v>
      </c>
      <c r="F18" s="5"/>
      <c r="G18" s="5" t="s">
        <v>65</v>
      </c>
      <c r="H18" s="5" t="s">
        <v>76</v>
      </c>
      <c r="I18" s="5" t="s">
        <v>82</v>
      </c>
      <c r="J18" s="25"/>
      <c r="K18" s="25"/>
      <c r="L18" s="25" t="s">
        <v>110</v>
      </c>
      <c r="M18" s="5" t="s">
        <v>220</v>
      </c>
      <c r="N18" s="5" t="s">
        <v>68</v>
      </c>
      <c r="O18" s="5" t="s">
        <v>69</v>
      </c>
      <c r="P18" s="5" t="s">
        <v>107</v>
      </c>
      <c r="Q18" s="5" t="b">
        <v>1</v>
      </c>
      <c r="R18" s="5" t="b">
        <v>0</v>
      </c>
      <c r="S18" s="5"/>
      <c r="T18" s="5">
        <v>4000.0</v>
      </c>
      <c r="U18" s="26">
        <v>2.1</v>
      </c>
      <c r="V18" s="5">
        <v>1905.0</v>
      </c>
      <c r="W18" s="27">
        <v>0.0</v>
      </c>
      <c r="X18" s="28">
        <v>1905.0</v>
      </c>
      <c r="Y18" s="27">
        <v>1.0</v>
      </c>
      <c r="Z18" s="5" t="s">
        <v>117</v>
      </c>
      <c r="AA18" s="5">
        <v>0.62</v>
      </c>
      <c r="AB18" s="5"/>
      <c r="AC18" s="5" t="s">
        <v>166</v>
      </c>
      <c r="AD18" s="5" t="s">
        <v>81</v>
      </c>
      <c r="AE18" s="5">
        <v>4.0</v>
      </c>
      <c r="AF18" s="5">
        <v>3.0</v>
      </c>
      <c r="AG18" s="5" t="s">
        <v>240</v>
      </c>
      <c r="AH18" s="5" t="s">
        <v>0</v>
      </c>
      <c r="AI18" s="42"/>
      <c r="AJ18" s="28">
        <v>1405.0</v>
      </c>
      <c r="AK18" s="28">
        <v>1265.0</v>
      </c>
      <c r="AL18" s="28">
        <v>0.0</v>
      </c>
      <c r="AM18" s="28">
        <v>0.0</v>
      </c>
      <c r="AN18" s="28">
        <v>0.0</v>
      </c>
      <c r="AO18" s="28">
        <v>2676187.8</v>
      </c>
      <c r="AP18" s="28">
        <v>2409825.0</v>
      </c>
      <c r="AQ18" s="28">
        <v>0.0</v>
      </c>
      <c r="AR18" s="28">
        <v>0.0</v>
      </c>
      <c r="AS18" s="28">
        <v>0.0</v>
      </c>
      <c r="AT18" s="28">
        <v>2215397.919712071</v>
      </c>
      <c r="AU18" s="28">
        <v>2020862.6724599998</v>
      </c>
      <c r="AV18" s="28">
        <v>0.0</v>
      </c>
      <c r="AW18" s="28">
        <v>0.0</v>
      </c>
      <c r="AX18" s="5"/>
      <c r="AY18" s="5" t="str">
        <f t="array" ref="AY18">IFERROR(_xlfn.XLOOKUP($E18,'FW27'!$C$3:$C$1102,'FW27'!$AM$3:$AM$1102),"")</f>
        <v>Skiing/Snowboarding</v>
      </c>
      <c r="AZ18" s="5" t="str">
        <f t="array" ref="AZ18">IFERROR(_xlfn.XLOOKUP($E18,'FW27'!$C$3:$C$1102,'FW27'!$AN$3:$AN$1102),"")</f>
        <v>All Mountain</v>
      </c>
      <c r="BA18" s="32" t="s">
        <v>229</v>
      </c>
      <c r="BB18" s="5" t="str">
        <f t="array" ref="BB18">IFERROR(_xlfn.XLOOKUP($E18,'FW27'!$C$3:$C$1102,'FW27'!$AS$3:$AS$1102),"")</f>
        <v>Shell</v>
      </c>
      <c r="BC18" s="5" t="str">
        <f t="array" ref="BC18">IFERROR(_xlfn.XLOOKUP($E18,'FW27'!$C$3:$C$1102,'FW27'!$AT$3:$AT$1102),"")</f>
        <v>Jacket</v>
      </c>
      <c r="BD18" s="5" t="str">
        <f t="array" ref="BD18">IFERROR(_xlfn.XLOOKUP($E18,'FW27'!$C$3:$C$1102,'FW27'!$AU$3:$AU$1102),"")</f>
        <v>3L</v>
      </c>
      <c r="BE18" s="5" t="str">
        <f t="array" ref="BE18">IFERROR(_xlfn.XLOOKUP($E18,'FW27'!$C$3:$C$1102,'FW27'!$AV$3:$AV$1102),"")</f>
        <v>Y</v>
      </c>
    </row>
    <row r="19" ht="16.5" hidden="1" customHeight="1">
      <c r="A19" s="5" t="s">
        <v>155</v>
      </c>
      <c r="B19" s="5" t="s">
        <v>215</v>
      </c>
      <c r="C19" s="5" t="b">
        <v>1</v>
      </c>
      <c r="D19" s="5" t="s">
        <v>243</v>
      </c>
      <c r="E19" s="5" t="s">
        <v>244</v>
      </c>
      <c r="F19" s="5"/>
      <c r="G19" s="5" t="s">
        <v>65</v>
      </c>
      <c r="H19" s="5" t="s">
        <v>76</v>
      </c>
      <c r="I19" s="5" t="s">
        <v>82</v>
      </c>
      <c r="J19" s="25"/>
      <c r="K19" s="25"/>
      <c r="L19" s="25" t="s">
        <v>181</v>
      </c>
      <c r="M19" s="5" t="s">
        <v>220</v>
      </c>
      <c r="N19" s="5" t="s">
        <v>68</v>
      </c>
      <c r="O19" s="5" t="s">
        <v>69</v>
      </c>
      <c r="P19" s="5" t="s">
        <v>70</v>
      </c>
      <c r="Q19" s="5" t="b">
        <v>1</v>
      </c>
      <c r="R19" s="5" t="b">
        <v>0</v>
      </c>
      <c r="S19" s="5"/>
      <c r="T19" s="5">
        <v>3200.0</v>
      </c>
      <c r="U19" s="26">
        <v>2.1</v>
      </c>
      <c r="V19" s="5">
        <v>1524.0</v>
      </c>
      <c r="W19" s="27">
        <v>0.0</v>
      </c>
      <c r="X19" s="28">
        <v>1524.0</v>
      </c>
      <c r="Y19" s="27">
        <v>1.0</v>
      </c>
      <c r="Z19" s="5" t="s">
        <v>117</v>
      </c>
      <c r="AA19" s="5">
        <v>0.6</v>
      </c>
      <c r="AB19" s="5"/>
      <c r="AC19" s="5" t="s">
        <v>166</v>
      </c>
      <c r="AD19" s="5" t="s">
        <v>81</v>
      </c>
      <c r="AE19" s="5">
        <v>4.0</v>
      </c>
      <c r="AF19" s="5">
        <v>3.0</v>
      </c>
      <c r="AG19" s="5" t="s">
        <v>251</v>
      </c>
      <c r="AH19" s="5" t="s">
        <v>0</v>
      </c>
      <c r="AI19" s="42"/>
      <c r="AJ19" s="28">
        <v>1516.0</v>
      </c>
      <c r="AK19" s="28">
        <v>1464.0</v>
      </c>
      <c r="AL19" s="28">
        <v>0.0</v>
      </c>
      <c r="AM19" s="28">
        <v>0.0</v>
      </c>
      <c r="AN19" s="28">
        <v>0.0</v>
      </c>
      <c r="AO19" s="28">
        <v>2310095.9599999995</v>
      </c>
      <c r="AP19" s="28">
        <v>2231136.0</v>
      </c>
      <c r="AQ19" s="28">
        <v>0.0</v>
      </c>
      <c r="AR19" s="28">
        <v>0.0</v>
      </c>
      <c r="AS19" s="28">
        <v>0.0</v>
      </c>
      <c r="AT19" s="28">
        <v>1837909.9977851606</v>
      </c>
      <c r="AU19" s="28">
        <v>1809783.820083</v>
      </c>
      <c r="AV19" s="28">
        <v>0.0</v>
      </c>
      <c r="AW19" s="28">
        <v>0.0</v>
      </c>
      <c r="AX19" s="5"/>
      <c r="AY19" s="5" t="str">
        <f t="array" ref="AY19">IFERROR(_xlfn.XLOOKUP($E19,'FW27'!$C$3:$C$1102,'FW27'!$AM$3:$AM$1102),"")</f>
        <v>Skiing/Snowboarding</v>
      </c>
      <c r="AZ19" s="5" t="str">
        <f t="array" ref="AZ19">IFERROR(_xlfn.XLOOKUP($E19,'FW27'!$C$3:$C$1102,'FW27'!$AN$3:$AN$1102),"")</f>
        <v>All Mountain</v>
      </c>
      <c r="BA19" s="32" t="s">
        <v>229</v>
      </c>
      <c r="BB19" s="5" t="str">
        <f t="array" ref="BB19">IFERROR(_xlfn.XLOOKUP($E19,'FW27'!$C$3:$C$1102,'FW27'!$AS$3:$AS$1102),"")</f>
        <v>Shell</v>
      </c>
      <c r="BC19" s="5" t="str">
        <f t="array" ref="BC19">IFERROR(_xlfn.XLOOKUP($E19,'FW27'!$C$3:$C$1102,'FW27'!$AT$3:$AT$1102),"")</f>
        <v>Pant</v>
      </c>
      <c r="BD19" s="5" t="str">
        <f t="array" ref="BD19">IFERROR(_xlfn.XLOOKUP($E19,'FW27'!$C$3:$C$1102,'FW27'!$AU$3:$AU$1102),"")</f>
        <v>3L</v>
      </c>
      <c r="BE19" s="5" t="str">
        <f t="array" ref="BE19">IFERROR(_xlfn.XLOOKUP($E19,'FW27'!$C$3:$C$1102,'FW27'!$AV$3:$AV$1102),"")</f>
        <v>Y</v>
      </c>
    </row>
    <row r="20" ht="16.5" hidden="1" customHeight="1">
      <c r="A20" s="5" t="s">
        <v>155</v>
      </c>
      <c r="B20" s="5" t="s">
        <v>215</v>
      </c>
      <c r="C20" s="5" t="b">
        <v>1</v>
      </c>
      <c r="D20" s="5" t="s">
        <v>260</v>
      </c>
      <c r="E20" s="5" t="s">
        <v>261</v>
      </c>
      <c r="F20" s="5"/>
      <c r="G20" s="5" t="s">
        <v>65</v>
      </c>
      <c r="H20" s="5" t="s">
        <v>76</v>
      </c>
      <c r="I20" s="5" t="s">
        <v>82</v>
      </c>
      <c r="J20" s="25"/>
      <c r="K20" s="25"/>
      <c r="L20" s="25" t="s">
        <v>181</v>
      </c>
      <c r="M20" s="5" t="s">
        <v>220</v>
      </c>
      <c r="N20" s="5" t="s">
        <v>68</v>
      </c>
      <c r="O20" s="5" t="s">
        <v>69</v>
      </c>
      <c r="P20" s="5" t="s">
        <v>107</v>
      </c>
      <c r="Q20" s="5" t="b">
        <v>1</v>
      </c>
      <c r="R20" s="5" t="b">
        <v>0</v>
      </c>
      <c r="S20" s="5"/>
      <c r="T20" s="5">
        <v>3200.0</v>
      </c>
      <c r="U20" s="26">
        <v>2.1</v>
      </c>
      <c r="V20" s="5">
        <v>1524.0</v>
      </c>
      <c r="W20" s="27">
        <v>0.0</v>
      </c>
      <c r="X20" s="28">
        <v>1524.0</v>
      </c>
      <c r="Y20" s="27">
        <v>1.0</v>
      </c>
      <c r="Z20" s="5" t="s">
        <v>117</v>
      </c>
      <c r="AA20" s="5">
        <v>0.64</v>
      </c>
      <c r="AB20" s="5"/>
      <c r="AC20" s="5" t="s">
        <v>166</v>
      </c>
      <c r="AD20" s="5" t="s">
        <v>81</v>
      </c>
      <c r="AE20" s="5">
        <v>3.0</v>
      </c>
      <c r="AF20" s="5">
        <v>3.0</v>
      </c>
      <c r="AG20" s="5" t="s">
        <v>0</v>
      </c>
      <c r="AH20" s="5" t="s">
        <v>0</v>
      </c>
      <c r="AI20" s="42"/>
      <c r="AJ20" s="28">
        <v>853.0</v>
      </c>
      <c r="AK20" s="28">
        <v>1122.0</v>
      </c>
      <c r="AL20" s="28">
        <v>0.0</v>
      </c>
      <c r="AM20" s="28">
        <v>0.0</v>
      </c>
      <c r="AN20" s="28">
        <v>0.0</v>
      </c>
      <c r="AO20" s="28">
        <v>1299809.93</v>
      </c>
      <c r="AP20" s="28">
        <v>1709928.0</v>
      </c>
      <c r="AQ20" s="28">
        <v>0.0</v>
      </c>
      <c r="AR20" s="28">
        <v>0.0</v>
      </c>
      <c r="AS20" s="28">
        <v>0.0</v>
      </c>
      <c r="AT20" s="28">
        <v>1107537.4374307862</v>
      </c>
      <c r="AU20" s="28">
        <v>1456702.4792260001</v>
      </c>
      <c r="AV20" s="28">
        <v>0.0</v>
      </c>
      <c r="AW20" s="28">
        <v>0.0</v>
      </c>
      <c r="AX20" s="5"/>
      <c r="AY20" s="5" t="str">
        <f t="array" ref="AY20">IFERROR(_xlfn.XLOOKUP($E20,'FW27'!$C$3:$C$1102,'FW27'!$AM$3:$AM$1102),"")</f>
        <v>Skiing/Snowboarding</v>
      </c>
      <c r="AZ20" s="5" t="str">
        <f t="array" ref="AZ20">IFERROR(_xlfn.XLOOKUP($E20,'FW27'!$C$3:$C$1102,'FW27'!$AN$3:$AN$1102),"")</f>
        <v>All Mountain</v>
      </c>
      <c r="BA20" s="32" t="s">
        <v>229</v>
      </c>
      <c r="BB20" s="5" t="str">
        <f t="array" ref="BB20">IFERROR(_xlfn.XLOOKUP($E20,'FW27'!$C$3:$C$1102,'FW27'!$AS$3:$AS$1102),"")</f>
        <v>Shell</v>
      </c>
      <c r="BC20" s="5" t="str">
        <f t="array" ref="BC20">IFERROR(_xlfn.XLOOKUP($E20,'FW27'!$C$3:$C$1102,'FW27'!$AT$3:$AT$1102),"")</f>
        <v>Pant</v>
      </c>
      <c r="BD20" s="5" t="str">
        <f t="array" ref="BD20">IFERROR(_xlfn.XLOOKUP($E20,'FW27'!$C$3:$C$1102,'FW27'!$AU$3:$AU$1102),"")</f>
        <v>3L</v>
      </c>
      <c r="BE20" s="5" t="str">
        <f t="array" ref="BE20">IFERROR(_xlfn.XLOOKUP($E20,'FW27'!$C$3:$C$1102,'FW27'!$AV$3:$AV$1102),"")</f>
        <v>Y</v>
      </c>
    </row>
    <row r="21" ht="16.5" hidden="1" customHeight="1">
      <c r="A21" s="5" t="s">
        <v>155</v>
      </c>
      <c r="B21" s="5" t="s">
        <v>137</v>
      </c>
      <c r="C21" s="5" t="b">
        <v>0</v>
      </c>
      <c r="D21" s="5" t="s">
        <v>152</v>
      </c>
      <c r="E21" s="5" t="s">
        <v>153</v>
      </c>
      <c r="F21" s="5"/>
      <c r="G21" s="5" t="s">
        <v>65</v>
      </c>
      <c r="H21" s="5" t="s">
        <v>76</v>
      </c>
      <c r="I21" s="5" t="s">
        <v>106</v>
      </c>
      <c r="J21" s="25" t="s">
        <v>530</v>
      </c>
      <c r="K21" s="25"/>
      <c r="L21" s="25"/>
      <c r="M21" s="5" t="s">
        <v>66</v>
      </c>
      <c r="N21" s="5" t="s">
        <v>126</v>
      </c>
      <c r="O21" s="5" t="s">
        <v>69</v>
      </c>
      <c r="P21" s="5" t="s">
        <v>70</v>
      </c>
      <c r="Q21" s="5" t="b">
        <v>1</v>
      </c>
      <c r="R21" s="5" t="b">
        <v>0</v>
      </c>
      <c r="S21" s="5"/>
      <c r="T21" s="5">
        <v>2200.0</v>
      </c>
      <c r="U21" s="26">
        <v>2.1</v>
      </c>
      <c r="V21" s="5">
        <v>1048.0</v>
      </c>
      <c r="W21" s="27">
        <v>0.0</v>
      </c>
      <c r="X21" s="28">
        <v>1048.0</v>
      </c>
      <c r="Y21" s="27">
        <v>1.0</v>
      </c>
      <c r="Z21" s="5" t="s">
        <v>117</v>
      </c>
      <c r="AA21" s="5">
        <v>0.6</v>
      </c>
      <c r="AB21" s="5"/>
      <c r="AC21" s="5" t="s">
        <v>81</v>
      </c>
      <c r="AD21" s="5" t="s">
        <v>81</v>
      </c>
      <c r="AE21" s="5">
        <v>1.0</v>
      </c>
      <c r="AF21" s="5">
        <v>1.0</v>
      </c>
      <c r="AG21" s="5" t="s">
        <v>533</v>
      </c>
      <c r="AH21" s="5" t="s">
        <v>156</v>
      </c>
      <c r="AI21" s="42"/>
      <c r="AJ21" s="28">
        <v>0.0</v>
      </c>
      <c r="AK21" s="28">
        <v>0.0</v>
      </c>
      <c r="AL21" s="28">
        <v>0.0</v>
      </c>
      <c r="AM21" s="28">
        <v>0.0</v>
      </c>
      <c r="AN21" s="28">
        <v>0.0</v>
      </c>
      <c r="AO21" s="28">
        <v>0.0</v>
      </c>
      <c r="AP21" s="28">
        <v>0.0</v>
      </c>
      <c r="AQ21" s="28">
        <v>0.0</v>
      </c>
      <c r="AR21" s="28">
        <v>0.0</v>
      </c>
      <c r="AS21" s="28">
        <v>0.0</v>
      </c>
      <c r="AT21" s="28">
        <v>0.0</v>
      </c>
      <c r="AU21" s="28">
        <v>0.0</v>
      </c>
      <c r="AV21" s="28">
        <v>0.0</v>
      </c>
      <c r="AW21" s="28">
        <v>0.0</v>
      </c>
      <c r="AX21" s="5"/>
      <c r="AY21" s="5" t="s">
        <v>125</v>
      </c>
      <c r="AZ21" s="5" t="s">
        <v>127</v>
      </c>
      <c r="BB21" s="5" t="s">
        <v>126</v>
      </c>
      <c r="BC21" s="5" t="s">
        <v>161</v>
      </c>
      <c r="BD21" s="5" t="s">
        <v>130</v>
      </c>
      <c r="BE21" s="5" t="s">
        <v>131</v>
      </c>
      <c r="BF21" s="5" t="s">
        <v>281</v>
      </c>
    </row>
    <row r="22" ht="16.5" hidden="1" customHeight="1">
      <c r="A22" s="5" t="s">
        <v>155</v>
      </c>
      <c r="B22" s="5" t="s">
        <v>137</v>
      </c>
      <c r="C22" s="5" t="b">
        <v>0</v>
      </c>
      <c r="D22" s="5" t="s">
        <v>162</v>
      </c>
      <c r="E22" s="5" t="s">
        <v>163</v>
      </c>
      <c r="F22" s="5"/>
      <c r="G22" s="5" t="s">
        <v>65</v>
      </c>
      <c r="H22" s="5" t="s">
        <v>76</v>
      </c>
      <c r="I22" s="5" t="s">
        <v>106</v>
      </c>
      <c r="J22" s="25" t="s">
        <v>530</v>
      </c>
      <c r="K22" s="25"/>
      <c r="L22" s="25"/>
      <c r="M22" s="5" t="s">
        <v>66</v>
      </c>
      <c r="N22" s="5" t="s">
        <v>126</v>
      </c>
      <c r="O22" s="5" t="s">
        <v>69</v>
      </c>
      <c r="P22" s="5" t="s">
        <v>107</v>
      </c>
      <c r="Q22" s="5" t="b">
        <v>1</v>
      </c>
      <c r="R22" s="5" t="b">
        <v>0</v>
      </c>
      <c r="S22" s="5"/>
      <c r="T22" s="5">
        <v>2200.0</v>
      </c>
      <c r="U22" s="26">
        <v>2.1</v>
      </c>
      <c r="V22" s="5">
        <v>1048.0</v>
      </c>
      <c r="W22" s="27">
        <v>0.0</v>
      </c>
      <c r="X22" s="28">
        <v>1048.0</v>
      </c>
      <c r="Y22" s="27">
        <v>1.0</v>
      </c>
      <c r="Z22" s="5" t="s">
        <v>117</v>
      </c>
      <c r="AA22" s="5">
        <v>0.6</v>
      </c>
      <c r="AB22" s="5"/>
      <c r="AC22" s="5" t="s">
        <v>81</v>
      </c>
      <c r="AD22" s="5" t="s">
        <v>81</v>
      </c>
      <c r="AE22" s="5">
        <v>1.0</v>
      </c>
      <c r="AF22" s="5">
        <v>1.0</v>
      </c>
      <c r="AG22" s="5" t="s">
        <v>533</v>
      </c>
      <c r="AH22" s="5" t="s">
        <v>156</v>
      </c>
      <c r="AI22" s="42"/>
      <c r="AJ22" s="28">
        <v>0.0</v>
      </c>
      <c r="AK22" s="28">
        <v>0.0</v>
      </c>
      <c r="AL22" s="28">
        <v>0.0</v>
      </c>
      <c r="AM22" s="28">
        <v>0.0</v>
      </c>
      <c r="AN22" s="28">
        <v>0.0</v>
      </c>
      <c r="AO22" s="28">
        <v>0.0</v>
      </c>
      <c r="AP22" s="28">
        <v>0.0</v>
      </c>
      <c r="AQ22" s="28">
        <v>0.0</v>
      </c>
      <c r="AR22" s="28">
        <v>0.0</v>
      </c>
      <c r="AS22" s="28">
        <v>0.0</v>
      </c>
      <c r="AT22" s="28">
        <v>0.0</v>
      </c>
      <c r="AU22" s="28">
        <v>0.0</v>
      </c>
      <c r="AV22" s="28">
        <v>0.0</v>
      </c>
      <c r="AW22" s="28">
        <v>0.0</v>
      </c>
      <c r="AX22" s="5"/>
      <c r="AY22" s="5" t="s">
        <v>125</v>
      </c>
      <c r="AZ22" s="5" t="s">
        <v>127</v>
      </c>
      <c r="BB22" s="5" t="s">
        <v>126</v>
      </c>
      <c r="BC22" s="5" t="s">
        <v>161</v>
      </c>
      <c r="BD22" s="5" t="s">
        <v>130</v>
      </c>
      <c r="BE22" s="5" t="s">
        <v>131</v>
      </c>
      <c r="BF22" s="5" t="s">
        <v>281</v>
      </c>
    </row>
    <row r="23" ht="16.5" hidden="1" customHeight="1">
      <c r="A23" s="5" t="s">
        <v>155</v>
      </c>
      <c r="B23" s="5" t="s">
        <v>215</v>
      </c>
      <c r="C23" s="5" t="b">
        <v>1</v>
      </c>
      <c r="D23" s="5" t="s">
        <v>287</v>
      </c>
      <c r="E23" s="5" t="s">
        <v>288</v>
      </c>
      <c r="F23" s="5"/>
      <c r="G23" s="5" t="s">
        <v>65</v>
      </c>
      <c r="H23" s="5" t="s">
        <v>76</v>
      </c>
      <c r="I23" s="5" t="s">
        <v>82</v>
      </c>
      <c r="J23" s="25"/>
      <c r="K23" s="25"/>
      <c r="L23" s="25"/>
      <c r="M23" s="5" t="s">
        <v>66</v>
      </c>
      <c r="N23" s="5" t="s">
        <v>248</v>
      </c>
      <c r="O23" s="5" t="s">
        <v>69</v>
      </c>
      <c r="P23" s="5" t="s">
        <v>249</v>
      </c>
      <c r="Q23" s="5" t="b">
        <v>1</v>
      </c>
      <c r="R23" s="5" t="b">
        <v>0</v>
      </c>
      <c r="S23" s="5"/>
      <c r="T23" s="5">
        <v>450.0</v>
      </c>
      <c r="U23" s="26">
        <v>2.1</v>
      </c>
      <c r="V23" s="5">
        <v>214.0</v>
      </c>
      <c r="W23" s="27">
        <v>0.0</v>
      </c>
      <c r="X23" s="28">
        <v>214.0</v>
      </c>
      <c r="Y23" s="27">
        <v>1.0</v>
      </c>
      <c r="Z23" s="5" t="s">
        <v>78</v>
      </c>
      <c r="AA23" s="5">
        <v>0.65</v>
      </c>
      <c r="AB23" s="5"/>
      <c r="AC23" s="5" t="s">
        <v>81</v>
      </c>
      <c r="AD23" s="5" t="s">
        <v>81</v>
      </c>
      <c r="AE23" s="5">
        <v>4.0</v>
      </c>
      <c r="AF23" s="5">
        <v>5.0</v>
      </c>
      <c r="AG23" s="5" t="s">
        <v>292</v>
      </c>
      <c r="AH23" s="5" t="s">
        <v>0</v>
      </c>
      <c r="AI23" s="42"/>
      <c r="AJ23" s="28">
        <v>3055.0</v>
      </c>
      <c r="AK23" s="28">
        <v>0.0</v>
      </c>
      <c r="AL23" s="28">
        <v>0.0</v>
      </c>
      <c r="AM23" s="28">
        <v>0.0</v>
      </c>
      <c r="AN23" s="28">
        <v>0.0</v>
      </c>
      <c r="AO23" s="28">
        <v>509176.85000000003</v>
      </c>
      <c r="AP23" s="28">
        <v>0.0</v>
      </c>
      <c r="AQ23" s="28">
        <v>0.0</v>
      </c>
      <c r="AR23" s="28">
        <v>0.0</v>
      </c>
      <c r="AS23" s="28">
        <v>0.0</v>
      </c>
      <c r="AT23" s="28">
        <v>447391.92721483944</v>
      </c>
      <c r="AU23" s="28">
        <v>0.0</v>
      </c>
      <c r="AV23" s="28">
        <v>0.0</v>
      </c>
      <c r="AW23" s="28">
        <v>0.0</v>
      </c>
      <c r="AX23" s="5"/>
      <c r="AY23" s="5" t="str">
        <f t="array" ref="AY23">IFERROR(_xlfn.XLOOKUP($E23,'FW27'!$C$3:$C$1102,'FW27'!$AM$3:$AM$1102),"")</f>
        <v>Essentials</v>
      </c>
      <c r="AZ23" s="5" t="str">
        <f t="array" ref="AZ23">IFERROR(_xlfn.XLOOKUP($E23,'FW27'!$C$3:$C$1102,'FW27'!$AN$3:$AN$1102),"")</f>
        <v>Active Essentials</v>
      </c>
      <c r="BB23" s="5" t="str">
        <f t="array" ref="BB23">IFERROR(_xlfn.XLOOKUP($E23,'FW27'!$C$3:$C$1102,'FW27'!$AS$3:$AS$1102),"")</f>
        <v>Accessories</v>
      </c>
      <c r="BC23" s="5" t="str">
        <f t="array" ref="BC23">IFERROR(_xlfn.XLOOKUP($E23,'FW27'!$C$3:$C$1102,'FW27'!$AT$3:$AT$1102),"")</f>
        <v>Headwear</v>
      </c>
      <c r="BD23" s="5" t="str">
        <f t="array" ref="BD23">IFERROR(_xlfn.XLOOKUP($E23,'FW27'!$C$3:$C$1102,'FW27'!$AU$3:$AU$1102),"")</f>
        <v>Beanie</v>
      </c>
      <c r="BE23" s="5" t="str">
        <f t="array" ref="BE23">IFERROR(_xlfn.XLOOKUP($E23,'FW27'!$C$3:$C$1102,'FW27'!$AV$3:$AV$1102),"")</f>
        <v>N</v>
      </c>
    </row>
    <row r="24" ht="16.5" hidden="1" customHeight="1">
      <c r="A24" s="5" t="s">
        <v>155</v>
      </c>
      <c r="B24" s="5" t="s">
        <v>137</v>
      </c>
      <c r="C24" s="5" t="b">
        <v>0</v>
      </c>
      <c r="D24" s="5" t="s">
        <v>170</v>
      </c>
      <c r="E24" s="5" t="s">
        <v>171</v>
      </c>
      <c r="F24" s="5"/>
      <c r="G24" s="5" t="s">
        <v>65</v>
      </c>
      <c r="H24" s="5" t="s">
        <v>74</v>
      </c>
      <c r="I24" s="5" t="s">
        <v>106</v>
      </c>
      <c r="J24" s="25"/>
      <c r="K24" s="25"/>
      <c r="L24" s="25" t="s">
        <v>110</v>
      </c>
      <c r="M24" s="5" t="s">
        <v>66</v>
      </c>
      <c r="N24" s="5" t="s">
        <v>68</v>
      </c>
      <c r="O24" s="5" t="s">
        <v>69</v>
      </c>
      <c r="P24" s="5" t="s">
        <v>107</v>
      </c>
      <c r="Q24" s="5" t="b">
        <v>1</v>
      </c>
      <c r="R24" s="5" t="b">
        <v>0</v>
      </c>
      <c r="S24" s="5"/>
      <c r="T24" s="5">
        <v>2500.0</v>
      </c>
      <c r="U24" s="26">
        <v>2.1</v>
      </c>
      <c r="V24" s="5">
        <v>1190.0</v>
      </c>
      <c r="W24" s="27">
        <v>0.0</v>
      </c>
      <c r="X24" s="28">
        <v>1190.0</v>
      </c>
      <c r="Y24" s="27">
        <v>1.0</v>
      </c>
      <c r="Z24" s="5" t="s">
        <v>117</v>
      </c>
      <c r="AA24" s="27">
        <v>0.58</v>
      </c>
      <c r="AB24" s="5"/>
      <c r="AC24" s="5" t="s">
        <v>166</v>
      </c>
      <c r="AD24" s="5" t="s">
        <v>81</v>
      </c>
      <c r="AE24" s="5">
        <v>3.0</v>
      </c>
      <c r="AF24" s="5">
        <v>3.0</v>
      </c>
      <c r="AG24" s="5" t="s">
        <v>0</v>
      </c>
      <c r="AH24" s="5" t="s">
        <v>156</v>
      </c>
      <c r="AI24" s="56"/>
      <c r="AJ24" s="28">
        <v>0.0</v>
      </c>
      <c r="AK24" s="28">
        <v>1163.0</v>
      </c>
      <c r="AL24" s="28">
        <v>0.0</v>
      </c>
      <c r="AM24" s="28">
        <v>1091.0</v>
      </c>
      <c r="AN24" s="28">
        <v>0.0</v>
      </c>
      <c r="AO24" s="28">
        <v>0.0</v>
      </c>
      <c r="AP24" s="28">
        <v>1383970.0</v>
      </c>
      <c r="AQ24" s="28">
        <v>0.0</v>
      </c>
      <c r="AR24" s="28">
        <v>1298813.68</v>
      </c>
      <c r="AS24" s="28">
        <v>0.0</v>
      </c>
      <c r="AT24" s="28">
        <v>0.0</v>
      </c>
      <c r="AU24" s="28">
        <v>1199096.341511</v>
      </c>
      <c r="AV24" s="28">
        <v>0.0</v>
      </c>
      <c r="AW24" s="28">
        <v>1025503.8037652271</v>
      </c>
      <c r="AX24" s="5"/>
      <c r="AY24" s="5" t="s">
        <v>125</v>
      </c>
      <c r="AZ24" s="5" t="s">
        <v>174</v>
      </c>
      <c r="BB24" s="5" t="s">
        <v>68</v>
      </c>
      <c r="BC24" s="5" t="s">
        <v>175</v>
      </c>
      <c r="BD24" s="5" t="s">
        <v>90</v>
      </c>
      <c r="BE24" s="5" t="s">
        <v>91</v>
      </c>
      <c r="BF24" s="5" t="s">
        <v>572</v>
      </c>
    </row>
    <row r="25" ht="16.5" hidden="1" customHeight="1">
      <c r="A25" s="5" t="s">
        <v>155</v>
      </c>
      <c r="B25" s="5" t="s">
        <v>215</v>
      </c>
      <c r="C25" s="5" t="b">
        <v>1</v>
      </c>
      <c r="D25" s="5" t="s">
        <v>193</v>
      </c>
      <c r="E25" s="5" t="s">
        <v>194</v>
      </c>
      <c r="F25" s="5"/>
      <c r="G25" s="5" t="s">
        <v>65</v>
      </c>
      <c r="H25" s="5" t="s">
        <v>76</v>
      </c>
      <c r="I25" s="5" t="s">
        <v>82</v>
      </c>
      <c r="J25" s="25"/>
      <c r="K25" s="25"/>
      <c r="L25" s="25" t="s">
        <v>110</v>
      </c>
      <c r="M25" s="5" t="s">
        <v>66</v>
      </c>
      <c r="N25" s="5" t="s">
        <v>68</v>
      </c>
      <c r="O25" s="5" t="s">
        <v>141</v>
      </c>
      <c r="P25" s="5" t="s">
        <v>70</v>
      </c>
      <c r="Q25" s="5" t="b">
        <v>1</v>
      </c>
      <c r="R25" s="5" t="b">
        <v>0</v>
      </c>
      <c r="S25" s="5"/>
      <c r="T25" s="5">
        <v>2500.0</v>
      </c>
      <c r="U25" s="26">
        <v>2.1</v>
      </c>
      <c r="V25" s="5">
        <v>1190.0</v>
      </c>
      <c r="W25" s="27">
        <v>0.0</v>
      </c>
      <c r="X25" s="28">
        <v>1190.0</v>
      </c>
      <c r="Y25" s="27">
        <v>1.0</v>
      </c>
      <c r="Z25" s="5" t="s">
        <v>78</v>
      </c>
      <c r="AA25" s="5">
        <v>0.635</v>
      </c>
      <c r="AB25" s="5"/>
      <c r="AC25" s="5" t="s">
        <v>166</v>
      </c>
      <c r="AD25" s="5" t="s">
        <v>198</v>
      </c>
      <c r="AE25" s="5">
        <v>3.0</v>
      </c>
      <c r="AF25" s="5">
        <v>3.0</v>
      </c>
      <c r="AG25" s="5" t="s">
        <v>309</v>
      </c>
      <c r="AH25" s="5" t="s">
        <v>146</v>
      </c>
      <c r="AI25" s="42"/>
      <c r="AJ25" s="28">
        <v>1500.0</v>
      </c>
      <c r="AK25" s="28">
        <v>1011.0</v>
      </c>
      <c r="AL25" s="28">
        <v>0.0</v>
      </c>
      <c r="AM25" s="28">
        <v>0.0</v>
      </c>
      <c r="AN25" s="28">
        <v>0.0</v>
      </c>
      <c r="AO25" s="28">
        <v>1785719.9999999998</v>
      </c>
      <c r="AP25" s="28">
        <v>1203090.0</v>
      </c>
      <c r="AQ25" s="28">
        <v>0.0</v>
      </c>
      <c r="AR25" s="28">
        <v>0.0</v>
      </c>
      <c r="AS25" s="28">
        <v>0.0</v>
      </c>
      <c r="AT25" s="28">
        <v>1471851.4047619049</v>
      </c>
      <c r="AU25" s="28">
        <v>891142.1999999998</v>
      </c>
      <c r="AV25" s="28">
        <v>0.0</v>
      </c>
      <c r="AW25" s="28">
        <v>0.0</v>
      </c>
      <c r="AX25" s="5"/>
      <c r="AY25" s="5" t="str">
        <f t="array" ref="AY25">IFERROR(_xlfn.XLOOKUP($E25,'FW27'!$C$3:$C$1102,'FW27'!$AM$3:$AM$1102),"")</f>
        <v>Essentials</v>
      </c>
      <c r="AZ25" s="5" t="str">
        <f t="array" ref="AZ25">IFERROR(_xlfn.XLOOKUP($E25,'FW27'!$C$3:$C$1102,'FW27'!$AN$3:$AN$1102),"")</f>
        <v>Active Essentials</v>
      </c>
      <c r="BB25" s="5" t="str">
        <f t="array" ref="BB25">IFERROR(_xlfn.XLOOKUP($E25,'FW27'!$C$3:$C$1102,'FW27'!$AS$3:$AS$1102),"")</f>
        <v>Shell</v>
      </c>
      <c r="BC25" s="5" t="str">
        <f t="array" ref="BC25">IFERROR(_xlfn.XLOOKUP($E25,'FW27'!$C$3:$C$1102,'FW27'!$AT$3:$AT$1102),"")</f>
        <v>Jacket</v>
      </c>
      <c r="BD25" s="5" t="str">
        <f t="array" ref="BD25">IFERROR(_xlfn.XLOOKUP($E25,'FW27'!$C$3:$C$1102,'FW27'!$AU$3:$AU$1102),"")</f>
        <v>Insulated</v>
      </c>
      <c r="BE25" s="5" t="str">
        <f t="array" ref="BE25">IFERROR(_xlfn.XLOOKUP($E25,'FW27'!$C$3:$C$1102,'FW27'!$AV$3:$AV$1102),"")</f>
        <v>Y</v>
      </c>
    </row>
    <row r="26" ht="16.5" hidden="1" customHeight="1">
      <c r="A26" s="5" t="s">
        <v>155</v>
      </c>
      <c r="B26" s="5" t="s">
        <v>215</v>
      </c>
      <c r="C26" s="5" t="b">
        <v>1</v>
      </c>
      <c r="D26" s="5" t="s">
        <v>208</v>
      </c>
      <c r="E26" s="5" t="s">
        <v>209</v>
      </c>
      <c r="F26" s="5"/>
      <c r="G26" s="5" t="s">
        <v>65</v>
      </c>
      <c r="H26" s="5" t="s">
        <v>76</v>
      </c>
      <c r="I26" s="5" t="s">
        <v>82</v>
      </c>
      <c r="J26" s="25"/>
      <c r="K26" s="25"/>
      <c r="L26" s="25" t="s">
        <v>110</v>
      </c>
      <c r="M26" s="5" t="s">
        <v>66</v>
      </c>
      <c r="N26" s="5" t="s">
        <v>68</v>
      </c>
      <c r="O26" s="5" t="s">
        <v>141</v>
      </c>
      <c r="P26" s="5" t="s">
        <v>107</v>
      </c>
      <c r="Q26" s="5" t="b">
        <v>1</v>
      </c>
      <c r="R26" s="5" t="b">
        <v>0</v>
      </c>
      <c r="S26" s="5"/>
      <c r="T26" s="5">
        <v>2500.0</v>
      </c>
      <c r="U26" s="26">
        <v>2.1</v>
      </c>
      <c r="V26" s="5">
        <v>1190.0</v>
      </c>
      <c r="W26" s="27">
        <v>0.0</v>
      </c>
      <c r="X26" s="28">
        <v>1190.0</v>
      </c>
      <c r="Y26" s="27">
        <v>1.0</v>
      </c>
      <c r="Z26" s="5" t="s">
        <v>78</v>
      </c>
      <c r="AA26" s="5">
        <v>0.645</v>
      </c>
      <c r="AB26" s="5"/>
      <c r="AC26" s="5" t="s">
        <v>166</v>
      </c>
      <c r="AD26" s="5" t="s">
        <v>198</v>
      </c>
      <c r="AE26" s="5">
        <v>3.0</v>
      </c>
      <c r="AF26" s="5">
        <v>3.0</v>
      </c>
      <c r="AG26" s="5" t="s">
        <v>316</v>
      </c>
      <c r="AH26" s="5" t="s">
        <v>146</v>
      </c>
      <c r="AI26" s="42"/>
      <c r="AJ26" s="28">
        <v>1340.0</v>
      </c>
      <c r="AK26" s="28">
        <v>735.0</v>
      </c>
      <c r="AL26" s="28">
        <v>0.0</v>
      </c>
      <c r="AM26" s="28">
        <v>0.0</v>
      </c>
      <c r="AN26" s="28">
        <v>0.0</v>
      </c>
      <c r="AO26" s="28">
        <v>1595243.2</v>
      </c>
      <c r="AP26" s="28">
        <v>874650.0</v>
      </c>
      <c r="AQ26" s="28">
        <v>0.0</v>
      </c>
      <c r="AR26" s="28">
        <v>0.0</v>
      </c>
      <c r="AS26" s="28">
        <v>0.0</v>
      </c>
      <c r="AT26" s="28">
        <v>1310782.8333333333</v>
      </c>
      <c r="AU26" s="28">
        <v>612003.3165000001</v>
      </c>
      <c r="AV26" s="28">
        <v>0.0</v>
      </c>
      <c r="AW26" s="28">
        <v>0.0</v>
      </c>
      <c r="AX26" s="5"/>
      <c r="AY26" s="5" t="str">
        <f t="array" ref="AY26">IFERROR(_xlfn.XLOOKUP($E26,'FW27'!$C$3:$C$1102,'FW27'!$AM$3:$AM$1102),"")</f>
        <v>Essentials</v>
      </c>
      <c r="AZ26" s="5" t="str">
        <f t="array" ref="AZ26">IFERROR(_xlfn.XLOOKUP($E26,'FW27'!$C$3:$C$1102,'FW27'!$AN$3:$AN$1102),"")</f>
        <v>Active Essentials</v>
      </c>
      <c r="BB26" s="5" t="str">
        <f t="array" ref="BB26">IFERROR(_xlfn.XLOOKUP($E26,'FW27'!$C$3:$C$1102,'FW27'!$AS$3:$AS$1102),"")</f>
        <v>Shell</v>
      </c>
      <c r="BC26" s="5" t="str">
        <f t="array" ref="BC26">IFERROR(_xlfn.XLOOKUP($E26,'FW27'!$C$3:$C$1102,'FW27'!$AT$3:$AT$1102),"")</f>
        <v>Jacket</v>
      </c>
      <c r="BD26" s="5" t="str">
        <f t="array" ref="BD26">IFERROR(_xlfn.XLOOKUP($E26,'FW27'!$C$3:$C$1102,'FW27'!$AU$3:$AU$1102),"")</f>
        <v>Insulated</v>
      </c>
      <c r="BE26" s="5" t="str">
        <f t="array" ref="BE26">IFERROR(_xlfn.XLOOKUP($E26,'FW27'!$C$3:$C$1102,'FW27'!$AV$3:$AV$1102),"")</f>
        <v>Y</v>
      </c>
    </row>
    <row r="27" ht="16.5" hidden="1" customHeight="1">
      <c r="A27" s="5" t="s">
        <v>155</v>
      </c>
      <c r="B27" s="5" t="s">
        <v>215</v>
      </c>
      <c r="C27" s="5" t="b">
        <v>1</v>
      </c>
      <c r="D27" s="5" t="s">
        <v>235</v>
      </c>
      <c r="E27" s="5" t="s">
        <v>236</v>
      </c>
      <c r="F27" s="5"/>
      <c r="G27" s="5" t="s">
        <v>65</v>
      </c>
      <c r="H27" s="5" t="s">
        <v>76</v>
      </c>
      <c r="I27" s="5" t="s">
        <v>82</v>
      </c>
      <c r="J27" s="25"/>
      <c r="K27" s="25"/>
      <c r="L27" s="25" t="s">
        <v>181</v>
      </c>
      <c r="M27" s="5" t="s">
        <v>66</v>
      </c>
      <c r="N27" s="5" t="s">
        <v>68</v>
      </c>
      <c r="O27" s="5" t="s">
        <v>141</v>
      </c>
      <c r="P27" s="5" t="s">
        <v>70</v>
      </c>
      <c r="Q27" s="5" t="b">
        <v>1</v>
      </c>
      <c r="R27" s="5" t="b">
        <v>0</v>
      </c>
      <c r="S27" s="5"/>
      <c r="T27" s="5">
        <v>2000.0</v>
      </c>
      <c r="U27" s="26">
        <v>2.1</v>
      </c>
      <c r="V27" s="5">
        <v>952.0</v>
      </c>
      <c r="W27" s="27">
        <v>0.0</v>
      </c>
      <c r="X27" s="28">
        <v>952.0</v>
      </c>
      <c r="Y27" s="27">
        <v>1.0</v>
      </c>
      <c r="Z27" s="5" t="s">
        <v>78</v>
      </c>
      <c r="AA27" s="27">
        <v>0.5920000000000001</v>
      </c>
      <c r="AB27" s="26"/>
      <c r="AC27" s="5" t="s">
        <v>166</v>
      </c>
      <c r="AD27" s="5" t="s">
        <v>198</v>
      </c>
      <c r="AE27" s="5">
        <v>1.0</v>
      </c>
      <c r="AF27" s="5">
        <v>1.0</v>
      </c>
      <c r="AG27" s="5" t="s">
        <v>323</v>
      </c>
      <c r="AH27" s="5" t="s">
        <v>146</v>
      </c>
      <c r="AI27" s="42"/>
      <c r="AJ27" s="28">
        <v>845.0</v>
      </c>
      <c r="AK27" s="28">
        <v>681.0</v>
      </c>
      <c r="AL27" s="28">
        <v>0.0</v>
      </c>
      <c r="AM27" s="28">
        <v>0.0</v>
      </c>
      <c r="AN27" s="28">
        <v>0.0</v>
      </c>
      <c r="AO27" s="28">
        <v>804761.1</v>
      </c>
      <c r="AP27" s="28">
        <v>648312.0</v>
      </c>
      <c r="AQ27" s="28">
        <v>0.0</v>
      </c>
      <c r="AR27" s="28">
        <v>0.0</v>
      </c>
      <c r="AS27" s="28">
        <v>0.0</v>
      </c>
      <c r="AT27" s="28">
        <v>640402.857142857</v>
      </c>
      <c r="AU27" s="28">
        <v>468186.19999999984</v>
      </c>
      <c r="AV27" s="28">
        <v>0.0</v>
      </c>
      <c r="AW27" s="28">
        <v>0.0</v>
      </c>
      <c r="AX27" s="5"/>
      <c r="AY27" s="5" t="str">
        <f t="array" ref="AY27">IFERROR(_xlfn.XLOOKUP($E27,'FW27'!$C$3:$C$1102,'FW27'!$AM$3:$AM$1102),"")</f>
        <v>Essentials</v>
      </c>
      <c r="AZ27" s="5" t="str">
        <f t="array" ref="AZ27">IFERROR(_xlfn.XLOOKUP($E27,'FW27'!$C$3:$C$1102,'FW27'!$AN$3:$AN$1102),"")</f>
        <v>Active Essentials</v>
      </c>
      <c r="BA27" s="5" t="s">
        <v>237</v>
      </c>
      <c r="BB27" s="5" t="str">
        <f t="array" ref="BB27">IFERROR(_xlfn.XLOOKUP($E27,'FW27'!$C$3:$C$1102,'FW27'!$AS$3:$AS$1102),"")</f>
        <v>Shell</v>
      </c>
      <c r="BC27" s="5" t="str">
        <f t="array" ref="BC27">IFERROR(_xlfn.XLOOKUP($E27,'FW27'!$C$3:$C$1102,'FW27'!$AT$3:$AT$1102),"")</f>
        <v>Pant</v>
      </c>
      <c r="BD27" s="5" t="str">
        <f t="array" ref="BD27">IFERROR(_xlfn.XLOOKUP($E27,'FW27'!$C$3:$C$1102,'FW27'!$AU$3:$AU$1102),"")</f>
        <v>Insulated</v>
      </c>
      <c r="BE27" s="5" t="str">
        <f t="array" ref="BE27">IFERROR(_xlfn.XLOOKUP($E27,'FW27'!$C$3:$C$1102,'FW27'!$AV$3:$AV$1102),"")</f>
        <v>Y</v>
      </c>
    </row>
    <row r="28" ht="16.5" hidden="1" customHeight="1">
      <c r="A28" s="5" t="s">
        <v>155</v>
      </c>
      <c r="B28" s="5" t="s">
        <v>215</v>
      </c>
      <c r="C28" s="5" t="b">
        <v>1</v>
      </c>
      <c r="D28" s="5" t="s">
        <v>262</v>
      </c>
      <c r="E28" s="5" t="s">
        <v>263</v>
      </c>
      <c r="F28" s="5"/>
      <c r="G28" s="5" t="s">
        <v>65</v>
      </c>
      <c r="H28" s="5" t="s">
        <v>76</v>
      </c>
      <c r="I28" s="5" t="s">
        <v>82</v>
      </c>
      <c r="J28" s="25"/>
      <c r="K28" s="25"/>
      <c r="L28" s="25" t="s">
        <v>181</v>
      </c>
      <c r="M28" s="5" t="s">
        <v>66</v>
      </c>
      <c r="N28" s="5" t="s">
        <v>68</v>
      </c>
      <c r="O28" s="5" t="s">
        <v>141</v>
      </c>
      <c r="P28" s="5" t="s">
        <v>107</v>
      </c>
      <c r="Q28" s="5" t="b">
        <v>1</v>
      </c>
      <c r="R28" s="5" t="b">
        <v>0</v>
      </c>
      <c r="S28" s="5"/>
      <c r="T28" s="5">
        <v>2000.0</v>
      </c>
      <c r="U28" s="26">
        <v>2.1</v>
      </c>
      <c r="V28" s="5">
        <v>952.0</v>
      </c>
      <c r="W28" s="27">
        <v>0.0</v>
      </c>
      <c r="X28" s="28">
        <v>952.0</v>
      </c>
      <c r="Y28" s="27">
        <v>1.0</v>
      </c>
      <c r="Z28" s="5" t="s">
        <v>78</v>
      </c>
      <c r="AA28" s="27">
        <v>0.575</v>
      </c>
      <c r="AB28" s="26"/>
      <c r="AC28" s="5" t="s">
        <v>166</v>
      </c>
      <c r="AD28" s="5" t="s">
        <v>198</v>
      </c>
      <c r="AE28" s="5">
        <v>1.0</v>
      </c>
      <c r="AF28" s="5">
        <v>1.0</v>
      </c>
      <c r="AG28" s="5" t="s">
        <v>323</v>
      </c>
      <c r="AH28" s="5" t="s">
        <v>146</v>
      </c>
      <c r="AI28" s="42"/>
      <c r="AJ28" s="28">
        <v>995.0</v>
      </c>
      <c r="AK28" s="28">
        <v>781.0</v>
      </c>
      <c r="AL28" s="28">
        <v>0.0</v>
      </c>
      <c r="AM28" s="28">
        <v>0.0</v>
      </c>
      <c r="AN28" s="28">
        <v>0.0</v>
      </c>
      <c r="AO28" s="28">
        <v>947618.1</v>
      </c>
      <c r="AP28" s="28">
        <v>743512.0</v>
      </c>
      <c r="AQ28" s="28">
        <v>0.0</v>
      </c>
      <c r="AR28" s="28">
        <v>0.0</v>
      </c>
      <c r="AS28" s="28">
        <v>0.0</v>
      </c>
      <c r="AT28" s="28">
        <v>753259.9999999999</v>
      </c>
      <c r="AU28" s="28">
        <v>536031.08</v>
      </c>
      <c r="AV28" s="28">
        <v>0.0</v>
      </c>
      <c r="AW28" s="28">
        <v>0.0</v>
      </c>
      <c r="AX28" s="5"/>
      <c r="AY28" s="5" t="str">
        <f t="array" ref="AY28">IFERROR(_xlfn.XLOOKUP($E28,'FW27'!$C$3:$C$1102,'FW27'!$AM$3:$AM$1102),"")</f>
        <v>Essentials</v>
      </c>
      <c r="AZ28" s="5" t="str">
        <f t="array" ref="AZ28">IFERROR(_xlfn.XLOOKUP($E28,'FW27'!$C$3:$C$1102,'FW27'!$AN$3:$AN$1102),"")</f>
        <v>Active Essentials</v>
      </c>
      <c r="BA28" s="5" t="s">
        <v>237</v>
      </c>
      <c r="BB28" s="5" t="str">
        <f t="array" ref="BB28">IFERROR(_xlfn.XLOOKUP($E28,'FW27'!$C$3:$C$1102,'FW27'!$AS$3:$AS$1102),"")</f>
        <v>Shell</v>
      </c>
      <c r="BC28" s="5" t="str">
        <f t="array" ref="BC28">IFERROR(_xlfn.XLOOKUP($E28,'FW27'!$C$3:$C$1102,'FW27'!$AT$3:$AT$1102),"")</f>
        <v>Pant</v>
      </c>
      <c r="BD28" s="5" t="str">
        <f t="array" ref="BD28">IFERROR(_xlfn.XLOOKUP($E28,'FW27'!$C$3:$C$1102,'FW27'!$AU$3:$AU$1102),"")</f>
        <v>Insulated</v>
      </c>
      <c r="BE28" s="5" t="str">
        <f t="array" ref="BE28">IFERROR(_xlfn.XLOOKUP($E28,'FW27'!$C$3:$C$1102,'FW27'!$AV$3:$AV$1102),"")</f>
        <v>Y</v>
      </c>
    </row>
    <row r="29" ht="16.5" hidden="1" customHeight="1">
      <c r="A29" s="5" t="s">
        <v>155</v>
      </c>
      <c r="B29" s="5" t="s">
        <v>137</v>
      </c>
      <c r="C29" s="5" t="b">
        <v>1</v>
      </c>
      <c r="D29" s="5" t="s">
        <v>176</v>
      </c>
      <c r="E29" s="5" t="s">
        <v>177</v>
      </c>
      <c r="F29" s="5"/>
      <c r="G29" s="5" t="s">
        <v>65</v>
      </c>
      <c r="H29" s="5" t="s">
        <v>84</v>
      </c>
      <c r="I29" s="5" t="s">
        <v>82</v>
      </c>
      <c r="J29" s="25"/>
      <c r="K29" s="25"/>
      <c r="L29" s="25" t="s">
        <v>110</v>
      </c>
      <c r="M29" s="5" t="s">
        <v>66</v>
      </c>
      <c r="N29" s="5" t="s">
        <v>68</v>
      </c>
      <c r="O29" s="5" t="s">
        <v>141</v>
      </c>
      <c r="P29" s="5" t="s">
        <v>70</v>
      </c>
      <c r="Q29" s="5" t="b">
        <v>1</v>
      </c>
      <c r="R29" s="5" t="b">
        <v>0</v>
      </c>
      <c r="S29" s="5"/>
      <c r="T29" s="5">
        <v>2200.0</v>
      </c>
      <c r="U29" s="26">
        <v>2.1</v>
      </c>
      <c r="V29" s="5">
        <v>1048.0</v>
      </c>
      <c r="W29" s="27">
        <v>0.0</v>
      </c>
      <c r="X29" s="28">
        <v>1048.0</v>
      </c>
      <c r="Y29" s="27">
        <v>1.0</v>
      </c>
      <c r="Z29" s="5" t="s">
        <v>78</v>
      </c>
      <c r="AA29" s="5">
        <v>0.5920000000000001</v>
      </c>
      <c r="AB29" s="5"/>
      <c r="AC29" s="5" t="s">
        <v>166</v>
      </c>
      <c r="AD29" s="5" t="s">
        <v>81</v>
      </c>
      <c r="AE29" s="5">
        <v>3.0</v>
      </c>
      <c r="AF29" s="5">
        <v>2.0</v>
      </c>
      <c r="AG29" s="5" t="s">
        <v>641</v>
      </c>
      <c r="AH29" s="5" t="s">
        <v>146</v>
      </c>
      <c r="AI29" s="42"/>
      <c r="AJ29" s="28">
        <v>2125.0</v>
      </c>
      <c r="AK29" s="28">
        <v>1259.0</v>
      </c>
      <c r="AL29" s="28">
        <v>0.0</v>
      </c>
      <c r="AM29" s="28">
        <v>2300.0</v>
      </c>
      <c r="AN29" s="28">
        <v>0.0</v>
      </c>
      <c r="AO29" s="28">
        <v>2226192.4999999995</v>
      </c>
      <c r="AP29" s="28">
        <v>1319432.0</v>
      </c>
      <c r="AQ29" s="28">
        <v>0.0</v>
      </c>
      <c r="AR29" s="28">
        <v>2409525.9999999995</v>
      </c>
      <c r="AS29" s="28">
        <v>0.0</v>
      </c>
      <c r="AT29" s="28">
        <v>1723444.6428571432</v>
      </c>
      <c r="AU29" s="28">
        <v>885189.8799999998</v>
      </c>
      <c r="AV29" s="28">
        <v>0.0</v>
      </c>
      <c r="AW29" s="28">
        <v>1866064.7452934664</v>
      </c>
      <c r="AX29" s="5"/>
      <c r="AY29" s="5" t="str">
        <f t="array" ref="AY29">IFERROR(_xlfn.XLOOKUP($E29,'FW27'!$C$3:$C$1102,'FW27'!$AM$3:$AM$1102),"")</f>
        <v>Essentials</v>
      </c>
      <c r="AZ29" s="5" t="str">
        <f t="array" ref="AZ29">IFERROR(_xlfn.XLOOKUP($E29,'FW27'!$C$3:$C$1102,'FW27'!$AN$3:$AN$1102),"")</f>
        <v>Active Essentials</v>
      </c>
      <c r="BB29" s="5" t="str">
        <f t="array" ref="BB29">IFERROR(_xlfn.XLOOKUP($E29,'FW27'!$C$3:$C$1102,'FW27'!$AS$3:$AS$1102),"")</f>
        <v>Shell</v>
      </c>
      <c r="BC29" s="5" t="str">
        <f t="array" ref="BC29">IFERROR(_xlfn.XLOOKUP($E29,'FW27'!$C$3:$C$1102,'FW27'!$AT$3:$AT$1102),"")</f>
        <v>Jacket</v>
      </c>
      <c r="BD29" s="5" t="str">
        <f t="array" ref="BD29">IFERROR(_xlfn.XLOOKUP($E29,'FW27'!$C$3:$C$1102,'FW27'!$AU$3:$AU$1102),"")</f>
        <v>2L</v>
      </c>
      <c r="BE29" s="5" t="str">
        <f t="array" ref="BE29">IFERROR(_xlfn.XLOOKUP($E29,'FW27'!$C$3:$C$1102,'FW27'!$AV$3:$AV$1102),"")</f>
        <v>Y</v>
      </c>
    </row>
    <row r="30" ht="16.5" hidden="1" customHeight="1">
      <c r="A30" s="5" t="s">
        <v>155</v>
      </c>
      <c r="B30" s="5" t="s">
        <v>137</v>
      </c>
      <c r="C30" s="5" t="b">
        <v>1</v>
      </c>
      <c r="D30" s="5" t="s">
        <v>187</v>
      </c>
      <c r="E30" s="5" t="s">
        <v>188</v>
      </c>
      <c r="F30" s="5"/>
      <c r="G30" s="5" t="s">
        <v>65</v>
      </c>
      <c r="H30" s="5" t="s">
        <v>84</v>
      </c>
      <c r="I30" s="5" t="s">
        <v>82</v>
      </c>
      <c r="J30" s="25"/>
      <c r="K30" s="25"/>
      <c r="L30" s="25" t="s">
        <v>110</v>
      </c>
      <c r="M30" s="5" t="s">
        <v>66</v>
      </c>
      <c r="N30" s="5" t="s">
        <v>68</v>
      </c>
      <c r="O30" s="5" t="s">
        <v>141</v>
      </c>
      <c r="P30" s="5" t="s">
        <v>107</v>
      </c>
      <c r="Q30" s="5" t="b">
        <v>1</v>
      </c>
      <c r="R30" s="5" t="b">
        <v>0</v>
      </c>
      <c r="S30" s="5"/>
      <c r="T30" s="5">
        <v>2200.0</v>
      </c>
      <c r="U30" s="26">
        <v>2.1</v>
      </c>
      <c r="V30" s="5">
        <v>1048.0</v>
      </c>
      <c r="W30" s="27">
        <v>0.0</v>
      </c>
      <c r="X30" s="28">
        <v>1048.0</v>
      </c>
      <c r="Y30" s="27">
        <v>1.0</v>
      </c>
      <c r="Z30" s="5" t="s">
        <v>78</v>
      </c>
      <c r="AA30" s="5">
        <v>0.575</v>
      </c>
      <c r="AB30" s="5"/>
      <c r="AC30" s="5" t="s">
        <v>166</v>
      </c>
      <c r="AD30" s="5" t="s">
        <v>81</v>
      </c>
      <c r="AE30" s="5">
        <v>3.0</v>
      </c>
      <c r="AF30" s="5">
        <v>2.0</v>
      </c>
      <c r="AG30" s="5" t="s">
        <v>659</v>
      </c>
      <c r="AH30" s="5" t="s">
        <v>146</v>
      </c>
      <c r="AI30" s="42"/>
      <c r="AJ30" s="28">
        <v>2125.0</v>
      </c>
      <c r="AK30" s="28">
        <v>1283.0</v>
      </c>
      <c r="AL30" s="28">
        <v>0.0</v>
      </c>
      <c r="AM30" s="28">
        <v>2335.0</v>
      </c>
      <c r="AN30" s="28">
        <v>0.0</v>
      </c>
      <c r="AO30" s="28">
        <v>2226192.4999999995</v>
      </c>
      <c r="AP30" s="28">
        <v>1344584.0</v>
      </c>
      <c r="AQ30" s="28">
        <v>0.0</v>
      </c>
      <c r="AR30" s="28">
        <v>2446192.6999999997</v>
      </c>
      <c r="AS30" s="28">
        <v>0.0</v>
      </c>
      <c r="AT30" s="28">
        <v>1720616.0714285716</v>
      </c>
      <c r="AU30" s="28">
        <v>913682.28</v>
      </c>
      <c r="AV30" s="28">
        <v>0.0</v>
      </c>
      <c r="AW30" s="28">
        <v>1892373.0786268</v>
      </c>
      <c r="AX30" s="5"/>
      <c r="AY30" s="5" t="str">
        <f t="array" ref="AY30">IFERROR(_xlfn.XLOOKUP($E30,'FW27'!$C$3:$C$1102,'FW27'!$AM$3:$AM$1102),"")</f>
        <v>Essentials</v>
      </c>
      <c r="AZ30" s="5" t="str">
        <f t="array" ref="AZ30">IFERROR(_xlfn.XLOOKUP($E30,'FW27'!$C$3:$C$1102,'FW27'!$AN$3:$AN$1102),"")</f>
        <v>Active Essentials</v>
      </c>
      <c r="BB30" s="5" t="str">
        <f t="array" ref="BB30">IFERROR(_xlfn.XLOOKUP($E30,'FW27'!$C$3:$C$1102,'FW27'!$AS$3:$AS$1102),"")</f>
        <v>Shell</v>
      </c>
      <c r="BC30" s="5" t="str">
        <f t="array" ref="BC30">IFERROR(_xlfn.XLOOKUP($E30,'FW27'!$C$3:$C$1102,'FW27'!$AT$3:$AT$1102),"")</f>
        <v>Jacket</v>
      </c>
      <c r="BD30" s="5" t="str">
        <f t="array" ref="BD30">IFERROR(_xlfn.XLOOKUP($E30,'FW27'!$C$3:$C$1102,'FW27'!$AU$3:$AU$1102),"")</f>
        <v>2L</v>
      </c>
      <c r="BE30" s="5" t="str">
        <f t="array" ref="BE30">IFERROR(_xlfn.XLOOKUP($E30,'FW27'!$C$3:$C$1102,'FW27'!$AV$3:$AV$1102),"")</f>
        <v>Y</v>
      </c>
    </row>
    <row r="31" ht="16.5" hidden="1" customHeight="1">
      <c r="A31" s="5" t="s">
        <v>155</v>
      </c>
      <c r="B31" s="5" t="s">
        <v>137</v>
      </c>
      <c r="C31" s="5" t="b">
        <v>1</v>
      </c>
      <c r="D31" s="5" t="s">
        <v>191</v>
      </c>
      <c r="E31" s="5" t="s">
        <v>192</v>
      </c>
      <c r="F31" s="5"/>
      <c r="G31" s="5" t="s">
        <v>65</v>
      </c>
      <c r="H31" s="5" t="s">
        <v>84</v>
      </c>
      <c r="I31" s="5" t="s">
        <v>82</v>
      </c>
      <c r="J31" s="25"/>
      <c r="K31" s="25"/>
      <c r="L31" s="25" t="s">
        <v>181</v>
      </c>
      <c r="M31" s="5" t="s">
        <v>66</v>
      </c>
      <c r="N31" s="5" t="s">
        <v>68</v>
      </c>
      <c r="O31" s="5" t="s">
        <v>141</v>
      </c>
      <c r="P31" s="5" t="s">
        <v>70</v>
      </c>
      <c r="Q31" s="5" t="b">
        <v>1</v>
      </c>
      <c r="R31" s="5" t="b">
        <v>0</v>
      </c>
      <c r="S31" s="5"/>
      <c r="T31" s="5">
        <v>1700.0</v>
      </c>
      <c r="U31" s="26">
        <v>2.1</v>
      </c>
      <c r="V31" s="5">
        <v>810.0</v>
      </c>
      <c r="W31" s="27">
        <v>0.0</v>
      </c>
      <c r="X31" s="28">
        <v>810.0</v>
      </c>
      <c r="Y31" s="27">
        <v>1.0</v>
      </c>
      <c r="Z31" s="5" t="s">
        <v>78</v>
      </c>
      <c r="AA31" s="5">
        <v>0.5920000000000001</v>
      </c>
      <c r="AB31" s="5"/>
      <c r="AC31" s="5" t="s">
        <v>166</v>
      </c>
      <c r="AD31" s="5" t="s">
        <v>81</v>
      </c>
      <c r="AE31" s="5">
        <v>1.0</v>
      </c>
      <c r="AF31" s="5">
        <v>1.0</v>
      </c>
      <c r="AG31" s="5" t="s">
        <v>0</v>
      </c>
      <c r="AH31" s="5" t="s">
        <v>146</v>
      </c>
      <c r="AI31" s="42"/>
      <c r="AJ31" s="28">
        <v>1615.0</v>
      </c>
      <c r="AK31" s="28">
        <v>442.0</v>
      </c>
      <c r="AL31" s="28">
        <v>0.0</v>
      </c>
      <c r="AM31" s="28">
        <v>1625.0</v>
      </c>
      <c r="AN31" s="28">
        <v>0.0</v>
      </c>
      <c r="AO31" s="28">
        <v>1307374.8</v>
      </c>
      <c r="AP31" s="28">
        <v>358020.0</v>
      </c>
      <c r="AQ31" s="28">
        <v>0.0</v>
      </c>
      <c r="AR31" s="28">
        <v>1315470.0</v>
      </c>
      <c r="AS31" s="28">
        <v>0.0</v>
      </c>
      <c r="AT31" s="28">
        <v>1032163.9880952381</v>
      </c>
      <c r="AU31" s="28">
        <v>255197.475</v>
      </c>
      <c r="AV31" s="28">
        <v>0.0</v>
      </c>
      <c r="AW31" s="28">
        <v>1036303.75</v>
      </c>
      <c r="AX31" s="5"/>
      <c r="AY31" s="5" t="str">
        <f t="array" ref="AY31">IFERROR(_xlfn.XLOOKUP($E31,'FW27'!$C$3:$C$1102,'FW27'!$AM$3:$AM$1102),"")</f>
        <v>Essentials</v>
      </c>
      <c r="AZ31" s="5" t="str">
        <f t="array" ref="AZ31">IFERROR(_xlfn.XLOOKUP($E31,'FW27'!$C$3:$C$1102,'FW27'!$AN$3:$AN$1102),"")</f>
        <v>Active Essentials</v>
      </c>
      <c r="BB31" s="5" t="str">
        <f t="array" ref="BB31">IFERROR(_xlfn.XLOOKUP($E31,'FW27'!$C$3:$C$1102,'FW27'!$AS$3:$AS$1102),"")</f>
        <v>Shell</v>
      </c>
      <c r="BC31" s="5" t="str">
        <f t="array" ref="BC31">IFERROR(_xlfn.XLOOKUP($E31,'FW27'!$C$3:$C$1102,'FW27'!$AT$3:$AT$1102),"")</f>
        <v>Pant</v>
      </c>
      <c r="BD31" s="5" t="str">
        <f t="array" ref="BD31">IFERROR(_xlfn.XLOOKUP($E31,'FW27'!$C$3:$C$1102,'FW27'!$AU$3:$AU$1102),"")</f>
        <v>2L</v>
      </c>
      <c r="BE31" s="5" t="str">
        <f t="array" ref="BE31">IFERROR(_xlfn.XLOOKUP($E31,'FW27'!$C$3:$C$1102,'FW27'!$AV$3:$AV$1102),"")</f>
        <v>Y</v>
      </c>
    </row>
    <row r="32" ht="16.5" hidden="1" customHeight="1">
      <c r="A32" s="5" t="s">
        <v>155</v>
      </c>
      <c r="B32" s="5" t="s">
        <v>137</v>
      </c>
      <c r="C32" s="5" t="b">
        <v>1</v>
      </c>
      <c r="D32" s="5" t="s">
        <v>195</v>
      </c>
      <c r="E32" s="5" t="s">
        <v>196</v>
      </c>
      <c r="F32" s="5"/>
      <c r="G32" s="5" t="s">
        <v>65</v>
      </c>
      <c r="H32" s="5" t="s">
        <v>84</v>
      </c>
      <c r="I32" s="5" t="s">
        <v>82</v>
      </c>
      <c r="J32" s="25"/>
      <c r="K32" s="25"/>
      <c r="L32" s="25" t="s">
        <v>181</v>
      </c>
      <c r="M32" s="5" t="s">
        <v>66</v>
      </c>
      <c r="N32" s="5" t="s">
        <v>68</v>
      </c>
      <c r="O32" s="5" t="s">
        <v>141</v>
      </c>
      <c r="P32" s="5" t="s">
        <v>107</v>
      </c>
      <c r="Q32" s="5" t="b">
        <v>1</v>
      </c>
      <c r="R32" s="5" t="b">
        <v>0</v>
      </c>
      <c r="S32" s="5"/>
      <c r="T32" s="5">
        <v>1700.0</v>
      </c>
      <c r="U32" s="26">
        <v>2.1</v>
      </c>
      <c r="V32" s="5">
        <v>810.0</v>
      </c>
      <c r="W32" s="27">
        <v>0.0</v>
      </c>
      <c r="X32" s="28">
        <v>810.0</v>
      </c>
      <c r="Y32" s="27">
        <v>1.0</v>
      </c>
      <c r="Z32" s="5" t="s">
        <v>78</v>
      </c>
      <c r="AA32" s="5">
        <v>0.575</v>
      </c>
      <c r="AB32" s="5"/>
      <c r="AC32" s="5" t="s">
        <v>166</v>
      </c>
      <c r="AD32" s="5" t="s">
        <v>81</v>
      </c>
      <c r="AE32" s="5">
        <v>1.0</v>
      </c>
      <c r="AF32" s="5">
        <v>1.0</v>
      </c>
      <c r="AG32" s="5" t="s">
        <v>0</v>
      </c>
      <c r="AH32" s="5" t="s">
        <v>146</v>
      </c>
      <c r="AI32" s="42"/>
      <c r="AJ32" s="28">
        <v>1665.0</v>
      </c>
      <c r="AK32" s="28">
        <v>472.0</v>
      </c>
      <c r="AL32" s="28">
        <v>0.0</v>
      </c>
      <c r="AM32" s="28">
        <v>1625.0</v>
      </c>
      <c r="AN32" s="28">
        <v>0.0</v>
      </c>
      <c r="AO32" s="28">
        <v>1347850.8</v>
      </c>
      <c r="AP32" s="28">
        <v>382320.0</v>
      </c>
      <c r="AQ32" s="28">
        <v>0.0</v>
      </c>
      <c r="AR32" s="28">
        <v>1315470.0</v>
      </c>
      <c r="AS32" s="28">
        <v>0.0</v>
      </c>
      <c r="AT32" s="28">
        <v>1063866.8452380951</v>
      </c>
      <c r="AU32" s="28">
        <v>272257.025</v>
      </c>
      <c r="AV32" s="28">
        <v>0.0</v>
      </c>
      <c r="AW32" s="28">
        <v>1036303.75</v>
      </c>
      <c r="AX32" s="5"/>
      <c r="AY32" s="5" t="str">
        <f t="array" ref="AY32">IFERROR(_xlfn.XLOOKUP($E32,'FW27'!$C$3:$C$1102,'FW27'!$AM$3:$AM$1102),"")</f>
        <v>Essentials</v>
      </c>
      <c r="AZ32" s="5" t="str">
        <f t="array" ref="AZ32">IFERROR(_xlfn.XLOOKUP($E32,'FW27'!$C$3:$C$1102,'FW27'!$AN$3:$AN$1102),"")</f>
        <v>Active Essentials</v>
      </c>
      <c r="BB32" s="5" t="str">
        <f t="array" ref="BB32">IFERROR(_xlfn.XLOOKUP($E32,'FW27'!$C$3:$C$1102,'FW27'!$AS$3:$AS$1102),"")</f>
        <v>Shell</v>
      </c>
      <c r="BC32" s="5" t="str">
        <f t="array" ref="BC32">IFERROR(_xlfn.XLOOKUP($E32,'FW27'!$C$3:$C$1102,'FW27'!$AT$3:$AT$1102),"")</f>
        <v>Pant</v>
      </c>
      <c r="BD32" s="5" t="str">
        <f t="array" ref="BD32">IFERROR(_xlfn.XLOOKUP($E32,'FW27'!$C$3:$C$1102,'FW27'!$AU$3:$AU$1102),"")</f>
        <v>2L</v>
      </c>
      <c r="BE32" s="5" t="str">
        <f t="array" ref="BE32">IFERROR(_xlfn.XLOOKUP($E32,'FW27'!$C$3:$C$1102,'FW27'!$AV$3:$AV$1102),"")</f>
        <v>Y</v>
      </c>
    </row>
    <row r="33" ht="16.5" hidden="1" customHeight="1">
      <c r="A33" s="5" t="s">
        <v>155</v>
      </c>
      <c r="B33" s="5" t="s">
        <v>137</v>
      </c>
      <c r="C33" s="5" t="b">
        <v>1</v>
      </c>
      <c r="D33" s="5" t="s">
        <v>139</v>
      </c>
      <c r="E33" s="5" t="s">
        <v>140</v>
      </c>
      <c r="F33" s="5"/>
      <c r="G33" s="5" t="s">
        <v>65</v>
      </c>
      <c r="H33" s="5" t="s">
        <v>84</v>
      </c>
      <c r="I33" s="5" t="s">
        <v>82</v>
      </c>
      <c r="J33" s="25"/>
      <c r="K33" s="25"/>
      <c r="L33" s="25"/>
      <c r="M33" s="5" t="s">
        <v>66</v>
      </c>
      <c r="N33" s="5" t="s">
        <v>126</v>
      </c>
      <c r="O33" s="5" t="s">
        <v>141</v>
      </c>
      <c r="P33" s="5" t="s">
        <v>70</v>
      </c>
      <c r="Q33" s="5" t="b">
        <v>1</v>
      </c>
      <c r="R33" s="5" t="b">
        <v>0</v>
      </c>
      <c r="S33" s="5"/>
      <c r="T33" s="5">
        <v>1800.0</v>
      </c>
      <c r="U33" s="26">
        <v>2.1</v>
      </c>
      <c r="V33" s="5">
        <v>857.0</v>
      </c>
      <c r="W33" s="27">
        <v>0.0</v>
      </c>
      <c r="X33" s="28">
        <v>857.0</v>
      </c>
      <c r="Y33" s="27">
        <v>1.0</v>
      </c>
      <c r="Z33" s="5" t="s">
        <v>78</v>
      </c>
      <c r="AA33" s="5">
        <v>0.62</v>
      </c>
      <c r="AB33" s="5"/>
      <c r="AC33" s="5" t="s">
        <v>81</v>
      </c>
      <c r="AD33" s="5" t="s">
        <v>81</v>
      </c>
      <c r="AE33" s="5">
        <v>3.0</v>
      </c>
      <c r="AF33" s="5">
        <v>2.0</v>
      </c>
      <c r="AG33" s="5" t="s">
        <v>719</v>
      </c>
      <c r="AH33" s="5" t="s">
        <v>146</v>
      </c>
      <c r="AI33" s="42"/>
      <c r="AJ33" s="28">
        <v>0.0</v>
      </c>
      <c r="AK33" s="28">
        <v>0.0</v>
      </c>
      <c r="AL33" s="28">
        <v>0.0</v>
      </c>
      <c r="AM33" s="28">
        <v>1745.0</v>
      </c>
      <c r="AN33" s="28">
        <v>0.0</v>
      </c>
      <c r="AO33" s="28">
        <v>0.0</v>
      </c>
      <c r="AP33" s="28">
        <v>0.0</v>
      </c>
      <c r="AQ33" s="28">
        <v>0.0</v>
      </c>
      <c r="AR33" s="28">
        <v>1246436.05</v>
      </c>
      <c r="AS33" s="28">
        <v>0.0</v>
      </c>
      <c r="AT33" s="28">
        <v>0.0</v>
      </c>
      <c r="AU33" s="28">
        <v>0.0</v>
      </c>
      <c r="AV33" s="28">
        <v>0.0</v>
      </c>
      <c r="AW33" s="28">
        <v>970756.7383720931</v>
      </c>
      <c r="AX33" s="5"/>
      <c r="AY33" s="5" t="str">
        <f t="array" ref="AY33">IFERROR(_xlfn.XLOOKUP($E33,'FW27'!$C$3:$C$1102,'FW27'!$AM$3:$AM$1102),"")</f>
        <v>Outdoor</v>
      </c>
      <c r="AZ33" s="5" t="str">
        <f t="array" ref="AZ33">IFERROR(_xlfn.XLOOKUP($E33,'FW27'!$C$3:$C$1102,'FW27'!$AN$3:$AN$1102),"")</f>
        <v>Day Hiking</v>
      </c>
      <c r="BA33" s="5" t="s">
        <v>88</v>
      </c>
      <c r="BB33" s="5" t="str">
        <f t="array" ref="BB33">IFERROR(_xlfn.XLOOKUP($E33,'FW27'!$C$3:$C$1102,'FW27'!$AS$3:$AS$1102),"")</f>
        <v>Softshell</v>
      </c>
      <c r="BC33" s="5" t="str">
        <f t="array" ref="BC33">IFERROR(_xlfn.XLOOKUP($E33,'FW27'!$C$3:$C$1102,'FW27'!$AT$3:$AT$1102),"")</f>
        <v>Hooded Jacket</v>
      </c>
      <c r="BD33" s="5" t="str">
        <f t="array" ref="BD33">IFERROR(_xlfn.XLOOKUP($E33,'FW27'!$C$3:$C$1102,'FW27'!$AU$3:$AU$1102),"")</f>
        <v>Classic Softshell</v>
      </c>
      <c r="BE33" s="5" t="str">
        <f t="array" ref="BE33">IFERROR(_xlfn.XLOOKUP($E33,'FW27'!$C$3:$C$1102,'FW27'!$AV$3:$AV$1102),"")</f>
        <v>N</v>
      </c>
    </row>
    <row r="34" ht="16.5" hidden="1" customHeight="1">
      <c r="A34" s="5" t="s">
        <v>155</v>
      </c>
      <c r="B34" s="5" t="s">
        <v>137</v>
      </c>
      <c r="C34" s="5" t="b">
        <v>1</v>
      </c>
      <c r="D34" s="5" t="s">
        <v>167</v>
      </c>
      <c r="E34" s="5" t="s">
        <v>168</v>
      </c>
      <c r="F34" s="5"/>
      <c r="G34" s="5" t="s">
        <v>65</v>
      </c>
      <c r="H34" s="5" t="s">
        <v>84</v>
      </c>
      <c r="I34" s="5" t="s">
        <v>82</v>
      </c>
      <c r="J34" s="25"/>
      <c r="K34" s="25"/>
      <c r="L34" s="25"/>
      <c r="M34" s="5" t="s">
        <v>66</v>
      </c>
      <c r="N34" s="5" t="s">
        <v>126</v>
      </c>
      <c r="O34" s="5" t="s">
        <v>141</v>
      </c>
      <c r="P34" s="5" t="s">
        <v>107</v>
      </c>
      <c r="Q34" s="5" t="b">
        <v>1</v>
      </c>
      <c r="R34" s="5" t="b">
        <v>0</v>
      </c>
      <c r="S34" s="5"/>
      <c r="T34" s="5">
        <v>1800.0</v>
      </c>
      <c r="U34" s="26">
        <v>2.1</v>
      </c>
      <c r="V34" s="5">
        <v>857.0</v>
      </c>
      <c r="W34" s="27">
        <v>0.0</v>
      </c>
      <c r="X34" s="28">
        <v>857.0</v>
      </c>
      <c r="Y34" s="27">
        <v>1.0</v>
      </c>
      <c r="Z34" s="5" t="s">
        <v>78</v>
      </c>
      <c r="AA34" s="5">
        <v>0.64</v>
      </c>
      <c r="AB34" s="5"/>
      <c r="AC34" s="5" t="s">
        <v>81</v>
      </c>
      <c r="AD34" s="5" t="s">
        <v>81</v>
      </c>
      <c r="AE34" s="5">
        <v>3.0</v>
      </c>
      <c r="AF34" s="5">
        <v>2.0</v>
      </c>
      <c r="AG34" s="5" t="s">
        <v>719</v>
      </c>
      <c r="AH34" s="5" t="s">
        <v>146</v>
      </c>
      <c r="AI34" s="42"/>
      <c r="AJ34" s="28">
        <v>250.0</v>
      </c>
      <c r="AK34" s="28">
        <v>0.0</v>
      </c>
      <c r="AL34" s="28">
        <v>0.0</v>
      </c>
      <c r="AM34" s="28">
        <v>1610.0</v>
      </c>
      <c r="AN34" s="28">
        <v>0.0</v>
      </c>
      <c r="AO34" s="28">
        <v>178572.5</v>
      </c>
      <c r="AP34" s="28">
        <v>0.0</v>
      </c>
      <c r="AQ34" s="28">
        <v>0.0</v>
      </c>
      <c r="AR34" s="28">
        <v>1150006.9</v>
      </c>
      <c r="AS34" s="28">
        <v>0.0</v>
      </c>
      <c r="AT34" s="28">
        <v>145304.7619047619</v>
      </c>
      <c r="AU34" s="28">
        <v>0.0</v>
      </c>
      <c r="AV34" s="28">
        <v>0.0</v>
      </c>
      <c r="AW34" s="28">
        <v>894659.500276855</v>
      </c>
      <c r="AX34" s="5"/>
      <c r="AY34" s="5" t="str">
        <f t="array" ref="AY34">IFERROR(_xlfn.XLOOKUP($E34,'FW27'!$C$3:$C$1102,'FW27'!$AM$3:$AM$1102),"")</f>
        <v>Outdoor</v>
      </c>
      <c r="AZ34" s="5" t="str">
        <f t="array" ref="AZ34">IFERROR(_xlfn.XLOOKUP($E34,'FW27'!$C$3:$C$1102,'FW27'!$AN$3:$AN$1102),"")</f>
        <v>Day Hiking</v>
      </c>
      <c r="BA34" s="5" t="s">
        <v>88</v>
      </c>
      <c r="BB34" s="5" t="str">
        <f t="array" ref="BB34">IFERROR(_xlfn.XLOOKUP($E34,'FW27'!$C$3:$C$1102,'FW27'!$AS$3:$AS$1102),"")</f>
        <v>Softshell</v>
      </c>
      <c r="BC34" s="5" t="str">
        <f t="array" ref="BC34">IFERROR(_xlfn.XLOOKUP($E34,'FW27'!$C$3:$C$1102,'FW27'!$AT$3:$AT$1102),"")</f>
        <v>Hooded Jacket</v>
      </c>
      <c r="BD34" s="5" t="str">
        <f t="array" ref="BD34">IFERROR(_xlfn.XLOOKUP($E34,'FW27'!$C$3:$C$1102,'FW27'!$AU$3:$AU$1102),"")</f>
        <v>Classic Softshell</v>
      </c>
      <c r="BE34" s="5" t="str">
        <f t="array" ref="BE34">IFERROR(_xlfn.XLOOKUP($E34,'FW27'!$C$3:$C$1102,'FW27'!$AV$3:$AV$1102),"")</f>
        <v>N</v>
      </c>
    </row>
    <row r="35" ht="16.5" hidden="1" customHeight="1">
      <c r="A35" s="5" t="s">
        <v>155</v>
      </c>
      <c r="B35" s="5" t="s">
        <v>137</v>
      </c>
      <c r="C35" s="5" t="b">
        <v>1</v>
      </c>
      <c r="D35" s="5" t="s">
        <v>212</v>
      </c>
      <c r="E35" s="5" t="s">
        <v>213</v>
      </c>
      <c r="F35" s="5"/>
      <c r="G35" s="5" t="s">
        <v>65</v>
      </c>
      <c r="H35" s="5" t="s">
        <v>84</v>
      </c>
      <c r="I35" s="5" t="s">
        <v>82</v>
      </c>
      <c r="J35" s="25"/>
      <c r="K35" s="25"/>
      <c r="L35" s="25"/>
      <c r="M35" s="5" t="s">
        <v>66</v>
      </c>
      <c r="N35" s="5" t="s">
        <v>126</v>
      </c>
      <c r="O35" s="5" t="s">
        <v>141</v>
      </c>
      <c r="P35" s="5" t="s">
        <v>70</v>
      </c>
      <c r="Q35" s="5" t="b">
        <v>1</v>
      </c>
      <c r="R35" s="5" t="b">
        <v>0</v>
      </c>
      <c r="S35" s="5"/>
      <c r="T35" s="5">
        <v>1400.0</v>
      </c>
      <c r="U35" s="26">
        <v>2.1</v>
      </c>
      <c r="V35" s="5">
        <v>667.0</v>
      </c>
      <c r="W35" s="27">
        <v>0.0</v>
      </c>
      <c r="X35" s="28">
        <v>667.0</v>
      </c>
      <c r="Y35" s="27">
        <v>1.0</v>
      </c>
      <c r="Z35" s="5" t="s">
        <v>78</v>
      </c>
      <c r="AA35" s="5">
        <v>0.65</v>
      </c>
      <c r="AB35" s="5"/>
      <c r="AC35" s="5" t="s">
        <v>81</v>
      </c>
      <c r="AD35" s="5" t="s">
        <v>81</v>
      </c>
      <c r="AE35" s="5">
        <v>1.0</v>
      </c>
      <c r="AF35" s="5">
        <v>1.0</v>
      </c>
      <c r="AG35" s="5" t="s">
        <v>756</v>
      </c>
      <c r="AH35" s="5" t="s">
        <v>146</v>
      </c>
      <c r="AI35" s="42"/>
      <c r="AJ35" s="28">
        <v>1750.0</v>
      </c>
      <c r="AK35" s="28">
        <v>0.0</v>
      </c>
      <c r="AL35" s="28">
        <v>0.0</v>
      </c>
      <c r="AM35" s="28">
        <v>2525.0</v>
      </c>
      <c r="AN35" s="28">
        <v>0.0</v>
      </c>
      <c r="AO35" s="28">
        <v>1000002.5</v>
      </c>
      <c r="AP35" s="28">
        <v>0.0</v>
      </c>
      <c r="AQ35" s="28">
        <v>0.0</v>
      </c>
      <c r="AR35" s="28">
        <v>1442860.75</v>
      </c>
      <c r="AS35" s="28">
        <v>0.0</v>
      </c>
      <c r="AT35" s="28">
        <v>777628.5714285715</v>
      </c>
      <c r="AU35" s="28">
        <v>0.0</v>
      </c>
      <c r="AV35" s="28">
        <v>0.0</v>
      </c>
      <c r="AW35" s="28">
        <v>1112445.4551495016</v>
      </c>
      <c r="AX35" s="5"/>
      <c r="AY35" s="5" t="str">
        <f t="array" ref="AY35">IFERROR(_xlfn.XLOOKUP($E35,'FW27'!$C$3:$C$1102,'FW27'!$AM$3:$AM$1102),"")</f>
        <v>Outdoor</v>
      </c>
      <c r="AZ35" s="5" t="str">
        <f t="array" ref="AZ35">IFERROR(_xlfn.XLOOKUP($E35,'FW27'!$C$3:$C$1102,'FW27'!$AN$3:$AN$1102),"")</f>
        <v>Day Hiking</v>
      </c>
      <c r="BA35" s="5" t="s">
        <v>88</v>
      </c>
      <c r="BB35" s="5" t="str">
        <f t="array" ref="BB35">IFERROR(_xlfn.XLOOKUP($E35,'FW27'!$C$3:$C$1102,'FW27'!$AS$3:$AS$1102),"")</f>
        <v>Softshell</v>
      </c>
      <c r="BC35" s="5" t="str">
        <f t="array" ref="BC35">IFERROR(_xlfn.XLOOKUP($E35,'FW27'!$C$3:$C$1102,'FW27'!$AT$3:$AT$1102),"")</f>
        <v>Pant</v>
      </c>
      <c r="BD35" s="5" t="str">
        <f t="array" ref="BD35">IFERROR(_xlfn.XLOOKUP($E35,'FW27'!$C$3:$C$1102,'FW27'!$AU$3:$AU$1102),"")</f>
        <v>Classic Softshell</v>
      </c>
      <c r="BE35" s="5" t="str">
        <f t="array" ref="BE35">IFERROR(_xlfn.XLOOKUP($E35,'FW27'!$C$3:$C$1102,'FW27'!$AV$3:$AV$1102),"")</f>
        <v>N</v>
      </c>
    </row>
    <row r="36" ht="16.5" hidden="1" customHeight="1">
      <c r="A36" s="5" t="s">
        <v>155</v>
      </c>
      <c r="B36" s="5" t="s">
        <v>137</v>
      </c>
      <c r="C36" s="5" t="b">
        <v>1</v>
      </c>
      <c r="D36" s="5" t="s">
        <v>221</v>
      </c>
      <c r="E36" s="5" t="s">
        <v>222</v>
      </c>
      <c r="F36" s="5"/>
      <c r="G36" s="5" t="s">
        <v>65</v>
      </c>
      <c r="H36" s="5" t="s">
        <v>84</v>
      </c>
      <c r="I36" s="5" t="s">
        <v>82</v>
      </c>
      <c r="J36" s="25"/>
      <c r="K36" s="25"/>
      <c r="L36" s="25"/>
      <c r="M36" s="5" t="s">
        <v>66</v>
      </c>
      <c r="N36" s="5" t="s">
        <v>126</v>
      </c>
      <c r="O36" s="5" t="s">
        <v>141</v>
      </c>
      <c r="P36" s="5" t="s">
        <v>107</v>
      </c>
      <c r="Q36" s="5" t="b">
        <v>1</v>
      </c>
      <c r="R36" s="5" t="b">
        <v>0</v>
      </c>
      <c r="S36" s="5"/>
      <c r="T36" s="5">
        <v>1400.0</v>
      </c>
      <c r="U36" s="26">
        <v>2.1</v>
      </c>
      <c r="V36" s="5">
        <v>667.0</v>
      </c>
      <c r="W36" s="27">
        <v>0.0</v>
      </c>
      <c r="X36" s="28">
        <v>667.0</v>
      </c>
      <c r="Y36" s="27">
        <v>1.0</v>
      </c>
      <c r="Z36" s="5" t="s">
        <v>78</v>
      </c>
      <c r="AA36" s="5">
        <v>0.65</v>
      </c>
      <c r="AB36" s="5"/>
      <c r="AC36" s="5" t="s">
        <v>81</v>
      </c>
      <c r="AD36" s="5" t="s">
        <v>81</v>
      </c>
      <c r="AE36" s="5">
        <v>1.0</v>
      </c>
      <c r="AF36" s="5">
        <v>1.0</v>
      </c>
      <c r="AG36" s="5" t="s">
        <v>756</v>
      </c>
      <c r="AH36" s="5" t="s">
        <v>146</v>
      </c>
      <c r="AI36" s="42"/>
      <c r="AJ36" s="28">
        <v>1600.0</v>
      </c>
      <c r="AK36" s="28">
        <v>0.0</v>
      </c>
      <c r="AL36" s="28">
        <v>0.0</v>
      </c>
      <c r="AM36" s="28">
        <v>2525.0</v>
      </c>
      <c r="AN36" s="28">
        <v>0.0</v>
      </c>
      <c r="AO36" s="28">
        <v>914288.0</v>
      </c>
      <c r="AP36" s="28">
        <v>0.0</v>
      </c>
      <c r="AQ36" s="28">
        <v>0.0</v>
      </c>
      <c r="AR36" s="28">
        <v>1442860.75</v>
      </c>
      <c r="AS36" s="28">
        <v>0.0</v>
      </c>
      <c r="AT36" s="28">
        <v>710260.0</v>
      </c>
      <c r="AU36" s="28">
        <v>0.0</v>
      </c>
      <c r="AV36" s="28">
        <v>0.0</v>
      </c>
      <c r="AW36" s="28">
        <v>1112445.4551495016</v>
      </c>
      <c r="AX36" s="5"/>
      <c r="AY36" s="5" t="str">
        <f t="array" ref="AY36">IFERROR(_xlfn.XLOOKUP($E36,'FW27'!$C$3:$C$1102,'FW27'!$AM$3:$AM$1102),"")</f>
        <v>Outdoor</v>
      </c>
      <c r="AZ36" s="5" t="str">
        <f t="array" ref="AZ36">IFERROR(_xlfn.XLOOKUP($E36,'FW27'!$C$3:$C$1102,'FW27'!$AN$3:$AN$1102),"")</f>
        <v>Day Hiking</v>
      </c>
      <c r="BA36" s="5" t="s">
        <v>88</v>
      </c>
      <c r="BB36" s="5" t="str">
        <f t="array" ref="BB36">IFERROR(_xlfn.XLOOKUP($E36,'FW27'!$C$3:$C$1102,'FW27'!$AS$3:$AS$1102),"")</f>
        <v>Softshell</v>
      </c>
      <c r="BC36" s="5" t="str">
        <f t="array" ref="BC36">IFERROR(_xlfn.XLOOKUP($E36,'FW27'!$C$3:$C$1102,'FW27'!$AT$3:$AT$1102),"")</f>
        <v>Pant</v>
      </c>
      <c r="BD36" s="5" t="str">
        <f t="array" ref="BD36">IFERROR(_xlfn.XLOOKUP($E36,'FW27'!$C$3:$C$1102,'FW27'!$AU$3:$AU$1102),"")</f>
        <v>Classic Softshell</v>
      </c>
      <c r="BE36" s="5" t="str">
        <f t="array" ref="BE36">IFERROR(_xlfn.XLOOKUP($E36,'FW27'!$C$3:$C$1102,'FW27'!$AV$3:$AV$1102),"")</f>
        <v>N</v>
      </c>
    </row>
    <row r="37" ht="16.5" hidden="1" customHeight="1">
      <c r="A37" s="5" t="s">
        <v>155</v>
      </c>
      <c r="B37" s="5" t="s">
        <v>137</v>
      </c>
      <c r="C37" s="5" t="b">
        <v>1</v>
      </c>
      <c r="D37" s="5" t="s">
        <v>228</v>
      </c>
      <c r="E37" s="5" t="s">
        <v>230</v>
      </c>
      <c r="F37" s="5"/>
      <c r="G37" s="5" t="s">
        <v>65</v>
      </c>
      <c r="H37" s="5" t="s">
        <v>84</v>
      </c>
      <c r="I37" s="5" t="s">
        <v>82</v>
      </c>
      <c r="J37" s="25"/>
      <c r="K37" s="25"/>
      <c r="L37" s="25" t="s">
        <v>110</v>
      </c>
      <c r="M37" s="5" t="s">
        <v>66</v>
      </c>
      <c r="N37" s="5" t="s">
        <v>68</v>
      </c>
      <c r="O37" s="5" t="s">
        <v>69</v>
      </c>
      <c r="P37" s="5" t="s">
        <v>70</v>
      </c>
      <c r="Q37" s="5" t="b">
        <v>1</v>
      </c>
      <c r="R37" s="5" t="b">
        <v>0</v>
      </c>
      <c r="S37" s="5"/>
      <c r="T37" s="5">
        <v>4500.0</v>
      </c>
      <c r="U37" s="26">
        <v>2.1</v>
      </c>
      <c r="V37" s="5">
        <v>2143.0</v>
      </c>
      <c r="W37" s="27">
        <v>0.0</v>
      </c>
      <c r="X37" s="28">
        <v>2143.0</v>
      </c>
      <c r="Y37" s="27">
        <v>1.0</v>
      </c>
      <c r="Z37" s="5" t="s">
        <v>117</v>
      </c>
      <c r="AA37" s="5">
        <v>0.615</v>
      </c>
      <c r="AB37" s="5"/>
      <c r="AC37" s="5" t="s">
        <v>80</v>
      </c>
      <c r="AD37" s="5" t="s">
        <v>81</v>
      </c>
      <c r="AE37" s="5">
        <v>5.0</v>
      </c>
      <c r="AF37" s="5">
        <v>3.0</v>
      </c>
      <c r="AG37" s="5" t="s">
        <v>779</v>
      </c>
      <c r="AH37" s="5" t="s">
        <v>0</v>
      </c>
      <c r="AI37" s="42"/>
      <c r="AJ37" s="28">
        <v>3202.0</v>
      </c>
      <c r="AK37" s="28">
        <v>2944.0</v>
      </c>
      <c r="AL37" s="28">
        <v>0.0</v>
      </c>
      <c r="AM37" s="28">
        <v>2731.0</v>
      </c>
      <c r="AN37" s="28">
        <v>0.0</v>
      </c>
      <c r="AO37" s="28">
        <v>6861437.720000001</v>
      </c>
      <c r="AP37" s="28">
        <v>6308992.0</v>
      </c>
      <c r="AQ37" s="28">
        <v>0.0</v>
      </c>
      <c r="AR37" s="28">
        <v>5852150.659999999</v>
      </c>
      <c r="AS37" s="28">
        <v>0.0</v>
      </c>
      <c r="AT37" s="28">
        <v>5621240.299889258</v>
      </c>
      <c r="AU37" s="28">
        <v>5348195.516525</v>
      </c>
      <c r="AV37" s="28">
        <v>0.0</v>
      </c>
      <c r="AW37" s="28">
        <v>4884099.84662237</v>
      </c>
      <c r="AX37" s="5"/>
      <c r="AY37" s="5" t="str">
        <f t="array" ref="AY37">IFERROR(_xlfn.XLOOKUP($E37,'FW27'!$C$3:$C$1102,'FW27'!$AM$3:$AM$1102),"")</f>
        <v>Essentials</v>
      </c>
      <c r="AZ37" s="5" t="str">
        <f t="array" ref="AZ37">IFERROR(_xlfn.XLOOKUP($E37,'FW27'!$C$3:$C$1102,'FW27'!$AN$3:$AN$1102),"")</f>
        <v>Active Essentials</v>
      </c>
      <c r="BA37" s="5" t="s">
        <v>237</v>
      </c>
      <c r="BB37" s="5" t="str">
        <f t="array" ref="BB37">IFERROR(_xlfn.XLOOKUP($E37,'FW27'!$C$3:$C$1102,'FW27'!$AS$3:$AS$1102),"")</f>
        <v>Shell</v>
      </c>
      <c r="BC37" s="5" t="str">
        <f t="array" ref="BC37">IFERROR(_xlfn.XLOOKUP($E37,'FW27'!$C$3:$C$1102,'FW27'!$AT$3:$AT$1102),"")</f>
        <v>Jacket</v>
      </c>
      <c r="BD37" s="5" t="str">
        <f t="array" ref="BD37">IFERROR(_xlfn.XLOOKUP($E37,'FW27'!$C$3:$C$1102,'FW27'!$AU$3:$AU$1102),"")</f>
        <v>2L</v>
      </c>
      <c r="BE37" s="5" t="str">
        <f t="array" ref="BE37">IFERROR(_xlfn.XLOOKUP($E37,'FW27'!$C$3:$C$1102,'FW27'!$AV$3:$AV$1102),"")</f>
        <v>Y</v>
      </c>
    </row>
    <row r="38" ht="16.5" hidden="1" customHeight="1">
      <c r="A38" s="5" t="s">
        <v>155</v>
      </c>
      <c r="B38" s="5" t="s">
        <v>137</v>
      </c>
      <c r="C38" s="5" t="b">
        <v>1</v>
      </c>
      <c r="D38" s="5" t="s">
        <v>239</v>
      </c>
      <c r="E38" s="5" t="s">
        <v>241</v>
      </c>
      <c r="F38" s="5"/>
      <c r="G38" s="5" t="s">
        <v>65</v>
      </c>
      <c r="H38" s="5" t="s">
        <v>84</v>
      </c>
      <c r="I38" s="5" t="s">
        <v>82</v>
      </c>
      <c r="J38" s="25"/>
      <c r="K38" s="25"/>
      <c r="L38" s="25" t="s">
        <v>110</v>
      </c>
      <c r="M38" s="5" t="s">
        <v>66</v>
      </c>
      <c r="N38" s="5" t="s">
        <v>68</v>
      </c>
      <c r="O38" s="5" t="s">
        <v>69</v>
      </c>
      <c r="P38" s="5" t="s">
        <v>107</v>
      </c>
      <c r="Q38" s="5" t="b">
        <v>1</v>
      </c>
      <c r="R38" s="5" t="b">
        <v>0</v>
      </c>
      <c r="S38" s="5"/>
      <c r="T38" s="5">
        <v>4500.0</v>
      </c>
      <c r="U38" s="26">
        <v>2.1</v>
      </c>
      <c r="V38" s="5">
        <v>2143.0</v>
      </c>
      <c r="W38" s="27">
        <v>0.0</v>
      </c>
      <c r="X38" s="28">
        <v>2143.0</v>
      </c>
      <c r="Y38" s="27">
        <v>1.0</v>
      </c>
      <c r="Z38" s="5" t="s">
        <v>117</v>
      </c>
      <c r="AA38" s="5">
        <v>0.616</v>
      </c>
      <c r="AB38" s="5"/>
      <c r="AC38" s="5" t="s">
        <v>80</v>
      </c>
      <c r="AD38" s="5" t="s">
        <v>81</v>
      </c>
      <c r="AE38" s="5">
        <v>5.0</v>
      </c>
      <c r="AF38" s="5">
        <v>3.0</v>
      </c>
      <c r="AG38" s="5" t="s">
        <v>791</v>
      </c>
      <c r="AH38" s="5" t="s">
        <v>0</v>
      </c>
      <c r="AI38" s="42"/>
      <c r="AJ38" s="28">
        <v>1993.0</v>
      </c>
      <c r="AK38" s="28">
        <v>1591.0</v>
      </c>
      <c r="AL38" s="28">
        <v>0.0</v>
      </c>
      <c r="AM38" s="28">
        <v>2272.0</v>
      </c>
      <c r="AN38" s="28">
        <v>0.0</v>
      </c>
      <c r="AO38" s="28">
        <v>4270719.98</v>
      </c>
      <c r="AP38" s="28">
        <v>3409513.0</v>
      </c>
      <c r="AQ38" s="28">
        <v>0.0</v>
      </c>
      <c r="AR38" s="28">
        <v>4868577.919999998</v>
      </c>
      <c r="AS38" s="28">
        <v>0.0</v>
      </c>
      <c r="AT38" s="28">
        <v>3508139.8383167214</v>
      </c>
      <c r="AU38" s="28">
        <v>2930006.227149999</v>
      </c>
      <c r="AV38" s="28">
        <v>0.0</v>
      </c>
      <c r="AW38" s="28">
        <v>4064884.09662237</v>
      </c>
      <c r="AX38" s="5"/>
      <c r="AY38" s="5" t="str">
        <f t="array" ref="AY38">IFERROR(_xlfn.XLOOKUP($E38,'FW27'!$C$3:$C$1102,'FW27'!$AM$3:$AM$1102),"")</f>
        <v>Essentials</v>
      </c>
      <c r="AZ38" s="5" t="str">
        <f t="array" ref="AZ38">IFERROR(_xlfn.XLOOKUP($E38,'FW27'!$C$3:$C$1102,'FW27'!$AN$3:$AN$1102),"")</f>
        <v>Active Essentials</v>
      </c>
      <c r="BA38" s="5" t="s">
        <v>237</v>
      </c>
      <c r="BB38" s="5" t="str">
        <f t="array" ref="BB38">IFERROR(_xlfn.XLOOKUP($E38,'FW27'!$C$3:$C$1102,'FW27'!$AS$3:$AS$1102),"")</f>
        <v>Shell</v>
      </c>
      <c r="BC38" s="5" t="str">
        <f t="array" ref="BC38">IFERROR(_xlfn.XLOOKUP($E38,'FW27'!$C$3:$C$1102,'FW27'!$AT$3:$AT$1102),"")</f>
        <v>Jacket</v>
      </c>
      <c r="BD38" s="5" t="str">
        <f t="array" ref="BD38">IFERROR(_xlfn.XLOOKUP($E38,'FW27'!$C$3:$C$1102,'FW27'!$AU$3:$AU$1102),"")</f>
        <v>2L</v>
      </c>
      <c r="BE38" s="5" t="str">
        <f t="array" ref="BE38">IFERROR(_xlfn.XLOOKUP($E38,'FW27'!$C$3:$C$1102,'FW27'!$AV$3:$AV$1102),"")</f>
        <v>Y</v>
      </c>
    </row>
    <row r="39" ht="16.5" hidden="1" customHeight="1">
      <c r="A39" s="5" t="s">
        <v>155</v>
      </c>
      <c r="B39" s="5" t="s">
        <v>215</v>
      </c>
      <c r="C39" s="5" t="b">
        <v>1</v>
      </c>
      <c r="D39" s="5" t="s">
        <v>400</v>
      </c>
      <c r="E39" s="5" t="s">
        <v>401</v>
      </c>
      <c r="F39" s="5"/>
      <c r="G39" s="5" t="s">
        <v>65</v>
      </c>
      <c r="H39" s="5" t="s">
        <v>76</v>
      </c>
      <c r="I39" s="5" t="s">
        <v>82</v>
      </c>
      <c r="J39" s="25"/>
      <c r="K39" s="25"/>
      <c r="L39" s="25"/>
      <c r="M39" s="5" t="s">
        <v>66</v>
      </c>
      <c r="N39" s="5" t="s">
        <v>248</v>
      </c>
      <c r="O39" s="5" t="s">
        <v>69</v>
      </c>
      <c r="P39" s="5" t="s">
        <v>249</v>
      </c>
      <c r="Q39" s="5" t="b">
        <v>1</v>
      </c>
      <c r="R39" s="5" t="b">
        <v>0</v>
      </c>
      <c r="S39" s="5"/>
      <c r="T39" s="5">
        <v>300.0</v>
      </c>
      <c r="U39" s="26">
        <v>2.1</v>
      </c>
      <c r="V39" s="5">
        <v>143.0</v>
      </c>
      <c r="W39" s="27">
        <v>0.0</v>
      </c>
      <c r="X39" s="28">
        <v>143.0</v>
      </c>
      <c r="Y39" s="27">
        <v>1.0</v>
      </c>
      <c r="Z39" s="5" t="s">
        <v>78</v>
      </c>
      <c r="AA39" s="5">
        <v>0.613</v>
      </c>
      <c r="AB39" s="5"/>
      <c r="AC39" s="5" t="s">
        <v>81</v>
      </c>
      <c r="AD39" s="5" t="s">
        <v>81</v>
      </c>
      <c r="AE39" s="5">
        <v>6.0</v>
      </c>
      <c r="AF39" s="5">
        <v>5.0</v>
      </c>
      <c r="AG39" s="5" t="s">
        <v>404</v>
      </c>
      <c r="AH39" s="5" t="s">
        <v>0</v>
      </c>
      <c r="AI39" s="42"/>
      <c r="AJ39" s="28">
        <v>5266.0</v>
      </c>
      <c r="AK39" s="28">
        <v>0.0</v>
      </c>
      <c r="AL39" s="28">
        <v>0.0</v>
      </c>
      <c r="AM39" s="28">
        <v>0.0</v>
      </c>
      <c r="AN39" s="28">
        <v>0.0</v>
      </c>
      <c r="AO39" s="28">
        <v>752300.7600000001</v>
      </c>
      <c r="AP39" s="28">
        <v>0.0</v>
      </c>
      <c r="AQ39" s="28">
        <v>0.0</v>
      </c>
      <c r="AR39" s="28">
        <v>0.0</v>
      </c>
      <c r="AS39" s="28">
        <v>0.0</v>
      </c>
      <c r="AT39" s="28">
        <v>584971.9208194906</v>
      </c>
      <c r="AU39" s="28">
        <v>0.0</v>
      </c>
      <c r="AV39" s="28">
        <v>0.0</v>
      </c>
      <c r="AW39" s="28">
        <v>0.0</v>
      </c>
      <c r="AX39" s="5"/>
      <c r="AY39" s="5" t="str">
        <f t="array" ref="AY39">IFERROR(_xlfn.XLOOKUP($E39,'FW27'!$C$3:$C$1102,'FW27'!$AM$3:$AM$1102),"")</f>
        <v>Essentials</v>
      </c>
      <c r="AZ39" s="5" t="str">
        <f t="array" ref="AZ39">IFERROR(_xlfn.XLOOKUP($E39,'FW27'!$C$3:$C$1102,'FW27'!$AN$3:$AN$1102),"")</f>
        <v>Active Essentials</v>
      </c>
      <c r="BB39" s="5" t="str">
        <f t="array" ref="BB39">IFERROR(_xlfn.XLOOKUP($E39,'FW27'!$C$3:$C$1102,'FW27'!$AS$3:$AS$1102),"")</f>
        <v>Accessories</v>
      </c>
      <c r="BC39" s="5" t="str">
        <f t="array" ref="BC39">IFERROR(_xlfn.XLOOKUP($E39,'FW27'!$C$3:$C$1102,'FW27'!$AT$3:$AT$1102),"")</f>
        <v>Headwear</v>
      </c>
      <c r="BD39" s="5" t="str">
        <f t="array" ref="BD39">IFERROR(_xlfn.XLOOKUP($E39,'FW27'!$C$3:$C$1102,'FW27'!$AU$3:$AU$1102),"")</f>
        <v>Beanie</v>
      </c>
      <c r="BE39" s="5" t="str">
        <f t="array" ref="BE39">IFERROR(_xlfn.XLOOKUP($E39,'FW27'!$C$3:$C$1102,'FW27'!$AV$3:$AV$1102),"")</f>
        <v>N</v>
      </c>
    </row>
    <row r="40" ht="16.5" hidden="1" customHeight="1">
      <c r="A40" s="5" t="s">
        <v>155</v>
      </c>
      <c r="B40" s="5" t="s">
        <v>215</v>
      </c>
      <c r="C40" s="5" t="b">
        <v>1</v>
      </c>
      <c r="D40" s="68" t="s">
        <v>353</v>
      </c>
      <c r="E40" s="68" t="s">
        <v>354</v>
      </c>
      <c r="F40" s="68"/>
      <c r="G40" s="68" t="s">
        <v>65</v>
      </c>
      <c r="H40" s="68" t="s">
        <v>76</v>
      </c>
      <c r="I40" s="68" t="s">
        <v>82</v>
      </c>
      <c r="J40" s="69" t="s">
        <v>808</v>
      </c>
      <c r="K40" s="25"/>
      <c r="L40" s="25"/>
      <c r="M40" s="5" t="s">
        <v>66</v>
      </c>
      <c r="N40" s="5" t="s">
        <v>355</v>
      </c>
      <c r="O40" s="5" t="s">
        <v>141</v>
      </c>
      <c r="P40" s="5" t="s">
        <v>70</v>
      </c>
      <c r="Q40" s="5" t="b">
        <v>1</v>
      </c>
      <c r="R40" s="5" t="b">
        <v>0</v>
      </c>
      <c r="S40" s="5"/>
      <c r="T40" s="5">
        <v>2200.0</v>
      </c>
      <c r="U40" s="26">
        <v>2.1</v>
      </c>
      <c r="V40" s="5">
        <v>1048.0</v>
      </c>
      <c r="W40" s="27">
        <v>0.0</v>
      </c>
      <c r="X40" s="28">
        <v>1048.0</v>
      </c>
      <c r="Y40" s="27">
        <v>1.0</v>
      </c>
      <c r="Z40" s="5" t="s">
        <v>78</v>
      </c>
      <c r="AA40" s="5">
        <v>0.615</v>
      </c>
      <c r="AB40" s="5"/>
      <c r="AC40" s="5" t="s">
        <v>198</v>
      </c>
      <c r="AD40" s="5" t="s">
        <v>81</v>
      </c>
      <c r="AE40" s="5">
        <v>4.0</v>
      </c>
      <c r="AF40" s="5">
        <v>4.0</v>
      </c>
      <c r="AG40" s="5" t="s">
        <v>409</v>
      </c>
      <c r="AH40" s="5" t="s">
        <v>156</v>
      </c>
      <c r="AI40" s="42"/>
      <c r="AJ40" s="28">
        <v>60.0</v>
      </c>
      <c r="AK40" s="28">
        <v>0.0</v>
      </c>
      <c r="AL40" s="28">
        <v>0.0</v>
      </c>
      <c r="AM40" s="28">
        <v>0.0</v>
      </c>
      <c r="AN40" s="28">
        <v>0.0</v>
      </c>
      <c r="AO40" s="28">
        <v>62857.2</v>
      </c>
      <c r="AP40" s="28">
        <v>0.0</v>
      </c>
      <c r="AQ40" s="28">
        <v>0.0</v>
      </c>
      <c r="AR40" s="28">
        <v>0.0</v>
      </c>
      <c r="AS40" s="28">
        <v>0.0</v>
      </c>
      <c r="AT40" s="28">
        <v>47141.999999999985</v>
      </c>
      <c r="AU40" s="28">
        <v>0.0</v>
      </c>
      <c r="AV40" s="28">
        <v>0.0</v>
      </c>
      <c r="AW40" s="28">
        <v>0.0</v>
      </c>
      <c r="AX40" s="5"/>
      <c r="AY40" s="5" t="str">
        <f t="array" ref="AY40">IFERROR(_xlfn.XLOOKUP($E40,'FW27'!$C$3:$C$1102,'FW27'!$AM$3:$AM$1102),"")</f>
        <v>Essentials</v>
      </c>
      <c r="AZ40" s="5" t="str">
        <f t="array" ref="AZ40">IFERROR(_xlfn.XLOOKUP($E40,'FW27'!$C$3:$C$1102,'FW27'!$AN$3:$AN$1102),"")</f>
        <v>Active Essentials</v>
      </c>
      <c r="BB40" s="5" t="str">
        <f t="array" ref="BB40">IFERROR(_xlfn.XLOOKUP($E40,'FW27'!$C$3:$C$1102,'FW27'!$AS$3:$AS$1102),"")</f>
        <v>Insulation</v>
      </c>
      <c r="BC40" s="5" t="str">
        <f t="array" ref="BC40">IFERROR(_xlfn.XLOOKUP($E40,'FW27'!$C$3:$C$1102,'FW27'!$AT$3:$AT$1102),"")</f>
        <v>Hooded Jacket</v>
      </c>
      <c r="BD40" s="5" t="str">
        <f t="array" ref="BD40">IFERROR(_xlfn.XLOOKUP($E40,'FW27'!$C$3:$C$1102,'FW27'!$AU$3:$AU$1102),"")</f>
        <v>Midweight Synthetic</v>
      </c>
      <c r="BE40" s="5" t="str">
        <f t="array" ref="BE40">IFERROR(_xlfn.XLOOKUP($E40,'FW27'!$C$3:$C$1102,'FW27'!$AV$3:$AV$1102),"")</f>
        <v>N</v>
      </c>
    </row>
    <row r="41" ht="16.5" hidden="1" customHeight="1">
      <c r="A41" s="5" t="s">
        <v>155</v>
      </c>
      <c r="B41" s="5" t="s">
        <v>215</v>
      </c>
      <c r="C41" s="5" t="b">
        <v>1</v>
      </c>
      <c r="D41" s="68" t="s">
        <v>370</v>
      </c>
      <c r="E41" s="68" t="s">
        <v>371</v>
      </c>
      <c r="F41" s="68"/>
      <c r="G41" s="68" t="s">
        <v>65</v>
      </c>
      <c r="H41" s="68" t="s">
        <v>76</v>
      </c>
      <c r="I41" s="68" t="s">
        <v>82</v>
      </c>
      <c r="J41" s="69" t="s">
        <v>808</v>
      </c>
      <c r="K41" s="25"/>
      <c r="L41" s="25"/>
      <c r="M41" s="5" t="s">
        <v>66</v>
      </c>
      <c r="N41" s="5" t="s">
        <v>355</v>
      </c>
      <c r="O41" s="5" t="s">
        <v>141</v>
      </c>
      <c r="P41" s="5" t="s">
        <v>107</v>
      </c>
      <c r="Q41" s="5" t="b">
        <v>1</v>
      </c>
      <c r="R41" s="5" t="b">
        <v>0</v>
      </c>
      <c r="S41" s="5"/>
      <c r="T41" s="5">
        <v>2200.0</v>
      </c>
      <c r="U41" s="26">
        <v>2.1</v>
      </c>
      <c r="V41" s="5">
        <v>1048.0</v>
      </c>
      <c r="W41" s="27">
        <v>0.0</v>
      </c>
      <c r="X41" s="28">
        <v>1048.0</v>
      </c>
      <c r="Y41" s="27">
        <v>1.0</v>
      </c>
      <c r="Z41" s="5" t="s">
        <v>78</v>
      </c>
      <c r="AA41" s="5">
        <v>0.654</v>
      </c>
      <c r="AB41" s="5"/>
      <c r="AC41" s="5" t="s">
        <v>198</v>
      </c>
      <c r="AD41" s="5" t="s">
        <v>81</v>
      </c>
      <c r="AE41" s="5">
        <v>5.0</v>
      </c>
      <c r="AF41" s="5">
        <v>3.0</v>
      </c>
      <c r="AG41" s="5" t="s">
        <v>418</v>
      </c>
      <c r="AH41" s="5" t="s">
        <v>156</v>
      </c>
      <c r="AI41" s="42"/>
      <c r="AJ41" s="28">
        <v>60.0</v>
      </c>
      <c r="AK41" s="28">
        <v>0.0</v>
      </c>
      <c r="AL41" s="28">
        <v>0.0</v>
      </c>
      <c r="AM41" s="28">
        <v>0.0</v>
      </c>
      <c r="AN41" s="28">
        <v>0.0</v>
      </c>
      <c r="AO41" s="28">
        <v>62857.2</v>
      </c>
      <c r="AP41" s="28">
        <v>0.0</v>
      </c>
      <c r="AQ41" s="28">
        <v>0.0</v>
      </c>
      <c r="AR41" s="28">
        <v>0.0</v>
      </c>
      <c r="AS41" s="28">
        <v>0.0</v>
      </c>
      <c r="AT41" s="28">
        <v>47141.999999999985</v>
      </c>
      <c r="AU41" s="28">
        <v>0.0</v>
      </c>
      <c r="AV41" s="28">
        <v>0.0</v>
      </c>
      <c r="AW41" s="28">
        <v>0.0</v>
      </c>
      <c r="AX41" s="5"/>
      <c r="AY41" s="5" t="str">
        <f t="array" ref="AY41">IFERROR(_xlfn.XLOOKUP($E41,'FW27'!$C$3:$C$1102,'FW27'!$AM$3:$AM$1102),"")</f>
        <v>Essentials</v>
      </c>
      <c r="AZ41" s="5" t="str">
        <f t="array" ref="AZ41">IFERROR(_xlfn.XLOOKUP($E41,'FW27'!$C$3:$C$1102,'FW27'!$AN$3:$AN$1102),"")</f>
        <v>Active Essentials</v>
      </c>
      <c r="BB41" s="5" t="str">
        <f t="array" ref="BB41">IFERROR(_xlfn.XLOOKUP($E41,'FW27'!$C$3:$C$1102,'FW27'!$AS$3:$AS$1102),"")</f>
        <v>Insulation</v>
      </c>
      <c r="BC41" s="5" t="str">
        <f t="array" ref="BC41">IFERROR(_xlfn.XLOOKUP($E41,'FW27'!$C$3:$C$1102,'FW27'!$AT$3:$AT$1102),"")</f>
        <v>Hooded Jacket</v>
      </c>
      <c r="BD41" s="5" t="str">
        <f t="array" ref="BD41">IFERROR(_xlfn.XLOOKUP($E41,'FW27'!$C$3:$C$1102,'FW27'!$AU$3:$AU$1102),"")</f>
        <v>Midweight Synthetic</v>
      </c>
      <c r="BE41" s="5" t="str">
        <f t="array" ref="BE41">IFERROR(_xlfn.XLOOKUP($E41,'FW27'!$C$3:$C$1102,'FW27'!$AV$3:$AV$1102),"")</f>
        <v>N</v>
      </c>
    </row>
    <row r="42" ht="16.5" hidden="1" customHeight="1">
      <c r="A42" s="5" t="s">
        <v>155</v>
      </c>
      <c r="B42" s="5" t="s">
        <v>215</v>
      </c>
      <c r="C42" s="5" t="b">
        <v>1</v>
      </c>
      <c r="D42" s="68" t="s">
        <v>382</v>
      </c>
      <c r="E42" s="68" t="s">
        <v>383</v>
      </c>
      <c r="F42" s="68"/>
      <c r="G42" s="68" t="s">
        <v>65</v>
      </c>
      <c r="H42" s="68" t="s">
        <v>76</v>
      </c>
      <c r="I42" s="68" t="s">
        <v>82</v>
      </c>
      <c r="J42" s="69" t="s">
        <v>808</v>
      </c>
      <c r="K42" s="25"/>
      <c r="L42" s="25"/>
      <c r="M42" s="5" t="s">
        <v>66</v>
      </c>
      <c r="N42" s="5" t="s">
        <v>355</v>
      </c>
      <c r="O42" s="5" t="s">
        <v>141</v>
      </c>
      <c r="P42" s="5" t="s">
        <v>70</v>
      </c>
      <c r="Q42" s="5" t="b">
        <v>1</v>
      </c>
      <c r="R42" s="5" t="b">
        <v>0</v>
      </c>
      <c r="S42" s="5"/>
      <c r="T42" s="5">
        <v>2000.0</v>
      </c>
      <c r="U42" s="26">
        <v>2.1</v>
      </c>
      <c r="V42" s="5">
        <v>952.0</v>
      </c>
      <c r="W42" s="27">
        <v>0.0</v>
      </c>
      <c r="X42" s="28">
        <v>952.0</v>
      </c>
      <c r="Y42" s="27">
        <v>1.0</v>
      </c>
      <c r="Z42" s="5" t="s">
        <v>78</v>
      </c>
      <c r="AA42" s="5">
        <v>0.615</v>
      </c>
      <c r="AB42" s="5"/>
      <c r="AC42" s="5" t="s">
        <v>198</v>
      </c>
      <c r="AD42" s="5" t="s">
        <v>81</v>
      </c>
      <c r="AE42" s="5">
        <v>4.0</v>
      </c>
      <c r="AF42" s="5">
        <v>4.0</v>
      </c>
      <c r="AG42" s="5" t="s">
        <v>425</v>
      </c>
      <c r="AH42" s="5" t="s">
        <v>156</v>
      </c>
      <c r="AI42" s="42"/>
      <c r="AJ42" s="28">
        <v>40.0</v>
      </c>
      <c r="AK42" s="28">
        <v>1000.0</v>
      </c>
      <c r="AL42" s="28">
        <v>0.0</v>
      </c>
      <c r="AM42" s="28">
        <v>0.0</v>
      </c>
      <c r="AN42" s="28">
        <v>0.0</v>
      </c>
      <c r="AO42" s="28">
        <v>38095.2</v>
      </c>
      <c r="AP42" s="28">
        <v>952000.0</v>
      </c>
      <c r="AQ42" s="28">
        <v>0.0</v>
      </c>
      <c r="AR42" s="28">
        <v>0.0</v>
      </c>
      <c r="AS42" s="28">
        <v>0.0</v>
      </c>
      <c r="AT42" s="28">
        <v>29100.0</v>
      </c>
      <c r="AU42" s="28">
        <v>571000.0</v>
      </c>
      <c r="AV42" s="28">
        <v>0.0</v>
      </c>
      <c r="AW42" s="28">
        <v>0.0</v>
      </c>
      <c r="AX42" s="5"/>
      <c r="AY42" s="5" t="str">
        <f t="array" ref="AY42">IFERROR(_xlfn.XLOOKUP($E42,'FW27'!$C$3:$C$1102,'FW27'!$AM$3:$AM$1102),"")</f>
        <v>Essentials</v>
      </c>
      <c r="AZ42" s="5" t="str">
        <f t="array" ref="AZ42">IFERROR(_xlfn.XLOOKUP($E42,'FW27'!$C$3:$C$1102,'FW27'!$AN$3:$AN$1102),"")</f>
        <v>Active Essentials</v>
      </c>
      <c r="BB42" s="5" t="str">
        <f t="array" ref="BB42">IFERROR(_xlfn.XLOOKUP($E42,'FW27'!$C$3:$C$1102,'FW27'!$AS$3:$AS$1102),"")</f>
        <v>Insulation</v>
      </c>
      <c r="BC42" s="5" t="str">
        <f t="array" ref="BC42">IFERROR(_xlfn.XLOOKUP($E42,'FW27'!$C$3:$C$1102,'FW27'!$AT$3:$AT$1102),"")</f>
        <v>Jacket</v>
      </c>
      <c r="BD42" s="5" t="str">
        <f t="array" ref="BD42">IFERROR(_xlfn.XLOOKUP($E42,'FW27'!$C$3:$C$1102,'FW27'!$AU$3:$AU$1102),"")</f>
        <v>Midweight Synthetic</v>
      </c>
      <c r="BE42" s="5" t="str">
        <f t="array" ref="BE42">IFERROR(_xlfn.XLOOKUP($E42,'FW27'!$C$3:$C$1102,'FW27'!$AV$3:$AV$1102),"")</f>
        <v>N</v>
      </c>
    </row>
    <row r="43" ht="16.5" hidden="1" customHeight="1">
      <c r="A43" s="5" t="s">
        <v>155</v>
      </c>
      <c r="B43" s="5" t="s">
        <v>215</v>
      </c>
      <c r="C43" s="5" t="b">
        <v>1</v>
      </c>
      <c r="D43" s="68" t="s">
        <v>394</v>
      </c>
      <c r="E43" s="68" t="s">
        <v>395</v>
      </c>
      <c r="F43" s="68"/>
      <c r="G43" s="68" t="s">
        <v>65</v>
      </c>
      <c r="H43" s="68" t="s">
        <v>76</v>
      </c>
      <c r="I43" s="68" t="s">
        <v>82</v>
      </c>
      <c r="J43" s="69" t="s">
        <v>808</v>
      </c>
      <c r="K43" s="25"/>
      <c r="L43" s="25"/>
      <c r="M43" s="5" t="s">
        <v>66</v>
      </c>
      <c r="N43" s="5" t="s">
        <v>355</v>
      </c>
      <c r="O43" s="5" t="s">
        <v>141</v>
      </c>
      <c r="P43" s="5" t="s">
        <v>107</v>
      </c>
      <c r="Q43" s="5" t="b">
        <v>1</v>
      </c>
      <c r="R43" s="5" t="b">
        <v>0</v>
      </c>
      <c r="S43" s="5"/>
      <c r="T43" s="5">
        <v>2000.0</v>
      </c>
      <c r="U43" s="26">
        <v>2.1</v>
      </c>
      <c r="V43" s="5">
        <v>952.0</v>
      </c>
      <c r="W43" s="27">
        <v>0.0</v>
      </c>
      <c r="X43" s="28">
        <v>952.0</v>
      </c>
      <c r="Y43" s="27">
        <v>1.0</v>
      </c>
      <c r="Z43" s="5" t="s">
        <v>78</v>
      </c>
      <c r="AA43" s="5">
        <v>0.654</v>
      </c>
      <c r="AB43" s="5"/>
      <c r="AC43" s="5" t="s">
        <v>198</v>
      </c>
      <c r="AD43" s="5" t="s">
        <v>81</v>
      </c>
      <c r="AE43" s="5">
        <v>5.0</v>
      </c>
      <c r="AF43" s="5">
        <v>4.0</v>
      </c>
      <c r="AG43" s="5" t="s">
        <v>435</v>
      </c>
      <c r="AH43" s="5" t="s">
        <v>156</v>
      </c>
      <c r="AI43" s="42"/>
      <c r="AJ43" s="28">
        <v>40.0</v>
      </c>
      <c r="AK43" s="28">
        <v>1000.0</v>
      </c>
      <c r="AL43" s="28">
        <v>0.0</v>
      </c>
      <c r="AM43" s="28">
        <v>0.0</v>
      </c>
      <c r="AN43" s="28">
        <v>0.0</v>
      </c>
      <c r="AO43" s="28">
        <v>38095.2</v>
      </c>
      <c r="AP43" s="28">
        <v>952000.0</v>
      </c>
      <c r="AQ43" s="28">
        <v>0.0</v>
      </c>
      <c r="AR43" s="28">
        <v>0.0</v>
      </c>
      <c r="AS43" s="28">
        <v>0.0</v>
      </c>
      <c r="AT43" s="28">
        <v>29100.0</v>
      </c>
      <c r="AU43" s="28">
        <v>571000.0</v>
      </c>
      <c r="AV43" s="28">
        <v>0.0</v>
      </c>
      <c r="AW43" s="28">
        <v>0.0</v>
      </c>
      <c r="AX43" s="5"/>
      <c r="AY43" s="5" t="str">
        <f t="array" ref="AY43">IFERROR(_xlfn.XLOOKUP($E43,'FW27'!$C$3:$C$1102,'FW27'!$AM$3:$AM$1102),"")</f>
        <v>Essentials</v>
      </c>
      <c r="AZ43" s="5" t="str">
        <f t="array" ref="AZ43">IFERROR(_xlfn.XLOOKUP($E43,'FW27'!$C$3:$C$1102,'FW27'!$AN$3:$AN$1102),"")</f>
        <v>Active Essentials</v>
      </c>
      <c r="BB43" s="5" t="str">
        <f t="array" ref="BB43">IFERROR(_xlfn.XLOOKUP($E43,'FW27'!$C$3:$C$1102,'FW27'!$AS$3:$AS$1102),"")</f>
        <v>Insulation</v>
      </c>
      <c r="BC43" s="5" t="str">
        <f t="array" ref="BC43">IFERROR(_xlfn.XLOOKUP($E43,'FW27'!$C$3:$C$1102,'FW27'!$AT$3:$AT$1102),"")</f>
        <v>Jacket</v>
      </c>
      <c r="BD43" s="5" t="str">
        <f t="array" ref="BD43">IFERROR(_xlfn.XLOOKUP($E43,'FW27'!$C$3:$C$1102,'FW27'!$AU$3:$AU$1102),"")</f>
        <v>Midweight Synthetic</v>
      </c>
      <c r="BE43" s="5" t="str">
        <f t="array" ref="BE43">IFERROR(_xlfn.XLOOKUP($E43,'FW27'!$C$3:$C$1102,'FW27'!$AV$3:$AV$1102),"")</f>
        <v>N</v>
      </c>
    </row>
    <row r="44" ht="16.5" hidden="1" customHeight="1">
      <c r="A44" s="5" t="s">
        <v>155</v>
      </c>
      <c r="B44" s="5" t="s">
        <v>215</v>
      </c>
      <c r="C44" s="5" t="b">
        <v>0</v>
      </c>
      <c r="D44" s="71" t="s">
        <v>614</v>
      </c>
      <c r="E44" s="71" t="s">
        <v>615</v>
      </c>
      <c r="F44" s="71"/>
      <c r="G44" s="71" t="s">
        <v>65</v>
      </c>
      <c r="H44" s="71" t="s">
        <v>76</v>
      </c>
      <c r="I44" s="71" t="s">
        <v>106</v>
      </c>
      <c r="J44" s="72" t="s">
        <v>808</v>
      </c>
      <c r="K44" s="25"/>
      <c r="L44" s="25"/>
      <c r="M44" s="5" t="s">
        <v>66</v>
      </c>
      <c r="N44" s="5" t="s">
        <v>355</v>
      </c>
      <c r="O44" s="5" t="s">
        <v>141</v>
      </c>
      <c r="P44" s="5" t="s">
        <v>70</v>
      </c>
      <c r="Q44" s="5" t="b">
        <v>1</v>
      </c>
      <c r="R44" s="5" t="b">
        <v>0</v>
      </c>
      <c r="S44" s="5"/>
      <c r="T44" s="5">
        <v>2700.0</v>
      </c>
      <c r="U44" s="26">
        <v>2.1</v>
      </c>
      <c r="V44" s="5">
        <v>1286.0</v>
      </c>
      <c r="W44" s="27">
        <v>0.0</v>
      </c>
      <c r="X44" s="28">
        <v>1286.0</v>
      </c>
      <c r="Y44" s="27">
        <v>1.0</v>
      </c>
      <c r="Z44" s="5" t="s">
        <v>117</v>
      </c>
      <c r="AA44" s="5">
        <v>0.615</v>
      </c>
      <c r="AB44" s="5"/>
      <c r="AC44" s="5" t="s">
        <v>359</v>
      </c>
      <c r="AD44" s="5" t="s">
        <v>81</v>
      </c>
      <c r="AE44" s="5">
        <v>3.0</v>
      </c>
      <c r="AF44" s="5">
        <v>3.0</v>
      </c>
      <c r="AG44" s="5" t="s">
        <v>867</v>
      </c>
      <c r="AH44" s="5" t="s">
        <v>156</v>
      </c>
      <c r="AI44" s="42"/>
      <c r="AJ44" s="28">
        <v>290.0</v>
      </c>
      <c r="AK44" s="28">
        <v>1229.0</v>
      </c>
      <c r="AL44" s="28">
        <v>0.0</v>
      </c>
      <c r="AM44" s="28">
        <v>0.0</v>
      </c>
      <c r="AN44" s="28">
        <v>0.0</v>
      </c>
      <c r="AO44" s="28">
        <v>372855.9</v>
      </c>
      <c r="AP44" s="28">
        <v>1580494.0</v>
      </c>
      <c r="AQ44" s="28">
        <v>0.0</v>
      </c>
      <c r="AR44" s="28">
        <v>0.0</v>
      </c>
      <c r="AS44" s="28">
        <v>0.0</v>
      </c>
      <c r="AT44" s="28">
        <v>303012.57142857136</v>
      </c>
      <c r="AU44" s="28">
        <v>967879.839</v>
      </c>
      <c r="AV44" s="28">
        <v>0.0</v>
      </c>
      <c r="AW44" s="28">
        <v>0.0</v>
      </c>
      <c r="AX44" s="5"/>
      <c r="AY44" s="5" t="s">
        <v>125</v>
      </c>
      <c r="AZ44" s="5" t="s">
        <v>127</v>
      </c>
      <c r="BB44" s="5" t="s">
        <v>355</v>
      </c>
      <c r="BC44" s="5" t="s">
        <v>161</v>
      </c>
      <c r="BD44" s="5" t="s">
        <v>448</v>
      </c>
      <c r="BE44" s="5" t="s">
        <v>131</v>
      </c>
      <c r="BF44" s="5" t="s">
        <v>868</v>
      </c>
    </row>
    <row r="45" ht="16.5" hidden="1" customHeight="1">
      <c r="A45" s="5" t="s">
        <v>155</v>
      </c>
      <c r="B45" s="5" t="s">
        <v>215</v>
      </c>
      <c r="C45" s="5" t="b">
        <v>0</v>
      </c>
      <c r="D45" s="71" t="s">
        <v>626</v>
      </c>
      <c r="E45" s="71" t="s">
        <v>627</v>
      </c>
      <c r="F45" s="71"/>
      <c r="G45" s="71" t="s">
        <v>65</v>
      </c>
      <c r="H45" s="71" t="s">
        <v>76</v>
      </c>
      <c r="I45" s="71" t="s">
        <v>106</v>
      </c>
      <c r="J45" s="72" t="s">
        <v>808</v>
      </c>
      <c r="K45" s="25"/>
      <c r="L45" s="25"/>
      <c r="M45" s="5" t="s">
        <v>66</v>
      </c>
      <c r="N45" s="5" t="s">
        <v>355</v>
      </c>
      <c r="O45" s="5" t="s">
        <v>141</v>
      </c>
      <c r="P45" s="5" t="s">
        <v>107</v>
      </c>
      <c r="Q45" s="5" t="b">
        <v>1</v>
      </c>
      <c r="R45" s="5" t="b">
        <v>0</v>
      </c>
      <c r="S45" s="5"/>
      <c r="T45" s="5">
        <v>2700.0</v>
      </c>
      <c r="U45" s="26">
        <v>2.1</v>
      </c>
      <c r="V45" s="5">
        <v>1286.0</v>
      </c>
      <c r="W45" s="27">
        <v>0.0</v>
      </c>
      <c r="X45" s="28">
        <v>1286.0</v>
      </c>
      <c r="Y45" s="27">
        <v>1.0</v>
      </c>
      <c r="Z45" s="5" t="s">
        <v>117</v>
      </c>
      <c r="AA45" s="5">
        <v>0.654</v>
      </c>
      <c r="AB45" s="5"/>
      <c r="AC45" s="5" t="s">
        <v>359</v>
      </c>
      <c r="AD45" s="5" t="s">
        <v>81</v>
      </c>
      <c r="AE45" s="5">
        <v>5.0</v>
      </c>
      <c r="AF45" s="5">
        <v>4.0</v>
      </c>
      <c r="AG45" s="5" t="s">
        <v>873</v>
      </c>
      <c r="AH45" s="5" t="s">
        <v>156</v>
      </c>
      <c r="AI45" s="42"/>
      <c r="AJ45" s="28">
        <v>190.0</v>
      </c>
      <c r="AK45" s="28">
        <v>40.0</v>
      </c>
      <c r="AL45" s="28">
        <v>0.0</v>
      </c>
      <c r="AM45" s="28">
        <v>0.0</v>
      </c>
      <c r="AN45" s="28">
        <v>0.0</v>
      </c>
      <c r="AO45" s="28">
        <v>244284.9</v>
      </c>
      <c r="AP45" s="28">
        <v>51440.0</v>
      </c>
      <c r="AQ45" s="28">
        <v>0.0</v>
      </c>
      <c r="AR45" s="28">
        <v>0.0</v>
      </c>
      <c r="AS45" s="28">
        <v>0.0</v>
      </c>
      <c r="AT45" s="28">
        <v>195869.71428571426</v>
      </c>
      <c r="AU45" s="28">
        <v>43017.88</v>
      </c>
      <c r="AV45" s="28">
        <v>0.0</v>
      </c>
      <c r="AW45" s="28">
        <v>0.0</v>
      </c>
      <c r="AX45" s="5"/>
      <c r="AY45" s="5" t="s">
        <v>125</v>
      </c>
      <c r="AZ45" s="5" t="s">
        <v>127</v>
      </c>
      <c r="BB45" s="5" t="s">
        <v>355</v>
      </c>
      <c r="BC45" s="5" t="s">
        <v>161</v>
      </c>
      <c r="BD45" s="5" t="s">
        <v>448</v>
      </c>
      <c r="BE45" s="5" t="s">
        <v>131</v>
      </c>
      <c r="BF45" s="5" t="s">
        <v>868</v>
      </c>
    </row>
    <row r="46" ht="16.5" hidden="1" customHeight="1">
      <c r="A46" s="5" t="s">
        <v>155</v>
      </c>
      <c r="B46" s="5" t="s">
        <v>137</v>
      </c>
      <c r="C46" s="5" t="b">
        <v>1</v>
      </c>
      <c r="D46" s="5" t="s">
        <v>245</v>
      </c>
      <c r="E46" s="5" t="s">
        <v>246</v>
      </c>
      <c r="F46" s="5"/>
      <c r="G46" s="5" t="s">
        <v>65</v>
      </c>
      <c r="H46" s="5" t="s">
        <v>84</v>
      </c>
      <c r="I46" s="5" t="s">
        <v>82</v>
      </c>
      <c r="J46" s="25"/>
      <c r="K46" s="25"/>
      <c r="L46" s="25"/>
      <c r="M46" s="5" t="s">
        <v>247</v>
      </c>
      <c r="N46" s="5" t="s">
        <v>248</v>
      </c>
      <c r="O46" s="5" t="s">
        <v>69</v>
      </c>
      <c r="P46" s="5" t="s">
        <v>249</v>
      </c>
      <c r="Q46" s="5" t="b">
        <v>1</v>
      </c>
      <c r="R46" s="5" t="b">
        <v>0</v>
      </c>
      <c r="S46" s="5"/>
      <c r="T46" s="5">
        <v>450.0</v>
      </c>
      <c r="U46" s="26">
        <v>2.1</v>
      </c>
      <c r="V46" s="5">
        <v>214.0</v>
      </c>
      <c r="W46" s="27">
        <v>0.0</v>
      </c>
      <c r="X46" s="28">
        <v>214.0</v>
      </c>
      <c r="Y46" s="27">
        <v>1.0</v>
      </c>
      <c r="Z46" s="5" t="s">
        <v>117</v>
      </c>
      <c r="AA46" s="5">
        <v>0.613</v>
      </c>
      <c r="AB46" s="5"/>
      <c r="AC46" s="5" t="s">
        <v>81</v>
      </c>
      <c r="AD46" s="5" t="s">
        <v>81</v>
      </c>
      <c r="AE46" s="5">
        <v>6.0</v>
      </c>
      <c r="AF46" s="5">
        <v>4.0</v>
      </c>
      <c r="AG46" s="5" t="s">
        <v>0</v>
      </c>
      <c r="AH46" s="5" t="s">
        <v>0</v>
      </c>
      <c r="AI46" s="42"/>
      <c r="AJ46" s="28">
        <v>628.0</v>
      </c>
      <c r="AK46" s="28">
        <v>580.0</v>
      </c>
      <c r="AL46" s="28">
        <v>0.0</v>
      </c>
      <c r="AM46" s="28">
        <v>3738.0</v>
      </c>
      <c r="AN46" s="28">
        <v>0.0</v>
      </c>
      <c r="AO46" s="28">
        <v>134574.12</v>
      </c>
      <c r="AP46" s="28">
        <v>124120.0</v>
      </c>
      <c r="AQ46" s="28">
        <v>0.0</v>
      </c>
      <c r="AR46" s="28">
        <v>801016.02</v>
      </c>
      <c r="AS46" s="28">
        <v>0.0</v>
      </c>
      <c r="AT46" s="28">
        <v>122688.5</v>
      </c>
      <c r="AU46" s="28">
        <v>113812.42109999998</v>
      </c>
      <c r="AV46" s="28">
        <v>0.0</v>
      </c>
      <c r="AW46" s="28">
        <v>649707.1363898121</v>
      </c>
      <c r="AX46" s="5"/>
      <c r="AY46" s="5" t="str">
        <f t="array" ref="AY46">IFERROR(_xlfn.XLOOKUP($E46,'FW27'!$C$3:$C$1102,'FW27'!$AM$3:$AM$1102),"")</f>
        <v>Essentials</v>
      </c>
      <c r="AZ46" s="5" t="str">
        <f t="array" ref="AZ46">IFERROR(_xlfn.XLOOKUP($E46,'FW27'!$C$3:$C$1102,'FW27'!$AN$3:$AN$1102),"")</f>
        <v>Active Essentials</v>
      </c>
      <c r="BB46" s="5" t="str">
        <f t="array" ref="BB46">IFERROR(_xlfn.XLOOKUP($E46,'FW27'!$C$3:$C$1102,'FW27'!$AS$3:$AS$1102),"")</f>
        <v>Accessories</v>
      </c>
      <c r="BC46" s="5" t="str">
        <f t="array" ref="BC46">IFERROR(_xlfn.XLOOKUP($E46,'FW27'!$C$3:$C$1102,'FW27'!$AT$3:$AT$1102),"")</f>
        <v>Headwear</v>
      </c>
      <c r="BD46" s="5" t="str">
        <f t="array" ref="BD46">IFERROR(_xlfn.XLOOKUP($E46,'FW27'!$C$3:$C$1102,'FW27'!$AU$3:$AU$1102),"")</f>
        <v>Cap</v>
      </c>
      <c r="BE46" s="5" t="str">
        <f t="array" ref="BE46">IFERROR(_xlfn.XLOOKUP($E46,'FW27'!$C$3:$C$1102,'FW27'!$AV$3:$AV$1102),"")</f>
        <v>N</v>
      </c>
    </row>
    <row r="47" ht="16.5" hidden="1" customHeight="1">
      <c r="A47" s="5" t="s">
        <v>155</v>
      </c>
      <c r="B47" s="5" t="s">
        <v>215</v>
      </c>
      <c r="C47" s="5" t="b">
        <v>1</v>
      </c>
      <c r="D47" s="5" t="s">
        <v>444</v>
      </c>
      <c r="E47" s="5" t="s">
        <v>445</v>
      </c>
      <c r="F47" s="5"/>
      <c r="G47" s="5" t="s">
        <v>65</v>
      </c>
      <c r="H47" s="5" t="s">
        <v>76</v>
      </c>
      <c r="I47" s="5" t="s">
        <v>82</v>
      </c>
      <c r="J47" s="25"/>
      <c r="K47" s="25"/>
      <c r="L47" s="25" t="s">
        <v>110</v>
      </c>
      <c r="M47" s="5" t="s">
        <v>66</v>
      </c>
      <c r="N47" s="5" t="s">
        <v>355</v>
      </c>
      <c r="O47" s="5" t="s">
        <v>69</v>
      </c>
      <c r="P47" s="5" t="s">
        <v>70</v>
      </c>
      <c r="Q47" s="5" t="b">
        <v>1</v>
      </c>
      <c r="R47" s="5" t="b">
        <v>0</v>
      </c>
      <c r="S47" s="5"/>
      <c r="T47" s="5">
        <v>2600.0</v>
      </c>
      <c r="U47" s="26">
        <v>2.1</v>
      </c>
      <c r="V47" s="5">
        <v>1238.0</v>
      </c>
      <c r="W47" s="27">
        <v>0.0</v>
      </c>
      <c r="X47" s="28">
        <v>1238.0</v>
      </c>
      <c r="Y47" s="27">
        <v>1.0</v>
      </c>
      <c r="Z47" s="5" t="s">
        <v>78</v>
      </c>
      <c r="AA47" s="5">
        <v>0.65</v>
      </c>
      <c r="AB47" s="5"/>
      <c r="AC47" s="5" t="s">
        <v>198</v>
      </c>
      <c r="AD47" s="5" t="s">
        <v>81</v>
      </c>
      <c r="AE47" s="5">
        <v>3.0</v>
      </c>
      <c r="AF47" s="5">
        <v>3.0</v>
      </c>
      <c r="AG47" s="5" t="s">
        <v>451</v>
      </c>
      <c r="AH47" s="5" t="s">
        <v>146</v>
      </c>
      <c r="AI47" s="42"/>
      <c r="AJ47" s="28">
        <v>1175.0</v>
      </c>
      <c r="AK47" s="28">
        <v>1083.0</v>
      </c>
      <c r="AL47" s="28">
        <v>0.0</v>
      </c>
      <c r="AM47" s="28">
        <v>0.0</v>
      </c>
      <c r="AN47" s="28">
        <v>0.0</v>
      </c>
      <c r="AO47" s="28">
        <v>1454767.5</v>
      </c>
      <c r="AP47" s="28">
        <v>1340754.0</v>
      </c>
      <c r="AQ47" s="28">
        <v>0.0</v>
      </c>
      <c r="AR47" s="28">
        <v>0.0</v>
      </c>
      <c r="AS47" s="28">
        <v>0.0</v>
      </c>
      <c r="AT47" s="28">
        <v>1275740.3056478407</v>
      </c>
      <c r="AU47" s="28">
        <v>1142469.9533000002</v>
      </c>
      <c r="AV47" s="28">
        <v>0.0</v>
      </c>
      <c r="AW47" s="28">
        <v>0.0</v>
      </c>
      <c r="AX47" s="5"/>
      <c r="AY47" s="5" t="str">
        <f t="array" ref="AY47">IFERROR(_xlfn.XLOOKUP($E47,'FW27'!$C$3:$C$1102,'FW27'!$AM$3:$AM$1102),"")</f>
        <v>Essentials</v>
      </c>
      <c r="AZ47" s="5" t="str">
        <f t="array" ref="AZ47">IFERROR(_xlfn.XLOOKUP($E47,'FW27'!$C$3:$C$1102,'FW27'!$AN$3:$AN$1102),"")</f>
        <v>Active Essentials</v>
      </c>
      <c r="BA47" s="32" t="s">
        <v>454</v>
      </c>
      <c r="BB47" s="5" t="str">
        <f t="array" ref="BB47">IFERROR(_xlfn.XLOOKUP($E47,'FW27'!$C$3:$C$1102,'FW27'!$AS$3:$AS$1102),"")</f>
        <v>Insulation</v>
      </c>
      <c r="BC47" s="5" t="str">
        <f t="array" ref="BC47">IFERROR(_xlfn.XLOOKUP($E47,'FW27'!$C$3:$C$1102,'FW27'!$AT$3:$AT$1102),"")</f>
        <v>Hooded Jacket</v>
      </c>
      <c r="BD47" s="5" t="str">
        <f t="array" ref="BD47">IFERROR(_xlfn.XLOOKUP($E47,'FW27'!$C$3:$C$1102,'FW27'!$AU$3:$AU$1102),"")</f>
        <v>Midweight Synthetic</v>
      </c>
      <c r="BE47" s="5" t="str">
        <f t="array" ref="BE47">IFERROR(_xlfn.XLOOKUP($E47,'FW27'!$C$3:$C$1102,'FW27'!$AV$3:$AV$1102),"")</f>
        <v>N</v>
      </c>
    </row>
    <row r="48" ht="16.5" hidden="1" customHeight="1">
      <c r="A48" s="5" t="s">
        <v>155</v>
      </c>
      <c r="B48" s="5" t="s">
        <v>215</v>
      </c>
      <c r="C48" s="5" t="b">
        <v>1</v>
      </c>
      <c r="D48" s="5" t="s">
        <v>455</v>
      </c>
      <c r="E48" s="5" t="s">
        <v>456</v>
      </c>
      <c r="F48" s="5"/>
      <c r="G48" s="5" t="s">
        <v>65</v>
      </c>
      <c r="H48" s="5" t="s">
        <v>76</v>
      </c>
      <c r="I48" s="5" t="s">
        <v>82</v>
      </c>
      <c r="J48" s="25"/>
      <c r="K48" s="25"/>
      <c r="L48" s="25" t="s">
        <v>110</v>
      </c>
      <c r="M48" s="5" t="s">
        <v>66</v>
      </c>
      <c r="N48" s="5" t="s">
        <v>355</v>
      </c>
      <c r="O48" s="5" t="s">
        <v>69</v>
      </c>
      <c r="P48" s="5" t="s">
        <v>107</v>
      </c>
      <c r="Q48" s="5" t="b">
        <v>1</v>
      </c>
      <c r="R48" s="5" t="b">
        <v>0</v>
      </c>
      <c r="S48" s="5"/>
      <c r="T48" s="5">
        <v>2600.0</v>
      </c>
      <c r="U48" s="26">
        <v>2.1</v>
      </c>
      <c r="V48" s="5">
        <v>1238.0</v>
      </c>
      <c r="W48" s="27">
        <v>0.0</v>
      </c>
      <c r="X48" s="28">
        <v>1238.0</v>
      </c>
      <c r="Y48" s="27">
        <v>1.0</v>
      </c>
      <c r="Z48" s="5" t="s">
        <v>78</v>
      </c>
      <c r="AA48" s="5">
        <v>0.64</v>
      </c>
      <c r="AB48" s="5"/>
      <c r="AC48" s="5" t="s">
        <v>198</v>
      </c>
      <c r="AD48" s="5" t="s">
        <v>81</v>
      </c>
      <c r="AE48" s="5">
        <v>3.0</v>
      </c>
      <c r="AF48" s="5">
        <v>3.0</v>
      </c>
      <c r="AG48" s="5" t="s">
        <v>460</v>
      </c>
      <c r="AH48" s="5" t="s">
        <v>146</v>
      </c>
      <c r="AI48" s="42"/>
      <c r="AJ48" s="28">
        <v>1004.0</v>
      </c>
      <c r="AK48" s="28">
        <v>1107.0</v>
      </c>
      <c r="AL48" s="28">
        <v>0.0</v>
      </c>
      <c r="AM48" s="28">
        <v>0.0</v>
      </c>
      <c r="AN48" s="28">
        <v>0.0</v>
      </c>
      <c r="AO48" s="28">
        <v>1243052.4</v>
      </c>
      <c r="AP48" s="28">
        <v>1370466.0</v>
      </c>
      <c r="AQ48" s="28">
        <v>0.0</v>
      </c>
      <c r="AR48" s="28">
        <v>0.0</v>
      </c>
      <c r="AS48" s="28">
        <v>0.0</v>
      </c>
      <c r="AT48" s="28">
        <v>1106705.4307862679</v>
      </c>
      <c r="AU48" s="28">
        <v>1123400.5719</v>
      </c>
      <c r="AV48" s="28">
        <v>0.0</v>
      </c>
      <c r="AW48" s="28">
        <v>0.0</v>
      </c>
      <c r="AX48" s="5"/>
      <c r="AY48" s="5" t="str">
        <f t="array" ref="AY48">IFERROR(_xlfn.XLOOKUP($E48,'FW27'!$C$3:$C$1102,'FW27'!$AM$3:$AM$1102),"")</f>
        <v>Essentials</v>
      </c>
      <c r="AZ48" s="5" t="str">
        <f t="array" ref="AZ48">IFERROR(_xlfn.XLOOKUP($E48,'FW27'!$C$3:$C$1102,'FW27'!$AN$3:$AN$1102),"")</f>
        <v>Active Essentials</v>
      </c>
      <c r="BA48" s="32" t="s">
        <v>454</v>
      </c>
      <c r="BB48" s="5" t="str">
        <f t="array" ref="BB48">IFERROR(_xlfn.XLOOKUP($E48,'FW27'!$C$3:$C$1102,'FW27'!$AS$3:$AS$1102),"")</f>
        <v>Insulation</v>
      </c>
      <c r="BC48" s="5" t="str">
        <f t="array" ref="BC48">IFERROR(_xlfn.XLOOKUP($E48,'FW27'!$C$3:$C$1102,'FW27'!$AT$3:$AT$1102),"")</f>
        <v>Hooded Jacket</v>
      </c>
      <c r="BD48" s="5" t="str">
        <f t="array" ref="BD48">IFERROR(_xlfn.XLOOKUP($E48,'FW27'!$C$3:$C$1102,'FW27'!$AU$3:$AU$1102),"")</f>
        <v>Midweight Synthetic</v>
      </c>
      <c r="BE48" s="5" t="str">
        <f t="array" ref="BE48">IFERROR(_xlfn.XLOOKUP($E48,'FW27'!$C$3:$C$1102,'FW27'!$AV$3:$AV$1102),"")</f>
        <v>N</v>
      </c>
    </row>
    <row r="49" ht="16.5" hidden="1" customHeight="1">
      <c r="A49" s="5" t="s">
        <v>155</v>
      </c>
      <c r="B49" s="5" t="s">
        <v>137</v>
      </c>
      <c r="C49" s="5" t="b">
        <v>1</v>
      </c>
      <c r="D49" s="5" t="s">
        <v>256</v>
      </c>
      <c r="E49" s="5" t="s">
        <v>258</v>
      </c>
      <c r="F49" s="5"/>
      <c r="G49" s="5" t="s">
        <v>65</v>
      </c>
      <c r="H49" s="5" t="s">
        <v>84</v>
      </c>
      <c r="I49" s="5" t="s">
        <v>82</v>
      </c>
      <c r="J49" s="25"/>
      <c r="K49" s="25"/>
      <c r="L49" s="25" t="s">
        <v>110</v>
      </c>
      <c r="M49" s="5" t="s">
        <v>66</v>
      </c>
      <c r="N49" s="5" t="s">
        <v>68</v>
      </c>
      <c r="O49" s="5" t="s">
        <v>69</v>
      </c>
      <c r="P49" s="5" t="s">
        <v>70</v>
      </c>
      <c r="Q49" s="5" t="b">
        <v>1</v>
      </c>
      <c r="R49" s="5" t="b">
        <v>0</v>
      </c>
      <c r="S49" s="5"/>
      <c r="T49" s="5">
        <v>2000.0</v>
      </c>
      <c r="U49" s="26">
        <v>2.1</v>
      </c>
      <c r="V49" s="5">
        <v>952.0</v>
      </c>
      <c r="W49" s="27">
        <v>0.0</v>
      </c>
      <c r="X49" s="28">
        <v>952.0</v>
      </c>
      <c r="Y49" s="27">
        <v>1.0</v>
      </c>
      <c r="Z49" s="5" t="s">
        <v>78</v>
      </c>
      <c r="AA49" s="5">
        <v>0.6</v>
      </c>
      <c r="AB49" s="5"/>
      <c r="AC49" s="5" t="s">
        <v>166</v>
      </c>
      <c r="AD49" s="5" t="s">
        <v>81</v>
      </c>
      <c r="AE49" s="5">
        <v>6.0</v>
      </c>
      <c r="AF49" s="5">
        <v>5.0</v>
      </c>
      <c r="AG49" s="5" t="s">
        <v>0</v>
      </c>
      <c r="AH49" s="5" t="s">
        <v>0</v>
      </c>
      <c r="AI49" s="42"/>
      <c r="AJ49" s="28">
        <v>3146.0</v>
      </c>
      <c r="AK49" s="28">
        <v>2710.0</v>
      </c>
      <c r="AL49" s="28">
        <v>0.0</v>
      </c>
      <c r="AM49" s="28">
        <v>4669.0</v>
      </c>
      <c r="AN49" s="28">
        <v>0.0</v>
      </c>
      <c r="AO49" s="28">
        <v>2996187.48</v>
      </c>
      <c r="AP49" s="28">
        <v>2579920.0</v>
      </c>
      <c r="AQ49" s="28">
        <v>0.0</v>
      </c>
      <c r="AR49" s="28">
        <v>4446662.22</v>
      </c>
      <c r="AS49" s="28">
        <v>0.0</v>
      </c>
      <c r="AT49" s="28">
        <v>2357035.757807309</v>
      </c>
      <c r="AU49" s="28">
        <v>2086447.7810499994</v>
      </c>
      <c r="AV49" s="28">
        <v>0.0</v>
      </c>
      <c r="AW49" s="28">
        <v>3230159.292358803</v>
      </c>
      <c r="AX49" s="5"/>
      <c r="AY49" s="5" t="str">
        <f t="array" ref="AY49">IFERROR(_xlfn.XLOOKUP($E49,'FW27'!$C$3:$C$1102,'FW27'!$AM$3:$AM$1102),"")</f>
        <v>Essentials</v>
      </c>
      <c r="AZ49" s="5" t="str">
        <f t="array" ref="AZ49">IFERROR(_xlfn.XLOOKUP($E49,'FW27'!$C$3:$C$1102,'FW27'!$AN$3:$AN$1102),"")</f>
        <v>Daily Essentials</v>
      </c>
      <c r="BA49" s="32" t="s">
        <v>264</v>
      </c>
      <c r="BB49" s="5" t="str">
        <f t="array" ref="BB49">IFERROR(_xlfn.XLOOKUP($E49,'FW27'!$C$3:$C$1102,'FW27'!$AS$3:$AS$1102),"")</f>
        <v>Shell</v>
      </c>
      <c r="BC49" s="5" t="str">
        <f t="array" ref="BC49">IFERROR(_xlfn.XLOOKUP($E49,'FW27'!$C$3:$C$1102,'FW27'!$AT$3:$AT$1102),"")</f>
        <v>Jacket</v>
      </c>
      <c r="BD49" s="5" t="str">
        <f t="array" ref="BD49">IFERROR(_xlfn.XLOOKUP($E49,'FW27'!$C$3:$C$1102,'FW27'!$AU$3:$AU$1102),"")</f>
        <v>2L</v>
      </c>
      <c r="BE49" s="5" t="str">
        <f t="array" ref="BE49">IFERROR(_xlfn.XLOOKUP($E49,'FW27'!$C$3:$C$1102,'FW27'!$AV$3:$AV$1102),"")</f>
        <v>Y</v>
      </c>
    </row>
    <row r="50" ht="16.5" hidden="1" customHeight="1">
      <c r="A50" s="5" t="s">
        <v>155</v>
      </c>
      <c r="B50" s="5" t="s">
        <v>137</v>
      </c>
      <c r="C50" s="5" t="b">
        <v>1</v>
      </c>
      <c r="D50" s="47" t="s">
        <v>467</v>
      </c>
      <c r="E50" s="47" t="s">
        <v>468</v>
      </c>
      <c r="F50" s="47"/>
      <c r="G50" s="47" t="s">
        <v>65</v>
      </c>
      <c r="H50" s="47" t="s">
        <v>74</v>
      </c>
      <c r="I50" s="47" t="s">
        <v>82</v>
      </c>
      <c r="J50" s="48" t="s">
        <v>322</v>
      </c>
      <c r="K50" s="25" t="s">
        <v>150</v>
      </c>
      <c r="L50" s="25" t="s">
        <v>110</v>
      </c>
      <c r="M50" s="5" t="s">
        <v>66</v>
      </c>
      <c r="N50" s="5" t="s">
        <v>68</v>
      </c>
      <c r="O50" s="5" t="s">
        <v>96</v>
      </c>
      <c r="P50" s="5" t="s">
        <v>70</v>
      </c>
      <c r="Q50" s="5" t="b">
        <v>1</v>
      </c>
      <c r="R50" s="5" t="b">
        <v>0</v>
      </c>
      <c r="S50" s="5"/>
      <c r="T50" s="5">
        <v>2000.0</v>
      </c>
      <c r="U50" s="26">
        <v>2.1</v>
      </c>
      <c r="V50" s="5">
        <v>952.0</v>
      </c>
      <c r="W50" s="27">
        <v>0.0</v>
      </c>
      <c r="X50" s="28">
        <v>952.0</v>
      </c>
      <c r="Y50" s="27">
        <v>1.0</v>
      </c>
      <c r="Z50" s="5" t="s">
        <v>78</v>
      </c>
      <c r="AA50" s="27">
        <v>0.6</v>
      </c>
      <c r="AB50" s="5"/>
      <c r="AC50" s="5" t="s">
        <v>166</v>
      </c>
      <c r="AD50" s="5" t="s">
        <v>81</v>
      </c>
      <c r="AE50" s="24">
        <v>0.0</v>
      </c>
      <c r="AF50" s="5">
        <v>5.0</v>
      </c>
      <c r="AG50" s="5" t="s">
        <v>0</v>
      </c>
      <c r="AH50" s="5" t="s">
        <v>471</v>
      </c>
      <c r="AI50" s="56"/>
      <c r="AJ50" s="28">
        <v>0.0</v>
      </c>
      <c r="AK50" s="28">
        <v>0.0</v>
      </c>
      <c r="AL50" s="28">
        <v>0.0</v>
      </c>
      <c r="AM50" s="28">
        <v>0.0</v>
      </c>
      <c r="AN50" s="28">
        <v>0.0</v>
      </c>
      <c r="AO50" s="28">
        <v>0.0</v>
      </c>
      <c r="AP50" s="28">
        <v>0.0</v>
      </c>
      <c r="AQ50" s="28">
        <v>0.0</v>
      </c>
      <c r="AR50" s="28">
        <v>0.0</v>
      </c>
      <c r="AS50" s="28">
        <v>0.0</v>
      </c>
      <c r="AT50" s="28">
        <v>0.0</v>
      </c>
      <c r="AU50" s="28">
        <v>0.0</v>
      </c>
      <c r="AV50" s="28">
        <v>0.0</v>
      </c>
      <c r="AW50" s="28">
        <v>0.0</v>
      </c>
      <c r="AX50" s="5"/>
      <c r="AY50" s="5" t="s">
        <v>125</v>
      </c>
      <c r="AZ50" s="5" t="s">
        <v>174</v>
      </c>
      <c r="BA50" s="32" t="s">
        <v>264</v>
      </c>
      <c r="BB50" s="5" t="s">
        <v>68</v>
      </c>
      <c r="BC50" s="5" t="s">
        <v>89</v>
      </c>
      <c r="BD50" s="5" t="s">
        <v>90</v>
      </c>
      <c r="BE50" s="5" t="s">
        <v>91</v>
      </c>
    </row>
    <row r="51" ht="16.5" hidden="1" customHeight="1">
      <c r="A51" s="5" t="s">
        <v>155</v>
      </c>
      <c r="B51" s="5" t="s">
        <v>137</v>
      </c>
      <c r="C51" s="5" t="b">
        <v>1</v>
      </c>
      <c r="D51" s="5" t="s">
        <v>265</v>
      </c>
      <c r="E51" s="5" t="s">
        <v>266</v>
      </c>
      <c r="F51" s="5"/>
      <c r="G51" s="5" t="s">
        <v>65</v>
      </c>
      <c r="H51" s="5" t="s">
        <v>84</v>
      </c>
      <c r="I51" s="5" t="s">
        <v>82</v>
      </c>
      <c r="J51" s="25"/>
      <c r="K51" s="25"/>
      <c r="L51" s="25" t="s">
        <v>110</v>
      </c>
      <c r="M51" s="5" t="s">
        <v>66</v>
      </c>
      <c r="N51" s="5" t="s">
        <v>68</v>
      </c>
      <c r="O51" s="5" t="s">
        <v>69</v>
      </c>
      <c r="P51" s="5" t="s">
        <v>107</v>
      </c>
      <c r="Q51" s="5" t="b">
        <v>1</v>
      </c>
      <c r="R51" s="5" t="b">
        <v>0</v>
      </c>
      <c r="S51" s="5"/>
      <c r="T51" s="5">
        <v>2000.0</v>
      </c>
      <c r="U51" s="26">
        <v>2.1</v>
      </c>
      <c r="V51" s="5">
        <v>952.0</v>
      </c>
      <c r="W51" s="27">
        <v>0.0</v>
      </c>
      <c r="X51" s="28">
        <v>952.0</v>
      </c>
      <c r="Y51" s="27">
        <v>1.0</v>
      </c>
      <c r="Z51" s="5" t="s">
        <v>78</v>
      </c>
      <c r="AA51" s="5">
        <v>0.61</v>
      </c>
      <c r="AB51" s="5"/>
      <c r="AC51" s="5" t="s">
        <v>166</v>
      </c>
      <c r="AD51" s="5" t="s">
        <v>81</v>
      </c>
      <c r="AE51" s="5">
        <v>5.0</v>
      </c>
      <c r="AF51" s="5">
        <v>4.0</v>
      </c>
      <c r="AG51" s="5" t="s">
        <v>659</v>
      </c>
      <c r="AH51" s="5" t="s">
        <v>0</v>
      </c>
      <c r="AI51" s="42"/>
      <c r="AJ51" s="28">
        <v>2459.0</v>
      </c>
      <c r="AK51" s="28">
        <v>2000.0</v>
      </c>
      <c r="AL51" s="28">
        <v>0.0</v>
      </c>
      <c r="AM51" s="28">
        <v>3615.0</v>
      </c>
      <c r="AN51" s="28">
        <v>0.0</v>
      </c>
      <c r="AO51" s="28">
        <v>2341902.42</v>
      </c>
      <c r="AP51" s="28">
        <v>1904000.0</v>
      </c>
      <c r="AQ51" s="28">
        <v>0.0</v>
      </c>
      <c r="AR51" s="28">
        <v>3442853.6999999997</v>
      </c>
      <c r="AS51" s="28">
        <v>0.0</v>
      </c>
      <c r="AT51" s="28">
        <v>1843003.8349944628</v>
      </c>
      <c r="AU51" s="28">
        <v>1593406.5724700002</v>
      </c>
      <c r="AV51" s="28">
        <v>0.0</v>
      </c>
      <c r="AW51" s="28">
        <v>2615202.316168327</v>
      </c>
      <c r="AX51" s="5"/>
      <c r="AY51" s="5" t="str">
        <f t="array" ref="AY51">IFERROR(_xlfn.XLOOKUP($E51,'FW27'!$C$3:$C$1102,'FW27'!$AM$3:$AM$1102),"")</f>
        <v>Essentials</v>
      </c>
      <c r="AZ51" s="5" t="str">
        <f t="array" ref="AZ51">IFERROR(_xlfn.XLOOKUP($E51,'FW27'!$C$3:$C$1102,'FW27'!$AN$3:$AN$1102),"")</f>
        <v>Daily Essentials</v>
      </c>
      <c r="BA51" s="32" t="s">
        <v>264</v>
      </c>
      <c r="BB51" s="5" t="str">
        <f t="array" ref="BB51">IFERROR(_xlfn.XLOOKUP($E51,'FW27'!$C$3:$C$1102,'FW27'!$AS$3:$AS$1102),"")</f>
        <v>Shell</v>
      </c>
      <c r="BC51" s="5" t="str">
        <f t="array" ref="BC51">IFERROR(_xlfn.XLOOKUP($E51,'FW27'!$C$3:$C$1102,'FW27'!$AT$3:$AT$1102),"")</f>
        <v>Jacket</v>
      </c>
      <c r="BD51" s="5" t="str">
        <f t="array" ref="BD51">IFERROR(_xlfn.XLOOKUP($E51,'FW27'!$C$3:$C$1102,'FW27'!$AU$3:$AU$1102),"")</f>
        <v>2L</v>
      </c>
      <c r="BE51" s="5" t="str">
        <f t="array" ref="BE51">IFERROR(_xlfn.XLOOKUP($E51,'FW27'!$C$3:$C$1102,'FW27'!$AV$3:$AV$1102),"")</f>
        <v>Y</v>
      </c>
    </row>
    <row r="52" ht="16.5" hidden="1" customHeight="1">
      <c r="A52" s="5" t="s">
        <v>155</v>
      </c>
      <c r="B52" s="5" t="s">
        <v>137</v>
      </c>
      <c r="C52" s="5" t="b">
        <v>1</v>
      </c>
      <c r="D52" s="47" t="s">
        <v>479</v>
      </c>
      <c r="E52" s="47" t="s">
        <v>481</v>
      </c>
      <c r="F52" s="47"/>
      <c r="G52" s="47" t="s">
        <v>65</v>
      </c>
      <c r="H52" s="47" t="s">
        <v>74</v>
      </c>
      <c r="I52" s="47" t="s">
        <v>82</v>
      </c>
      <c r="J52" s="48" t="s">
        <v>322</v>
      </c>
      <c r="K52" s="25" t="s">
        <v>150</v>
      </c>
      <c r="L52" s="25" t="s">
        <v>110</v>
      </c>
      <c r="M52" s="5" t="s">
        <v>66</v>
      </c>
      <c r="N52" s="5" t="s">
        <v>68</v>
      </c>
      <c r="O52" s="5" t="s">
        <v>96</v>
      </c>
      <c r="P52" s="5" t="s">
        <v>107</v>
      </c>
      <c r="Q52" s="5" t="b">
        <v>1</v>
      </c>
      <c r="R52" s="5" t="b">
        <v>0</v>
      </c>
      <c r="S52" s="5"/>
      <c r="T52" s="5">
        <v>2000.0</v>
      </c>
      <c r="U52" s="26">
        <v>2.1</v>
      </c>
      <c r="V52" s="5">
        <v>952.0</v>
      </c>
      <c r="W52" s="27">
        <v>0.0</v>
      </c>
      <c r="X52" s="28">
        <v>952.0</v>
      </c>
      <c r="Y52" s="27">
        <v>1.0</v>
      </c>
      <c r="Z52" s="5" t="s">
        <v>78</v>
      </c>
      <c r="AA52" s="27">
        <v>0.61</v>
      </c>
      <c r="AB52" s="5"/>
      <c r="AC52" s="5" t="s">
        <v>166</v>
      </c>
      <c r="AD52" s="5" t="s">
        <v>81</v>
      </c>
      <c r="AE52" s="24">
        <v>0.0</v>
      </c>
      <c r="AF52" s="5">
        <v>4.0</v>
      </c>
      <c r="AG52" s="5" t="s">
        <v>0</v>
      </c>
      <c r="AH52" s="5" t="s">
        <v>471</v>
      </c>
      <c r="AI52" s="56"/>
      <c r="AJ52" s="28">
        <v>0.0</v>
      </c>
      <c r="AK52" s="28">
        <v>0.0</v>
      </c>
      <c r="AL52" s="28">
        <v>0.0</v>
      </c>
      <c r="AM52" s="28">
        <v>0.0</v>
      </c>
      <c r="AN52" s="28">
        <v>0.0</v>
      </c>
      <c r="AO52" s="28">
        <v>0.0</v>
      </c>
      <c r="AP52" s="28">
        <v>0.0</v>
      </c>
      <c r="AQ52" s="28">
        <v>0.0</v>
      </c>
      <c r="AR52" s="28">
        <v>0.0</v>
      </c>
      <c r="AS52" s="28">
        <v>0.0</v>
      </c>
      <c r="AT52" s="28">
        <v>0.0</v>
      </c>
      <c r="AU52" s="28">
        <v>0.0</v>
      </c>
      <c r="AV52" s="28">
        <v>0.0</v>
      </c>
      <c r="AW52" s="28">
        <v>0.0</v>
      </c>
      <c r="AX52" s="5"/>
      <c r="AY52" s="5" t="s">
        <v>125</v>
      </c>
      <c r="AZ52" s="5" t="s">
        <v>174</v>
      </c>
      <c r="BA52" s="32" t="s">
        <v>264</v>
      </c>
      <c r="BB52" s="5" t="s">
        <v>68</v>
      </c>
      <c r="BC52" s="5" t="s">
        <v>89</v>
      </c>
      <c r="BD52" s="5" t="s">
        <v>90</v>
      </c>
      <c r="BE52" s="5" t="s">
        <v>91</v>
      </c>
    </row>
    <row r="53" ht="16.5" hidden="1" customHeight="1">
      <c r="A53" s="5" t="s">
        <v>155</v>
      </c>
      <c r="B53" s="5" t="s">
        <v>137</v>
      </c>
      <c r="C53" s="5" t="b">
        <v>1</v>
      </c>
      <c r="D53" s="5" t="s">
        <v>494</v>
      </c>
      <c r="E53" s="5" t="s">
        <v>495</v>
      </c>
      <c r="F53" s="5"/>
      <c r="G53" s="5" t="s">
        <v>65</v>
      </c>
      <c r="H53" s="5" t="s">
        <v>84</v>
      </c>
      <c r="I53" s="5" t="s">
        <v>82</v>
      </c>
      <c r="J53" s="25"/>
      <c r="K53" s="25"/>
      <c r="L53" s="25"/>
      <c r="M53" s="5" t="s">
        <v>500</v>
      </c>
      <c r="N53" s="5" t="s">
        <v>270</v>
      </c>
      <c r="O53" s="5" t="s">
        <v>69</v>
      </c>
      <c r="P53" s="5" t="s">
        <v>70</v>
      </c>
      <c r="Q53" s="5" t="b">
        <v>1</v>
      </c>
      <c r="R53" s="5" t="b">
        <v>0</v>
      </c>
      <c r="S53" s="5"/>
      <c r="T53" s="5">
        <v>2200.0</v>
      </c>
      <c r="U53" s="26">
        <v>2.1</v>
      </c>
      <c r="V53" s="5">
        <v>1048.0</v>
      </c>
      <c r="W53" s="27">
        <v>0.0</v>
      </c>
      <c r="X53" s="28">
        <v>1048.0</v>
      </c>
      <c r="Y53" s="27">
        <v>1.0</v>
      </c>
      <c r="Z53" s="5" t="s">
        <v>242</v>
      </c>
      <c r="AA53" s="5">
        <v>0.58</v>
      </c>
      <c r="AB53" s="5"/>
      <c r="AC53" s="5" t="s">
        <v>81</v>
      </c>
      <c r="AD53" s="5" t="s">
        <v>81</v>
      </c>
      <c r="AE53" s="5">
        <v>4.0</v>
      </c>
      <c r="AF53" s="5">
        <v>3.0</v>
      </c>
      <c r="AG53" s="5" t="s">
        <v>933</v>
      </c>
      <c r="AH53" s="5" t="s">
        <v>0</v>
      </c>
      <c r="AI53" s="42"/>
      <c r="AJ53" s="28">
        <v>1987.0</v>
      </c>
      <c r="AK53" s="28">
        <v>0.0</v>
      </c>
      <c r="AL53" s="28">
        <v>0.0</v>
      </c>
      <c r="AM53" s="28">
        <v>0.0</v>
      </c>
      <c r="AN53" s="28">
        <v>0.0</v>
      </c>
      <c r="AO53" s="28">
        <v>2081620.9399999997</v>
      </c>
      <c r="AP53" s="28">
        <v>0.0</v>
      </c>
      <c r="AQ53" s="28">
        <v>0.0</v>
      </c>
      <c r="AR53" s="28">
        <v>0.0</v>
      </c>
      <c r="AS53" s="28">
        <v>0.0</v>
      </c>
      <c r="AT53" s="28">
        <v>1221855.5847176078</v>
      </c>
      <c r="AU53" s="28">
        <v>0.0</v>
      </c>
      <c r="AV53" s="28">
        <v>0.0</v>
      </c>
      <c r="AW53" s="28">
        <v>0.0</v>
      </c>
      <c r="AX53" s="5"/>
      <c r="AY53" s="5" t="str">
        <f t="array" ref="AY53">IFERROR(_xlfn.XLOOKUP($E53,'FW27'!$C$3:$C$1102,'FW27'!$AM$3:$AM$1102),"")</f>
        <v>Essentials</v>
      </c>
      <c r="AZ53" s="5" t="str">
        <f t="array" ref="AZ53">IFERROR(_xlfn.XLOOKUP($E53,'FW27'!$C$3:$C$1102,'FW27'!$AN$3:$AN$1102),"")</f>
        <v>Active Essentials</v>
      </c>
      <c r="BA53" s="32" t="s">
        <v>510</v>
      </c>
      <c r="BB53" s="5" t="str">
        <f t="array" ref="BB53">IFERROR(_xlfn.XLOOKUP($E53,'FW27'!$C$3:$C$1102,'FW27'!$AS$3:$AS$1102),"")</f>
        <v>Fleece/Midlayer</v>
      </c>
      <c r="BC53" s="5" t="str">
        <f t="array" ref="BC53">IFERROR(_xlfn.XLOOKUP($E53,'FW27'!$C$3:$C$1102,'FW27'!$AT$3:$AT$1102),"")</f>
        <v>Hooded Jacket</v>
      </c>
      <c r="BD53" s="5" t="str">
        <f t="array" ref="BD53">IFERROR(_xlfn.XLOOKUP($E53,'FW27'!$C$3:$C$1102,'FW27'!$AU$3:$AU$1102),"")</f>
        <v>Lightweight</v>
      </c>
      <c r="BE53" s="5" t="str">
        <f t="array" ref="BE53">IFERROR(_xlfn.XLOOKUP($E53,'FW27'!$C$3:$C$1102,'FW27'!$AV$3:$AV$1102),"")</f>
        <v>N</v>
      </c>
    </row>
    <row r="54" ht="16.5" hidden="1" customHeight="1">
      <c r="A54" s="5" t="s">
        <v>155</v>
      </c>
      <c r="B54" s="5" t="s">
        <v>137</v>
      </c>
      <c r="C54" s="5" t="b">
        <v>1</v>
      </c>
      <c r="D54" s="5" t="s">
        <v>513</v>
      </c>
      <c r="E54" s="5" t="s">
        <v>514</v>
      </c>
      <c r="F54" s="5"/>
      <c r="G54" s="5" t="s">
        <v>65</v>
      </c>
      <c r="H54" s="5" t="s">
        <v>84</v>
      </c>
      <c r="I54" s="5" t="s">
        <v>82</v>
      </c>
      <c r="J54" s="25"/>
      <c r="K54" s="25"/>
      <c r="L54" s="25"/>
      <c r="M54" s="5" t="s">
        <v>500</v>
      </c>
      <c r="N54" s="5" t="s">
        <v>270</v>
      </c>
      <c r="O54" s="5" t="s">
        <v>69</v>
      </c>
      <c r="P54" s="5" t="s">
        <v>107</v>
      </c>
      <c r="Q54" s="5" t="b">
        <v>1</v>
      </c>
      <c r="R54" s="5" t="b">
        <v>0</v>
      </c>
      <c r="S54" s="5"/>
      <c r="T54" s="5">
        <v>2200.0</v>
      </c>
      <c r="U54" s="26">
        <v>2.1</v>
      </c>
      <c r="V54" s="5">
        <v>1048.0</v>
      </c>
      <c r="W54" s="27">
        <v>0.0</v>
      </c>
      <c r="X54" s="28">
        <v>1048.0</v>
      </c>
      <c r="Y54" s="27">
        <v>1.0</v>
      </c>
      <c r="Z54" s="5" t="s">
        <v>242</v>
      </c>
      <c r="AA54" s="5">
        <v>0.6</v>
      </c>
      <c r="AB54" s="5"/>
      <c r="AC54" s="5" t="s">
        <v>81</v>
      </c>
      <c r="AD54" s="5" t="s">
        <v>81</v>
      </c>
      <c r="AE54" s="5">
        <v>4.0</v>
      </c>
      <c r="AF54" s="5">
        <v>3.0</v>
      </c>
      <c r="AG54" s="5" t="s">
        <v>659</v>
      </c>
      <c r="AH54" s="5" t="s">
        <v>0</v>
      </c>
      <c r="AI54" s="42"/>
      <c r="AJ54" s="28">
        <v>1497.0</v>
      </c>
      <c r="AK54" s="28">
        <v>0.0</v>
      </c>
      <c r="AL54" s="28">
        <v>0.0</v>
      </c>
      <c r="AM54" s="28">
        <v>0.0</v>
      </c>
      <c r="AN54" s="28">
        <v>0.0</v>
      </c>
      <c r="AO54" s="28">
        <v>1568287.14</v>
      </c>
      <c r="AP54" s="28">
        <v>0.0</v>
      </c>
      <c r="AQ54" s="28">
        <v>0.0</v>
      </c>
      <c r="AR54" s="28">
        <v>0.0</v>
      </c>
      <c r="AS54" s="28">
        <v>0.0</v>
      </c>
      <c r="AT54" s="28">
        <v>856425.965669989</v>
      </c>
      <c r="AU54" s="28">
        <v>0.0</v>
      </c>
      <c r="AV54" s="28">
        <v>0.0</v>
      </c>
      <c r="AW54" s="28">
        <v>0.0</v>
      </c>
      <c r="AX54" s="5"/>
      <c r="AY54" s="5" t="str">
        <f t="array" ref="AY54">IFERROR(_xlfn.XLOOKUP($E54,'FW27'!$C$3:$C$1102,'FW27'!$AM$3:$AM$1102),"")</f>
        <v>Essentials</v>
      </c>
      <c r="AZ54" s="5" t="str">
        <f t="array" ref="AZ54">IFERROR(_xlfn.XLOOKUP($E54,'FW27'!$C$3:$C$1102,'FW27'!$AN$3:$AN$1102),"")</f>
        <v>Active Essentials</v>
      </c>
      <c r="BA54" s="32" t="s">
        <v>510</v>
      </c>
      <c r="BB54" s="5" t="str">
        <f t="array" ref="BB54">IFERROR(_xlfn.XLOOKUP($E54,'FW27'!$C$3:$C$1102,'FW27'!$AS$3:$AS$1102),"")</f>
        <v>Fleece/Midlayer</v>
      </c>
      <c r="BC54" s="5" t="str">
        <f t="array" ref="BC54">IFERROR(_xlfn.XLOOKUP($E54,'FW27'!$C$3:$C$1102,'FW27'!$AT$3:$AT$1102),"")</f>
        <v>Hooded Jacket</v>
      </c>
      <c r="BD54" s="5" t="str">
        <f t="array" ref="BD54">IFERROR(_xlfn.XLOOKUP($E54,'FW27'!$C$3:$C$1102,'FW27'!$AU$3:$AU$1102),"")</f>
        <v>Lightweight</v>
      </c>
      <c r="BE54" s="5" t="str">
        <f t="array" ref="BE54">IFERROR(_xlfn.XLOOKUP($E54,'FW27'!$C$3:$C$1102,'FW27'!$AV$3:$AV$1102),"")</f>
        <v>N</v>
      </c>
    </row>
    <row r="55" ht="16.5" hidden="1" customHeight="1">
      <c r="A55" s="5" t="s">
        <v>155</v>
      </c>
      <c r="B55" s="5" t="s">
        <v>137</v>
      </c>
      <c r="C55" s="5" t="b">
        <v>1</v>
      </c>
      <c r="D55" s="43" t="s">
        <v>268</v>
      </c>
      <c r="E55" s="43" t="s">
        <v>269</v>
      </c>
      <c r="F55" s="43"/>
      <c r="G55" s="43" t="s">
        <v>65</v>
      </c>
      <c r="H55" s="43" t="s">
        <v>84</v>
      </c>
      <c r="I55" s="43" t="s">
        <v>82</v>
      </c>
      <c r="J55" s="44" t="s">
        <v>960</v>
      </c>
      <c r="K55" s="25"/>
      <c r="L55" s="25"/>
      <c r="M55" s="5" t="s">
        <v>66</v>
      </c>
      <c r="N55" s="5" t="s">
        <v>270</v>
      </c>
      <c r="O55" s="5" t="s">
        <v>69</v>
      </c>
      <c r="P55" s="5" t="s">
        <v>70</v>
      </c>
      <c r="Q55" s="5" t="b">
        <v>1</v>
      </c>
      <c r="R55" s="5" t="b">
        <v>0</v>
      </c>
      <c r="S55" s="5"/>
      <c r="T55" s="5">
        <v>900.0</v>
      </c>
      <c r="U55" s="26">
        <v>2.1</v>
      </c>
      <c r="V55" s="5">
        <v>429.0</v>
      </c>
      <c r="W55" s="27">
        <v>0.0</v>
      </c>
      <c r="X55" s="28">
        <v>429.0</v>
      </c>
      <c r="Y55" s="27">
        <v>1.0</v>
      </c>
      <c r="Z55" s="5" t="s">
        <v>78</v>
      </c>
      <c r="AA55" s="5">
        <v>0.65</v>
      </c>
      <c r="AB55" s="5"/>
      <c r="AC55" s="5" t="s">
        <v>273</v>
      </c>
      <c r="AD55" s="5" t="s">
        <v>81</v>
      </c>
      <c r="AE55" s="5">
        <v>6.0</v>
      </c>
      <c r="AF55" s="5">
        <v>5.0</v>
      </c>
      <c r="AG55" s="5" t="s">
        <v>964</v>
      </c>
      <c r="AH55" s="5" t="s">
        <v>0</v>
      </c>
      <c r="AI55" s="42"/>
      <c r="AJ55" s="28">
        <v>17373.0</v>
      </c>
      <c r="AK55" s="28">
        <v>15531.0</v>
      </c>
      <c r="AL55" s="28">
        <v>0.0</v>
      </c>
      <c r="AM55" s="28">
        <v>8354.0</v>
      </c>
      <c r="AN55" s="28">
        <v>0.0</v>
      </c>
      <c r="AO55" s="28">
        <v>7445546.609999999</v>
      </c>
      <c r="AP55" s="28">
        <v>6662799.0</v>
      </c>
      <c r="AQ55" s="28">
        <v>0.0</v>
      </c>
      <c r="AR55" s="28">
        <v>3580273.779999999</v>
      </c>
      <c r="AS55" s="28">
        <v>0.0</v>
      </c>
      <c r="AT55" s="28">
        <v>5403121.655038758</v>
      </c>
      <c r="AU55" s="28">
        <v>4983007.185975999</v>
      </c>
      <c r="AV55" s="28">
        <v>0.0</v>
      </c>
      <c r="AW55" s="28">
        <v>2899581.0404208195</v>
      </c>
      <c r="AX55" s="5"/>
      <c r="AY55" s="5" t="str">
        <f t="array" ref="AY55">IFERROR(_xlfn.XLOOKUP($E55,'FW27'!$C$3:$C$1102,'FW27'!$AM$3:$AM$1102),"")</f>
        <v>Essentials</v>
      </c>
      <c r="AZ55" s="5" t="str">
        <f t="array" ref="AZ55">IFERROR(_xlfn.XLOOKUP($E55,'FW27'!$C$3:$C$1102,'FW27'!$AN$3:$AN$1102),"")</f>
        <v>Active Essentials</v>
      </c>
      <c r="BA55" s="5" t="s">
        <v>237</v>
      </c>
      <c r="BB55" s="5" t="str">
        <f t="array" ref="BB55">IFERROR(_xlfn.XLOOKUP($E55,'FW27'!$C$3:$C$1102,'FW27'!$AS$3:$AS$1102),"")</f>
        <v>Fleece/Midlayer</v>
      </c>
      <c r="BC55" s="5" t="str">
        <f t="array" ref="BC55">IFERROR(_xlfn.XLOOKUP($E55,'FW27'!$C$3:$C$1102,'FW27'!$AT$3:$AT$1102),"")</f>
        <v>Jacket</v>
      </c>
      <c r="BD55" s="5" t="str">
        <f t="array" ref="BD55">IFERROR(_xlfn.XLOOKUP($E55,'FW27'!$C$3:$C$1102,'FW27'!$AU$3:$AU$1102),"")</f>
        <v>Midweight</v>
      </c>
      <c r="BE55" s="5" t="str">
        <f t="array" ref="BE55">IFERROR(_xlfn.XLOOKUP($E55,'FW27'!$C$3:$C$1102,'FW27'!$AV$3:$AV$1102),"")</f>
        <v>N</v>
      </c>
    </row>
    <row r="56" ht="16.5" hidden="1" customHeight="1">
      <c r="A56" s="5" t="s">
        <v>155</v>
      </c>
      <c r="B56" s="5" t="s">
        <v>137</v>
      </c>
      <c r="C56" s="5" t="b">
        <v>1</v>
      </c>
      <c r="D56" s="47" t="s">
        <v>536</v>
      </c>
      <c r="E56" s="47" t="s">
        <v>537</v>
      </c>
      <c r="F56" s="47"/>
      <c r="G56" s="47" t="s">
        <v>65</v>
      </c>
      <c r="H56" s="47" t="s">
        <v>74</v>
      </c>
      <c r="I56" s="47" t="s">
        <v>82</v>
      </c>
      <c r="J56" s="48" t="s">
        <v>322</v>
      </c>
      <c r="K56" s="25" t="s">
        <v>150</v>
      </c>
      <c r="L56" s="25"/>
      <c r="M56" s="5" t="s">
        <v>66</v>
      </c>
      <c r="N56" s="5" t="s">
        <v>270</v>
      </c>
      <c r="O56" s="5" t="s">
        <v>96</v>
      </c>
      <c r="P56" s="5" t="s">
        <v>70</v>
      </c>
      <c r="Q56" s="5" t="b">
        <v>1</v>
      </c>
      <c r="R56" s="5" t="b">
        <v>0</v>
      </c>
      <c r="S56" s="5"/>
      <c r="T56" s="5">
        <v>900.0</v>
      </c>
      <c r="U56" s="26">
        <v>2.1</v>
      </c>
      <c r="V56" s="5">
        <v>429.0</v>
      </c>
      <c r="W56" s="27">
        <v>0.0</v>
      </c>
      <c r="X56" s="28">
        <v>429.0</v>
      </c>
      <c r="Y56" s="27">
        <v>1.0</v>
      </c>
      <c r="Z56" s="5" t="s">
        <v>78</v>
      </c>
      <c r="AA56" s="27">
        <v>0.65</v>
      </c>
      <c r="AB56" s="5"/>
      <c r="AC56" s="5" t="s">
        <v>273</v>
      </c>
      <c r="AD56" s="5" t="s">
        <v>81</v>
      </c>
      <c r="AE56" s="24">
        <v>0.0</v>
      </c>
      <c r="AF56" s="5">
        <v>3.0</v>
      </c>
      <c r="AG56" s="5" t="s">
        <v>0</v>
      </c>
      <c r="AH56" s="5" t="s">
        <v>471</v>
      </c>
      <c r="AI56" s="56"/>
      <c r="AJ56" s="28">
        <v>0.0</v>
      </c>
      <c r="AK56" s="28">
        <v>1200.0</v>
      </c>
      <c r="AL56" s="28">
        <v>0.0</v>
      </c>
      <c r="AM56" s="28">
        <v>0.0</v>
      </c>
      <c r="AN56" s="28">
        <v>0.0</v>
      </c>
      <c r="AO56" s="28">
        <v>0.0</v>
      </c>
      <c r="AP56" s="28">
        <v>514800.0</v>
      </c>
      <c r="AQ56" s="28">
        <v>0.0</v>
      </c>
      <c r="AR56" s="28">
        <v>0.0</v>
      </c>
      <c r="AS56" s="28">
        <v>0.0</v>
      </c>
      <c r="AT56" s="28">
        <v>0.0</v>
      </c>
      <c r="AU56" s="28">
        <v>153370.8</v>
      </c>
      <c r="AV56" s="28">
        <v>0.0</v>
      </c>
      <c r="AW56" s="28">
        <v>0.0</v>
      </c>
      <c r="AX56" s="5"/>
      <c r="AY56" s="5" t="s">
        <v>125</v>
      </c>
      <c r="AZ56" s="5" t="s">
        <v>127</v>
      </c>
      <c r="BA56" s="5" t="s">
        <v>237</v>
      </c>
      <c r="BB56" s="5" t="s">
        <v>276</v>
      </c>
      <c r="BC56" s="5" t="s">
        <v>89</v>
      </c>
      <c r="BD56" s="5" t="s">
        <v>277</v>
      </c>
      <c r="BE56" s="5" t="s">
        <v>131</v>
      </c>
    </row>
    <row r="57" ht="16.5" hidden="1" customHeight="1">
      <c r="A57" s="5" t="s">
        <v>155</v>
      </c>
      <c r="B57" s="5" t="s">
        <v>137</v>
      </c>
      <c r="C57" s="5" t="b">
        <v>1</v>
      </c>
      <c r="D57" s="43" t="s">
        <v>278</v>
      </c>
      <c r="E57" s="43" t="s">
        <v>279</v>
      </c>
      <c r="F57" s="43"/>
      <c r="G57" s="43" t="s">
        <v>65</v>
      </c>
      <c r="H57" s="43" t="s">
        <v>84</v>
      </c>
      <c r="I57" s="43" t="s">
        <v>82</v>
      </c>
      <c r="J57" s="44" t="s">
        <v>960</v>
      </c>
      <c r="K57" s="25"/>
      <c r="L57" s="25"/>
      <c r="M57" s="5" t="s">
        <v>66</v>
      </c>
      <c r="N57" s="5" t="s">
        <v>270</v>
      </c>
      <c r="O57" s="5" t="s">
        <v>69</v>
      </c>
      <c r="P57" s="5" t="s">
        <v>107</v>
      </c>
      <c r="Q57" s="5" t="b">
        <v>1</v>
      </c>
      <c r="R57" s="5" t="b">
        <v>0</v>
      </c>
      <c r="S57" s="5"/>
      <c r="T57" s="5">
        <v>900.0</v>
      </c>
      <c r="U57" s="26">
        <v>2.1</v>
      </c>
      <c r="V57" s="5">
        <v>429.0</v>
      </c>
      <c r="W57" s="27">
        <v>0.0</v>
      </c>
      <c r="X57" s="28">
        <v>429.0</v>
      </c>
      <c r="Y57" s="27">
        <v>1.0</v>
      </c>
      <c r="Z57" s="5" t="s">
        <v>78</v>
      </c>
      <c r="AA57" s="5">
        <v>0.68</v>
      </c>
      <c r="AB57" s="5"/>
      <c r="AC57" s="5" t="s">
        <v>273</v>
      </c>
      <c r="AD57" s="5" t="s">
        <v>81</v>
      </c>
      <c r="AE57" s="5">
        <v>6.0</v>
      </c>
      <c r="AF57" s="5">
        <v>5.0</v>
      </c>
      <c r="AG57" s="5" t="s">
        <v>971</v>
      </c>
      <c r="AH57" s="5" t="s">
        <v>0</v>
      </c>
      <c r="AI57" s="42"/>
      <c r="AJ57" s="28">
        <v>12303.0</v>
      </c>
      <c r="AK57" s="28">
        <v>10333.0</v>
      </c>
      <c r="AL57" s="28">
        <v>0.0</v>
      </c>
      <c r="AM57" s="28">
        <v>4433.0</v>
      </c>
      <c r="AN57" s="28">
        <v>0.0</v>
      </c>
      <c r="AO57" s="28">
        <v>5272696.71</v>
      </c>
      <c r="AP57" s="28">
        <v>4432857.0</v>
      </c>
      <c r="AQ57" s="28">
        <v>0.0</v>
      </c>
      <c r="AR57" s="28">
        <v>1899850.8100000005</v>
      </c>
      <c r="AS57" s="28">
        <v>0.0</v>
      </c>
      <c r="AT57" s="28">
        <v>3830802.4980620155</v>
      </c>
      <c r="AU57" s="28">
        <v>3397201.0316319983</v>
      </c>
      <c r="AV57" s="28">
        <v>0.0</v>
      </c>
      <c r="AW57" s="28">
        <v>1572848.8241971205</v>
      </c>
      <c r="AX57" s="5"/>
      <c r="AY57" s="5" t="str">
        <f t="array" ref="AY57">IFERROR(_xlfn.XLOOKUP($E57,'FW27'!$C$3:$C$1102,'FW27'!$AM$3:$AM$1102),"")</f>
        <v>Essentials</v>
      </c>
      <c r="AZ57" s="5" t="str">
        <f t="array" ref="AZ57">IFERROR(_xlfn.XLOOKUP($E57,'FW27'!$C$3:$C$1102,'FW27'!$AN$3:$AN$1102),"")</f>
        <v>Active Essentials</v>
      </c>
      <c r="BA57" s="5" t="s">
        <v>237</v>
      </c>
      <c r="BB57" s="5" t="str">
        <f t="array" ref="BB57">IFERROR(_xlfn.XLOOKUP($E57,'FW27'!$C$3:$C$1102,'FW27'!$AS$3:$AS$1102),"")</f>
        <v>Fleece/Midlayer</v>
      </c>
      <c r="BC57" s="5" t="str">
        <f t="array" ref="BC57">IFERROR(_xlfn.XLOOKUP($E57,'FW27'!$C$3:$C$1102,'FW27'!$AT$3:$AT$1102),"")</f>
        <v>Jacket</v>
      </c>
      <c r="BD57" s="5" t="str">
        <f t="array" ref="BD57">IFERROR(_xlfn.XLOOKUP($E57,'FW27'!$C$3:$C$1102,'FW27'!$AU$3:$AU$1102),"")</f>
        <v>Midweight</v>
      </c>
      <c r="BE57" s="5" t="str">
        <f t="array" ref="BE57">IFERROR(_xlfn.XLOOKUP($E57,'FW27'!$C$3:$C$1102,'FW27'!$AV$3:$AV$1102),"")</f>
        <v>N</v>
      </c>
    </row>
    <row r="58" ht="16.5" hidden="1" customHeight="1">
      <c r="A58" s="5" t="s">
        <v>155</v>
      </c>
      <c r="B58" s="5" t="s">
        <v>137</v>
      </c>
      <c r="C58" s="5" t="b">
        <v>1</v>
      </c>
      <c r="D58" s="47" t="s">
        <v>561</v>
      </c>
      <c r="E58" s="47" t="s">
        <v>562</v>
      </c>
      <c r="F58" s="47"/>
      <c r="G58" s="47" t="s">
        <v>65</v>
      </c>
      <c r="H58" s="47" t="s">
        <v>74</v>
      </c>
      <c r="I58" s="47" t="s">
        <v>82</v>
      </c>
      <c r="J58" s="48" t="s">
        <v>322</v>
      </c>
      <c r="K58" s="25" t="s">
        <v>150</v>
      </c>
      <c r="L58" s="25"/>
      <c r="M58" s="5" t="s">
        <v>66</v>
      </c>
      <c r="N58" s="5" t="s">
        <v>270</v>
      </c>
      <c r="O58" s="5" t="s">
        <v>96</v>
      </c>
      <c r="P58" s="5" t="s">
        <v>107</v>
      </c>
      <c r="Q58" s="5" t="b">
        <v>1</v>
      </c>
      <c r="R58" s="5" t="b">
        <v>0</v>
      </c>
      <c r="S58" s="5"/>
      <c r="T58" s="5">
        <v>900.0</v>
      </c>
      <c r="U58" s="26">
        <v>2.1</v>
      </c>
      <c r="V58" s="5">
        <v>429.0</v>
      </c>
      <c r="W58" s="27">
        <v>0.0</v>
      </c>
      <c r="X58" s="28">
        <v>429.0</v>
      </c>
      <c r="Y58" s="27">
        <v>1.0</v>
      </c>
      <c r="Z58" s="5" t="s">
        <v>78</v>
      </c>
      <c r="AA58" s="27">
        <v>0.68</v>
      </c>
      <c r="AB58" s="5"/>
      <c r="AC58" s="5" t="s">
        <v>273</v>
      </c>
      <c r="AD58" s="5" t="s">
        <v>81</v>
      </c>
      <c r="AE58" s="24">
        <v>0.0</v>
      </c>
      <c r="AF58" s="5">
        <v>3.0</v>
      </c>
      <c r="AG58" s="5" t="s">
        <v>0</v>
      </c>
      <c r="AH58" s="5" t="s">
        <v>471</v>
      </c>
      <c r="AI58" s="56"/>
      <c r="AJ58" s="28">
        <v>0.0</v>
      </c>
      <c r="AK58" s="28">
        <v>600.0</v>
      </c>
      <c r="AL58" s="28">
        <v>0.0</v>
      </c>
      <c r="AM58" s="28">
        <v>0.0</v>
      </c>
      <c r="AN58" s="28">
        <v>0.0</v>
      </c>
      <c r="AO58" s="28">
        <v>0.0</v>
      </c>
      <c r="AP58" s="28">
        <v>257400.0</v>
      </c>
      <c r="AQ58" s="28">
        <v>0.0</v>
      </c>
      <c r="AR58" s="28">
        <v>0.0</v>
      </c>
      <c r="AS58" s="28">
        <v>0.0</v>
      </c>
      <c r="AT58" s="28">
        <v>0.0</v>
      </c>
      <c r="AU58" s="28">
        <v>72111.6</v>
      </c>
      <c r="AV58" s="28">
        <v>0.0</v>
      </c>
      <c r="AW58" s="28">
        <v>0.0</v>
      </c>
      <c r="AX58" s="5"/>
      <c r="AY58" s="5" t="s">
        <v>125</v>
      </c>
      <c r="AZ58" s="5" t="s">
        <v>127</v>
      </c>
      <c r="BA58" s="5" t="s">
        <v>237</v>
      </c>
      <c r="BB58" s="5" t="s">
        <v>276</v>
      </c>
      <c r="BC58" s="5" t="s">
        <v>89</v>
      </c>
      <c r="BD58" s="5" t="s">
        <v>277</v>
      </c>
      <c r="BE58" s="5" t="s">
        <v>131</v>
      </c>
    </row>
    <row r="59" ht="16.5" hidden="1" customHeight="1">
      <c r="A59" s="5" t="s">
        <v>155</v>
      </c>
      <c r="B59" s="5" t="s">
        <v>137</v>
      </c>
      <c r="C59" s="5" t="b">
        <v>1</v>
      </c>
      <c r="D59" s="5" t="s">
        <v>285</v>
      </c>
      <c r="E59" s="5" t="s">
        <v>286</v>
      </c>
      <c r="F59" s="5"/>
      <c r="G59" s="5" t="s">
        <v>65</v>
      </c>
      <c r="H59" s="5" t="s">
        <v>84</v>
      </c>
      <c r="I59" s="5" t="s">
        <v>82</v>
      </c>
      <c r="J59" s="25"/>
      <c r="K59" s="25"/>
      <c r="L59" s="25" t="s">
        <v>110</v>
      </c>
      <c r="M59" s="5" t="s">
        <v>66</v>
      </c>
      <c r="N59" s="5" t="s">
        <v>68</v>
      </c>
      <c r="O59" s="5" t="s">
        <v>141</v>
      </c>
      <c r="P59" s="5" t="s">
        <v>70</v>
      </c>
      <c r="Q59" s="5" t="b">
        <v>1</v>
      </c>
      <c r="R59" s="5" t="b">
        <v>0</v>
      </c>
      <c r="S59" s="5"/>
      <c r="T59" s="5">
        <v>3500.0</v>
      </c>
      <c r="U59" s="26">
        <v>2.1</v>
      </c>
      <c r="V59" s="5">
        <v>1667.0</v>
      </c>
      <c r="W59" s="27">
        <v>0.0</v>
      </c>
      <c r="X59" s="28">
        <v>1667.0</v>
      </c>
      <c r="Y59" s="27">
        <v>1.0</v>
      </c>
      <c r="Z59" s="5" t="s">
        <v>78</v>
      </c>
      <c r="AA59" s="5">
        <v>0.5920000000000001</v>
      </c>
      <c r="AB59" s="5"/>
      <c r="AC59" s="5" t="s">
        <v>80</v>
      </c>
      <c r="AD59" s="5" t="s">
        <v>81</v>
      </c>
      <c r="AE59" s="24">
        <v>0.0</v>
      </c>
      <c r="AF59" s="5">
        <v>3.0</v>
      </c>
      <c r="AG59" s="5" t="s">
        <v>0</v>
      </c>
      <c r="AH59" s="5" t="s">
        <v>146</v>
      </c>
      <c r="AI59" s="42"/>
      <c r="AJ59" s="28">
        <v>850.0</v>
      </c>
      <c r="AK59" s="28">
        <v>2011.0</v>
      </c>
      <c r="AL59" s="28">
        <v>0.0</v>
      </c>
      <c r="AM59" s="28">
        <v>1105.0</v>
      </c>
      <c r="AN59" s="28">
        <v>0.0</v>
      </c>
      <c r="AO59" s="28">
        <v>1416669.5</v>
      </c>
      <c r="AP59" s="28">
        <v>3352337.0</v>
      </c>
      <c r="AQ59" s="28">
        <v>0.0</v>
      </c>
      <c r="AR59" s="28">
        <v>1841670.35</v>
      </c>
      <c r="AS59" s="28">
        <v>0.0</v>
      </c>
      <c r="AT59" s="28">
        <v>1100417.1428571427</v>
      </c>
      <c r="AU59" s="28">
        <v>1524056.2440000004</v>
      </c>
      <c r="AV59" s="28">
        <v>0.0</v>
      </c>
      <c r="AW59" s="28">
        <v>1451359.2499999998</v>
      </c>
      <c r="AX59" s="5"/>
      <c r="AY59" s="5" t="str">
        <f t="array" ref="AY59">IFERROR(_xlfn.XLOOKUP($E59,'FW27'!$C$3:$C$1102,'FW27'!$AM$3:$AM$1102),"")</f>
        <v>Outdoor</v>
      </c>
      <c r="AZ59" s="5" t="str">
        <f t="array" ref="AZ59">IFERROR(_xlfn.XLOOKUP($E59,'FW27'!$C$3:$C$1102,'FW27'!$AN$3:$AN$1102),"")</f>
        <v>Active Essentials</v>
      </c>
      <c r="BA59" s="5" t="s">
        <v>237</v>
      </c>
      <c r="BB59" s="5" t="str">
        <f t="array" ref="BB59">IFERROR(_xlfn.XLOOKUP($E59,'FW27'!$C$3:$C$1102,'FW27'!$AS$3:$AS$1102),"")</f>
        <v>Shell</v>
      </c>
      <c r="BC59" s="5" t="str">
        <f t="array" ref="BC59">IFERROR(_xlfn.XLOOKUP($E59,'FW27'!$C$3:$C$1102,'FW27'!$AT$3:$AT$1102),"")</f>
        <v>Jacket</v>
      </c>
      <c r="BD59" s="5" t="str">
        <f t="array" ref="BD59">IFERROR(_xlfn.XLOOKUP($E59,'FW27'!$C$3:$C$1102,'FW27'!$AU$3:$AU$1102),"")</f>
        <v>2L</v>
      </c>
      <c r="BE59" s="5" t="str">
        <f t="array" ref="BE59">IFERROR(_xlfn.XLOOKUP($E59,'FW27'!$C$3:$C$1102,'FW27'!$AV$3:$AV$1102),"")</f>
        <v>Y</v>
      </c>
    </row>
    <row r="60" ht="16.5" hidden="1" customHeight="1">
      <c r="A60" s="5" t="s">
        <v>155</v>
      </c>
      <c r="B60" s="5" t="s">
        <v>137</v>
      </c>
      <c r="C60" s="5" t="b">
        <v>1</v>
      </c>
      <c r="D60" s="5" t="s">
        <v>289</v>
      </c>
      <c r="E60" s="5" t="s">
        <v>290</v>
      </c>
      <c r="F60" s="5"/>
      <c r="G60" s="5" t="s">
        <v>65</v>
      </c>
      <c r="H60" s="5" t="s">
        <v>84</v>
      </c>
      <c r="I60" s="5" t="s">
        <v>82</v>
      </c>
      <c r="J60" s="25"/>
      <c r="K60" s="25"/>
      <c r="L60" s="25" t="s">
        <v>110</v>
      </c>
      <c r="M60" s="5" t="s">
        <v>66</v>
      </c>
      <c r="N60" s="5" t="s">
        <v>68</v>
      </c>
      <c r="O60" s="5" t="s">
        <v>141</v>
      </c>
      <c r="P60" s="5" t="s">
        <v>107</v>
      </c>
      <c r="Q60" s="5" t="b">
        <v>1</v>
      </c>
      <c r="R60" s="5" t="b">
        <v>0</v>
      </c>
      <c r="S60" s="5"/>
      <c r="T60" s="5">
        <v>3500.0</v>
      </c>
      <c r="U60" s="26">
        <v>2.1</v>
      </c>
      <c r="V60" s="5">
        <v>1667.0</v>
      </c>
      <c r="W60" s="27">
        <v>0.0</v>
      </c>
      <c r="X60" s="28">
        <v>1667.0</v>
      </c>
      <c r="Y60" s="27">
        <v>1.0</v>
      </c>
      <c r="Z60" s="5" t="s">
        <v>78</v>
      </c>
      <c r="AA60" s="5">
        <v>0.575</v>
      </c>
      <c r="AB60" s="5"/>
      <c r="AC60" s="5" t="s">
        <v>80</v>
      </c>
      <c r="AD60" s="5" t="s">
        <v>81</v>
      </c>
      <c r="AE60" s="24">
        <v>0.0</v>
      </c>
      <c r="AF60" s="5">
        <v>2.0</v>
      </c>
      <c r="AG60" s="5" t="s">
        <v>0</v>
      </c>
      <c r="AH60" s="5" t="s">
        <v>146</v>
      </c>
      <c r="AI60" s="42"/>
      <c r="AJ60" s="28">
        <v>750.0</v>
      </c>
      <c r="AK60" s="28">
        <v>1343.0</v>
      </c>
      <c r="AL60" s="28">
        <v>0.0</v>
      </c>
      <c r="AM60" s="28">
        <v>810.0</v>
      </c>
      <c r="AN60" s="28">
        <v>0.0</v>
      </c>
      <c r="AO60" s="28">
        <v>1250002.5</v>
      </c>
      <c r="AP60" s="28">
        <v>2238781.0</v>
      </c>
      <c r="AQ60" s="28">
        <v>0.0</v>
      </c>
      <c r="AR60" s="28">
        <v>1350002.7</v>
      </c>
      <c r="AS60" s="28">
        <v>0.0</v>
      </c>
      <c r="AT60" s="28">
        <v>968750.4761904762</v>
      </c>
      <c r="AU60" s="28">
        <v>1192610.2710000002</v>
      </c>
      <c r="AV60" s="28">
        <v>0.0</v>
      </c>
      <c r="AW60" s="28">
        <v>1061877.9166666665</v>
      </c>
      <c r="AX60" s="5"/>
      <c r="AY60" s="5" t="str">
        <f t="array" ref="AY60">IFERROR(_xlfn.XLOOKUP($E60,'FW27'!$C$3:$C$1102,'FW27'!$AM$3:$AM$1102),"")</f>
        <v>Outdoor</v>
      </c>
      <c r="AZ60" s="5" t="str">
        <f t="array" ref="AZ60">IFERROR(_xlfn.XLOOKUP($E60,'FW27'!$C$3:$C$1102,'FW27'!$AN$3:$AN$1102),"")</f>
        <v>Active Essentials</v>
      </c>
      <c r="BA60" s="32" t="s">
        <v>295</v>
      </c>
      <c r="BB60" s="5" t="str">
        <f t="array" ref="BB60">IFERROR(_xlfn.XLOOKUP($E60,'FW27'!$C$3:$C$1102,'FW27'!$AS$3:$AS$1102),"")</f>
        <v>Shell</v>
      </c>
      <c r="BC60" s="5" t="str">
        <f t="array" ref="BC60">IFERROR(_xlfn.XLOOKUP($E60,'FW27'!$C$3:$C$1102,'FW27'!$AT$3:$AT$1102),"")</f>
        <v>Jacket</v>
      </c>
      <c r="BD60" s="5" t="str">
        <f t="array" ref="BD60">IFERROR(_xlfn.XLOOKUP($E60,'FW27'!$C$3:$C$1102,'FW27'!$AU$3:$AU$1102),"")</f>
        <v>2L</v>
      </c>
      <c r="BE60" s="5" t="str">
        <f t="array" ref="BE60">IFERROR(_xlfn.XLOOKUP($E60,'FW27'!$C$3:$C$1102,'FW27'!$AV$3:$AV$1102),"")</f>
        <v>Y</v>
      </c>
    </row>
    <row r="61" ht="16.5" hidden="1" customHeight="1">
      <c r="A61" s="5" t="s">
        <v>155</v>
      </c>
      <c r="B61" s="5" t="s">
        <v>215</v>
      </c>
      <c r="C61" s="5" t="b">
        <v>1</v>
      </c>
      <c r="D61" s="5" t="s">
        <v>436</v>
      </c>
      <c r="E61" s="5" t="s">
        <v>437</v>
      </c>
      <c r="F61" s="5"/>
      <c r="G61" s="5" t="s">
        <v>65</v>
      </c>
      <c r="H61" s="5" t="s">
        <v>76</v>
      </c>
      <c r="I61" s="5" t="s">
        <v>82</v>
      </c>
      <c r="J61" s="25"/>
      <c r="K61" s="25"/>
      <c r="L61" s="25"/>
      <c r="M61" s="5" t="s">
        <v>66</v>
      </c>
      <c r="N61" s="5" t="s">
        <v>355</v>
      </c>
      <c r="O61" s="5" t="s">
        <v>141</v>
      </c>
      <c r="P61" s="5" t="s">
        <v>70</v>
      </c>
      <c r="Q61" s="5" t="b">
        <v>1</v>
      </c>
      <c r="R61" s="5" t="b">
        <v>0</v>
      </c>
      <c r="S61" s="5"/>
      <c r="T61" s="5">
        <v>3400.0</v>
      </c>
      <c r="U61" s="26">
        <v>2.1</v>
      </c>
      <c r="V61" s="5">
        <v>1619.0</v>
      </c>
      <c r="W61" s="27">
        <v>0.0</v>
      </c>
      <c r="X61" s="28">
        <v>1619.0</v>
      </c>
      <c r="Y61" s="27">
        <v>1.0</v>
      </c>
      <c r="Z61" s="5" t="s">
        <v>117</v>
      </c>
      <c r="AA61" s="5">
        <v>0.615</v>
      </c>
      <c r="AB61" s="5"/>
      <c r="AC61" s="5" t="s">
        <v>359</v>
      </c>
      <c r="AD61" s="5" t="s">
        <v>81</v>
      </c>
      <c r="AE61" s="5">
        <v>2.0</v>
      </c>
      <c r="AF61" s="5">
        <v>2.0</v>
      </c>
      <c r="AG61" s="5" t="s">
        <v>603</v>
      </c>
      <c r="AH61" s="5" t="s">
        <v>146</v>
      </c>
      <c r="AI61" s="42"/>
      <c r="AJ61" s="28">
        <v>1040.0</v>
      </c>
      <c r="AK61" s="28">
        <v>1160.0</v>
      </c>
      <c r="AL61" s="28">
        <v>0.0</v>
      </c>
      <c r="AM61" s="28">
        <v>0.0</v>
      </c>
      <c r="AN61" s="28">
        <v>0.0</v>
      </c>
      <c r="AO61" s="28">
        <v>1683812.0</v>
      </c>
      <c r="AP61" s="28">
        <v>1878040.0</v>
      </c>
      <c r="AQ61" s="28">
        <v>0.0</v>
      </c>
      <c r="AR61" s="28">
        <v>0.0</v>
      </c>
      <c r="AS61" s="28">
        <v>0.0</v>
      </c>
      <c r="AT61" s="28">
        <v>1325493.3333333335</v>
      </c>
      <c r="AU61" s="28">
        <v>1142296.4174399986</v>
      </c>
      <c r="AV61" s="28">
        <v>0.0</v>
      </c>
      <c r="AW61" s="28">
        <v>0.0</v>
      </c>
      <c r="AX61" s="5"/>
      <c r="AY61" s="5" t="str">
        <f t="array" ref="AY61">IFERROR(_xlfn.XLOOKUP($E61,'FW27'!$C$3:$C$1102,'FW27'!$AM$3:$AM$1102),"")</f>
        <v>Essentials</v>
      </c>
      <c r="AZ61" s="5" t="str">
        <f t="array" ref="AZ61">IFERROR(_xlfn.XLOOKUP($E61,'FW27'!$C$3:$C$1102,'FW27'!$AN$3:$AN$1102),"")</f>
        <v>Active Essentials</v>
      </c>
      <c r="BA61" s="32" t="s">
        <v>608</v>
      </c>
      <c r="BB61" s="5" t="str">
        <f t="array" ref="BB61">IFERROR(_xlfn.XLOOKUP($E61,'FW27'!$C$3:$C$1102,'FW27'!$AS$3:$AS$1102),"")</f>
        <v>Insulation</v>
      </c>
      <c r="BC61" s="5" t="str">
        <f t="array" ref="BC61">IFERROR(_xlfn.XLOOKUP($E61,'FW27'!$C$3:$C$1102,'FW27'!$AT$3:$AT$1102),"")</f>
        <v>Hooded Jacket</v>
      </c>
      <c r="BD61" s="5" t="str">
        <f t="array" ref="BD61">IFERROR(_xlfn.XLOOKUP($E61,'FW27'!$C$3:$C$1102,'FW27'!$AU$3:$AU$1102),"")</f>
        <v>Midweight Down</v>
      </c>
      <c r="BE61" s="5" t="str">
        <f t="array" ref="BE61">IFERROR(_xlfn.XLOOKUP($E61,'FW27'!$C$3:$C$1102,'FW27'!$AV$3:$AV$1102),"")</f>
        <v>N</v>
      </c>
    </row>
    <row r="62" ht="16.5" customHeight="1">
      <c r="A62" s="5" t="s">
        <v>155</v>
      </c>
      <c r="B62" s="24" t="s">
        <v>137</v>
      </c>
      <c r="C62" s="5" t="b">
        <v>1</v>
      </c>
      <c r="D62" s="5" t="s">
        <v>1028</v>
      </c>
      <c r="E62" s="5" t="s">
        <v>1029</v>
      </c>
      <c r="F62" s="5"/>
      <c r="G62" s="5" t="s">
        <v>65</v>
      </c>
      <c r="H62" s="5" t="s">
        <v>84</v>
      </c>
      <c r="I62" s="5" t="s">
        <v>82</v>
      </c>
      <c r="J62" s="25" t="s">
        <v>164</v>
      </c>
      <c r="K62" s="25"/>
      <c r="L62" s="25"/>
      <c r="M62" s="5" t="s">
        <v>66</v>
      </c>
      <c r="N62" s="5" t="s">
        <v>113</v>
      </c>
      <c r="O62" s="24" t="s">
        <v>69</v>
      </c>
      <c r="P62" s="5" t="s">
        <v>107</v>
      </c>
      <c r="Q62" s="5" t="b">
        <v>1</v>
      </c>
      <c r="R62" s="5" t="b">
        <v>0</v>
      </c>
      <c r="S62" s="5"/>
      <c r="T62" s="24">
        <v>0.0</v>
      </c>
      <c r="U62" s="26">
        <v>2.1</v>
      </c>
      <c r="V62" s="5">
        <v>0.0</v>
      </c>
      <c r="W62" s="27">
        <v>0.0</v>
      </c>
      <c r="X62" s="28">
        <v>0.0</v>
      </c>
      <c r="Y62" s="27">
        <v>0.0</v>
      </c>
      <c r="Z62" s="24" t="s">
        <v>0</v>
      </c>
      <c r="AA62" s="5">
        <v>0.66</v>
      </c>
      <c r="AB62" s="5"/>
      <c r="AC62" s="24" t="s">
        <v>0</v>
      </c>
      <c r="AD62" s="24" t="s">
        <v>0</v>
      </c>
      <c r="AE62" s="5">
        <v>2.0</v>
      </c>
      <c r="AF62" s="5">
        <v>0.0</v>
      </c>
      <c r="AG62" s="5" t="s">
        <v>0</v>
      </c>
      <c r="AH62" s="5" t="s">
        <v>0</v>
      </c>
      <c r="AI62" s="42"/>
      <c r="AJ62" s="28">
        <v>0.0</v>
      </c>
      <c r="AK62" s="28">
        <v>0.0</v>
      </c>
      <c r="AL62" s="28">
        <v>0.0</v>
      </c>
      <c r="AM62" s="28">
        <v>0.0</v>
      </c>
      <c r="AN62" s="28">
        <v>0.0</v>
      </c>
      <c r="AO62" s="28">
        <v>0.0</v>
      </c>
      <c r="AP62" s="28">
        <v>0.0</v>
      </c>
      <c r="AQ62" s="28">
        <v>0.0</v>
      </c>
      <c r="AR62" s="28">
        <v>0.0</v>
      </c>
      <c r="AS62" s="28">
        <v>0.0</v>
      </c>
      <c r="AT62" s="28">
        <v>0.0</v>
      </c>
      <c r="AU62" s="28">
        <v>0.0</v>
      </c>
      <c r="AV62" s="28">
        <v>0.0</v>
      </c>
      <c r="AW62" s="28">
        <v>0.0</v>
      </c>
      <c r="AX62" s="5"/>
      <c r="AY62" s="5" t="s">
        <v>125</v>
      </c>
      <c r="AZ62" s="5" t="s">
        <v>127</v>
      </c>
      <c r="BB62" s="5" t="s">
        <v>126</v>
      </c>
      <c r="BC62" s="5" t="s">
        <v>1032</v>
      </c>
      <c r="BD62" s="5" t="s">
        <v>130</v>
      </c>
      <c r="BE62" s="5" t="s">
        <v>131</v>
      </c>
      <c r="BF62" s="5" t="s">
        <v>910</v>
      </c>
    </row>
    <row r="63" ht="16.5" hidden="1" customHeight="1">
      <c r="A63" s="5" t="s">
        <v>155</v>
      </c>
      <c r="B63" s="5" t="s">
        <v>215</v>
      </c>
      <c r="C63" s="5" t="b">
        <v>1</v>
      </c>
      <c r="D63" s="5" t="s">
        <v>449</v>
      </c>
      <c r="E63" s="5" t="s">
        <v>450</v>
      </c>
      <c r="F63" s="5"/>
      <c r="G63" s="5" t="s">
        <v>65</v>
      </c>
      <c r="H63" s="5" t="s">
        <v>76</v>
      </c>
      <c r="I63" s="5" t="s">
        <v>82</v>
      </c>
      <c r="J63" s="25"/>
      <c r="K63" s="25"/>
      <c r="L63" s="25"/>
      <c r="M63" s="5" t="s">
        <v>66</v>
      </c>
      <c r="N63" s="5" t="s">
        <v>355</v>
      </c>
      <c r="O63" s="5" t="s">
        <v>141</v>
      </c>
      <c r="P63" s="5" t="s">
        <v>70</v>
      </c>
      <c r="Q63" s="5" t="b">
        <v>1</v>
      </c>
      <c r="R63" s="5" t="b">
        <v>0</v>
      </c>
      <c r="S63" s="5"/>
      <c r="T63" s="5">
        <v>2800.0</v>
      </c>
      <c r="U63" s="26">
        <v>2.1</v>
      </c>
      <c r="V63" s="5">
        <v>1333.0</v>
      </c>
      <c r="W63" s="27">
        <v>0.0</v>
      </c>
      <c r="X63" s="28">
        <v>1333.0</v>
      </c>
      <c r="Y63" s="27">
        <v>1.0</v>
      </c>
      <c r="Z63" s="5" t="s">
        <v>117</v>
      </c>
      <c r="AA63" s="5">
        <v>0.615</v>
      </c>
      <c r="AB63" s="5"/>
      <c r="AC63" s="5" t="s">
        <v>359</v>
      </c>
      <c r="AD63" s="5" t="s">
        <v>81</v>
      </c>
      <c r="AE63" s="5">
        <v>2.0</v>
      </c>
      <c r="AF63" s="5">
        <v>2.0</v>
      </c>
      <c r="AG63" s="5" t="s">
        <v>612</v>
      </c>
      <c r="AH63" s="5" t="s">
        <v>146</v>
      </c>
      <c r="AI63" s="42"/>
      <c r="AJ63" s="28">
        <v>2000.0</v>
      </c>
      <c r="AK63" s="28">
        <v>2201.0</v>
      </c>
      <c r="AL63" s="28">
        <v>0.0</v>
      </c>
      <c r="AM63" s="28">
        <v>0.0</v>
      </c>
      <c r="AN63" s="28">
        <v>0.0</v>
      </c>
      <c r="AO63" s="28">
        <v>2666660.0</v>
      </c>
      <c r="AP63" s="28">
        <v>2933933.0</v>
      </c>
      <c r="AQ63" s="28">
        <v>0.0</v>
      </c>
      <c r="AR63" s="28">
        <v>0.0</v>
      </c>
      <c r="AS63" s="28">
        <v>0.0</v>
      </c>
      <c r="AT63" s="28">
        <v>2119550.0</v>
      </c>
      <c r="AU63" s="28">
        <v>1968619.9349999998</v>
      </c>
      <c r="AV63" s="28">
        <v>0.0</v>
      </c>
      <c r="AW63" s="28">
        <v>0.0</v>
      </c>
      <c r="AX63" s="5"/>
      <c r="AY63" s="5" t="str">
        <f t="array" ref="AY63">IFERROR(_xlfn.XLOOKUP($E63,'FW27'!$C$3:$C$1102,'FW27'!$AM$3:$AM$1102),"")</f>
        <v>Essentials</v>
      </c>
      <c r="AZ63" s="5" t="str">
        <f t="array" ref="AZ63">IFERROR(_xlfn.XLOOKUP($E63,'FW27'!$C$3:$C$1102,'FW27'!$AN$3:$AN$1102),"")</f>
        <v>Active Essentials</v>
      </c>
      <c r="BB63" s="5" t="str">
        <f t="array" ref="BB63">IFERROR(_xlfn.XLOOKUP($E63,'FW27'!$C$3:$C$1102,'FW27'!$AS$3:$AS$1102),"")</f>
        <v>Insulation</v>
      </c>
      <c r="BC63" s="5" t="str">
        <f t="array" ref="BC63">IFERROR(_xlfn.XLOOKUP($E63,'FW27'!$C$3:$C$1102,'FW27'!$AT$3:$AT$1102),"")</f>
        <v>Hooded Jacket</v>
      </c>
      <c r="BD63" s="5" t="str">
        <f t="array" ref="BD63">IFERROR(_xlfn.XLOOKUP($E63,'FW27'!$C$3:$C$1102,'FW27'!$AU$3:$AU$1102),"")</f>
        <v>Midweight Down</v>
      </c>
      <c r="BE63" s="5" t="str">
        <f t="array" ref="BE63">IFERROR(_xlfn.XLOOKUP($E63,'FW27'!$C$3:$C$1102,'FW27'!$AV$3:$AV$1102),"")</f>
        <v>N</v>
      </c>
    </row>
    <row r="64" ht="16.5" hidden="1" customHeight="1">
      <c r="A64" s="5" t="s">
        <v>155</v>
      </c>
      <c r="B64" s="5" t="s">
        <v>215</v>
      </c>
      <c r="C64" s="5" t="b">
        <v>1</v>
      </c>
      <c r="D64" s="5" t="s">
        <v>619</v>
      </c>
      <c r="E64" s="5" t="s">
        <v>620</v>
      </c>
      <c r="F64" s="5"/>
      <c r="G64" s="5" t="s">
        <v>65</v>
      </c>
      <c r="H64" s="5" t="s">
        <v>76</v>
      </c>
      <c r="I64" s="5" t="s">
        <v>82</v>
      </c>
      <c r="J64" s="25" t="s">
        <v>1047</v>
      </c>
      <c r="K64" s="25"/>
      <c r="L64" s="25" t="s">
        <v>110</v>
      </c>
      <c r="M64" s="5" t="s">
        <v>247</v>
      </c>
      <c r="N64" s="5" t="s">
        <v>355</v>
      </c>
      <c r="O64" s="5" t="s">
        <v>69</v>
      </c>
      <c r="P64" s="5" t="s">
        <v>70</v>
      </c>
      <c r="Q64" s="5" t="b">
        <v>1</v>
      </c>
      <c r="R64" s="5" t="b">
        <v>0</v>
      </c>
      <c r="S64" s="5"/>
      <c r="T64" s="5">
        <v>2500.0</v>
      </c>
      <c r="U64" s="26">
        <v>2.1</v>
      </c>
      <c r="V64" s="5">
        <v>1190.0</v>
      </c>
      <c r="W64" s="27">
        <v>0.0</v>
      </c>
      <c r="X64" s="28">
        <v>1190.0</v>
      </c>
      <c r="Y64" s="27">
        <v>1.0</v>
      </c>
      <c r="Z64" s="5" t="s">
        <v>117</v>
      </c>
      <c r="AA64" s="5">
        <v>0.61</v>
      </c>
      <c r="AB64" s="5"/>
      <c r="AC64" s="5" t="s">
        <v>511</v>
      </c>
      <c r="AD64" s="5" t="s">
        <v>198</v>
      </c>
      <c r="AE64" s="5">
        <v>2.0</v>
      </c>
      <c r="AF64" s="5">
        <v>2.0</v>
      </c>
      <c r="AG64" s="5" t="s">
        <v>623</v>
      </c>
      <c r="AH64" s="5" t="s">
        <v>0</v>
      </c>
      <c r="AI64" s="42"/>
      <c r="AJ64" s="28">
        <v>1036.0</v>
      </c>
      <c r="AK64" s="28">
        <v>884.0</v>
      </c>
      <c r="AL64" s="28">
        <v>0.0</v>
      </c>
      <c r="AM64" s="28">
        <v>0.0</v>
      </c>
      <c r="AN64" s="28">
        <v>0.0</v>
      </c>
      <c r="AO64" s="28">
        <v>1233337.28</v>
      </c>
      <c r="AP64" s="28">
        <v>1051960.0</v>
      </c>
      <c r="AQ64" s="28">
        <v>0.0</v>
      </c>
      <c r="AR64" s="28">
        <v>0.0</v>
      </c>
      <c r="AS64" s="28">
        <v>0.0</v>
      </c>
      <c r="AT64" s="28">
        <v>825532.4485049833</v>
      </c>
      <c r="AU64" s="28">
        <v>784549.9391750002</v>
      </c>
      <c r="AV64" s="28">
        <v>0.0</v>
      </c>
      <c r="AW64" s="28">
        <v>0.0</v>
      </c>
      <c r="AX64" s="5"/>
      <c r="AY64" s="5" t="str">
        <f t="array" ref="AY64">IFERROR(_xlfn.XLOOKUP($E64,'FW27'!$C$3:$C$1102,'FW27'!$AM$3:$AM$1102),"")</f>
        <v>Essentials</v>
      </c>
      <c r="AZ64" s="5" t="str">
        <f t="array" ref="AZ64">IFERROR(_xlfn.XLOOKUP($E64,'FW27'!$C$3:$C$1102,'FW27'!$AN$3:$AN$1102),"")</f>
        <v>Daily Essentials</v>
      </c>
      <c r="BA64" s="5" t="s">
        <v>237</v>
      </c>
      <c r="BB64" s="5" t="str">
        <f t="array" ref="BB64">IFERROR(_xlfn.XLOOKUP($E64,'FW27'!$C$3:$C$1102,'FW27'!$AS$3:$AS$1102),"")</f>
        <v>Insulation</v>
      </c>
      <c r="BC64" s="5" t="str">
        <f t="array" ref="BC64">IFERROR(_xlfn.XLOOKUP($E64,'FW27'!$C$3:$C$1102,'FW27'!$AT$3:$AT$1102),"")</f>
        <v>Jacket</v>
      </c>
      <c r="BD64" s="5" t="str">
        <f t="array" ref="BD64">IFERROR(_xlfn.XLOOKUP($E64,'FW27'!$C$3:$C$1102,'FW27'!$AU$3:$AU$1102),"")</f>
        <v>Midweight Synthetic</v>
      </c>
      <c r="BE64" s="5" t="str">
        <f t="array" ref="BE64">IFERROR(_xlfn.XLOOKUP($E64,'FW27'!$C$3:$C$1102,'FW27'!$AV$3:$AV$1102),"")</f>
        <v>N</v>
      </c>
    </row>
    <row r="65" ht="16.5" hidden="1" customHeight="1">
      <c r="A65" s="5" t="s">
        <v>155</v>
      </c>
      <c r="B65" s="5" t="s">
        <v>215</v>
      </c>
      <c r="C65" s="5" t="b">
        <v>1</v>
      </c>
      <c r="D65" s="5" t="s">
        <v>628</v>
      </c>
      <c r="E65" s="5" t="s">
        <v>629</v>
      </c>
      <c r="F65" s="5"/>
      <c r="G65" s="5" t="s">
        <v>65</v>
      </c>
      <c r="H65" s="5" t="s">
        <v>76</v>
      </c>
      <c r="I65" s="5" t="s">
        <v>82</v>
      </c>
      <c r="J65" s="25" t="s">
        <v>1047</v>
      </c>
      <c r="K65" s="25"/>
      <c r="L65" s="25" t="s">
        <v>110</v>
      </c>
      <c r="M65" s="5" t="s">
        <v>247</v>
      </c>
      <c r="N65" s="5" t="s">
        <v>355</v>
      </c>
      <c r="O65" s="5" t="s">
        <v>69</v>
      </c>
      <c r="P65" s="5" t="s">
        <v>107</v>
      </c>
      <c r="Q65" s="5" t="b">
        <v>1</v>
      </c>
      <c r="R65" s="5" t="b">
        <v>0</v>
      </c>
      <c r="S65" s="5"/>
      <c r="T65" s="5">
        <v>2500.0</v>
      </c>
      <c r="U65" s="26">
        <v>2.1</v>
      </c>
      <c r="V65" s="5">
        <v>1190.0</v>
      </c>
      <c r="W65" s="27">
        <v>0.0</v>
      </c>
      <c r="X65" s="28">
        <v>1190.0</v>
      </c>
      <c r="Y65" s="27">
        <v>1.0</v>
      </c>
      <c r="Z65" s="5" t="s">
        <v>117</v>
      </c>
      <c r="AA65" s="5">
        <v>0.62</v>
      </c>
      <c r="AB65" s="5"/>
      <c r="AC65" s="5" t="s">
        <v>511</v>
      </c>
      <c r="AD65" s="5" t="s">
        <v>198</v>
      </c>
      <c r="AE65" s="5">
        <v>3.0</v>
      </c>
      <c r="AF65" s="5">
        <v>3.0</v>
      </c>
      <c r="AG65" s="5" t="s">
        <v>632</v>
      </c>
      <c r="AH65" s="5" t="s">
        <v>0</v>
      </c>
      <c r="AI65" s="42"/>
      <c r="AJ65" s="28">
        <v>879.0</v>
      </c>
      <c r="AK65" s="28">
        <v>792.0</v>
      </c>
      <c r="AL65" s="28">
        <v>0.0</v>
      </c>
      <c r="AM65" s="28">
        <v>0.0</v>
      </c>
      <c r="AN65" s="28">
        <v>0.0</v>
      </c>
      <c r="AO65" s="28">
        <v>1046431.92</v>
      </c>
      <c r="AP65" s="28">
        <v>942480.0</v>
      </c>
      <c r="AQ65" s="28">
        <v>0.0</v>
      </c>
      <c r="AR65" s="28">
        <v>0.0</v>
      </c>
      <c r="AS65" s="28">
        <v>0.0</v>
      </c>
      <c r="AT65" s="28">
        <v>690186.9265780731</v>
      </c>
      <c r="AU65" s="28">
        <v>726468.3309400004</v>
      </c>
      <c r="AV65" s="28">
        <v>0.0</v>
      </c>
      <c r="AW65" s="28">
        <v>0.0</v>
      </c>
      <c r="AX65" s="5"/>
      <c r="AY65" s="5" t="str">
        <f t="array" ref="AY65">IFERROR(_xlfn.XLOOKUP($E65,'FW27'!$C$3:$C$1102,'FW27'!$AM$3:$AM$1102),"")</f>
        <v>Essentials</v>
      </c>
      <c r="AZ65" s="5" t="str">
        <f t="array" ref="AZ65">IFERROR(_xlfn.XLOOKUP($E65,'FW27'!$C$3:$C$1102,'FW27'!$AN$3:$AN$1102),"")</f>
        <v>Daily Essentials</v>
      </c>
      <c r="BA65" s="5" t="s">
        <v>237</v>
      </c>
      <c r="BB65" s="5" t="str">
        <f t="array" ref="BB65">IFERROR(_xlfn.XLOOKUP($E65,'FW27'!$C$3:$C$1102,'FW27'!$AS$3:$AS$1102),"")</f>
        <v>Insulation</v>
      </c>
      <c r="BC65" s="5" t="str">
        <f t="array" ref="BC65">IFERROR(_xlfn.XLOOKUP($E65,'FW27'!$C$3:$C$1102,'FW27'!$AT$3:$AT$1102),"")</f>
        <v>Jacket</v>
      </c>
      <c r="BD65" s="5" t="str">
        <f t="array" ref="BD65">IFERROR(_xlfn.XLOOKUP($E65,'FW27'!$C$3:$C$1102,'FW27'!$AU$3:$AU$1102),"")</f>
        <v>Midweight Synthetic</v>
      </c>
      <c r="BE65" s="5" t="str">
        <f t="array" ref="BE65">IFERROR(_xlfn.XLOOKUP($E65,'FW27'!$C$3:$C$1102,'FW27'!$AV$3:$AV$1102),"")</f>
        <v>N</v>
      </c>
    </row>
    <row r="66" ht="16.5" hidden="1" customHeight="1">
      <c r="A66" s="5" t="s">
        <v>155</v>
      </c>
      <c r="B66" s="5" t="s">
        <v>137</v>
      </c>
      <c r="C66" s="5" t="b">
        <v>1</v>
      </c>
      <c r="D66" s="5" t="s">
        <v>296</v>
      </c>
      <c r="E66" s="5" t="s">
        <v>297</v>
      </c>
      <c r="F66" s="5"/>
      <c r="G66" s="5" t="s">
        <v>65</v>
      </c>
      <c r="H66" s="5" t="s">
        <v>84</v>
      </c>
      <c r="I66" s="5" t="s">
        <v>82</v>
      </c>
      <c r="J66" s="25"/>
      <c r="K66" s="25"/>
      <c r="L66" s="25"/>
      <c r="M66" s="5" t="s">
        <v>66</v>
      </c>
      <c r="N66" s="5" t="s">
        <v>113</v>
      </c>
      <c r="O66" s="5" t="s">
        <v>69</v>
      </c>
      <c r="P66" s="5" t="s">
        <v>70</v>
      </c>
      <c r="Q66" s="5" t="b">
        <v>1</v>
      </c>
      <c r="R66" s="5" t="b">
        <v>0</v>
      </c>
      <c r="S66" s="5"/>
      <c r="T66" s="5">
        <v>1500.0</v>
      </c>
      <c r="U66" s="26">
        <v>2.1</v>
      </c>
      <c r="V66" s="5">
        <v>714.0</v>
      </c>
      <c r="W66" s="27">
        <v>0.0</v>
      </c>
      <c r="X66" s="28">
        <v>714.0</v>
      </c>
      <c r="Y66" s="27">
        <v>1.0</v>
      </c>
      <c r="Z66" s="5" t="s">
        <v>117</v>
      </c>
      <c r="AA66" s="5">
        <v>0.62</v>
      </c>
      <c r="AB66" s="5"/>
      <c r="AC66" s="5" t="s">
        <v>81</v>
      </c>
      <c r="AD66" s="5" t="s">
        <v>81</v>
      </c>
      <c r="AE66" s="24">
        <v>0.0</v>
      </c>
      <c r="AF66" s="5">
        <v>1.0</v>
      </c>
      <c r="AG66" s="5" t="s">
        <v>0</v>
      </c>
      <c r="AH66" s="5" t="s">
        <v>0</v>
      </c>
      <c r="AI66" s="42"/>
      <c r="AJ66" s="28">
        <v>1621.0</v>
      </c>
      <c r="AK66" s="28">
        <v>902.0</v>
      </c>
      <c r="AL66" s="28">
        <v>0.0</v>
      </c>
      <c r="AM66" s="28">
        <v>478.0</v>
      </c>
      <c r="AN66" s="28">
        <v>0.0</v>
      </c>
      <c r="AO66" s="28">
        <v>1157864.09</v>
      </c>
      <c r="AP66" s="28">
        <v>644028.0</v>
      </c>
      <c r="AQ66" s="28">
        <v>0.0</v>
      </c>
      <c r="AR66" s="28">
        <v>341430.62</v>
      </c>
      <c r="AS66" s="28">
        <v>0.0</v>
      </c>
      <c r="AT66" s="28">
        <v>710590.9468438538</v>
      </c>
      <c r="AU66" s="28">
        <v>468937.56967999996</v>
      </c>
      <c r="AV66" s="28">
        <v>0.0</v>
      </c>
      <c r="AW66" s="28">
        <v>316823.89285714284</v>
      </c>
      <c r="AX66" s="5"/>
      <c r="AY66" s="5" t="str">
        <f t="array" ref="AY66">IFERROR(_xlfn.XLOOKUP($E66,'FW27'!$C$3:$C$1102,'FW27'!$AM$3:$AM$1102),"")</f>
        <v>Outdoor</v>
      </c>
      <c r="AZ66" s="5" t="str">
        <f t="array" ref="AZ66">IFERROR(_xlfn.XLOOKUP($E66,'FW27'!$C$3:$C$1102,'FW27'!$AN$3:$AN$1102),"")</f>
        <v>Trekking</v>
      </c>
      <c r="BA66" s="32" t="s">
        <v>122</v>
      </c>
      <c r="BB66" s="5" t="str">
        <f t="array" ref="BB66">IFERROR(_xlfn.XLOOKUP($E66,'FW27'!$C$3:$C$1102,'FW27'!$AS$3:$AS$1102),"")</f>
        <v>Softshell</v>
      </c>
      <c r="BC66" s="5" t="str">
        <f t="array" ref="BC66">IFERROR(_xlfn.XLOOKUP($E66,'FW27'!$C$3:$C$1102,'FW27'!$AT$3:$AT$1102),"")</f>
        <v>Pant</v>
      </c>
      <c r="BD66" s="5" t="str">
        <f t="array" ref="BD66">IFERROR(_xlfn.XLOOKUP($E66,'FW27'!$C$3:$C$1102,'FW27'!$AU$3:$AU$1102),"")</f>
        <v>Classic Softshell</v>
      </c>
      <c r="BE66" s="5" t="str">
        <f t="array" ref="BE66">IFERROR(_xlfn.XLOOKUP($E66,'FW27'!$C$3:$C$1102,'FW27'!$AV$3:$AV$1102),"")</f>
        <v>N</v>
      </c>
    </row>
    <row r="67" ht="16.5" hidden="1" customHeight="1">
      <c r="A67" s="5" t="s">
        <v>155</v>
      </c>
      <c r="B67" s="5" t="s">
        <v>137</v>
      </c>
      <c r="C67" s="5" t="b">
        <v>1</v>
      </c>
      <c r="D67" s="5" t="s">
        <v>299</v>
      </c>
      <c r="E67" s="5" t="s">
        <v>300</v>
      </c>
      <c r="F67" s="5"/>
      <c r="G67" s="5" t="s">
        <v>65</v>
      </c>
      <c r="H67" s="5" t="s">
        <v>84</v>
      </c>
      <c r="I67" s="5" t="s">
        <v>82</v>
      </c>
      <c r="J67" s="25"/>
      <c r="K67" s="25"/>
      <c r="L67" s="25"/>
      <c r="M67" s="5" t="s">
        <v>66</v>
      </c>
      <c r="N67" s="5" t="s">
        <v>113</v>
      </c>
      <c r="O67" s="5" t="s">
        <v>69</v>
      </c>
      <c r="P67" s="5" t="s">
        <v>107</v>
      </c>
      <c r="Q67" s="5" t="b">
        <v>1</v>
      </c>
      <c r="R67" s="5" t="b">
        <v>0</v>
      </c>
      <c r="S67" s="5"/>
      <c r="T67" s="5">
        <v>1500.0</v>
      </c>
      <c r="U67" s="26">
        <v>2.1</v>
      </c>
      <c r="V67" s="5">
        <v>714.0</v>
      </c>
      <c r="W67" s="27">
        <v>0.0</v>
      </c>
      <c r="X67" s="28">
        <v>714.0</v>
      </c>
      <c r="Y67" s="27">
        <v>1.0</v>
      </c>
      <c r="Z67" s="5" t="s">
        <v>117</v>
      </c>
      <c r="AA67" s="5">
        <v>0.63</v>
      </c>
      <c r="AB67" s="5"/>
      <c r="AC67" s="5" t="s">
        <v>81</v>
      </c>
      <c r="AD67" s="5" t="s">
        <v>81</v>
      </c>
      <c r="AE67" s="24">
        <v>0.0</v>
      </c>
      <c r="AF67" s="5">
        <v>1.0</v>
      </c>
      <c r="AG67" s="5" t="s">
        <v>0</v>
      </c>
      <c r="AH67" s="5" t="s">
        <v>0</v>
      </c>
      <c r="AI67" s="42"/>
      <c r="AJ67" s="28">
        <v>969.0</v>
      </c>
      <c r="AK67" s="28">
        <v>669.0</v>
      </c>
      <c r="AL67" s="28">
        <v>0.0</v>
      </c>
      <c r="AM67" s="28">
        <v>354.0</v>
      </c>
      <c r="AN67" s="28">
        <v>0.0</v>
      </c>
      <c r="AO67" s="28">
        <v>692147.01</v>
      </c>
      <c r="AP67" s="28">
        <v>477666.0</v>
      </c>
      <c r="AQ67" s="28">
        <v>0.0</v>
      </c>
      <c r="AR67" s="28">
        <v>252858.66</v>
      </c>
      <c r="AS67" s="28">
        <v>0.0</v>
      </c>
      <c r="AT67" s="28">
        <v>495477.81362126244</v>
      </c>
      <c r="AU67" s="28">
        <v>382968.595471</v>
      </c>
      <c r="AV67" s="28">
        <v>0.0</v>
      </c>
      <c r="AW67" s="28">
        <v>230330.17857142855</v>
      </c>
      <c r="AX67" s="5"/>
      <c r="AY67" s="5" t="str">
        <f t="array" ref="AY67">IFERROR(_xlfn.XLOOKUP($E67,'FW27'!$C$3:$C$1102,'FW27'!$AM$3:$AM$1102),"")</f>
        <v>Outdoor</v>
      </c>
      <c r="AZ67" s="5" t="str">
        <f t="array" ref="AZ67">IFERROR(_xlfn.XLOOKUP($E67,'FW27'!$C$3:$C$1102,'FW27'!$AN$3:$AN$1102),"")</f>
        <v>Trekking</v>
      </c>
      <c r="BA67" s="32" t="s">
        <v>122</v>
      </c>
      <c r="BB67" s="5" t="str">
        <f t="array" ref="BB67">IFERROR(_xlfn.XLOOKUP($E67,'FW27'!$C$3:$C$1102,'FW27'!$AS$3:$AS$1102),"")</f>
        <v>Softshell</v>
      </c>
      <c r="BC67" s="5" t="str">
        <f t="array" ref="BC67">IFERROR(_xlfn.XLOOKUP($E67,'FW27'!$C$3:$C$1102,'FW27'!$AT$3:$AT$1102),"")</f>
        <v>Pant</v>
      </c>
      <c r="BD67" s="5" t="str">
        <f t="array" ref="BD67">IFERROR(_xlfn.XLOOKUP($E67,'FW27'!$C$3:$C$1102,'FW27'!$AU$3:$AU$1102),"")</f>
        <v>Classic Softshell</v>
      </c>
      <c r="BE67" s="5" t="str">
        <f t="array" ref="BE67">IFERROR(_xlfn.XLOOKUP($E67,'FW27'!$C$3:$C$1102,'FW27'!$AV$3:$AV$1102),"")</f>
        <v>N</v>
      </c>
    </row>
    <row r="68" ht="16.5" hidden="1" customHeight="1">
      <c r="A68" s="5" t="s">
        <v>155</v>
      </c>
      <c r="B68" s="5" t="s">
        <v>137</v>
      </c>
      <c r="C68" s="5" t="b">
        <v>1</v>
      </c>
      <c r="D68" s="5" t="s">
        <v>302</v>
      </c>
      <c r="E68" s="5" t="s">
        <v>303</v>
      </c>
      <c r="F68" s="5"/>
      <c r="G68" s="5" t="s">
        <v>65</v>
      </c>
      <c r="H68" s="5" t="s">
        <v>84</v>
      </c>
      <c r="I68" s="5" t="s">
        <v>82</v>
      </c>
      <c r="J68" s="25"/>
      <c r="K68" s="25"/>
      <c r="L68" s="25" t="s">
        <v>110</v>
      </c>
      <c r="M68" s="5" t="s">
        <v>66</v>
      </c>
      <c r="N68" s="5" t="s">
        <v>68</v>
      </c>
      <c r="O68" s="5" t="s">
        <v>69</v>
      </c>
      <c r="P68" s="5" t="s">
        <v>70</v>
      </c>
      <c r="Q68" s="5" t="b">
        <v>1</v>
      </c>
      <c r="R68" s="5" t="b">
        <v>0</v>
      </c>
      <c r="S68" s="5"/>
      <c r="T68" s="5">
        <v>3300.0</v>
      </c>
      <c r="U68" s="26">
        <v>2.1</v>
      </c>
      <c r="V68" s="5">
        <v>1571.0</v>
      </c>
      <c r="W68" s="27">
        <v>0.0</v>
      </c>
      <c r="X68" s="28">
        <v>1571.0</v>
      </c>
      <c r="Y68" s="27">
        <v>1.0</v>
      </c>
      <c r="Z68" s="5" t="s">
        <v>117</v>
      </c>
      <c r="AA68" s="5">
        <v>0.6</v>
      </c>
      <c r="AB68" s="5"/>
      <c r="AC68" s="5" t="s">
        <v>166</v>
      </c>
      <c r="AD68" s="5" t="s">
        <v>81</v>
      </c>
      <c r="AE68" s="5">
        <v>5.0</v>
      </c>
      <c r="AF68" s="5">
        <v>3.0</v>
      </c>
      <c r="AG68" s="5" t="s">
        <v>1092</v>
      </c>
      <c r="AH68" s="5" t="s">
        <v>0</v>
      </c>
      <c r="AI68" s="42"/>
      <c r="AJ68" s="28">
        <v>3550.0</v>
      </c>
      <c r="AK68" s="28">
        <v>2965.0</v>
      </c>
      <c r="AL68" s="28">
        <v>0.0</v>
      </c>
      <c r="AM68" s="28">
        <v>3716.0</v>
      </c>
      <c r="AN68" s="28">
        <v>0.0</v>
      </c>
      <c r="AO68" s="28">
        <v>5578576.5</v>
      </c>
      <c r="AP68" s="28">
        <v>4658015.0</v>
      </c>
      <c r="AQ68" s="28">
        <v>0.0</v>
      </c>
      <c r="AR68" s="28">
        <v>5839433.88</v>
      </c>
      <c r="AS68" s="28">
        <v>0.0</v>
      </c>
      <c r="AT68" s="28">
        <v>4232162.372203765</v>
      </c>
      <c r="AU68" s="28">
        <v>3718994.9080159995</v>
      </c>
      <c r="AV68" s="28">
        <v>0.0</v>
      </c>
      <c r="AW68" s="28">
        <v>4163354.583167221</v>
      </c>
      <c r="AX68" s="5"/>
      <c r="AY68" s="5" t="str">
        <f t="array" ref="AY68">IFERROR(_xlfn.XLOOKUP($E68,'FW27'!$C$3:$C$1102,'FW27'!$AM$3:$AM$1102),"")</f>
        <v>Outdoor</v>
      </c>
      <c r="AZ68" s="5" t="str">
        <f t="array" ref="AZ68">IFERROR(_xlfn.XLOOKUP($E68,'FW27'!$C$3:$C$1102,'FW27'!$AN$3:$AN$1102),"")</f>
        <v>Trekking</v>
      </c>
      <c r="BA68" s="5" t="s">
        <v>306</v>
      </c>
      <c r="BB68" s="5" t="str">
        <f t="array" ref="BB68">IFERROR(_xlfn.XLOOKUP($E68,'FW27'!$C$3:$C$1102,'FW27'!$AS$3:$AS$1102),"")</f>
        <v>Shell</v>
      </c>
      <c r="BC68" s="5" t="str">
        <f t="array" ref="BC68">IFERROR(_xlfn.XLOOKUP($E68,'FW27'!$C$3:$C$1102,'FW27'!$AT$3:$AT$1102),"")</f>
        <v>Jacket</v>
      </c>
      <c r="BD68" s="5" t="str">
        <f t="array" ref="BD68">IFERROR(_xlfn.XLOOKUP($E68,'FW27'!$C$3:$C$1102,'FW27'!$AU$3:$AU$1102),"")</f>
        <v>3L</v>
      </c>
      <c r="BE68" s="5" t="str">
        <f t="array" ref="BE68">IFERROR(_xlfn.XLOOKUP($E68,'FW27'!$C$3:$C$1102,'FW27'!$AV$3:$AV$1102),"")</f>
        <v>Y</v>
      </c>
    </row>
    <row r="69" ht="16.5" hidden="1" customHeight="1">
      <c r="A69" s="5" t="s">
        <v>155</v>
      </c>
      <c r="B69" s="5" t="s">
        <v>137</v>
      </c>
      <c r="C69" s="5" t="b">
        <v>1</v>
      </c>
      <c r="D69" s="47" t="s">
        <v>671</v>
      </c>
      <c r="E69" s="47" t="s">
        <v>672</v>
      </c>
      <c r="F69" s="47"/>
      <c r="G69" s="47" t="s">
        <v>65</v>
      </c>
      <c r="H69" s="47" t="s">
        <v>74</v>
      </c>
      <c r="I69" s="47" t="s">
        <v>82</v>
      </c>
      <c r="J69" s="48" t="s">
        <v>322</v>
      </c>
      <c r="K69" s="25" t="s">
        <v>150</v>
      </c>
      <c r="L69" s="25" t="s">
        <v>110</v>
      </c>
      <c r="M69" s="5" t="s">
        <v>66</v>
      </c>
      <c r="N69" s="5" t="s">
        <v>68</v>
      </c>
      <c r="O69" s="5" t="s">
        <v>96</v>
      </c>
      <c r="P69" s="5" t="s">
        <v>70</v>
      </c>
      <c r="Q69" s="5" t="b">
        <v>1</v>
      </c>
      <c r="R69" s="5" t="b">
        <v>0</v>
      </c>
      <c r="S69" s="5"/>
      <c r="T69" s="5">
        <v>3300.0</v>
      </c>
      <c r="U69" s="26">
        <v>2.1</v>
      </c>
      <c r="V69" s="5">
        <v>1571.0</v>
      </c>
      <c r="W69" s="27">
        <v>0.0</v>
      </c>
      <c r="X69" s="28">
        <v>1571.0</v>
      </c>
      <c r="Y69" s="27">
        <v>1.0</v>
      </c>
      <c r="Z69" s="5" t="s">
        <v>117</v>
      </c>
      <c r="AA69" s="27">
        <v>0.6</v>
      </c>
      <c r="AB69" s="5"/>
      <c r="AC69" s="5" t="s">
        <v>166</v>
      </c>
      <c r="AD69" s="5" t="s">
        <v>81</v>
      </c>
      <c r="AE69" s="24">
        <v>0.0</v>
      </c>
      <c r="AF69" s="5">
        <v>3.0</v>
      </c>
      <c r="AG69" s="5" t="s">
        <v>0</v>
      </c>
      <c r="AH69" s="5" t="s">
        <v>471</v>
      </c>
      <c r="AI69" s="56"/>
      <c r="AJ69" s="28">
        <v>0.0</v>
      </c>
      <c r="AK69" s="28">
        <v>0.0</v>
      </c>
      <c r="AL69" s="28">
        <v>0.0</v>
      </c>
      <c r="AM69" s="28">
        <v>0.0</v>
      </c>
      <c r="AN69" s="28">
        <v>0.0</v>
      </c>
      <c r="AO69" s="28">
        <v>0.0</v>
      </c>
      <c r="AP69" s="28">
        <v>0.0</v>
      </c>
      <c r="AQ69" s="28">
        <v>0.0</v>
      </c>
      <c r="AR69" s="28">
        <v>0.0</v>
      </c>
      <c r="AS69" s="28">
        <v>0.0</v>
      </c>
      <c r="AT69" s="28">
        <v>0.0</v>
      </c>
      <c r="AU69" s="28">
        <v>0.0</v>
      </c>
      <c r="AV69" s="28">
        <v>0.0</v>
      </c>
      <c r="AW69" s="28">
        <v>0.0</v>
      </c>
      <c r="AX69" s="5"/>
      <c r="AY69" s="5" t="s">
        <v>86</v>
      </c>
      <c r="AZ69" s="5" t="s">
        <v>121</v>
      </c>
      <c r="BA69" s="5" t="s">
        <v>306</v>
      </c>
      <c r="BB69" s="5" t="s">
        <v>68</v>
      </c>
      <c r="BC69" s="5" t="s">
        <v>89</v>
      </c>
      <c r="BD69" s="5" t="s">
        <v>132</v>
      </c>
      <c r="BE69" s="5" t="s">
        <v>91</v>
      </c>
    </row>
    <row r="70" ht="16.5" hidden="1" customHeight="1">
      <c r="A70" s="5" t="s">
        <v>155</v>
      </c>
      <c r="B70" s="5" t="s">
        <v>137</v>
      </c>
      <c r="C70" s="5" t="b">
        <v>1</v>
      </c>
      <c r="D70" s="5" t="s">
        <v>307</v>
      </c>
      <c r="E70" s="5" t="s">
        <v>308</v>
      </c>
      <c r="F70" s="5"/>
      <c r="G70" s="5" t="s">
        <v>65</v>
      </c>
      <c r="H70" s="5" t="s">
        <v>84</v>
      </c>
      <c r="I70" s="5" t="s">
        <v>82</v>
      </c>
      <c r="J70" s="25"/>
      <c r="K70" s="25"/>
      <c r="L70" s="25" t="s">
        <v>110</v>
      </c>
      <c r="M70" s="5" t="s">
        <v>66</v>
      </c>
      <c r="N70" s="5" t="s">
        <v>68</v>
      </c>
      <c r="O70" s="5" t="s">
        <v>69</v>
      </c>
      <c r="P70" s="5" t="s">
        <v>107</v>
      </c>
      <c r="Q70" s="5" t="b">
        <v>1</v>
      </c>
      <c r="R70" s="5" t="b">
        <v>0</v>
      </c>
      <c r="S70" s="5"/>
      <c r="T70" s="5">
        <v>3300.0</v>
      </c>
      <c r="U70" s="26">
        <v>2.1</v>
      </c>
      <c r="V70" s="5">
        <v>1571.0</v>
      </c>
      <c r="W70" s="27">
        <v>0.0</v>
      </c>
      <c r="X70" s="28">
        <v>1571.0</v>
      </c>
      <c r="Y70" s="27">
        <v>1.0</v>
      </c>
      <c r="Z70" s="5" t="s">
        <v>117</v>
      </c>
      <c r="AA70" s="5">
        <v>0.62</v>
      </c>
      <c r="AB70" s="5"/>
      <c r="AC70" s="5" t="s">
        <v>166</v>
      </c>
      <c r="AD70" s="5" t="s">
        <v>81</v>
      </c>
      <c r="AE70" s="5">
        <v>5.0</v>
      </c>
      <c r="AF70" s="5">
        <v>4.0</v>
      </c>
      <c r="AG70" s="5" t="s">
        <v>1111</v>
      </c>
      <c r="AH70" s="5" t="s">
        <v>0</v>
      </c>
      <c r="AI70" s="42"/>
      <c r="AJ70" s="28">
        <v>2720.0</v>
      </c>
      <c r="AK70" s="28">
        <v>2466.0</v>
      </c>
      <c r="AL70" s="28">
        <v>0.0</v>
      </c>
      <c r="AM70" s="28">
        <v>2922.0</v>
      </c>
      <c r="AN70" s="28">
        <v>0.0</v>
      </c>
      <c r="AO70" s="28">
        <v>4274289.600000001</v>
      </c>
      <c r="AP70" s="28">
        <v>3874086.0</v>
      </c>
      <c r="AQ70" s="28">
        <v>0.0</v>
      </c>
      <c r="AR70" s="28">
        <v>4591718.459999999</v>
      </c>
      <c r="AS70" s="28">
        <v>0.0</v>
      </c>
      <c r="AT70" s="28">
        <v>3380147.5611295677</v>
      </c>
      <c r="AU70" s="28">
        <v>3149470.0139840003</v>
      </c>
      <c r="AV70" s="28">
        <v>0.0</v>
      </c>
      <c r="AW70" s="28">
        <v>3476090.2990586935</v>
      </c>
      <c r="AX70" s="5"/>
      <c r="AY70" s="5" t="str">
        <f t="array" ref="AY70">IFERROR(_xlfn.XLOOKUP($E70,'FW27'!$C$3:$C$1102,'FW27'!$AM$3:$AM$1102),"")</f>
        <v>Outdoor</v>
      </c>
      <c r="AZ70" s="5" t="str">
        <f t="array" ref="AZ70">IFERROR(_xlfn.XLOOKUP($E70,'FW27'!$C$3:$C$1102,'FW27'!$AN$3:$AN$1102),"")</f>
        <v>Trekking</v>
      </c>
      <c r="BA70" s="5" t="s">
        <v>306</v>
      </c>
      <c r="BB70" s="5" t="str">
        <f t="array" ref="BB70">IFERROR(_xlfn.XLOOKUP($E70,'FW27'!$C$3:$C$1102,'FW27'!$AS$3:$AS$1102),"")</f>
        <v>Shell</v>
      </c>
      <c r="BC70" s="5" t="str">
        <f t="array" ref="BC70">IFERROR(_xlfn.XLOOKUP($E70,'FW27'!$C$3:$C$1102,'FW27'!$AT$3:$AT$1102),"")</f>
        <v>Jacket</v>
      </c>
      <c r="BD70" s="5" t="str">
        <f t="array" ref="BD70">IFERROR(_xlfn.XLOOKUP($E70,'FW27'!$C$3:$C$1102,'FW27'!$AU$3:$AU$1102),"")</f>
        <v>3L</v>
      </c>
      <c r="BE70" s="5" t="str">
        <f t="array" ref="BE70">IFERROR(_xlfn.XLOOKUP($E70,'FW27'!$C$3:$C$1102,'FW27'!$AV$3:$AV$1102),"")</f>
        <v>Y</v>
      </c>
    </row>
    <row r="71" ht="16.5" hidden="1" customHeight="1">
      <c r="A71" s="5" t="s">
        <v>155</v>
      </c>
      <c r="B71" s="5" t="s">
        <v>137</v>
      </c>
      <c r="C71" s="5" t="b">
        <v>1</v>
      </c>
      <c r="D71" s="47" t="s">
        <v>696</v>
      </c>
      <c r="E71" s="47" t="s">
        <v>697</v>
      </c>
      <c r="F71" s="47"/>
      <c r="G71" s="47" t="s">
        <v>65</v>
      </c>
      <c r="H71" s="47" t="s">
        <v>74</v>
      </c>
      <c r="I71" s="47" t="s">
        <v>82</v>
      </c>
      <c r="J71" s="48" t="s">
        <v>322</v>
      </c>
      <c r="K71" s="25" t="s">
        <v>150</v>
      </c>
      <c r="L71" s="25" t="s">
        <v>110</v>
      </c>
      <c r="M71" s="5" t="s">
        <v>66</v>
      </c>
      <c r="N71" s="5" t="s">
        <v>68</v>
      </c>
      <c r="O71" s="5" t="s">
        <v>96</v>
      </c>
      <c r="P71" s="5" t="s">
        <v>107</v>
      </c>
      <c r="Q71" s="5" t="b">
        <v>1</v>
      </c>
      <c r="R71" s="5" t="b">
        <v>0</v>
      </c>
      <c r="S71" s="5"/>
      <c r="T71" s="5">
        <v>3300.0</v>
      </c>
      <c r="U71" s="26">
        <v>2.1</v>
      </c>
      <c r="V71" s="5">
        <v>1571.0</v>
      </c>
      <c r="W71" s="27">
        <v>0.0</v>
      </c>
      <c r="X71" s="28">
        <v>1571.0</v>
      </c>
      <c r="Y71" s="27">
        <v>1.0</v>
      </c>
      <c r="Z71" s="5" t="s">
        <v>117</v>
      </c>
      <c r="AA71" s="27">
        <v>0.62</v>
      </c>
      <c r="AB71" s="5"/>
      <c r="AC71" s="5" t="s">
        <v>166</v>
      </c>
      <c r="AD71" s="5" t="s">
        <v>81</v>
      </c>
      <c r="AE71" s="24">
        <v>0.0</v>
      </c>
      <c r="AF71" s="5">
        <v>2.0</v>
      </c>
      <c r="AG71" s="5" t="s">
        <v>0</v>
      </c>
      <c r="AH71" s="5" t="s">
        <v>471</v>
      </c>
      <c r="AI71" s="56"/>
      <c r="AJ71" s="28">
        <v>0.0</v>
      </c>
      <c r="AK71" s="28">
        <v>0.0</v>
      </c>
      <c r="AL71" s="28">
        <v>0.0</v>
      </c>
      <c r="AM71" s="28">
        <v>0.0</v>
      </c>
      <c r="AN71" s="28">
        <v>0.0</v>
      </c>
      <c r="AO71" s="28">
        <v>0.0</v>
      </c>
      <c r="AP71" s="28">
        <v>0.0</v>
      </c>
      <c r="AQ71" s="28">
        <v>0.0</v>
      </c>
      <c r="AR71" s="28">
        <v>0.0</v>
      </c>
      <c r="AS71" s="28">
        <v>0.0</v>
      </c>
      <c r="AT71" s="28">
        <v>0.0</v>
      </c>
      <c r="AU71" s="28">
        <v>0.0</v>
      </c>
      <c r="AV71" s="28">
        <v>0.0</v>
      </c>
      <c r="AW71" s="28">
        <v>0.0</v>
      </c>
      <c r="AX71" s="5"/>
      <c r="AY71" s="5" t="s">
        <v>86</v>
      </c>
      <c r="AZ71" s="5" t="s">
        <v>121</v>
      </c>
      <c r="BA71" s="5" t="s">
        <v>306</v>
      </c>
      <c r="BB71" s="5" t="s">
        <v>68</v>
      </c>
      <c r="BC71" s="5" t="s">
        <v>89</v>
      </c>
      <c r="BD71" s="5" t="s">
        <v>132</v>
      </c>
      <c r="BE71" s="5" t="s">
        <v>91</v>
      </c>
    </row>
    <row r="72" ht="16.5" hidden="1" customHeight="1">
      <c r="A72" s="5" t="s">
        <v>155</v>
      </c>
      <c r="B72" s="5" t="s">
        <v>137</v>
      </c>
      <c r="C72" s="5" t="b">
        <v>1</v>
      </c>
      <c r="D72" s="43" t="s">
        <v>705</v>
      </c>
      <c r="E72" s="43" t="s">
        <v>706</v>
      </c>
      <c r="F72" s="43"/>
      <c r="G72" s="43" t="s">
        <v>65</v>
      </c>
      <c r="H72" s="43" t="s">
        <v>76</v>
      </c>
      <c r="I72" s="43" t="s">
        <v>82</v>
      </c>
      <c r="J72" s="44" t="s">
        <v>1138</v>
      </c>
      <c r="K72" s="25"/>
      <c r="L72" s="25"/>
      <c r="M72" s="5" t="s">
        <v>247</v>
      </c>
      <c r="N72" s="5" t="s">
        <v>270</v>
      </c>
      <c r="O72" s="5" t="s">
        <v>69</v>
      </c>
      <c r="P72" s="5" t="s">
        <v>70</v>
      </c>
      <c r="Q72" s="5" t="b">
        <v>1</v>
      </c>
      <c r="R72" s="5" t="b">
        <v>0</v>
      </c>
      <c r="S72" s="5"/>
      <c r="T72" s="5">
        <v>1800.0</v>
      </c>
      <c r="U72" s="26">
        <v>2.1</v>
      </c>
      <c r="V72" s="5">
        <v>857.0</v>
      </c>
      <c r="W72" s="27">
        <v>0.0</v>
      </c>
      <c r="X72" s="28">
        <v>857.0</v>
      </c>
      <c r="Y72" s="27">
        <v>1.0</v>
      </c>
      <c r="Z72" s="5" t="s">
        <v>117</v>
      </c>
      <c r="AA72" s="27">
        <v>0.629</v>
      </c>
      <c r="AB72" s="26"/>
      <c r="AC72" s="5" t="s">
        <v>81</v>
      </c>
      <c r="AD72" s="5" t="s">
        <v>81</v>
      </c>
      <c r="AE72" s="5">
        <v>3.0</v>
      </c>
      <c r="AF72" s="5">
        <v>3.0</v>
      </c>
      <c r="AG72" s="5" t="s">
        <v>712</v>
      </c>
      <c r="AH72" s="5" t="s">
        <v>0</v>
      </c>
      <c r="AI72" s="42"/>
      <c r="AJ72" s="28">
        <v>2643.0</v>
      </c>
      <c r="AK72" s="28">
        <v>2603.0</v>
      </c>
      <c r="AL72" s="28">
        <v>0.0</v>
      </c>
      <c r="AM72" s="28">
        <v>0.0</v>
      </c>
      <c r="AN72" s="28">
        <v>0.0</v>
      </c>
      <c r="AO72" s="28">
        <v>2265421.02</v>
      </c>
      <c r="AP72" s="28">
        <v>2230771.0</v>
      </c>
      <c r="AQ72" s="28">
        <v>0.0</v>
      </c>
      <c r="AR72" s="28">
        <v>0.0</v>
      </c>
      <c r="AS72" s="28">
        <v>0.0</v>
      </c>
      <c r="AT72" s="28">
        <v>1805763.349944629</v>
      </c>
      <c r="AU72" s="28">
        <v>1772745.2172240003</v>
      </c>
      <c r="AV72" s="28">
        <v>0.0</v>
      </c>
      <c r="AW72" s="28">
        <v>0.0</v>
      </c>
      <c r="AX72" s="5"/>
      <c r="AY72" s="5" t="str">
        <f t="array" ref="AY72">IFERROR(_xlfn.XLOOKUP($E72,'FW27'!$C$3:$C$1102,'FW27'!$AM$3:$AM$1102),"")</f>
        <v>Essentials</v>
      </c>
      <c r="AZ72" s="5" t="str">
        <f t="array" ref="AZ72">IFERROR(_xlfn.XLOOKUP($E72,'FW27'!$C$3:$C$1102,'FW27'!$AN$3:$AN$1102),"")</f>
        <v>Daily Essentials</v>
      </c>
      <c r="BA72" s="5" t="s">
        <v>237</v>
      </c>
      <c r="BB72" s="5" t="str">
        <f t="array" ref="BB72">IFERROR(_xlfn.XLOOKUP($E72,'FW27'!$C$3:$C$1102,'FW27'!$AS$3:$AS$1102),"")</f>
        <v>Fleece/Midlayer</v>
      </c>
      <c r="BC72" s="5" t="str">
        <f t="array" ref="BC72">IFERROR(_xlfn.XLOOKUP($E72,'FW27'!$C$3:$C$1102,'FW27'!$AT$3:$AT$1102),"")</f>
        <v>Hooded Jacket</v>
      </c>
      <c r="BD72" s="5" t="str">
        <f t="array" ref="BD72">IFERROR(_xlfn.XLOOKUP($E72,'FW27'!$C$3:$C$1102,'FW27'!$AU$3:$AU$1102),"")</f>
        <v>Heavyweight</v>
      </c>
      <c r="BE72" s="5" t="str">
        <f t="array" ref="BE72">IFERROR(_xlfn.XLOOKUP($E72,'FW27'!$C$3:$C$1102,'FW27'!$AV$3:$AV$1102),"")</f>
        <v>N</v>
      </c>
    </row>
    <row r="73" ht="16.5" hidden="1" customHeight="1">
      <c r="A73" s="5" t="s">
        <v>155</v>
      </c>
      <c r="B73" s="5" t="s">
        <v>137</v>
      </c>
      <c r="C73" s="5" t="b">
        <v>1</v>
      </c>
      <c r="D73" s="43" t="s">
        <v>717</v>
      </c>
      <c r="E73" s="43" t="s">
        <v>718</v>
      </c>
      <c r="F73" s="43"/>
      <c r="G73" s="43" t="s">
        <v>65</v>
      </c>
      <c r="H73" s="43" t="s">
        <v>76</v>
      </c>
      <c r="I73" s="43" t="s">
        <v>82</v>
      </c>
      <c r="J73" s="44" t="s">
        <v>1138</v>
      </c>
      <c r="K73" s="25"/>
      <c r="L73" s="25"/>
      <c r="M73" s="5" t="s">
        <v>247</v>
      </c>
      <c r="N73" s="5" t="s">
        <v>270</v>
      </c>
      <c r="O73" s="5" t="s">
        <v>69</v>
      </c>
      <c r="P73" s="5" t="s">
        <v>107</v>
      </c>
      <c r="Q73" s="5" t="b">
        <v>1</v>
      </c>
      <c r="R73" s="5" t="b">
        <v>0</v>
      </c>
      <c r="S73" s="5"/>
      <c r="T73" s="5">
        <v>1800.0</v>
      </c>
      <c r="U73" s="26">
        <v>2.1</v>
      </c>
      <c r="V73" s="5">
        <v>857.0</v>
      </c>
      <c r="W73" s="27">
        <v>0.0</v>
      </c>
      <c r="X73" s="28">
        <v>857.0</v>
      </c>
      <c r="Y73" s="27">
        <v>1.0</v>
      </c>
      <c r="Z73" s="5" t="s">
        <v>117</v>
      </c>
      <c r="AA73" s="27">
        <v>0.66</v>
      </c>
      <c r="AB73" s="26"/>
      <c r="AC73" s="5" t="s">
        <v>81</v>
      </c>
      <c r="AD73" s="5" t="s">
        <v>81</v>
      </c>
      <c r="AE73" s="5">
        <v>3.0</v>
      </c>
      <c r="AF73" s="5">
        <v>3.0</v>
      </c>
      <c r="AG73" s="5" t="s">
        <v>722</v>
      </c>
      <c r="AH73" s="5" t="s">
        <v>0</v>
      </c>
      <c r="AI73" s="42"/>
      <c r="AJ73" s="28">
        <v>3044.0</v>
      </c>
      <c r="AK73" s="28">
        <v>2954.0</v>
      </c>
      <c r="AL73" s="28">
        <v>0.0</v>
      </c>
      <c r="AM73" s="28">
        <v>0.0</v>
      </c>
      <c r="AN73" s="28">
        <v>0.0</v>
      </c>
      <c r="AO73" s="28">
        <v>2609134.16</v>
      </c>
      <c r="AP73" s="28">
        <v>2531578.0</v>
      </c>
      <c r="AQ73" s="28">
        <v>0.0</v>
      </c>
      <c r="AR73" s="28">
        <v>0.0</v>
      </c>
      <c r="AS73" s="28">
        <v>0.0</v>
      </c>
      <c r="AT73" s="28">
        <v>2058718.2678848282</v>
      </c>
      <c r="AU73" s="28">
        <v>2023673.5636240004</v>
      </c>
      <c r="AV73" s="28">
        <v>0.0</v>
      </c>
      <c r="AW73" s="28">
        <v>0.0</v>
      </c>
      <c r="AX73" s="5"/>
      <c r="AY73" s="5" t="str">
        <f t="array" ref="AY73">IFERROR(_xlfn.XLOOKUP($E73,'FW27'!$C$3:$C$1102,'FW27'!$AM$3:$AM$1102),"")</f>
        <v>Essentials</v>
      </c>
      <c r="AZ73" s="5" t="str">
        <f t="array" ref="AZ73">IFERROR(_xlfn.XLOOKUP($E73,'FW27'!$C$3:$C$1102,'FW27'!$AN$3:$AN$1102),"")</f>
        <v>Daily Essentials</v>
      </c>
      <c r="BA73" s="5" t="s">
        <v>237</v>
      </c>
      <c r="BB73" s="5" t="str">
        <f t="array" ref="BB73">IFERROR(_xlfn.XLOOKUP($E73,'FW27'!$C$3:$C$1102,'FW27'!$AS$3:$AS$1102),"")</f>
        <v>Fleece/Midlayer</v>
      </c>
      <c r="BC73" s="5" t="str">
        <f t="array" ref="BC73">IFERROR(_xlfn.XLOOKUP($E73,'FW27'!$C$3:$C$1102,'FW27'!$AT$3:$AT$1102),"")</f>
        <v>Hooded Jacket</v>
      </c>
      <c r="BD73" s="5" t="str">
        <f t="array" ref="BD73">IFERROR(_xlfn.XLOOKUP($E73,'FW27'!$C$3:$C$1102,'FW27'!$AU$3:$AU$1102),"")</f>
        <v>Heavyweight</v>
      </c>
      <c r="BE73" s="5" t="str">
        <f t="array" ref="BE73">IFERROR(_xlfn.XLOOKUP($E73,'FW27'!$C$3:$C$1102,'FW27'!$AV$3:$AV$1102),"")</f>
        <v>N</v>
      </c>
    </row>
    <row r="74" ht="16.5" hidden="1" customHeight="1">
      <c r="A74" s="5" t="s">
        <v>155</v>
      </c>
      <c r="B74" s="5" t="s">
        <v>137</v>
      </c>
      <c r="C74" s="5" t="b">
        <v>1</v>
      </c>
      <c r="D74" s="5" t="s">
        <v>1174</v>
      </c>
      <c r="E74" s="5" t="s">
        <v>1175</v>
      </c>
      <c r="F74" s="5"/>
      <c r="G74" s="5" t="s">
        <v>65</v>
      </c>
      <c r="H74" s="5" t="s">
        <v>84</v>
      </c>
      <c r="I74" s="5" t="s">
        <v>82</v>
      </c>
      <c r="J74" s="25" t="s">
        <v>164</v>
      </c>
      <c r="K74" s="25"/>
      <c r="L74" s="25"/>
      <c r="M74" s="5" t="s">
        <v>66</v>
      </c>
      <c r="N74" s="5" t="s">
        <v>113</v>
      </c>
      <c r="O74" s="5" t="s">
        <v>69</v>
      </c>
      <c r="P74" s="5" t="s">
        <v>70</v>
      </c>
      <c r="Q74" s="5" t="b">
        <v>1</v>
      </c>
      <c r="R74" s="5" t="b">
        <v>0</v>
      </c>
      <c r="S74" s="5"/>
      <c r="T74" s="5">
        <v>1200.0</v>
      </c>
      <c r="U74" s="26">
        <v>2.1</v>
      </c>
      <c r="V74" s="5">
        <v>571.0</v>
      </c>
      <c r="W74" s="27">
        <v>0.0</v>
      </c>
      <c r="X74" s="28">
        <v>571.0</v>
      </c>
      <c r="Y74" s="27">
        <v>1.0</v>
      </c>
      <c r="Z74" s="5" t="s">
        <v>78</v>
      </c>
      <c r="AA74" s="5">
        <v>0.6</v>
      </c>
      <c r="AB74" s="5"/>
      <c r="AC74" s="24" t="s">
        <v>0</v>
      </c>
      <c r="AD74" s="24" t="s">
        <v>0</v>
      </c>
      <c r="AE74" s="5">
        <v>3.0</v>
      </c>
      <c r="AF74" s="5">
        <v>0.0</v>
      </c>
      <c r="AG74" s="5" t="s">
        <v>169</v>
      </c>
      <c r="AH74" s="5" t="s">
        <v>0</v>
      </c>
      <c r="AI74" s="42"/>
      <c r="AJ74" s="28">
        <v>0.0</v>
      </c>
      <c r="AK74" s="28">
        <v>0.0</v>
      </c>
      <c r="AL74" s="28">
        <v>0.0</v>
      </c>
      <c r="AM74" s="28">
        <v>0.0</v>
      </c>
      <c r="AN74" s="28">
        <v>0.0</v>
      </c>
      <c r="AO74" s="28">
        <v>0.0</v>
      </c>
      <c r="AP74" s="28">
        <v>0.0</v>
      </c>
      <c r="AQ74" s="28">
        <v>0.0</v>
      </c>
      <c r="AR74" s="28">
        <v>0.0</v>
      </c>
      <c r="AS74" s="28">
        <v>0.0</v>
      </c>
      <c r="AT74" s="28">
        <v>0.0</v>
      </c>
      <c r="AU74" s="28">
        <v>0.0</v>
      </c>
      <c r="AV74" s="28">
        <v>0.0</v>
      </c>
      <c r="AW74" s="28">
        <v>0.0</v>
      </c>
      <c r="AX74" s="5"/>
      <c r="AY74" s="5" t="s">
        <v>125</v>
      </c>
      <c r="AZ74" s="5" t="s">
        <v>127</v>
      </c>
      <c r="BA74" s="32" t="s">
        <v>608</v>
      </c>
      <c r="BB74" s="5" t="s">
        <v>126</v>
      </c>
      <c r="BC74" s="5" t="s">
        <v>128</v>
      </c>
      <c r="BD74" s="5" t="s">
        <v>130</v>
      </c>
      <c r="BE74" s="5" t="s">
        <v>131</v>
      </c>
    </row>
    <row r="75" ht="16.5" hidden="1" customHeight="1">
      <c r="A75" s="5" t="s">
        <v>155</v>
      </c>
      <c r="B75" s="5" t="s">
        <v>137</v>
      </c>
      <c r="C75" s="5" t="b">
        <v>1</v>
      </c>
      <c r="D75" s="5" t="s">
        <v>1184</v>
      </c>
      <c r="E75" s="5" t="s">
        <v>1185</v>
      </c>
      <c r="F75" s="5"/>
      <c r="G75" s="5" t="s">
        <v>65</v>
      </c>
      <c r="H75" s="5" t="s">
        <v>84</v>
      </c>
      <c r="I75" s="5" t="s">
        <v>82</v>
      </c>
      <c r="J75" s="25" t="s">
        <v>164</v>
      </c>
      <c r="K75" s="25"/>
      <c r="L75" s="25"/>
      <c r="M75" s="5" t="s">
        <v>66</v>
      </c>
      <c r="N75" s="5" t="s">
        <v>113</v>
      </c>
      <c r="O75" s="5" t="s">
        <v>69</v>
      </c>
      <c r="P75" s="5" t="s">
        <v>107</v>
      </c>
      <c r="Q75" s="5" t="b">
        <v>1</v>
      </c>
      <c r="R75" s="5" t="b">
        <v>0</v>
      </c>
      <c r="S75" s="5"/>
      <c r="T75" s="5">
        <v>1200.0</v>
      </c>
      <c r="U75" s="26">
        <v>2.1</v>
      </c>
      <c r="V75" s="5">
        <v>571.0</v>
      </c>
      <c r="W75" s="27">
        <v>0.0</v>
      </c>
      <c r="X75" s="28">
        <v>571.0</v>
      </c>
      <c r="Y75" s="27">
        <v>1.0</v>
      </c>
      <c r="Z75" s="5" t="s">
        <v>78</v>
      </c>
      <c r="AA75" s="5">
        <v>0.61</v>
      </c>
      <c r="AB75" s="5"/>
      <c r="AC75" s="24" t="s">
        <v>0</v>
      </c>
      <c r="AD75" s="24" t="s">
        <v>0</v>
      </c>
      <c r="AE75" s="5">
        <v>3.0</v>
      </c>
      <c r="AF75" s="5">
        <v>0.0</v>
      </c>
      <c r="AG75" s="5" t="s">
        <v>169</v>
      </c>
      <c r="AH75" s="5" t="s">
        <v>0</v>
      </c>
      <c r="AI75" s="42"/>
      <c r="AJ75" s="28">
        <v>0.0</v>
      </c>
      <c r="AK75" s="28">
        <v>0.0</v>
      </c>
      <c r="AL75" s="28">
        <v>0.0</v>
      </c>
      <c r="AM75" s="28">
        <v>0.0</v>
      </c>
      <c r="AN75" s="28">
        <v>0.0</v>
      </c>
      <c r="AO75" s="28">
        <v>0.0</v>
      </c>
      <c r="AP75" s="28">
        <v>0.0</v>
      </c>
      <c r="AQ75" s="28">
        <v>0.0</v>
      </c>
      <c r="AR75" s="28">
        <v>0.0</v>
      </c>
      <c r="AS75" s="28">
        <v>0.0</v>
      </c>
      <c r="AT75" s="28">
        <v>0.0</v>
      </c>
      <c r="AU75" s="28">
        <v>0.0</v>
      </c>
      <c r="AV75" s="28">
        <v>0.0</v>
      </c>
      <c r="AW75" s="28">
        <v>0.0</v>
      </c>
      <c r="AX75" s="5"/>
      <c r="AY75" s="5" t="s">
        <v>125</v>
      </c>
      <c r="AZ75" s="5" t="s">
        <v>127</v>
      </c>
      <c r="BA75" s="32" t="s">
        <v>608</v>
      </c>
      <c r="BB75" s="5" t="s">
        <v>126</v>
      </c>
      <c r="BC75" s="5" t="s">
        <v>128</v>
      </c>
      <c r="BD75" s="5" t="s">
        <v>130</v>
      </c>
      <c r="BE75" s="5" t="s">
        <v>131</v>
      </c>
    </row>
    <row r="76" ht="16.5" hidden="1" customHeight="1">
      <c r="A76" s="5" t="s">
        <v>155</v>
      </c>
      <c r="B76" s="5" t="s">
        <v>137</v>
      </c>
      <c r="C76" s="5" t="b">
        <v>1</v>
      </c>
      <c r="D76" s="5" t="s">
        <v>1190</v>
      </c>
      <c r="E76" s="5" t="s">
        <v>1191</v>
      </c>
      <c r="F76" s="5"/>
      <c r="G76" s="5" t="s">
        <v>65</v>
      </c>
      <c r="H76" s="5" t="s">
        <v>84</v>
      </c>
      <c r="I76" s="5" t="s">
        <v>82</v>
      </c>
      <c r="J76" s="25" t="s">
        <v>164</v>
      </c>
      <c r="K76" s="25"/>
      <c r="L76" s="25"/>
      <c r="M76" s="5" t="s">
        <v>66</v>
      </c>
      <c r="N76" s="5" t="s">
        <v>113</v>
      </c>
      <c r="O76" s="5" t="s">
        <v>69</v>
      </c>
      <c r="P76" s="5" t="s">
        <v>70</v>
      </c>
      <c r="Q76" s="5" t="b">
        <v>1</v>
      </c>
      <c r="R76" s="5" t="b">
        <v>0</v>
      </c>
      <c r="S76" s="5"/>
      <c r="T76" s="5">
        <v>1000.0</v>
      </c>
      <c r="U76" s="26">
        <v>2.1</v>
      </c>
      <c r="V76" s="5">
        <v>476.0</v>
      </c>
      <c r="W76" s="27">
        <v>0.0</v>
      </c>
      <c r="X76" s="28">
        <v>476.0</v>
      </c>
      <c r="Y76" s="27">
        <v>1.0</v>
      </c>
      <c r="Z76" s="5" t="s">
        <v>78</v>
      </c>
      <c r="AA76" s="5">
        <v>0.6</v>
      </c>
      <c r="AB76" s="5"/>
      <c r="AC76" s="24" t="s">
        <v>0</v>
      </c>
      <c r="AD76" s="24" t="s">
        <v>0</v>
      </c>
      <c r="AE76" s="5">
        <v>3.0</v>
      </c>
      <c r="AF76" s="5">
        <v>0.0</v>
      </c>
      <c r="AG76" s="5" t="s">
        <v>169</v>
      </c>
      <c r="AH76" s="5" t="s">
        <v>0</v>
      </c>
      <c r="AI76" s="42"/>
      <c r="AJ76" s="28">
        <v>0.0</v>
      </c>
      <c r="AK76" s="28">
        <v>0.0</v>
      </c>
      <c r="AL76" s="28">
        <v>0.0</v>
      </c>
      <c r="AM76" s="28">
        <v>0.0</v>
      </c>
      <c r="AN76" s="28">
        <v>0.0</v>
      </c>
      <c r="AO76" s="28">
        <v>0.0</v>
      </c>
      <c r="AP76" s="28">
        <v>0.0</v>
      </c>
      <c r="AQ76" s="28">
        <v>0.0</v>
      </c>
      <c r="AR76" s="28">
        <v>0.0</v>
      </c>
      <c r="AS76" s="28">
        <v>0.0</v>
      </c>
      <c r="AT76" s="28">
        <v>0.0</v>
      </c>
      <c r="AU76" s="28">
        <v>0.0</v>
      </c>
      <c r="AV76" s="28">
        <v>0.0</v>
      </c>
      <c r="AW76" s="28">
        <v>0.0</v>
      </c>
      <c r="AX76" s="5"/>
      <c r="AY76" s="5" t="s">
        <v>125</v>
      </c>
      <c r="AZ76" s="5" t="s">
        <v>127</v>
      </c>
      <c r="BB76" s="5" t="s">
        <v>126</v>
      </c>
      <c r="BC76" s="5" t="s">
        <v>147</v>
      </c>
      <c r="BD76" s="5" t="s">
        <v>130</v>
      </c>
      <c r="BE76" s="5" t="s">
        <v>131</v>
      </c>
    </row>
    <row r="77" ht="16.5" hidden="1" customHeight="1">
      <c r="A77" s="5" t="s">
        <v>155</v>
      </c>
      <c r="B77" s="5" t="s">
        <v>137</v>
      </c>
      <c r="C77" s="5" t="b">
        <v>1</v>
      </c>
      <c r="D77" s="5" t="s">
        <v>1196</v>
      </c>
      <c r="E77" s="5" t="s">
        <v>1198</v>
      </c>
      <c r="F77" s="5"/>
      <c r="G77" s="5" t="s">
        <v>65</v>
      </c>
      <c r="H77" s="5" t="s">
        <v>84</v>
      </c>
      <c r="I77" s="5" t="s">
        <v>82</v>
      </c>
      <c r="J77" s="25" t="s">
        <v>164</v>
      </c>
      <c r="K77" s="25"/>
      <c r="L77" s="25"/>
      <c r="M77" s="5" t="s">
        <v>66</v>
      </c>
      <c r="N77" s="5" t="s">
        <v>113</v>
      </c>
      <c r="O77" s="5" t="s">
        <v>69</v>
      </c>
      <c r="P77" s="5" t="s">
        <v>107</v>
      </c>
      <c r="Q77" s="5" t="b">
        <v>1</v>
      </c>
      <c r="R77" s="5" t="b">
        <v>0</v>
      </c>
      <c r="S77" s="5"/>
      <c r="T77" s="5">
        <v>1000.0</v>
      </c>
      <c r="U77" s="26">
        <v>2.1</v>
      </c>
      <c r="V77" s="5">
        <v>476.0</v>
      </c>
      <c r="W77" s="27">
        <v>0.0</v>
      </c>
      <c r="X77" s="28">
        <v>476.0</v>
      </c>
      <c r="Y77" s="27">
        <v>1.0</v>
      </c>
      <c r="Z77" s="5" t="s">
        <v>78</v>
      </c>
      <c r="AA77" s="5">
        <v>0.61</v>
      </c>
      <c r="AB77" s="5"/>
      <c r="AC77" s="24" t="s">
        <v>0</v>
      </c>
      <c r="AD77" s="24" t="s">
        <v>0</v>
      </c>
      <c r="AE77" s="5">
        <v>3.0</v>
      </c>
      <c r="AF77" s="5">
        <v>0.0</v>
      </c>
      <c r="AG77" s="5" t="s">
        <v>169</v>
      </c>
      <c r="AH77" s="5" t="s">
        <v>0</v>
      </c>
      <c r="AI77" s="42"/>
      <c r="AJ77" s="28">
        <v>0.0</v>
      </c>
      <c r="AK77" s="28">
        <v>0.0</v>
      </c>
      <c r="AL77" s="28">
        <v>0.0</v>
      </c>
      <c r="AM77" s="28">
        <v>0.0</v>
      </c>
      <c r="AN77" s="28">
        <v>0.0</v>
      </c>
      <c r="AO77" s="28">
        <v>0.0</v>
      </c>
      <c r="AP77" s="28">
        <v>0.0</v>
      </c>
      <c r="AQ77" s="28">
        <v>0.0</v>
      </c>
      <c r="AR77" s="28">
        <v>0.0</v>
      </c>
      <c r="AS77" s="28">
        <v>0.0</v>
      </c>
      <c r="AT77" s="28">
        <v>0.0</v>
      </c>
      <c r="AU77" s="28">
        <v>0.0</v>
      </c>
      <c r="AV77" s="28">
        <v>0.0</v>
      </c>
      <c r="AW77" s="28">
        <v>0.0</v>
      </c>
      <c r="AX77" s="5"/>
      <c r="AY77" s="5" t="s">
        <v>125</v>
      </c>
      <c r="AZ77" s="5" t="s">
        <v>127</v>
      </c>
      <c r="BB77" s="5" t="s">
        <v>126</v>
      </c>
      <c r="BC77" s="5" t="s">
        <v>147</v>
      </c>
      <c r="BD77" s="5" t="s">
        <v>130</v>
      </c>
      <c r="BE77" s="5" t="s">
        <v>131</v>
      </c>
    </row>
    <row r="78" ht="16.5" hidden="1" customHeight="1">
      <c r="A78" s="5" t="s">
        <v>155</v>
      </c>
      <c r="B78" s="5" t="s">
        <v>137</v>
      </c>
      <c r="C78" s="5" t="b">
        <v>0</v>
      </c>
      <c r="D78" s="5" t="s">
        <v>310</v>
      </c>
      <c r="E78" s="5" t="s">
        <v>311</v>
      </c>
      <c r="F78" s="5"/>
      <c r="G78" s="5" t="s">
        <v>65</v>
      </c>
      <c r="H78" s="5" t="s">
        <v>76</v>
      </c>
      <c r="I78" s="5" t="s">
        <v>106</v>
      </c>
      <c r="J78" s="25" t="s">
        <v>530</v>
      </c>
      <c r="K78" s="25"/>
      <c r="L78" s="25"/>
      <c r="M78" s="5" t="s">
        <v>66</v>
      </c>
      <c r="N78" s="5" t="s">
        <v>126</v>
      </c>
      <c r="O78" s="5" t="s">
        <v>141</v>
      </c>
      <c r="P78" s="5" t="s">
        <v>70</v>
      </c>
      <c r="Q78" s="5" t="b">
        <v>1</v>
      </c>
      <c r="R78" s="5" t="b">
        <v>0</v>
      </c>
      <c r="S78" s="5"/>
      <c r="T78" s="5">
        <v>2200.0</v>
      </c>
      <c r="U78" s="26">
        <v>2.1</v>
      </c>
      <c r="V78" s="5">
        <v>1048.0</v>
      </c>
      <c r="W78" s="27">
        <v>0.0</v>
      </c>
      <c r="X78" s="28">
        <v>1048.0</v>
      </c>
      <c r="Y78" s="27">
        <v>1.0</v>
      </c>
      <c r="Z78" s="5" t="s">
        <v>117</v>
      </c>
      <c r="AA78" s="27">
        <v>0.637</v>
      </c>
      <c r="AB78" s="26"/>
      <c r="AC78" s="5" t="s">
        <v>81</v>
      </c>
      <c r="AD78" s="5" t="s">
        <v>81</v>
      </c>
      <c r="AE78" s="5">
        <v>1.0</v>
      </c>
      <c r="AF78" s="5">
        <v>1.0</v>
      </c>
      <c r="AG78" s="5" t="s">
        <v>1208</v>
      </c>
      <c r="AH78" s="5" t="s">
        <v>156</v>
      </c>
      <c r="AI78" s="42"/>
      <c r="AJ78" s="28">
        <v>0.0</v>
      </c>
      <c r="AK78" s="28">
        <v>0.0</v>
      </c>
      <c r="AL78" s="28">
        <v>0.0</v>
      </c>
      <c r="AM78" s="28">
        <v>0.0</v>
      </c>
      <c r="AN78" s="28">
        <v>0.0</v>
      </c>
      <c r="AO78" s="28">
        <v>0.0</v>
      </c>
      <c r="AP78" s="28">
        <v>0.0</v>
      </c>
      <c r="AQ78" s="28">
        <v>0.0</v>
      </c>
      <c r="AR78" s="28">
        <v>0.0</v>
      </c>
      <c r="AS78" s="28">
        <v>0.0</v>
      </c>
      <c r="AT78" s="28">
        <v>0.0</v>
      </c>
      <c r="AU78" s="28">
        <v>0.0</v>
      </c>
      <c r="AV78" s="28">
        <v>0.0</v>
      </c>
      <c r="AW78" s="28">
        <v>0.0</v>
      </c>
      <c r="AX78" s="5"/>
      <c r="AY78" s="5" t="s">
        <v>125</v>
      </c>
      <c r="AZ78" s="5" t="s">
        <v>127</v>
      </c>
      <c r="BB78" s="5" t="s">
        <v>126</v>
      </c>
      <c r="BC78" s="5" t="s">
        <v>128</v>
      </c>
      <c r="BD78" s="5" t="s">
        <v>130</v>
      </c>
      <c r="BE78" s="5" t="s">
        <v>131</v>
      </c>
      <c r="BF78" s="5" t="s">
        <v>281</v>
      </c>
    </row>
    <row r="79" ht="16.5" hidden="1" customHeight="1">
      <c r="A79" s="5" t="s">
        <v>155</v>
      </c>
      <c r="B79" s="5" t="s">
        <v>137</v>
      </c>
      <c r="C79" s="5" t="b">
        <v>0</v>
      </c>
      <c r="D79" s="5" t="s">
        <v>314</v>
      </c>
      <c r="E79" s="5" t="s">
        <v>315</v>
      </c>
      <c r="F79" s="5"/>
      <c r="G79" s="5" t="s">
        <v>65</v>
      </c>
      <c r="H79" s="5" t="s">
        <v>76</v>
      </c>
      <c r="I79" s="5" t="s">
        <v>106</v>
      </c>
      <c r="J79" s="25" t="s">
        <v>530</v>
      </c>
      <c r="K79" s="25"/>
      <c r="L79" s="25"/>
      <c r="M79" s="5" t="s">
        <v>66</v>
      </c>
      <c r="N79" s="5" t="s">
        <v>126</v>
      </c>
      <c r="O79" s="5" t="s">
        <v>141</v>
      </c>
      <c r="P79" s="5" t="s">
        <v>107</v>
      </c>
      <c r="Q79" s="5" t="b">
        <v>1</v>
      </c>
      <c r="R79" s="5" t="b">
        <v>0</v>
      </c>
      <c r="S79" s="5"/>
      <c r="T79" s="5">
        <v>2200.0</v>
      </c>
      <c r="U79" s="26">
        <v>2.1</v>
      </c>
      <c r="V79" s="5">
        <v>1048.0</v>
      </c>
      <c r="W79" s="27">
        <v>0.0</v>
      </c>
      <c r="X79" s="28">
        <v>1048.0</v>
      </c>
      <c r="Y79" s="27">
        <v>1.0</v>
      </c>
      <c r="Z79" s="5" t="s">
        <v>117</v>
      </c>
      <c r="AA79" s="27">
        <v>0.657</v>
      </c>
      <c r="AB79" s="26"/>
      <c r="AC79" s="5" t="s">
        <v>81</v>
      </c>
      <c r="AD79" s="5" t="s">
        <v>81</v>
      </c>
      <c r="AE79" s="5">
        <v>1.0</v>
      </c>
      <c r="AF79" s="5">
        <v>1.0</v>
      </c>
      <c r="AG79" s="5" t="s">
        <v>1208</v>
      </c>
      <c r="AH79" s="5" t="s">
        <v>156</v>
      </c>
      <c r="AI79" s="42"/>
      <c r="AJ79" s="28">
        <v>0.0</v>
      </c>
      <c r="AK79" s="28">
        <v>0.0</v>
      </c>
      <c r="AL79" s="28">
        <v>0.0</v>
      </c>
      <c r="AM79" s="28">
        <v>0.0</v>
      </c>
      <c r="AN79" s="28">
        <v>0.0</v>
      </c>
      <c r="AO79" s="28">
        <v>0.0</v>
      </c>
      <c r="AP79" s="28">
        <v>0.0</v>
      </c>
      <c r="AQ79" s="28">
        <v>0.0</v>
      </c>
      <c r="AR79" s="28">
        <v>0.0</v>
      </c>
      <c r="AS79" s="28">
        <v>0.0</v>
      </c>
      <c r="AT79" s="28">
        <v>0.0</v>
      </c>
      <c r="AU79" s="28">
        <v>0.0</v>
      </c>
      <c r="AV79" s="28">
        <v>0.0</v>
      </c>
      <c r="AW79" s="28">
        <v>0.0</v>
      </c>
      <c r="AX79" s="5"/>
      <c r="AY79" s="5" t="s">
        <v>125</v>
      </c>
      <c r="AZ79" s="5" t="s">
        <v>127</v>
      </c>
      <c r="BB79" s="5" t="s">
        <v>126</v>
      </c>
      <c r="BC79" s="5" t="s">
        <v>128</v>
      </c>
      <c r="BD79" s="5" t="s">
        <v>130</v>
      </c>
      <c r="BE79" s="5" t="s">
        <v>131</v>
      </c>
      <c r="BF79" s="5" t="s">
        <v>281</v>
      </c>
    </row>
    <row r="80" ht="16.5" hidden="1" customHeight="1">
      <c r="A80" s="5" t="s">
        <v>155</v>
      </c>
      <c r="B80" s="5" t="s">
        <v>200</v>
      </c>
      <c r="C80" s="5" t="b">
        <v>0</v>
      </c>
      <c r="D80" s="5" t="s">
        <v>320</v>
      </c>
      <c r="E80" s="5" t="s">
        <v>321</v>
      </c>
      <c r="F80" s="5"/>
      <c r="G80" s="5" t="s">
        <v>65</v>
      </c>
      <c r="H80" s="5" t="s">
        <v>84</v>
      </c>
      <c r="I80" s="5" t="s">
        <v>106</v>
      </c>
      <c r="J80" s="25" t="s">
        <v>413</v>
      </c>
      <c r="K80" s="25"/>
      <c r="L80" s="25"/>
      <c r="M80" s="5" t="s">
        <v>247</v>
      </c>
      <c r="N80" s="5" t="s">
        <v>248</v>
      </c>
      <c r="O80" s="5" t="s">
        <v>69</v>
      </c>
      <c r="P80" s="5" t="s">
        <v>249</v>
      </c>
      <c r="Q80" s="5" t="b">
        <v>1</v>
      </c>
      <c r="R80" s="5" t="b">
        <v>0</v>
      </c>
      <c r="S80" s="5"/>
      <c r="T80" s="5">
        <v>400.0</v>
      </c>
      <c r="U80" s="26">
        <v>2.1</v>
      </c>
      <c r="V80" s="5">
        <v>190.0</v>
      </c>
      <c r="W80" s="27">
        <v>0.0</v>
      </c>
      <c r="X80" s="28">
        <v>190.0</v>
      </c>
      <c r="Y80" s="27">
        <v>1.0</v>
      </c>
      <c r="Z80" s="5" t="s">
        <v>117</v>
      </c>
      <c r="AA80" s="5">
        <v>0.6</v>
      </c>
      <c r="AB80" s="5"/>
      <c r="AC80" s="5" t="s">
        <v>81</v>
      </c>
      <c r="AD80" s="5" t="s">
        <v>81</v>
      </c>
      <c r="AE80" s="5">
        <v>3.0</v>
      </c>
      <c r="AF80" s="5">
        <v>0.0</v>
      </c>
      <c r="AG80" s="5" t="s">
        <v>1223</v>
      </c>
      <c r="AH80" s="5" t="s">
        <v>0</v>
      </c>
      <c r="AI80" s="42"/>
      <c r="AJ80" s="28">
        <v>0.0</v>
      </c>
      <c r="AK80" s="28">
        <v>0.0</v>
      </c>
      <c r="AL80" s="28">
        <v>0.0</v>
      </c>
      <c r="AM80" s="28">
        <v>907.0</v>
      </c>
      <c r="AN80" s="28">
        <v>0.0</v>
      </c>
      <c r="AO80" s="28">
        <v>0.0</v>
      </c>
      <c r="AP80" s="28">
        <v>0.0</v>
      </c>
      <c r="AQ80" s="28">
        <v>0.0</v>
      </c>
      <c r="AR80" s="28">
        <v>172765.36</v>
      </c>
      <c r="AS80" s="28">
        <v>0.0</v>
      </c>
      <c r="AT80" s="28">
        <v>0.0</v>
      </c>
      <c r="AU80" s="28">
        <v>0.0</v>
      </c>
      <c r="AV80" s="28">
        <v>0.0</v>
      </c>
      <c r="AW80" s="28">
        <v>162997.75526024366</v>
      </c>
      <c r="AX80" s="5"/>
      <c r="AY80" s="5" t="s">
        <v>125</v>
      </c>
      <c r="AZ80" s="5" t="s">
        <v>174</v>
      </c>
      <c r="BB80" s="5" t="s">
        <v>248</v>
      </c>
      <c r="BC80" s="5" t="s">
        <v>253</v>
      </c>
      <c r="BD80" s="5" t="s">
        <v>324</v>
      </c>
      <c r="BE80" s="5" t="s">
        <v>131</v>
      </c>
      <c r="BF80" s="5" t="s">
        <v>1226</v>
      </c>
    </row>
    <row r="81" ht="16.5" hidden="1" customHeight="1">
      <c r="A81" s="5" t="s">
        <v>155</v>
      </c>
      <c r="B81" s="5" t="s">
        <v>200</v>
      </c>
      <c r="C81" s="5" t="b">
        <v>0</v>
      </c>
      <c r="D81" s="5" t="s">
        <v>325</v>
      </c>
      <c r="E81" s="5" t="s">
        <v>326</v>
      </c>
      <c r="F81" s="5"/>
      <c r="G81" s="5" t="s">
        <v>65</v>
      </c>
      <c r="H81" s="5" t="s">
        <v>84</v>
      </c>
      <c r="I81" s="5" t="s">
        <v>106</v>
      </c>
      <c r="J81" s="25" t="s">
        <v>413</v>
      </c>
      <c r="K81" s="25"/>
      <c r="L81" s="25"/>
      <c r="M81" s="5" t="s">
        <v>247</v>
      </c>
      <c r="N81" s="5" t="s">
        <v>248</v>
      </c>
      <c r="O81" s="5" t="s">
        <v>69</v>
      </c>
      <c r="P81" s="5" t="s">
        <v>249</v>
      </c>
      <c r="Q81" s="5" t="b">
        <v>1</v>
      </c>
      <c r="R81" s="5" t="b">
        <v>0</v>
      </c>
      <c r="S81" s="5"/>
      <c r="T81" s="5">
        <v>400.0</v>
      </c>
      <c r="U81" s="26">
        <v>2.1</v>
      </c>
      <c r="V81" s="5">
        <v>190.0</v>
      </c>
      <c r="W81" s="27">
        <v>0.0</v>
      </c>
      <c r="X81" s="28">
        <v>190.0</v>
      </c>
      <c r="Y81" s="27">
        <v>1.0</v>
      </c>
      <c r="Z81" s="5" t="s">
        <v>78</v>
      </c>
      <c r="AA81" s="5">
        <v>0.613</v>
      </c>
      <c r="AB81" s="5"/>
      <c r="AC81" s="5" t="s">
        <v>81</v>
      </c>
      <c r="AD81" s="5" t="s">
        <v>81</v>
      </c>
      <c r="AE81" s="5">
        <v>4.0</v>
      </c>
      <c r="AF81" s="5">
        <v>4.0</v>
      </c>
      <c r="AG81" s="5" t="s">
        <v>421</v>
      </c>
      <c r="AH81" s="5" t="s">
        <v>0</v>
      </c>
      <c r="AI81" s="42"/>
      <c r="AJ81" s="28">
        <v>0.0</v>
      </c>
      <c r="AK81" s="28">
        <v>16.0</v>
      </c>
      <c r="AL81" s="28">
        <v>0.0</v>
      </c>
      <c r="AM81" s="28">
        <v>2701.0</v>
      </c>
      <c r="AN81" s="28">
        <v>0.0</v>
      </c>
      <c r="AO81" s="28">
        <v>0.0</v>
      </c>
      <c r="AP81" s="28">
        <v>3040.0</v>
      </c>
      <c r="AQ81" s="28">
        <v>0.0</v>
      </c>
      <c r="AR81" s="28">
        <v>514486.47999999975</v>
      </c>
      <c r="AS81" s="28">
        <v>0.0</v>
      </c>
      <c r="AT81" s="28">
        <v>0.0</v>
      </c>
      <c r="AU81" s="28">
        <v>2506.56</v>
      </c>
      <c r="AV81" s="28">
        <v>0.0</v>
      </c>
      <c r="AW81" s="28">
        <v>412928.58050941315</v>
      </c>
      <c r="AX81" s="5"/>
      <c r="AY81" s="5" t="s">
        <v>125</v>
      </c>
      <c r="AZ81" s="5" t="s">
        <v>174</v>
      </c>
      <c r="BB81" s="5" t="s">
        <v>248</v>
      </c>
      <c r="BC81" s="5" t="s">
        <v>253</v>
      </c>
      <c r="BD81" s="5" t="s">
        <v>254</v>
      </c>
      <c r="BE81" s="5" t="s">
        <v>131</v>
      </c>
      <c r="BF81" s="5" t="s">
        <v>910</v>
      </c>
    </row>
    <row r="82" ht="16.5" hidden="1" customHeight="1">
      <c r="A82" s="5" t="s">
        <v>155</v>
      </c>
      <c r="B82" s="5" t="s">
        <v>137</v>
      </c>
      <c r="C82" s="5" t="b">
        <v>1</v>
      </c>
      <c r="D82" s="5" t="s">
        <v>327</v>
      </c>
      <c r="E82" s="5" t="s">
        <v>328</v>
      </c>
      <c r="F82" s="5"/>
      <c r="G82" s="5" t="s">
        <v>65</v>
      </c>
      <c r="H82" s="5" t="s">
        <v>84</v>
      </c>
      <c r="I82" s="5" t="s">
        <v>82</v>
      </c>
      <c r="J82" s="25"/>
      <c r="K82" s="25"/>
      <c r="L82" s="25"/>
      <c r="M82" s="5" t="s">
        <v>247</v>
      </c>
      <c r="N82" s="5" t="s">
        <v>270</v>
      </c>
      <c r="O82" s="5" t="s">
        <v>69</v>
      </c>
      <c r="P82" s="5" t="s">
        <v>70</v>
      </c>
      <c r="Q82" s="5" t="b">
        <v>1</v>
      </c>
      <c r="R82" s="5" t="b">
        <v>0</v>
      </c>
      <c r="S82" s="5"/>
      <c r="T82" s="5">
        <v>1500.0</v>
      </c>
      <c r="U82" s="26">
        <v>2.1</v>
      </c>
      <c r="V82" s="5">
        <v>714.0</v>
      </c>
      <c r="W82" s="27">
        <v>0.0</v>
      </c>
      <c r="X82" s="28">
        <v>714.0</v>
      </c>
      <c r="Y82" s="27">
        <v>1.0</v>
      </c>
      <c r="Z82" s="5" t="s">
        <v>117</v>
      </c>
      <c r="AA82" s="5">
        <v>0.58</v>
      </c>
      <c r="AB82" s="5"/>
      <c r="AC82" s="5" t="s">
        <v>81</v>
      </c>
      <c r="AD82" s="5" t="s">
        <v>81</v>
      </c>
      <c r="AE82" s="5">
        <v>3.0</v>
      </c>
      <c r="AF82" s="5">
        <v>3.0</v>
      </c>
      <c r="AG82" s="5" t="s">
        <v>1235</v>
      </c>
      <c r="AH82" s="5" t="s">
        <v>0</v>
      </c>
      <c r="AI82" s="42"/>
      <c r="AJ82" s="28">
        <v>813.0</v>
      </c>
      <c r="AK82" s="28">
        <v>1677.0</v>
      </c>
      <c r="AL82" s="28">
        <v>0.0</v>
      </c>
      <c r="AM82" s="28">
        <v>914.0</v>
      </c>
      <c r="AN82" s="28">
        <v>0.0</v>
      </c>
      <c r="AO82" s="28">
        <v>580717.77</v>
      </c>
      <c r="AP82" s="28">
        <v>1197378.0</v>
      </c>
      <c r="AQ82" s="28">
        <v>0.0</v>
      </c>
      <c r="AR82" s="28">
        <v>652861.0600000002</v>
      </c>
      <c r="AS82" s="28">
        <v>0.0</v>
      </c>
      <c r="AT82" s="28">
        <v>476975.7178294573</v>
      </c>
      <c r="AU82" s="28">
        <v>724897.2940949999</v>
      </c>
      <c r="AV82" s="28">
        <v>0.0</v>
      </c>
      <c r="AW82" s="28">
        <v>576067.685492802</v>
      </c>
      <c r="AX82" s="5"/>
      <c r="AY82" s="5" t="str">
        <f t="array" ref="AY82">IFERROR(_xlfn.XLOOKUP($E82,'FW27'!$C$3:$C$1102,'FW27'!$AM$3:$AM$1102),"")</f>
        <v>Essentials</v>
      </c>
      <c r="AZ82" s="5" t="str">
        <f t="array" ref="AZ82">IFERROR(_xlfn.XLOOKUP($E82,'FW27'!$C$3:$C$1102,'FW27'!$AN$3:$AN$1102),"")</f>
        <v>Daily Essentials</v>
      </c>
      <c r="BA82" s="5" t="s">
        <v>237</v>
      </c>
      <c r="BB82" s="5" t="str">
        <f t="array" ref="BB82">IFERROR(_xlfn.XLOOKUP($E82,'FW27'!$C$3:$C$1102,'FW27'!$AS$3:$AS$1102),"")</f>
        <v>Fleece/Midlayer</v>
      </c>
      <c r="BC82" s="5" t="str">
        <f t="array" ref="BC82">IFERROR(_xlfn.XLOOKUP($E82,'FW27'!$C$3:$C$1102,'FW27'!$AT$3:$AT$1102),"")</f>
        <v>Hooded Jacket</v>
      </c>
      <c r="BD82" s="5" t="str">
        <f t="array" ref="BD82">IFERROR(_xlfn.XLOOKUP($E82,'FW27'!$C$3:$C$1102,'FW27'!$AU$3:$AU$1102),"")</f>
        <v>Midweight</v>
      </c>
      <c r="BE82" s="5" t="str">
        <f t="array" ref="BE82">IFERROR(_xlfn.XLOOKUP($E82,'FW27'!$C$3:$C$1102,'FW27'!$AV$3:$AV$1102),"")</f>
        <v>N</v>
      </c>
    </row>
    <row r="83" ht="16.5" hidden="1" customHeight="1">
      <c r="A83" s="5" t="s">
        <v>155</v>
      </c>
      <c r="B83" s="5" t="s">
        <v>137</v>
      </c>
      <c r="C83" s="5" t="b">
        <v>1</v>
      </c>
      <c r="D83" s="5" t="s">
        <v>330</v>
      </c>
      <c r="E83" s="5" t="s">
        <v>331</v>
      </c>
      <c r="F83" s="5"/>
      <c r="G83" s="5" t="s">
        <v>65</v>
      </c>
      <c r="H83" s="5" t="s">
        <v>84</v>
      </c>
      <c r="I83" s="5" t="s">
        <v>82</v>
      </c>
      <c r="J83" s="25"/>
      <c r="K83" s="25"/>
      <c r="L83" s="25"/>
      <c r="M83" s="5" t="s">
        <v>247</v>
      </c>
      <c r="N83" s="5" t="s">
        <v>270</v>
      </c>
      <c r="O83" s="5" t="s">
        <v>69</v>
      </c>
      <c r="P83" s="5" t="s">
        <v>107</v>
      </c>
      <c r="Q83" s="5" t="b">
        <v>1</v>
      </c>
      <c r="R83" s="5" t="b">
        <v>0</v>
      </c>
      <c r="S83" s="5"/>
      <c r="T83" s="5">
        <v>1500.0</v>
      </c>
      <c r="U83" s="26">
        <v>2.1</v>
      </c>
      <c r="V83" s="5">
        <v>714.0</v>
      </c>
      <c r="W83" s="27">
        <v>0.0</v>
      </c>
      <c r="X83" s="28">
        <v>714.0</v>
      </c>
      <c r="Y83" s="27">
        <v>1.0</v>
      </c>
      <c r="Z83" s="5" t="s">
        <v>117</v>
      </c>
      <c r="AA83" s="27">
        <v>0.6</v>
      </c>
      <c r="AB83" s="26"/>
      <c r="AC83" s="5" t="s">
        <v>81</v>
      </c>
      <c r="AD83" s="5" t="s">
        <v>81</v>
      </c>
      <c r="AE83" s="5">
        <v>3.0</v>
      </c>
      <c r="AF83" s="5">
        <v>3.0</v>
      </c>
      <c r="AG83" s="5" t="s">
        <v>1235</v>
      </c>
      <c r="AH83" s="5" t="s">
        <v>0</v>
      </c>
      <c r="AI83" s="42"/>
      <c r="AJ83" s="28">
        <v>657.0</v>
      </c>
      <c r="AK83" s="28">
        <v>968.0</v>
      </c>
      <c r="AL83" s="28">
        <v>0.0</v>
      </c>
      <c r="AM83" s="28">
        <v>734.0</v>
      </c>
      <c r="AN83" s="28">
        <v>0.0</v>
      </c>
      <c r="AO83" s="28">
        <v>469288.52999999997</v>
      </c>
      <c r="AP83" s="28">
        <v>691152.0</v>
      </c>
      <c r="AQ83" s="28">
        <v>0.0</v>
      </c>
      <c r="AR83" s="28">
        <v>524288.86</v>
      </c>
      <c r="AS83" s="28">
        <v>0.0</v>
      </c>
      <c r="AT83" s="28">
        <v>400345.06157253595</v>
      </c>
      <c r="AU83" s="28">
        <v>464200.02411</v>
      </c>
      <c r="AV83" s="28">
        <v>0.0</v>
      </c>
      <c r="AW83" s="28">
        <v>460207.37807308964</v>
      </c>
      <c r="AX83" s="5"/>
      <c r="AY83" s="5" t="str">
        <f t="array" ref="AY83">IFERROR(_xlfn.XLOOKUP($E83,'FW27'!$C$3:$C$1102,'FW27'!$AM$3:$AM$1102),"")</f>
        <v>Essentials</v>
      </c>
      <c r="AZ83" s="5" t="str">
        <f t="array" ref="AZ83">IFERROR(_xlfn.XLOOKUP($E83,'FW27'!$C$3:$C$1102,'FW27'!$AN$3:$AN$1102),"")</f>
        <v>Daily Essentials</v>
      </c>
      <c r="BA83" s="5" t="s">
        <v>237</v>
      </c>
      <c r="BB83" s="5" t="str">
        <f t="array" ref="BB83">IFERROR(_xlfn.XLOOKUP($E83,'FW27'!$C$3:$C$1102,'FW27'!$AS$3:$AS$1102),"")</f>
        <v>Fleece/Midlayer</v>
      </c>
      <c r="BC83" s="5" t="str">
        <f t="array" ref="BC83">IFERROR(_xlfn.XLOOKUP($E83,'FW27'!$C$3:$C$1102,'FW27'!$AT$3:$AT$1102),"")</f>
        <v>Hooded Jacket</v>
      </c>
      <c r="BD83" s="5" t="str">
        <f t="array" ref="BD83">IFERROR(_xlfn.XLOOKUP($E83,'FW27'!$C$3:$C$1102,'FW27'!$AU$3:$AU$1102),"")</f>
        <v>Midweight</v>
      </c>
      <c r="BE83" s="5" t="str">
        <f t="array" ref="BE83">IFERROR(_xlfn.XLOOKUP($E83,'FW27'!$C$3:$C$1102,'FW27'!$AV$3:$AV$1102),"")</f>
        <v>N</v>
      </c>
    </row>
    <row r="84" ht="16.5" hidden="1" customHeight="1">
      <c r="A84" s="5" t="s">
        <v>155</v>
      </c>
      <c r="B84" s="5" t="s">
        <v>137</v>
      </c>
      <c r="C84" s="5" t="b">
        <v>1</v>
      </c>
      <c r="D84" s="5" t="s">
        <v>332</v>
      </c>
      <c r="E84" s="5" t="s">
        <v>333</v>
      </c>
      <c r="F84" s="5"/>
      <c r="G84" s="5" t="s">
        <v>65</v>
      </c>
      <c r="H84" s="5" t="s">
        <v>84</v>
      </c>
      <c r="I84" s="5" t="s">
        <v>82</v>
      </c>
      <c r="J84" s="25"/>
      <c r="K84" s="25"/>
      <c r="L84" s="25"/>
      <c r="M84" s="5" t="s">
        <v>247</v>
      </c>
      <c r="N84" s="5" t="s">
        <v>334</v>
      </c>
      <c r="O84" s="5" t="s">
        <v>69</v>
      </c>
      <c r="P84" s="5" t="s">
        <v>70</v>
      </c>
      <c r="Q84" s="5" t="b">
        <v>1</v>
      </c>
      <c r="R84" s="5" t="b">
        <v>0</v>
      </c>
      <c r="S84" s="5"/>
      <c r="T84" s="5">
        <v>800.0</v>
      </c>
      <c r="U84" s="26">
        <v>2.1</v>
      </c>
      <c r="V84" s="5">
        <v>381.0</v>
      </c>
      <c r="W84" s="27">
        <v>0.0</v>
      </c>
      <c r="X84" s="28">
        <v>381.0</v>
      </c>
      <c r="Y84" s="27">
        <v>1.0</v>
      </c>
      <c r="Z84" s="5" t="s">
        <v>117</v>
      </c>
      <c r="AA84" s="27">
        <v>0.611</v>
      </c>
      <c r="AB84" s="26"/>
      <c r="AC84" s="5" t="s">
        <v>81</v>
      </c>
      <c r="AD84" s="5" t="s">
        <v>81</v>
      </c>
      <c r="AE84" s="5">
        <v>4.0</v>
      </c>
      <c r="AF84" s="5">
        <v>4.0</v>
      </c>
      <c r="AG84" s="5" t="s">
        <v>0</v>
      </c>
      <c r="AH84" s="5" t="s">
        <v>0</v>
      </c>
      <c r="AI84" s="42"/>
      <c r="AJ84" s="28">
        <v>2297.0</v>
      </c>
      <c r="AK84" s="28">
        <v>2036.0</v>
      </c>
      <c r="AL84" s="28">
        <v>0.0</v>
      </c>
      <c r="AM84" s="28">
        <v>2201.0</v>
      </c>
      <c r="AN84" s="28">
        <v>0.0</v>
      </c>
      <c r="AO84" s="28">
        <v>875042.1499999999</v>
      </c>
      <c r="AP84" s="28">
        <v>775716.0</v>
      </c>
      <c r="AQ84" s="28">
        <v>0.0</v>
      </c>
      <c r="AR84" s="28">
        <v>838470.95</v>
      </c>
      <c r="AS84" s="28">
        <v>0.0</v>
      </c>
      <c r="AT84" s="28">
        <v>632335.9853820597</v>
      </c>
      <c r="AU84" s="28">
        <v>651356.0876</v>
      </c>
      <c r="AV84" s="28">
        <v>0.0</v>
      </c>
      <c r="AW84" s="28">
        <v>651283.7874861575</v>
      </c>
      <c r="AX84" s="5"/>
      <c r="AY84" s="5" t="str">
        <f t="array" ref="AY84">IFERROR(_xlfn.XLOOKUP($E84,'FW27'!$C$3:$C$1102,'FW27'!$AM$3:$AM$1102),"")</f>
        <v>Essentials</v>
      </c>
      <c r="AZ84" s="5" t="str">
        <f t="array" ref="AZ84">IFERROR(_xlfn.XLOOKUP($E84,'FW27'!$C$3:$C$1102,'FW27'!$AN$3:$AN$1102),"")</f>
        <v>Daily Essentials</v>
      </c>
      <c r="BA84" s="5" t="s">
        <v>237</v>
      </c>
      <c r="BB84" s="5" t="str">
        <f t="array" ref="BB84">IFERROR(_xlfn.XLOOKUP($E84,'FW27'!$C$3:$C$1102,'FW27'!$AS$3:$AS$1102),"")</f>
        <v>Tops</v>
      </c>
      <c r="BC84" s="5" t="str">
        <f t="array" ref="BC84">IFERROR(_xlfn.XLOOKUP($E84,'FW27'!$C$3:$C$1102,'FW27'!$AT$3:$AT$1102),"")</f>
        <v>Long Sleeve</v>
      </c>
      <c r="BD84" s="5" t="str">
        <f t="array" ref="BD84">IFERROR(_xlfn.XLOOKUP($E84,'FW27'!$C$3:$C$1102,'FW27'!$AU$3:$AU$1102),"")</f>
        <v>Cotton/Graphic Tee</v>
      </c>
      <c r="BE84" s="5" t="str">
        <f t="array" ref="BE84">IFERROR(_xlfn.XLOOKUP($E84,'FW27'!$C$3:$C$1102,'FW27'!$AV$3:$AV$1102),"")</f>
        <v>N</v>
      </c>
    </row>
    <row r="85" ht="16.5" hidden="1" customHeight="1">
      <c r="A85" s="5" t="s">
        <v>155</v>
      </c>
      <c r="B85" s="5" t="s">
        <v>137</v>
      </c>
      <c r="C85" s="5" t="b">
        <v>1</v>
      </c>
      <c r="D85" s="5" t="s">
        <v>339</v>
      </c>
      <c r="E85" s="5" t="s">
        <v>340</v>
      </c>
      <c r="F85" s="5"/>
      <c r="G85" s="5" t="s">
        <v>65</v>
      </c>
      <c r="H85" s="5" t="s">
        <v>84</v>
      </c>
      <c r="I85" s="5" t="s">
        <v>82</v>
      </c>
      <c r="J85" s="25"/>
      <c r="K85" s="25"/>
      <c r="L85" s="25"/>
      <c r="M85" s="5" t="s">
        <v>247</v>
      </c>
      <c r="N85" s="5" t="s">
        <v>334</v>
      </c>
      <c r="O85" s="5" t="s">
        <v>69</v>
      </c>
      <c r="P85" s="5" t="s">
        <v>107</v>
      </c>
      <c r="Q85" s="5" t="b">
        <v>1</v>
      </c>
      <c r="R85" s="5" t="b">
        <v>0</v>
      </c>
      <c r="S85" s="5"/>
      <c r="T85" s="5">
        <v>800.0</v>
      </c>
      <c r="U85" s="26">
        <v>2.1</v>
      </c>
      <c r="V85" s="5">
        <v>381.0</v>
      </c>
      <c r="W85" s="27">
        <v>0.0</v>
      </c>
      <c r="X85" s="28">
        <v>381.0</v>
      </c>
      <c r="Y85" s="27">
        <v>1.0</v>
      </c>
      <c r="Z85" s="5" t="s">
        <v>242</v>
      </c>
      <c r="AA85" s="5">
        <v>0.63</v>
      </c>
      <c r="AB85" s="5"/>
      <c r="AC85" s="5" t="s">
        <v>81</v>
      </c>
      <c r="AD85" s="5" t="s">
        <v>81</v>
      </c>
      <c r="AE85" s="5">
        <v>4.0</v>
      </c>
      <c r="AF85" s="5">
        <v>3.0</v>
      </c>
      <c r="AG85" s="5" t="s">
        <v>1281</v>
      </c>
      <c r="AH85" s="5" t="s">
        <v>0</v>
      </c>
      <c r="AI85" s="42"/>
      <c r="AJ85" s="28">
        <v>1753.0</v>
      </c>
      <c r="AK85" s="28">
        <v>1329.0</v>
      </c>
      <c r="AL85" s="28">
        <v>0.0</v>
      </c>
      <c r="AM85" s="28">
        <v>1623.0</v>
      </c>
      <c r="AN85" s="28">
        <v>0.0</v>
      </c>
      <c r="AO85" s="28">
        <v>667805.35</v>
      </c>
      <c r="AP85" s="28">
        <v>506349.0</v>
      </c>
      <c r="AQ85" s="28">
        <v>0.0</v>
      </c>
      <c r="AR85" s="28">
        <v>618281.85</v>
      </c>
      <c r="AS85" s="28">
        <v>0.0</v>
      </c>
      <c r="AT85" s="28">
        <v>496495.0004429679</v>
      </c>
      <c r="AU85" s="28">
        <v>440180.56921000005</v>
      </c>
      <c r="AV85" s="28">
        <v>0.0</v>
      </c>
      <c r="AW85" s="28">
        <v>494885.9303433001</v>
      </c>
      <c r="AX85" s="5"/>
      <c r="AY85" s="5" t="str">
        <f t="array" ref="AY85">IFERROR(_xlfn.XLOOKUP($E85,'FW27'!$C$3:$C$1102,'FW27'!$AM$3:$AM$1102),"")</f>
        <v>Essentials</v>
      </c>
      <c r="AZ85" s="5" t="str">
        <f t="array" ref="AZ85">IFERROR(_xlfn.XLOOKUP($E85,'FW27'!$C$3:$C$1102,'FW27'!$AN$3:$AN$1102),"")</f>
        <v>Daily Essentials</v>
      </c>
      <c r="BA85" s="5" t="s">
        <v>237</v>
      </c>
      <c r="BB85" s="5" t="str">
        <f t="array" ref="BB85">IFERROR(_xlfn.XLOOKUP($E85,'FW27'!$C$3:$C$1102,'FW27'!$AS$3:$AS$1102),"")</f>
        <v>Tops</v>
      </c>
      <c r="BC85" s="5" t="str">
        <f t="array" ref="BC85">IFERROR(_xlfn.XLOOKUP($E85,'FW27'!$C$3:$C$1102,'FW27'!$AT$3:$AT$1102),"")</f>
        <v>Long Sleeve</v>
      </c>
      <c r="BD85" s="5" t="str">
        <f t="array" ref="BD85">IFERROR(_xlfn.XLOOKUP($E85,'FW27'!$C$3:$C$1102,'FW27'!$AU$3:$AU$1102),"")</f>
        <v>Cotton/Graphic Tee</v>
      </c>
      <c r="BE85" s="5" t="str">
        <f t="array" ref="BE85">IFERROR(_xlfn.XLOOKUP($E85,'FW27'!$C$3:$C$1102,'FW27'!$AV$3:$AV$1102),"")</f>
        <v>N</v>
      </c>
    </row>
    <row r="86" ht="16.5" hidden="1" customHeight="1">
      <c r="A86" s="5" t="s">
        <v>155</v>
      </c>
      <c r="B86" s="5" t="s">
        <v>200</v>
      </c>
      <c r="C86" s="5" t="b">
        <v>0</v>
      </c>
      <c r="D86" s="5" t="s">
        <v>342</v>
      </c>
      <c r="E86" s="5" t="s">
        <v>343</v>
      </c>
      <c r="F86" s="5"/>
      <c r="G86" s="5" t="s">
        <v>65</v>
      </c>
      <c r="H86" s="5" t="s">
        <v>84</v>
      </c>
      <c r="I86" s="5" t="s">
        <v>106</v>
      </c>
      <c r="J86" s="25" t="s">
        <v>413</v>
      </c>
      <c r="K86" s="25"/>
      <c r="L86" s="25"/>
      <c r="M86" s="5" t="s">
        <v>247</v>
      </c>
      <c r="N86" s="5" t="s">
        <v>248</v>
      </c>
      <c r="O86" s="5" t="s">
        <v>69</v>
      </c>
      <c r="P86" s="5" t="s">
        <v>249</v>
      </c>
      <c r="Q86" s="5" t="b">
        <v>1</v>
      </c>
      <c r="R86" s="5" t="b">
        <v>0</v>
      </c>
      <c r="S86" s="5"/>
      <c r="T86" s="5">
        <v>500.0</v>
      </c>
      <c r="U86" s="26">
        <v>2.1</v>
      </c>
      <c r="V86" s="5">
        <v>238.0</v>
      </c>
      <c r="W86" s="27">
        <v>0.0</v>
      </c>
      <c r="X86" s="28">
        <v>238.0</v>
      </c>
      <c r="Y86" s="27">
        <v>1.0</v>
      </c>
      <c r="Z86" s="5" t="s">
        <v>117</v>
      </c>
      <c r="AA86" s="5">
        <v>0.524</v>
      </c>
      <c r="AB86" s="5"/>
      <c r="AC86" s="5" t="s">
        <v>81</v>
      </c>
      <c r="AD86" s="5" t="s">
        <v>81</v>
      </c>
      <c r="AE86" s="5">
        <v>4.0</v>
      </c>
      <c r="AF86" s="5">
        <v>4.0</v>
      </c>
      <c r="AG86" s="5" t="s">
        <v>0</v>
      </c>
      <c r="AH86" s="5" t="s">
        <v>0</v>
      </c>
      <c r="AI86" s="42"/>
      <c r="AJ86" s="28">
        <v>0.0</v>
      </c>
      <c r="AK86" s="28">
        <v>51.0</v>
      </c>
      <c r="AL86" s="28">
        <v>0.0</v>
      </c>
      <c r="AM86" s="28">
        <v>3743.0</v>
      </c>
      <c r="AN86" s="28">
        <v>0.0</v>
      </c>
      <c r="AO86" s="28">
        <v>0.0</v>
      </c>
      <c r="AP86" s="28">
        <v>12138.0</v>
      </c>
      <c r="AQ86" s="28">
        <v>0.0</v>
      </c>
      <c r="AR86" s="28">
        <v>891208.3</v>
      </c>
      <c r="AS86" s="28">
        <v>0.0</v>
      </c>
      <c r="AT86" s="28">
        <v>0.0</v>
      </c>
      <c r="AU86" s="28">
        <v>10007.73</v>
      </c>
      <c r="AV86" s="28">
        <v>0.0</v>
      </c>
      <c r="AW86" s="28">
        <v>680575.9163898114</v>
      </c>
      <c r="AX86" s="5"/>
      <c r="AY86" s="5" t="s">
        <v>125</v>
      </c>
      <c r="AZ86" s="5" t="s">
        <v>174</v>
      </c>
      <c r="BB86" s="5" t="s">
        <v>248</v>
      </c>
      <c r="BC86" s="5" t="s">
        <v>253</v>
      </c>
      <c r="BD86" s="5" t="s">
        <v>254</v>
      </c>
      <c r="BE86" s="5" t="s">
        <v>131</v>
      </c>
      <c r="BF86" s="5" t="s">
        <v>910</v>
      </c>
    </row>
    <row r="87" ht="16.5" hidden="1" customHeight="1">
      <c r="A87" s="5" t="s">
        <v>155</v>
      </c>
      <c r="B87" s="5" t="s">
        <v>137</v>
      </c>
      <c r="C87" s="5" t="b">
        <v>1</v>
      </c>
      <c r="D87" s="5" t="s">
        <v>345</v>
      </c>
      <c r="E87" s="5" t="s">
        <v>346</v>
      </c>
      <c r="F87" s="5"/>
      <c r="G87" s="5" t="s">
        <v>65</v>
      </c>
      <c r="H87" s="5" t="s">
        <v>84</v>
      </c>
      <c r="I87" s="5" t="s">
        <v>82</v>
      </c>
      <c r="J87" s="25"/>
      <c r="K87" s="25"/>
      <c r="L87" s="25"/>
      <c r="M87" s="5" t="s">
        <v>247</v>
      </c>
      <c r="N87" s="5" t="s">
        <v>334</v>
      </c>
      <c r="O87" s="5" t="s">
        <v>69</v>
      </c>
      <c r="P87" s="5" t="s">
        <v>70</v>
      </c>
      <c r="Q87" s="5" t="b">
        <v>1</v>
      </c>
      <c r="R87" s="5" t="b">
        <v>0</v>
      </c>
      <c r="S87" s="5"/>
      <c r="T87" s="5">
        <v>700.0</v>
      </c>
      <c r="U87" s="26">
        <v>2.1</v>
      </c>
      <c r="V87" s="5">
        <v>333.0</v>
      </c>
      <c r="W87" s="27">
        <v>0.0</v>
      </c>
      <c r="X87" s="28">
        <v>333.0</v>
      </c>
      <c r="Y87" s="27">
        <v>1.0</v>
      </c>
      <c r="Z87" s="5" t="s">
        <v>242</v>
      </c>
      <c r="AA87" s="5">
        <v>0.6</v>
      </c>
      <c r="AB87" s="5"/>
      <c r="AC87" s="5" t="s">
        <v>81</v>
      </c>
      <c r="AD87" s="5" t="s">
        <v>81</v>
      </c>
      <c r="AE87" s="5">
        <v>4.0</v>
      </c>
      <c r="AF87" s="5">
        <v>4.0</v>
      </c>
      <c r="AG87" s="5" t="s">
        <v>0</v>
      </c>
      <c r="AH87" s="5" t="s">
        <v>0</v>
      </c>
      <c r="AI87" s="42"/>
      <c r="AJ87" s="28">
        <v>1074.0</v>
      </c>
      <c r="AK87" s="28">
        <v>1149.0</v>
      </c>
      <c r="AL87" s="28">
        <v>0.0</v>
      </c>
      <c r="AM87" s="28">
        <v>3570.0</v>
      </c>
      <c r="AN87" s="28">
        <v>0.0</v>
      </c>
      <c r="AO87" s="28">
        <v>357996.42</v>
      </c>
      <c r="AP87" s="28">
        <v>382617.0</v>
      </c>
      <c r="AQ87" s="28">
        <v>0.0</v>
      </c>
      <c r="AR87" s="28">
        <v>1189988.0999999999</v>
      </c>
      <c r="AS87" s="28">
        <v>0.0</v>
      </c>
      <c r="AT87" s="28">
        <v>301056.1470099668</v>
      </c>
      <c r="AU87" s="28">
        <v>329235.98675999994</v>
      </c>
      <c r="AV87" s="28">
        <v>0.0</v>
      </c>
      <c r="AW87" s="28">
        <v>978063.2114064231</v>
      </c>
      <c r="AX87" s="5"/>
      <c r="AY87" s="5" t="str">
        <f t="array" ref="AY87">IFERROR(_xlfn.XLOOKUP($E87,'FW27'!$C$3:$C$1102,'FW27'!$AM$3:$AM$1102),"")</f>
        <v>Essentials</v>
      </c>
      <c r="AZ87" s="5" t="str">
        <f t="array" ref="AZ87">IFERROR(_xlfn.XLOOKUP($E87,'FW27'!$C$3:$C$1102,'FW27'!$AN$3:$AN$1102),"")</f>
        <v>Daily Essentials</v>
      </c>
      <c r="BA87" s="5" t="s">
        <v>237</v>
      </c>
      <c r="BB87" s="5" t="str">
        <f t="array" ref="BB87">IFERROR(_xlfn.XLOOKUP($E87,'FW27'!$C$3:$C$1102,'FW27'!$AS$3:$AS$1102),"")</f>
        <v>Tops</v>
      </c>
      <c r="BC87" s="5" t="str">
        <f t="array" ref="BC87">IFERROR(_xlfn.XLOOKUP($E87,'FW27'!$C$3:$C$1102,'FW27'!$AT$3:$AT$1102),"")</f>
        <v>Tee</v>
      </c>
      <c r="BD87" s="5" t="str">
        <f t="array" ref="BD87">IFERROR(_xlfn.XLOOKUP($E87,'FW27'!$C$3:$C$1102,'FW27'!$AU$3:$AU$1102),"")</f>
        <v>Cotton/Graphic Tee</v>
      </c>
      <c r="BE87" s="5" t="str">
        <f t="array" ref="BE87">IFERROR(_xlfn.XLOOKUP($E87,'FW27'!$C$3:$C$1102,'FW27'!$AV$3:$AV$1102),"")</f>
        <v>N</v>
      </c>
    </row>
    <row r="88" ht="16.5" hidden="1" customHeight="1">
      <c r="A88" s="5" t="s">
        <v>155</v>
      </c>
      <c r="B88" s="5" t="s">
        <v>137</v>
      </c>
      <c r="C88" s="5" t="b">
        <v>1</v>
      </c>
      <c r="D88" s="5" t="s">
        <v>349</v>
      </c>
      <c r="E88" s="5" t="s">
        <v>350</v>
      </c>
      <c r="F88" s="5"/>
      <c r="G88" s="5" t="s">
        <v>65</v>
      </c>
      <c r="H88" s="5" t="s">
        <v>84</v>
      </c>
      <c r="I88" s="5" t="s">
        <v>82</v>
      </c>
      <c r="J88" s="25"/>
      <c r="K88" s="25"/>
      <c r="L88" s="25"/>
      <c r="M88" s="5" t="s">
        <v>247</v>
      </c>
      <c r="N88" s="5" t="s">
        <v>334</v>
      </c>
      <c r="O88" s="5" t="s">
        <v>69</v>
      </c>
      <c r="P88" s="5" t="s">
        <v>107</v>
      </c>
      <c r="Q88" s="5" t="b">
        <v>1</v>
      </c>
      <c r="R88" s="5" t="b">
        <v>0</v>
      </c>
      <c r="S88" s="5"/>
      <c r="T88" s="5">
        <v>700.0</v>
      </c>
      <c r="U88" s="26">
        <v>2.1</v>
      </c>
      <c r="V88" s="5">
        <v>333.0</v>
      </c>
      <c r="W88" s="27">
        <v>0.0</v>
      </c>
      <c r="X88" s="28">
        <v>333.0</v>
      </c>
      <c r="Y88" s="27">
        <v>1.0</v>
      </c>
      <c r="Z88" s="5" t="s">
        <v>242</v>
      </c>
      <c r="AA88" s="5">
        <v>0.61</v>
      </c>
      <c r="AB88" s="5"/>
      <c r="AC88" s="5" t="s">
        <v>81</v>
      </c>
      <c r="AD88" s="5" t="s">
        <v>81</v>
      </c>
      <c r="AE88" s="5">
        <v>4.0</v>
      </c>
      <c r="AF88" s="5">
        <v>4.0</v>
      </c>
      <c r="AG88" s="5" t="s">
        <v>1304</v>
      </c>
      <c r="AH88" s="5" t="s">
        <v>0</v>
      </c>
      <c r="AI88" s="42"/>
      <c r="AJ88" s="28">
        <v>827.0</v>
      </c>
      <c r="AK88" s="28">
        <v>874.0</v>
      </c>
      <c r="AL88" s="28">
        <v>0.0</v>
      </c>
      <c r="AM88" s="28">
        <v>2104.0</v>
      </c>
      <c r="AN88" s="28">
        <v>0.0</v>
      </c>
      <c r="AO88" s="28">
        <v>275663.91</v>
      </c>
      <c r="AP88" s="28">
        <v>291042.0</v>
      </c>
      <c r="AQ88" s="28">
        <v>0.0</v>
      </c>
      <c r="AR88" s="28">
        <v>701326.3200000001</v>
      </c>
      <c r="AS88" s="28">
        <v>0.0</v>
      </c>
      <c r="AT88" s="28">
        <v>248887.82558139536</v>
      </c>
      <c r="AU88" s="28">
        <v>264892.745685</v>
      </c>
      <c r="AV88" s="28">
        <v>0.0</v>
      </c>
      <c r="AW88" s="28">
        <v>594037.5398671095</v>
      </c>
      <c r="AX88" s="5"/>
      <c r="AY88" s="5" t="str">
        <f t="array" ref="AY88">IFERROR(_xlfn.XLOOKUP($E88,'FW27'!$C$3:$C$1102,'FW27'!$AM$3:$AM$1102),"")</f>
        <v>Essentials</v>
      </c>
      <c r="AZ88" s="5" t="str">
        <f t="array" ref="AZ88">IFERROR(_xlfn.XLOOKUP($E88,'FW27'!$C$3:$C$1102,'FW27'!$AN$3:$AN$1102),"")</f>
        <v>Daily Essentials</v>
      </c>
      <c r="BA88" s="5" t="s">
        <v>237</v>
      </c>
      <c r="BB88" s="5" t="str">
        <f t="array" ref="BB88">IFERROR(_xlfn.XLOOKUP($E88,'FW27'!$C$3:$C$1102,'FW27'!$AS$3:$AS$1102),"")</f>
        <v>Tops</v>
      </c>
      <c r="BC88" s="5" t="str">
        <f t="array" ref="BC88">IFERROR(_xlfn.XLOOKUP($E88,'FW27'!$C$3:$C$1102,'FW27'!$AT$3:$AT$1102),"")</f>
        <v>Tee</v>
      </c>
      <c r="BD88" s="5" t="str">
        <f t="array" ref="BD88">IFERROR(_xlfn.XLOOKUP($E88,'FW27'!$C$3:$C$1102,'FW27'!$AU$3:$AU$1102),"")</f>
        <v>Cotton/Graphic Tee</v>
      </c>
      <c r="BE88" s="5" t="str">
        <f t="array" ref="BE88">IFERROR(_xlfn.XLOOKUP($E88,'FW27'!$C$3:$C$1102,'FW27'!$AV$3:$AV$1102),"")</f>
        <v>N</v>
      </c>
    </row>
    <row r="89" ht="16.5" hidden="1" customHeight="1">
      <c r="A89" s="5" t="s">
        <v>155</v>
      </c>
      <c r="B89" s="5" t="s">
        <v>200</v>
      </c>
      <c r="C89" s="5" t="b">
        <v>0</v>
      </c>
      <c r="D89" s="5" t="s">
        <v>351</v>
      </c>
      <c r="E89" s="5" t="s">
        <v>352</v>
      </c>
      <c r="F89" s="5"/>
      <c r="G89" s="5" t="s">
        <v>65</v>
      </c>
      <c r="H89" s="5" t="s">
        <v>84</v>
      </c>
      <c r="I89" s="5" t="s">
        <v>106</v>
      </c>
      <c r="J89" s="25" t="s">
        <v>413</v>
      </c>
      <c r="K89" s="25"/>
      <c r="L89" s="25"/>
      <c r="M89" s="5" t="s">
        <v>247</v>
      </c>
      <c r="N89" s="5" t="s">
        <v>248</v>
      </c>
      <c r="O89" s="5" t="s">
        <v>69</v>
      </c>
      <c r="P89" s="5" t="s">
        <v>249</v>
      </c>
      <c r="Q89" s="5" t="b">
        <v>1</v>
      </c>
      <c r="R89" s="5" t="b">
        <v>0</v>
      </c>
      <c r="S89" s="5"/>
      <c r="T89" s="5">
        <v>400.0</v>
      </c>
      <c r="U89" s="26">
        <v>2.1</v>
      </c>
      <c r="V89" s="5">
        <v>190.0</v>
      </c>
      <c r="W89" s="27">
        <v>0.0</v>
      </c>
      <c r="X89" s="28">
        <v>190.0</v>
      </c>
      <c r="Y89" s="27">
        <v>1.0</v>
      </c>
      <c r="Z89" s="5" t="s">
        <v>117</v>
      </c>
      <c r="AA89" s="5">
        <v>0.61</v>
      </c>
      <c r="AB89" s="5"/>
      <c r="AC89" s="5" t="s">
        <v>81</v>
      </c>
      <c r="AD89" s="5" t="s">
        <v>81</v>
      </c>
      <c r="AE89" s="5">
        <v>3.0</v>
      </c>
      <c r="AF89" s="5">
        <v>2.0</v>
      </c>
      <c r="AG89" s="5" t="s">
        <v>1314</v>
      </c>
      <c r="AH89" s="5" t="s">
        <v>156</v>
      </c>
      <c r="AI89" s="42"/>
      <c r="AJ89" s="28">
        <v>0.0</v>
      </c>
      <c r="AK89" s="28">
        <v>22.0</v>
      </c>
      <c r="AL89" s="28">
        <v>0.0</v>
      </c>
      <c r="AM89" s="28">
        <v>1445.0</v>
      </c>
      <c r="AN89" s="28">
        <v>0.0</v>
      </c>
      <c r="AO89" s="28">
        <v>0.0</v>
      </c>
      <c r="AP89" s="28">
        <v>4180.0</v>
      </c>
      <c r="AQ89" s="28">
        <v>0.0</v>
      </c>
      <c r="AR89" s="28">
        <v>275243.6</v>
      </c>
      <c r="AS89" s="28">
        <v>0.0</v>
      </c>
      <c r="AT89" s="28">
        <v>0.0</v>
      </c>
      <c r="AU89" s="28">
        <v>3446.52</v>
      </c>
      <c r="AV89" s="28">
        <v>0.0</v>
      </c>
      <c r="AW89" s="28">
        <v>234763.81705426346</v>
      </c>
      <c r="AX89" s="5"/>
      <c r="AY89" s="5" t="s">
        <v>125</v>
      </c>
      <c r="AZ89" s="5" t="s">
        <v>174</v>
      </c>
      <c r="BB89" s="5" t="s">
        <v>248</v>
      </c>
      <c r="BC89" s="5" t="s">
        <v>253</v>
      </c>
      <c r="BD89" s="5" t="s">
        <v>254</v>
      </c>
      <c r="BE89" s="5" t="s">
        <v>131</v>
      </c>
      <c r="BF89" s="5" t="s">
        <v>910</v>
      </c>
    </row>
    <row r="90" ht="16.5" hidden="1" customHeight="1">
      <c r="A90" s="5" t="s">
        <v>155</v>
      </c>
      <c r="B90" s="5" t="s">
        <v>137</v>
      </c>
      <c r="C90" s="5" t="b">
        <v>1</v>
      </c>
      <c r="D90" s="5" t="s">
        <v>1318</v>
      </c>
      <c r="E90" s="5" t="s">
        <v>1319</v>
      </c>
      <c r="F90" s="5"/>
      <c r="G90" s="5" t="s">
        <v>65</v>
      </c>
      <c r="H90" s="5" t="s">
        <v>84</v>
      </c>
      <c r="I90" s="5" t="s">
        <v>82</v>
      </c>
      <c r="J90" s="25"/>
      <c r="K90" s="25"/>
      <c r="L90" s="25"/>
      <c r="M90" s="5" t="s">
        <v>247</v>
      </c>
      <c r="N90" s="5" t="s">
        <v>113</v>
      </c>
      <c r="O90" s="5" t="s">
        <v>69</v>
      </c>
      <c r="P90" s="5" t="s">
        <v>70</v>
      </c>
      <c r="Q90" s="5" t="b">
        <v>1</v>
      </c>
      <c r="R90" s="5" t="b">
        <v>0</v>
      </c>
      <c r="S90" s="5"/>
      <c r="T90" s="5">
        <v>1800.0</v>
      </c>
      <c r="U90" s="26">
        <v>2.1</v>
      </c>
      <c r="V90" s="5">
        <v>857.0</v>
      </c>
      <c r="W90" s="27">
        <v>0.0</v>
      </c>
      <c r="X90" s="28">
        <v>857.0</v>
      </c>
      <c r="Y90" s="27">
        <v>1.0</v>
      </c>
      <c r="Z90" s="5" t="s">
        <v>242</v>
      </c>
      <c r="AA90" s="5">
        <v>0.55</v>
      </c>
      <c r="AB90" s="5"/>
      <c r="AC90" s="5" t="s">
        <v>81</v>
      </c>
      <c r="AD90" s="5" t="s">
        <v>81</v>
      </c>
      <c r="AE90" s="24">
        <v>0.0</v>
      </c>
      <c r="AF90" s="5">
        <v>2.0</v>
      </c>
      <c r="AG90" s="5" t="s">
        <v>0</v>
      </c>
      <c r="AH90" s="5" t="s">
        <v>0</v>
      </c>
      <c r="AI90" s="42"/>
      <c r="AJ90" s="28">
        <v>0.0</v>
      </c>
      <c r="AK90" s="28">
        <v>0.0</v>
      </c>
      <c r="AL90" s="28">
        <v>0.0</v>
      </c>
      <c r="AM90" s="28">
        <v>0.0</v>
      </c>
      <c r="AN90" s="28">
        <v>0.0</v>
      </c>
      <c r="AO90" s="28">
        <v>0.0</v>
      </c>
      <c r="AP90" s="28">
        <v>0.0</v>
      </c>
      <c r="AQ90" s="28">
        <v>0.0</v>
      </c>
      <c r="AR90" s="28">
        <v>0.0</v>
      </c>
      <c r="AS90" s="28">
        <v>0.0</v>
      </c>
      <c r="AT90" s="28">
        <v>0.0</v>
      </c>
      <c r="AU90" s="28">
        <v>0.0</v>
      </c>
      <c r="AV90" s="28">
        <v>0.0</v>
      </c>
      <c r="AW90" s="28">
        <v>0.0</v>
      </c>
      <c r="AX90" s="5"/>
      <c r="AY90" s="5" t="s">
        <v>125</v>
      </c>
      <c r="AZ90" s="5" t="s">
        <v>127</v>
      </c>
      <c r="BA90" s="5" t="s">
        <v>237</v>
      </c>
      <c r="BB90" s="5" t="s">
        <v>126</v>
      </c>
      <c r="BC90" s="5" t="s">
        <v>128</v>
      </c>
      <c r="BD90" s="5" t="s">
        <v>130</v>
      </c>
      <c r="BE90" s="5" t="s">
        <v>131</v>
      </c>
    </row>
    <row r="91" ht="16.5" hidden="1" customHeight="1">
      <c r="A91" s="5" t="s">
        <v>155</v>
      </c>
      <c r="B91" s="5" t="s">
        <v>137</v>
      </c>
      <c r="C91" s="5" t="b">
        <v>1</v>
      </c>
      <c r="D91" s="5" t="s">
        <v>1324</v>
      </c>
      <c r="E91" s="5" t="s">
        <v>1325</v>
      </c>
      <c r="F91" s="5"/>
      <c r="G91" s="5" t="s">
        <v>65</v>
      </c>
      <c r="H91" s="5" t="s">
        <v>84</v>
      </c>
      <c r="I91" s="5" t="s">
        <v>82</v>
      </c>
      <c r="J91" s="25"/>
      <c r="K91" s="25"/>
      <c r="L91" s="25"/>
      <c r="M91" s="5" t="s">
        <v>247</v>
      </c>
      <c r="N91" s="5" t="s">
        <v>113</v>
      </c>
      <c r="O91" s="5" t="s">
        <v>69</v>
      </c>
      <c r="P91" s="5" t="s">
        <v>107</v>
      </c>
      <c r="Q91" s="5" t="b">
        <v>1</v>
      </c>
      <c r="R91" s="5" t="b">
        <v>0</v>
      </c>
      <c r="S91" s="5"/>
      <c r="T91" s="5">
        <v>1800.0</v>
      </c>
      <c r="U91" s="26">
        <v>2.1</v>
      </c>
      <c r="V91" s="5">
        <v>857.0</v>
      </c>
      <c r="W91" s="27">
        <v>0.0</v>
      </c>
      <c r="X91" s="28">
        <v>857.0</v>
      </c>
      <c r="Y91" s="27">
        <v>1.0</v>
      </c>
      <c r="Z91" s="5" t="s">
        <v>242</v>
      </c>
      <c r="AA91" s="5">
        <v>0.6</v>
      </c>
      <c r="AB91" s="5"/>
      <c r="AC91" s="5" t="s">
        <v>81</v>
      </c>
      <c r="AD91" s="5" t="s">
        <v>81</v>
      </c>
      <c r="AE91" s="24">
        <v>0.0</v>
      </c>
      <c r="AF91" s="5">
        <v>2.0</v>
      </c>
      <c r="AG91" s="5" t="s">
        <v>0</v>
      </c>
      <c r="AH91" s="5" t="s">
        <v>0</v>
      </c>
      <c r="AI91" s="42"/>
      <c r="AJ91" s="28">
        <v>0.0</v>
      </c>
      <c r="AK91" s="28">
        <v>0.0</v>
      </c>
      <c r="AL91" s="28">
        <v>0.0</v>
      </c>
      <c r="AM91" s="28">
        <v>0.0</v>
      </c>
      <c r="AN91" s="28">
        <v>0.0</v>
      </c>
      <c r="AO91" s="28">
        <v>0.0</v>
      </c>
      <c r="AP91" s="28">
        <v>0.0</v>
      </c>
      <c r="AQ91" s="28">
        <v>0.0</v>
      </c>
      <c r="AR91" s="28">
        <v>0.0</v>
      </c>
      <c r="AS91" s="28">
        <v>0.0</v>
      </c>
      <c r="AT91" s="28">
        <v>0.0</v>
      </c>
      <c r="AU91" s="28">
        <v>0.0</v>
      </c>
      <c r="AV91" s="28">
        <v>0.0</v>
      </c>
      <c r="AW91" s="28">
        <v>0.0</v>
      </c>
      <c r="AX91" s="5"/>
      <c r="AY91" s="5" t="s">
        <v>125</v>
      </c>
      <c r="AZ91" s="5" t="s">
        <v>127</v>
      </c>
      <c r="BA91" s="5" t="s">
        <v>237</v>
      </c>
      <c r="BB91" s="5" t="s">
        <v>126</v>
      </c>
      <c r="BC91" s="5" t="s">
        <v>128</v>
      </c>
      <c r="BD91" s="5" t="s">
        <v>130</v>
      </c>
      <c r="BE91" s="5" t="s">
        <v>131</v>
      </c>
    </row>
    <row r="92" ht="16.5" hidden="1" customHeight="1">
      <c r="A92" s="5" t="s">
        <v>155</v>
      </c>
      <c r="B92" s="5" t="s">
        <v>215</v>
      </c>
      <c r="C92" s="5" t="b">
        <v>1</v>
      </c>
      <c r="D92" s="5" t="s">
        <v>830</v>
      </c>
      <c r="E92" s="5" t="s">
        <v>831</v>
      </c>
      <c r="F92" s="5"/>
      <c r="G92" s="5" t="s">
        <v>65</v>
      </c>
      <c r="H92" s="5" t="s">
        <v>76</v>
      </c>
      <c r="I92" s="5" t="s">
        <v>82</v>
      </c>
      <c r="J92" s="25"/>
      <c r="K92" s="25"/>
      <c r="L92" s="25" t="s">
        <v>110</v>
      </c>
      <c r="M92" s="5" t="s">
        <v>247</v>
      </c>
      <c r="N92" s="5" t="s">
        <v>355</v>
      </c>
      <c r="O92" s="5" t="s">
        <v>69</v>
      </c>
      <c r="P92" s="5" t="s">
        <v>107</v>
      </c>
      <c r="Q92" s="5" t="b">
        <v>1</v>
      </c>
      <c r="R92" s="5" t="b">
        <v>0</v>
      </c>
      <c r="S92" s="5"/>
      <c r="T92" s="5">
        <v>3500.0</v>
      </c>
      <c r="U92" s="26">
        <v>2.1</v>
      </c>
      <c r="V92" s="5">
        <v>1667.0</v>
      </c>
      <c r="W92" s="27">
        <v>0.0</v>
      </c>
      <c r="X92" s="28">
        <v>1667.0</v>
      </c>
      <c r="Y92" s="27">
        <v>1.0</v>
      </c>
      <c r="Z92" s="5" t="s">
        <v>117</v>
      </c>
      <c r="AA92" s="5">
        <v>0.64</v>
      </c>
      <c r="AB92" s="5"/>
      <c r="AC92" s="5" t="s">
        <v>359</v>
      </c>
      <c r="AD92" s="5" t="s">
        <v>511</v>
      </c>
      <c r="AE92" s="5">
        <v>2.0</v>
      </c>
      <c r="AF92" s="5">
        <v>2.0</v>
      </c>
      <c r="AG92" s="5" t="s">
        <v>834</v>
      </c>
      <c r="AH92" s="5" t="s">
        <v>0</v>
      </c>
      <c r="AI92" s="42"/>
      <c r="AJ92" s="28">
        <v>567.0</v>
      </c>
      <c r="AK92" s="28">
        <v>572.0</v>
      </c>
      <c r="AL92" s="28">
        <v>0.0</v>
      </c>
      <c r="AM92" s="28">
        <v>0.0</v>
      </c>
      <c r="AN92" s="28">
        <v>0.0</v>
      </c>
      <c r="AO92" s="28">
        <v>945001.8900000001</v>
      </c>
      <c r="AP92" s="28">
        <v>953524.0</v>
      </c>
      <c r="AQ92" s="28">
        <v>0.0</v>
      </c>
      <c r="AR92" s="28">
        <v>0.0</v>
      </c>
      <c r="AS92" s="28">
        <v>0.0</v>
      </c>
      <c r="AT92" s="28">
        <v>900138.1672203764</v>
      </c>
      <c r="AU92" s="28">
        <v>880933.7889700001</v>
      </c>
      <c r="AV92" s="28">
        <v>0.0</v>
      </c>
      <c r="AW92" s="28">
        <v>0.0</v>
      </c>
      <c r="AX92" s="5"/>
      <c r="AY92" s="5" t="str">
        <f t="array" ref="AY92">IFERROR(_xlfn.XLOOKUP($E92,'FW27'!$C$3:$C$1102,'FW27'!$AM$3:$AM$1102),"")</f>
        <v>Essentials</v>
      </c>
      <c r="AZ92" s="5" t="str">
        <f t="array" ref="AZ92">IFERROR(_xlfn.XLOOKUP($E92,'FW27'!$C$3:$C$1102,'FW27'!$AN$3:$AN$1102),"")</f>
        <v>Daily Essentials</v>
      </c>
      <c r="BA92" s="5" t="s">
        <v>237</v>
      </c>
      <c r="BB92" s="5" t="str">
        <f t="array" ref="BB92">IFERROR(_xlfn.XLOOKUP($E92,'FW27'!$C$3:$C$1102,'FW27'!$AS$3:$AS$1102),"")</f>
        <v>Insulation</v>
      </c>
      <c r="BC92" s="5" t="str">
        <f t="array" ref="BC92">IFERROR(_xlfn.XLOOKUP($E92,'FW27'!$C$3:$C$1102,'FW27'!$AT$3:$AT$1102),"")</f>
        <v>Coat</v>
      </c>
      <c r="BD92" s="5" t="str">
        <f t="array" ref="BD92">IFERROR(_xlfn.XLOOKUP($E92,'FW27'!$C$3:$C$1102,'FW27'!$AU$3:$AU$1102),"")</f>
        <v>Hi-loft Down</v>
      </c>
      <c r="BE92" s="5" t="str">
        <f t="array" ref="BE92">IFERROR(_xlfn.XLOOKUP($E92,'FW27'!$C$3:$C$1102,'FW27'!$AV$3:$AV$1102),"")</f>
        <v>N</v>
      </c>
    </row>
    <row r="93" ht="16.5" hidden="1" customHeight="1">
      <c r="A93" s="5" t="s">
        <v>155</v>
      </c>
      <c r="B93" s="5" t="s">
        <v>137</v>
      </c>
      <c r="C93" s="5" t="b">
        <v>1</v>
      </c>
      <c r="D93" s="5" t="s">
        <v>356</v>
      </c>
      <c r="E93" s="5" t="s">
        <v>357</v>
      </c>
      <c r="F93" s="5"/>
      <c r="G93" s="5" t="s">
        <v>65</v>
      </c>
      <c r="H93" s="5" t="s">
        <v>84</v>
      </c>
      <c r="I93" s="5" t="s">
        <v>82</v>
      </c>
      <c r="J93" s="25"/>
      <c r="K93" s="25"/>
      <c r="L93" s="25" t="s">
        <v>110</v>
      </c>
      <c r="M93" s="5" t="s">
        <v>247</v>
      </c>
      <c r="N93" s="5" t="s">
        <v>355</v>
      </c>
      <c r="O93" s="5" t="s">
        <v>69</v>
      </c>
      <c r="P93" s="5" t="s">
        <v>70</v>
      </c>
      <c r="Q93" s="5" t="b">
        <v>1</v>
      </c>
      <c r="R93" s="5" t="b">
        <v>0</v>
      </c>
      <c r="S93" s="5"/>
      <c r="T93" s="5">
        <v>2800.0</v>
      </c>
      <c r="U93" s="26">
        <v>2.1</v>
      </c>
      <c r="V93" s="5">
        <v>1333.0</v>
      </c>
      <c r="W93" s="27">
        <v>0.0</v>
      </c>
      <c r="X93" s="28">
        <v>1333.0</v>
      </c>
      <c r="Y93" s="27">
        <v>1.0</v>
      </c>
      <c r="Z93" s="5" t="s">
        <v>117</v>
      </c>
      <c r="AA93" s="5">
        <v>0.6</v>
      </c>
      <c r="AB93" s="5"/>
      <c r="AC93" s="5" t="s">
        <v>359</v>
      </c>
      <c r="AD93" s="5" t="s">
        <v>81</v>
      </c>
      <c r="AE93" s="5">
        <v>3.0</v>
      </c>
      <c r="AF93" s="5">
        <v>3.0</v>
      </c>
      <c r="AG93" s="5" t="s">
        <v>1356</v>
      </c>
      <c r="AH93" s="5" t="s">
        <v>0</v>
      </c>
      <c r="AI93" s="42"/>
      <c r="AJ93" s="28">
        <v>1308.0</v>
      </c>
      <c r="AK93" s="28">
        <v>1343.0</v>
      </c>
      <c r="AL93" s="28">
        <v>0.0</v>
      </c>
      <c r="AM93" s="28">
        <v>403.0</v>
      </c>
      <c r="AN93" s="28">
        <v>0.0</v>
      </c>
      <c r="AO93" s="28">
        <v>1743995.64</v>
      </c>
      <c r="AP93" s="28">
        <v>1790219.0</v>
      </c>
      <c r="AQ93" s="28">
        <v>0.0</v>
      </c>
      <c r="AR93" s="28">
        <v>537331.99</v>
      </c>
      <c r="AS93" s="28">
        <v>0.0</v>
      </c>
      <c r="AT93" s="28">
        <v>1490343.4769656698</v>
      </c>
      <c r="AU93" s="28">
        <v>1386947.5702999998</v>
      </c>
      <c r="AV93" s="28">
        <v>0.0</v>
      </c>
      <c r="AW93" s="28">
        <v>479789.457364341</v>
      </c>
      <c r="AX93" s="5"/>
      <c r="AY93" s="5" t="str">
        <f t="array" ref="AY93">IFERROR(_xlfn.XLOOKUP($E93,'FW27'!$C$3:$C$1102,'FW27'!$AM$3:$AM$1102),"")</f>
        <v>Essentials</v>
      </c>
      <c r="AZ93" s="5" t="str">
        <f t="array" ref="AZ93">IFERROR(_xlfn.XLOOKUP($E93,'FW27'!$C$3:$C$1102,'FW27'!$AN$3:$AN$1102),"")</f>
        <v>Active Essentials</v>
      </c>
      <c r="BA93" s="5" t="s">
        <v>237</v>
      </c>
      <c r="BB93" s="5" t="str">
        <f t="array" ref="BB93">IFERROR(_xlfn.XLOOKUP($E93,'FW27'!$C$3:$C$1102,'FW27'!$AS$3:$AS$1102),"")</f>
        <v>Insulation</v>
      </c>
      <c r="BC93" s="5" t="str">
        <f t="array" ref="BC93">IFERROR(_xlfn.XLOOKUP($E93,'FW27'!$C$3:$C$1102,'FW27'!$AT$3:$AT$1102),"")</f>
        <v>Hooded Jacket</v>
      </c>
      <c r="BD93" s="5" t="str">
        <f t="array" ref="BD93">IFERROR(_xlfn.XLOOKUP($E93,'FW27'!$C$3:$C$1102,'FW27'!$AU$3:$AU$1102),"")</f>
        <v>Lightweight Down</v>
      </c>
      <c r="BE93" s="5" t="str">
        <f t="array" ref="BE93">IFERROR(_xlfn.XLOOKUP($E93,'FW27'!$C$3:$C$1102,'FW27'!$AV$3:$AV$1102),"")</f>
        <v>N</v>
      </c>
    </row>
    <row r="94" ht="16.5" hidden="1" customHeight="1">
      <c r="A94" s="5" t="s">
        <v>155</v>
      </c>
      <c r="B94" s="5" t="s">
        <v>137</v>
      </c>
      <c r="C94" s="5" t="b">
        <v>1</v>
      </c>
      <c r="D94" s="5" t="s">
        <v>361</v>
      </c>
      <c r="E94" s="5" t="s">
        <v>362</v>
      </c>
      <c r="F94" s="5"/>
      <c r="G94" s="5" t="s">
        <v>65</v>
      </c>
      <c r="H94" s="5" t="s">
        <v>84</v>
      </c>
      <c r="I94" s="5" t="s">
        <v>82</v>
      </c>
      <c r="J94" s="25"/>
      <c r="K94" s="25"/>
      <c r="L94" s="25" t="s">
        <v>110</v>
      </c>
      <c r="M94" s="5" t="s">
        <v>247</v>
      </c>
      <c r="N94" s="5" t="s">
        <v>355</v>
      </c>
      <c r="O94" s="5" t="s">
        <v>69</v>
      </c>
      <c r="P94" s="5" t="s">
        <v>107</v>
      </c>
      <c r="Q94" s="5" t="b">
        <v>1</v>
      </c>
      <c r="R94" s="5" t="b">
        <v>0</v>
      </c>
      <c r="S94" s="5"/>
      <c r="T94" s="5">
        <v>2800.0</v>
      </c>
      <c r="U94" s="26">
        <v>2.1</v>
      </c>
      <c r="V94" s="5">
        <v>1333.0</v>
      </c>
      <c r="W94" s="27">
        <v>0.0</v>
      </c>
      <c r="X94" s="28">
        <v>1333.0</v>
      </c>
      <c r="Y94" s="27">
        <v>1.0</v>
      </c>
      <c r="Z94" s="5" t="s">
        <v>117</v>
      </c>
      <c r="AA94" s="5">
        <v>0.62</v>
      </c>
      <c r="AB94" s="5"/>
      <c r="AC94" s="5" t="s">
        <v>359</v>
      </c>
      <c r="AD94" s="5" t="s">
        <v>81</v>
      </c>
      <c r="AE94" s="5">
        <v>3.0</v>
      </c>
      <c r="AF94" s="5">
        <v>3.0</v>
      </c>
      <c r="AG94" s="5" t="s">
        <v>1367</v>
      </c>
      <c r="AH94" s="5" t="s">
        <v>0</v>
      </c>
      <c r="AI94" s="42"/>
      <c r="AJ94" s="28">
        <v>1385.0</v>
      </c>
      <c r="AK94" s="28">
        <v>1337.0</v>
      </c>
      <c r="AL94" s="28">
        <v>0.0</v>
      </c>
      <c r="AM94" s="28">
        <v>452.0</v>
      </c>
      <c r="AN94" s="28">
        <v>0.0</v>
      </c>
      <c r="AO94" s="28">
        <v>1846662.05</v>
      </c>
      <c r="AP94" s="28">
        <v>1782221.0</v>
      </c>
      <c r="AQ94" s="28">
        <v>0.0</v>
      </c>
      <c r="AR94" s="28">
        <v>602665.1600000001</v>
      </c>
      <c r="AS94" s="28">
        <v>0.0</v>
      </c>
      <c r="AT94" s="28">
        <v>1580115.1558139534</v>
      </c>
      <c r="AU94" s="28">
        <v>1455404.3262099999</v>
      </c>
      <c r="AV94" s="28">
        <v>0.0</v>
      </c>
      <c r="AW94" s="28">
        <v>541133.457364341</v>
      </c>
      <c r="AX94" s="5"/>
      <c r="AY94" s="5" t="str">
        <f t="array" ref="AY94">IFERROR(_xlfn.XLOOKUP($E94,'FW27'!$C$3:$C$1102,'FW27'!$AM$3:$AM$1102),"")</f>
        <v>Essentials</v>
      </c>
      <c r="AZ94" s="5" t="str">
        <f t="array" ref="AZ94">IFERROR(_xlfn.XLOOKUP($E94,'FW27'!$C$3:$C$1102,'FW27'!$AN$3:$AN$1102),"")</f>
        <v>Active Essentials</v>
      </c>
      <c r="BA94" s="5" t="s">
        <v>237</v>
      </c>
      <c r="BB94" s="5" t="str">
        <f t="array" ref="BB94">IFERROR(_xlfn.XLOOKUP($E94,'FW27'!$C$3:$C$1102,'FW27'!$AS$3:$AS$1102),"")</f>
        <v>Insulation</v>
      </c>
      <c r="BC94" s="5" t="str">
        <f t="array" ref="BC94">IFERROR(_xlfn.XLOOKUP($E94,'FW27'!$C$3:$C$1102,'FW27'!$AT$3:$AT$1102),"")</f>
        <v>Hooded Jacket</v>
      </c>
      <c r="BD94" s="5" t="str">
        <f t="array" ref="BD94">IFERROR(_xlfn.XLOOKUP($E94,'FW27'!$C$3:$C$1102,'FW27'!$AU$3:$AU$1102),"")</f>
        <v>Lightweight Down</v>
      </c>
      <c r="BE94" s="5" t="str">
        <f t="array" ref="BE94">IFERROR(_xlfn.XLOOKUP($E94,'FW27'!$C$3:$C$1102,'FW27'!$AV$3:$AV$1102),"")</f>
        <v>N</v>
      </c>
    </row>
    <row r="95" ht="16.5" hidden="1" customHeight="1">
      <c r="A95" s="5" t="s">
        <v>155</v>
      </c>
      <c r="B95" s="24" t="s">
        <v>0</v>
      </c>
      <c r="C95" s="5" t="b">
        <v>0</v>
      </c>
      <c r="D95" s="5" t="s">
        <v>769</v>
      </c>
      <c r="E95" s="5" t="s">
        <v>770</v>
      </c>
      <c r="F95" s="5"/>
      <c r="G95" s="5" t="s">
        <v>65</v>
      </c>
      <c r="H95" s="5" t="s">
        <v>76</v>
      </c>
      <c r="I95" s="5" t="s">
        <v>106</v>
      </c>
      <c r="J95" s="25" t="s">
        <v>271</v>
      </c>
      <c r="K95" s="25" t="s">
        <v>272</v>
      </c>
      <c r="L95" s="25"/>
      <c r="M95" s="5" t="s">
        <v>247</v>
      </c>
      <c r="N95" s="5" t="s">
        <v>355</v>
      </c>
      <c r="O95" s="5" t="s">
        <v>96</v>
      </c>
      <c r="P95" s="5" t="s">
        <v>70</v>
      </c>
      <c r="Q95" s="5" t="b">
        <v>1</v>
      </c>
      <c r="R95" s="5" t="b">
        <v>0</v>
      </c>
      <c r="S95" s="5"/>
      <c r="T95" s="24">
        <v>0.0</v>
      </c>
      <c r="U95" s="26">
        <v>2.1</v>
      </c>
      <c r="V95" s="5">
        <v>0.0</v>
      </c>
      <c r="W95" s="27">
        <v>0.0</v>
      </c>
      <c r="X95" s="28">
        <v>0.0</v>
      </c>
      <c r="Y95" s="27">
        <v>0.0</v>
      </c>
      <c r="Z95" s="24" t="s">
        <v>0</v>
      </c>
      <c r="AA95" s="5">
        <v>0.615</v>
      </c>
      <c r="AB95" s="5"/>
      <c r="AC95" s="5" t="s">
        <v>359</v>
      </c>
      <c r="AD95" s="24" t="s">
        <v>0</v>
      </c>
      <c r="AE95" s="24">
        <v>0.0</v>
      </c>
      <c r="AF95" s="5">
        <v>1.0</v>
      </c>
      <c r="AG95" s="5" t="s">
        <v>0</v>
      </c>
      <c r="AH95" s="5" t="s">
        <v>116</v>
      </c>
      <c r="AI95" s="42"/>
      <c r="AJ95" s="28">
        <v>0.0</v>
      </c>
      <c r="AK95" s="28">
        <v>0.0</v>
      </c>
      <c r="AL95" s="28">
        <v>0.0</v>
      </c>
      <c r="AM95" s="28">
        <v>0.0</v>
      </c>
      <c r="AN95" s="28">
        <v>0.0</v>
      </c>
      <c r="AO95" s="28">
        <v>0.0</v>
      </c>
      <c r="AP95" s="28">
        <v>0.0</v>
      </c>
      <c r="AQ95" s="28">
        <v>0.0</v>
      </c>
      <c r="AR95" s="28">
        <v>0.0</v>
      </c>
      <c r="AS95" s="28">
        <v>0.0</v>
      </c>
      <c r="AT95" s="28">
        <v>0.0</v>
      </c>
      <c r="AU95" s="28">
        <v>0.0</v>
      </c>
      <c r="AV95" s="28">
        <v>0.0</v>
      </c>
      <c r="AW95" s="28">
        <v>0.0</v>
      </c>
      <c r="AX95" s="5"/>
      <c r="AY95" s="5" t="str">
        <f t="array" ref="AY95">IFERROR(_xlfn.XLOOKUP($E95,'FW27'!$C$3:$C$1102,'FW27'!$AM$3:$AM$1102),"")</f>
        <v>Essentials</v>
      </c>
      <c r="AZ95" s="5" t="str">
        <f t="array" ref="AZ95">IFERROR(_xlfn.XLOOKUP($E95,'FW27'!$C$3:$C$1102,'FW27'!$AN$3:$AN$1102),"")</f>
        <v>Active Essentials</v>
      </c>
      <c r="BA95" s="5" t="s">
        <v>237</v>
      </c>
      <c r="BB95" s="5" t="str">
        <f t="array" ref="BB95">IFERROR(_xlfn.XLOOKUP($E95,'FW27'!$C$3:$C$1102,'FW27'!$AS$3:$AS$1102),"")</f>
        <v>Insulation</v>
      </c>
      <c r="BC95" s="5" t="str">
        <f t="array" ref="BC95">IFERROR(_xlfn.XLOOKUP($E95,'FW27'!$C$3:$C$1102,'FW27'!$AT$3:$AT$1102),"")</f>
        <v>Hooded Jacket</v>
      </c>
      <c r="BD95" s="5" t="str">
        <f t="array" ref="BD95">IFERROR(_xlfn.XLOOKUP($E95,'FW27'!$C$3:$C$1102,'FW27'!$AU$3:$AU$1102),"")</f>
        <v>Lightweight Down</v>
      </c>
      <c r="BE95" s="5" t="str">
        <f t="array" ref="BE95">IFERROR(_xlfn.XLOOKUP($E95,'FW27'!$C$3:$C$1102,'FW27'!$AV$3:$AV$1102),"")</f>
        <v>N</v>
      </c>
    </row>
    <row r="96" ht="16.5" hidden="1" customHeight="1">
      <c r="A96" s="5" t="s">
        <v>155</v>
      </c>
      <c r="B96" s="5" t="s">
        <v>137</v>
      </c>
      <c r="C96" s="5" t="b">
        <v>1</v>
      </c>
      <c r="D96" s="5" t="s">
        <v>368</v>
      </c>
      <c r="E96" s="5" t="s">
        <v>369</v>
      </c>
      <c r="F96" s="5"/>
      <c r="G96" s="5" t="s">
        <v>65</v>
      </c>
      <c r="H96" s="5" t="s">
        <v>84</v>
      </c>
      <c r="I96" s="5" t="s">
        <v>82</v>
      </c>
      <c r="J96" s="25"/>
      <c r="K96" s="25"/>
      <c r="L96" s="25" t="s">
        <v>110</v>
      </c>
      <c r="M96" s="5" t="s">
        <v>247</v>
      </c>
      <c r="N96" s="5" t="s">
        <v>355</v>
      </c>
      <c r="O96" s="5" t="s">
        <v>69</v>
      </c>
      <c r="P96" s="5" t="s">
        <v>70</v>
      </c>
      <c r="Q96" s="5" t="b">
        <v>1</v>
      </c>
      <c r="R96" s="5" t="b">
        <v>0</v>
      </c>
      <c r="S96" s="5"/>
      <c r="T96" s="5">
        <v>2000.0</v>
      </c>
      <c r="U96" s="26">
        <v>2.1</v>
      </c>
      <c r="V96" s="5">
        <v>952.0</v>
      </c>
      <c r="W96" s="27">
        <v>0.0</v>
      </c>
      <c r="X96" s="28">
        <v>952.0</v>
      </c>
      <c r="Y96" s="27">
        <v>1.0</v>
      </c>
      <c r="Z96" s="5" t="s">
        <v>117</v>
      </c>
      <c r="AA96" s="5">
        <v>0.6</v>
      </c>
      <c r="AB96" s="5"/>
      <c r="AC96" s="5" t="s">
        <v>359</v>
      </c>
      <c r="AD96" s="5" t="s">
        <v>81</v>
      </c>
      <c r="AE96" s="5">
        <v>2.0</v>
      </c>
      <c r="AF96" s="5">
        <v>2.0</v>
      </c>
      <c r="AG96" s="5" t="s">
        <v>0</v>
      </c>
      <c r="AH96" s="5" t="s">
        <v>0</v>
      </c>
      <c r="AI96" s="42"/>
      <c r="AJ96" s="28">
        <v>786.0</v>
      </c>
      <c r="AK96" s="28">
        <v>0.0</v>
      </c>
      <c r="AL96" s="28">
        <v>0.0</v>
      </c>
      <c r="AM96" s="28">
        <v>421.0</v>
      </c>
      <c r="AN96" s="28">
        <v>0.0</v>
      </c>
      <c r="AO96" s="28">
        <v>748570.6799999999</v>
      </c>
      <c r="AP96" s="28">
        <v>0.0</v>
      </c>
      <c r="AQ96" s="28">
        <v>0.0</v>
      </c>
      <c r="AR96" s="28">
        <v>400951.98</v>
      </c>
      <c r="AS96" s="28">
        <v>0.0</v>
      </c>
      <c r="AT96" s="28">
        <v>702719.472646733</v>
      </c>
      <c r="AU96" s="28">
        <v>0.0</v>
      </c>
      <c r="AV96" s="28">
        <v>0.0</v>
      </c>
      <c r="AW96" s="28">
        <v>372920.54374307854</v>
      </c>
      <c r="AX96" s="5"/>
      <c r="AY96" s="5" t="str">
        <f t="array" ref="AY96">IFERROR(_xlfn.XLOOKUP($E96,'FW27'!$C$3:$C$1102,'FW27'!$AM$3:$AM$1102),"")</f>
        <v>Essentials</v>
      </c>
      <c r="AZ96" s="5" t="str">
        <f t="array" ref="AZ96">IFERROR(_xlfn.XLOOKUP($E96,'FW27'!$C$3:$C$1102,'FW27'!$AN$3:$AN$1102),"")</f>
        <v>Active Essentials</v>
      </c>
      <c r="BA96" s="5" t="s">
        <v>237</v>
      </c>
      <c r="BB96" s="5" t="str">
        <f t="array" ref="BB96">IFERROR(_xlfn.XLOOKUP($E96,'FW27'!$C$3:$C$1102,'FW27'!$AS$3:$AS$1102),"")</f>
        <v>Insulation</v>
      </c>
      <c r="BC96" s="5" t="str">
        <f t="array" ref="BC96">IFERROR(_xlfn.XLOOKUP($E96,'FW27'!$C$3:$C$1102,'FW27'!$AT$3:$AT$1102),"")</f>
        <v>Vest</v>
      </c>
      <c r="BD96" s="5" t="str">
        <f t="array" ref="BD96">IFERROR(_xlfn.XLOOKUP($E96,'FW27'!$C$3:$C$1102,'FW27'!$AU$3:$AU$1102),"")</f>
        <v>Lightweight Down</v>
      </c>
      <c r="BE96" s="5" t="str">
        <f t="array" ref="BE96">IFERROR(_xlfn.XLOOKUP($E96,'FW27'!$C$3:$C$1102,'FW27'!$AV$3:$AV$1102),"")</f>
        <v>N</v>
      </c>
    </row>
    <row r="97" ht="16.5" hidden="1" customHeight="1">
      <c r="A97" s="5" t="s">
        <v>155</v>
      </c>
      <c r="B97" s="5" t="s">
        <v>137</v>
      </c>
      <c r="C97" s="5" t="b">
        <v>1</v>
      </c>
      <c r="D97" s="5" t="s">
        <v>374</v>
      </c>
      <c r="E97" s="5" t="s">
        <v>375</v>
      </c>
      <c r="F97" s="5"/>
      <c r="G97" s="5" t="s">
        <v>65</v>
      </c>
      <c r="H97" s="5" t="s">
        <v>84</v>
      </c>
      <c r="I97" s="5" t="s">
        <v>82</v>
      </c>
      <c r="J97" s="25"/>
      <c r="K97" s="25"/>
      <c r="L97" s="25" t="s">
        <v>110</v>
      </c>
      <c r="M97" s="5" t="s">
        <v>247</v>
      </c>
      <c r="N97" s="5" t="s">
        <v>355</v>
      </c>
      <c r="O97" s="5" t="s">
        <v>69</v>
      </c>
      <c r="P97" s="5" t="s">
        <v>107</v>
      </c>
      <c r="Q97" s="5" t="b">
        <v>1</v>
      </c>
      <c r="R97" s="5" t="b">
        <v>0</v>
      </c>
      <c r="S97" s="5"/>
      <c r="T97" s="5">
        <v>2000.0</v>
      </c>
      <c r="U97" s="26">
        <v>2.1</v>
      </c>
      <c r="V97" s="5">
        <v>952.0</v>
      </c>
      <c r="W97" s="27">
        <v>0.0</v>
      </c>
      <c r="X97" s="28">
        <v>952.0</v>
      </c>
      <c r="Y97" s="27">
        <v>1.0</v>
      </c>
      <c r="Z97" s="5" t="s">
        <v>117</v>
      </c>
      <c r="AA97" s="5">
        <v>0.62</v>
      </c>
      <c r="AB97" s="5"/>
      <c r="AC97" s="5" t="s">
        <v>359</v>
      </c>
      <c r="AD97" s="5" t="s">
        <v>81</v>
      </c>
      <c r="AE97" s="5">
        <v>2.0</v>
      </c>
      <c r="AF97" s="5">
        <v>2.0</v>
      </c>
      <c r="AG97" s="5" t="s">
        <v>0</v>
      </c>
      <c r="AH97" s="5" t="s">
        <v>0</v>
      </c>
      <c r="AI97" s="42"/>
      <c r="AJ97" s="28">
        <v>718.0</v>
      </c>
      <c r="AK97" s="28">
        <v>0.0</v>
      </c>
      <c r="AL97" s="28">
        <v>0.0</v>
      </c>
      <c r="AM97" s="28">
        <v>347.0</v>
      </c>
      <c r="AN97" s="28">
        <v>0.0</v>
      </c>
      <c r="AO97" s="28">
        <v>683808.84</v>
      </c>
      <c r="AP97" s="28">
        <v>0.0</v>
      </c>
      <c r="AQ97" s="28">
        <v>0.0</v>
      </c>
      <c r="AR97" s="28">
        <v>330475.86000000004</v>
      </c>
      <c r="AS97" s="28">
        <v>0.0</v>
      </c>
      <c r="AT97" s="28">
        <v>638013.2821705425</v>
      </c>
      <c r="AU97" s="28">
        <v>0.0</v>
      </c>
      <c r="AV97" s="28">
        <v>0.0</v>
      </c>
      <c r="AW97" s="28">
        <v>310779.8571428571</v>
      </c>
      <c r="AX97" s="5"/>
      <c r="AY97" s="5" t="str">
        <f t="array" ref="AY97">IFERROR(_xlfn.XLOOKUP($E97,'FW27'!$C$3:$C$1102,'FW27'!$AM$3:$AM$1102),"")</f>
        <v>Essentials</v>
      </c>
      <c r="AZ97" s="5" t="str">
        <f t="array" ref="AZ97">IFERROR(_xlfn.XLOOKUP($E97,'FW27'!$C$3:$C$1102,'FW27'!$AN$3:$AN$1102),"")</f>
        <v>Active Essentials</v>
      </c>
      <c r="BA97" s="5" t="s">
        <v>237</v>
      </c>
      <c r="BB97" s="5" t="str">
        <f t="array" ref="BB97">IFERROR(_xlfn.XLOOKUP($E97,'FW27'!$C$3:$C$1102,'FW27'!$AS$3:$AS$1102),"")</f>
        <v>Insulation</v>
      </c>
      <c r="BC97" s="5" t="str">
        <f t="array" ref="BC97">IFERROR(_xlfn.XLOOKUP($E97,'FW27'!$C$3:$C$1102,'FW27'!$AT$3:$AT$1102),"")</f>
        <v>Vest</v>
      </c>
      <c r="BD97" s="5" t="str">
        <f t="array" ref="BD97">IFERROR(_xlfn.XLOOKUP($E97,'FW27'!$C$3:$C$1102,'FW27'!$AU$3:$AU$1102),"")</f>
        <v>Lightweight Down</v>
      </c>
      <c r="BE97" s="5" t="str">
        <f t="array" ref="BE97">IFERROR(_xlfn.XLOOKUP($E97,'FW27'!$C$3:$C$1102,'FW27'!$AV$3:$AV$1102),"")</f>
        <v>N</v>
      </c>
    </row>
    <row r="98" ht="16.5" hidden="1" customHeight="1">
      <c r="A98" s="5" t="s">
        <v>155</v>
      </c>
      <c r="B98" s="5" t="s">
        <v>200</v>
      </c>
      <c r="C98" s="5" t="b">
        <v>0</v>
      </c>
      <c r="D98" s="5" t="s">
        <v>1411</v>
      </c>
      <c r="E98" s="5" t="s">
        <v>1412</v>
      </c>
      <c r="F98" s="5"/>
      <c r="G98" s="5" t="s">
        <v>65</v>
      </c>
      <c r="H98" s="5" t="s">
        <v>84</v>
      </c>
      <c r="I98" s="5" t="s">
        <v>106</v>
      </c>
      <c r="J98" s="25" t="s">
        <v>413</v>
      </c>
      <c r="K98" s="25"/>
      <c r="L98" s="25"/>
      <c r="M98" s="5" t="s">
        <v>247</v>
      </c>
      <c r="N98" s="5" t="s">
        <v>113</v>
      </c>
      <c r="O98" s="5" t="s">
        <v>69</v>
      </c>
      <c r="P98" s="5" t="s">
        <v>70</v>
      </c>
      <c r="Q98" s="5" t="b">
        <v>1</v>
      </c>
      <c r="R98" s="5" t="b">
        <v>0</v>
      </c>
      <c r="S98" s="5"/>
      <c r="T98" s="5">
        <v>1100.0</v>
      </c>
      <c r="U98" s="26">
        <v>2.1</v>
      </c>
      <c r="V98" s="5">
        <v>524.0</v>
      </c>
      <c r="W98" s="27">
        <v>0.0</v>
      </c>
      <c r="X98" s="28">
        <v>524.0</v>
      </c>
      <c r="Y98" s="27">
        <v>1.0</v>
      </c>
      <c r="Z98" s="5" t="s">
        <v>117</v>
      </c>
      <c r="AA98" s="5">
        <v>0.64</v>
      </c>
      <c r="AB98" s="5"/>
      <c r="AC98" s="5" t="s">
        <v>81</v>
      </c>
      <c r="AD98" s="5" t="s">
        <v>81</v>
      </c>
      <c r="AE98" s="5">
        <v>2.0</v>
      </c>
      <c r="AF98" s="5">
        <v>1.0</v>
      </c>
      <c r="AG98" s="5" t="s">
        <v>1415</v>
      </c>
      <c r="AH98" s="5" t="s">
        <v>0</v>
      </c>
      <c r="AI98" s="42"/>
      <c r="AJ98" s="28">
        <v>0.0</v>
      </c>
      <c r="AK98" s="28">
        <v>0.0</v>
      </c>
      <c r="AL98" s="28">
        <v>0.0</v>
      </c>
      <c r="AM98" s="28">
        <v>0.0</v>
      </c>
      <c r="AN98" s="28">
        <v>0.0</v>
      </c>
      <c r="AO98" s="28">
        <v>0.0</v>
      </c>
      <c r="AP98" s="28">
        <v>0.0</v>
      </c>
      <c r="AQ98" s="28">
        <v>0.0</v>
      </c>
      <c r="AR98" s="28">
        <v>0.0</v>
      </c>
      <c r="AS98" s="28">
        <v>0.0</v>
      </c>
      <c r="AT98" s="28">
        <v>0.0</v>
      </c>
      <c r="AU98" s="28">
        <v>0.0</v>
      </c>
      <c r="AV98" s="28">
        <v>0.0</v>
      </c>
      <c r="AW98" s="28">
        <v>0.0</v>
      </c>
      <c r="AX98" s="5"/>
      <c r="AY98" s="5" t="s">
        <v>125</v>
      </c>
      <c r="AZ98" s="5" t="s">
        <v>174</v>
      </c>
      <c r="BB98" s="5" t="s">
        <v>126</v>
      </c>
      <c r="BC98" s="5" t="s">
        <v>147</v>
      </c>
      <c r="BD98" s="5" t="s">
        <v>130</v>
      </c>
      <c r="BE98" s="5" t="s">
        <v>131</v>
      </c>
      <c r="BF98" s="5" t="s">
        <v>868</v>
      </c>
    </row>
    <row r="99" ht="16.5" hidden="1" customHeight="1">
      <c r="A99" s="5" t="s">
        <v>155</v>
      </c>
      <c r="B99" s="5" t="s">
        <v>200</v>
      </c>
      <c r="C99" s="5" t="b">
        <v>0</v>
      </c>
      <c r="D99" s="5" t="s">
        <v>1418</v>
      </c>
      <c r="E99" s="5" t="s">
        <v>1419</v>
      </c>
      <c r="F99" s="5"/>
      <c r="G99" s="5" t="s">
        <v>65</v>
      </c>
      <c r="H99" s="5" t="s">
        <v>84</v>
      </c>
      <c r="I99" s="5" t="s">
        <v>106</v>
      </c>
      <c r="J99" s="25" t="s">
        <v>413</v>
      </c>
      <c r="K99" s="25"/>
      <c r="L99" s="25"/>
      <c r="M99" s="5" t="s">
        <v>247</v>
      </c>
      <c r="N99" s="5" t="s">
        <v>113</v>
      </c>
      <c r="O99" s="5" t="s">
        <v>69</v>
      </c>
      <c r="P99" s="5" t="s">
        <v>107</v>
      </c>
      <c r="Q99" s="5" t="b">
        <v>1</v>
      </c>
      <c r="R99" s="5" t="b">
        <v>0</v>
      </c>
      <c r="S99" s="5"/>
      <c r="T99" s="5">
        <v>1100.0</v>
      </c>
      <c r="U99" s="26">
        <v>2.1</v>
      </c>
      <c r="V99" s="5">
        <v>524.0</v>
      </c>
      <c r="W99" s="27">
        <v>0.0</v>
      </c>
      <c r="X99" s="28">
        <v>524.0</v>
      </c>
      <c r="Y99" s="27">
        <v>1.0</v>
      </c>
      <c r="Z99" s="5" t="s">
        <v>117</v>
      </c>
      <c r="AA99" s="5">
        <v>0.66</v>
      </c>
      <c r="AB99" s="5"/>
      <c r="AC99" s="5" t="s">
        <v>81</v>
      </c>
      <c r="AD99" s="5" t="s">
        <v>81</v>
      </c>
      <c r="AE99" s="5">
        <v>2.0</v>
      </c>
      <c r="AF99" s="5">
        <v>1.0</v>
      </c>
      <c r="AG99" s="5" t="s">
        <v>1415</v>
      </c>
      <c r="AH99" s="5" t="s">
        <v>0</v>
      </c>
      <c r="AI99" s="42"/>
      <c r="AJ99" s="28">
        <v>0.0</v>
      </c>
      <c r="AK99" s="28">
        <v>0.0</v>
      </c>
      <c r="AL99" s="28">
        <v>0.0</v>
      </c>
      <c r="AM99" s="28">
        <v>0.0</v>
      </c>
      <c r="AN99" s="28">
        <v>0.0</v>
      </c>
      <c r="AO99" s="28">
        <v>0.0</v>
      </c>
      <c r="AP99" s="28">
        <v>0.0</v>
      </c>
      <c r="AQ99" s="28">
        <v>0.0</v>
      </c>
      <c r="AR99" s="28">
        <v>0.0</v>
      </c>
      <c r="AS99" s="28">
        <v>0.0</v>
      </c>
      <c r="AT99" s="28">
        <v>0.0</v>
      </c>
      <c r="AU99" s="28">
        <v>0.0</v>
      </c>
      <c r="AV99" s="28">
        <v>0.0</v>
      </c>
      <c r="AW99" s="28">
        <v>0.0</v>
      </c>
      <c r="AX99" s="5"/>
      <c r="AY99" s="5" t="s">
        <v>125</v>
      </c>
      <c r="AZ99" s="5" t="s">
        <v>174</v>
      </c>
      <c r="BB99" s="5" t="s">
        <v>126</v>
      </c>
      <c r="BC99" s="5" t="s">
        <v>147</v>
      </c>
      <c r="BD99" s="5" t="s">
        <v>130</v>
      </c>
      <c r="BE99" s="5" t="s">
        <v>131</v>
      </c>
      <c r="BF99" s="5" t="s">
        <v>868</v>
      </c>
    </row>
    <row r="100" ht="16.5" hidden="1" customHeight="1">
      <c r="A100" s="5" t="s">
        <v>155</v>
      </c>
      <c r="B100" s="24" t="s">
        <v>137</v>
      </c>
      <c r="C100" s="5" t="b">
        <v>1</v>
      </c>
      <c r="D100" s="5" t="s">
        <v>1422</v>
      </c>
      <c r="E100" s="5" t="s">
        <v>1423</v>
      </c>
      <c r="F100" s="5"/>
      <c r="G100" s="5" t="s">
        <v>65</v>
      </c>
      <c r="H100" s="5" t="s">
        <v>84</v>
      </c>
      <c r="I100" s="5" t="s">
        <v>82</v>
      </c>
      <c r="J100" s="25" t="s">
        <v>164</v>
      </c>
      <c r="K100" s="25"/>
      <c r="L100" s="25"/>
      <c r="M100" s="5" t="s">
        <v>66</v>
      </c>
      <c r="N100" s="5" t="s">
        <v>113</v>
      </c>
      <c r="O100" s="24" t="s">
        <v>69</v>
      </c>
      <c r="P100" s="5" t="s">
        <v>107</v>
      </c>
      <c r="Q100" s="5" t="b">
        <v>1</v>
      </c>
      <c r="R100" s="5" t="b">
        <v>0</v>
      </c>
      <c r="S100" s="5"/>
      <c r="T100" s="5">
        <v>1200.0</v>
      </c>
      <c r="U100" s="26">
        <v>2.1</v>
      </c>
      <c r="V100" s="5">
        <v>571.0</v>
      </c>
      <c r="W100" s="27">
        <v>0.0</v>
      </c>
      <c r="X100" s="28">
        <v>571.0</v>
      </c>
      <c r="Y100" s="27">
        <v>1.0</v>
      </c>
      <c r="Z100" s="5" t="s">
        <v>117</v>
      </c>
      <c r="AA100" s="5">
        <v>0.6</v>
      </c>
      <c r="AB100" s="5"/>
      <c r="AC100" s="24" t="s">
        <v>0</v>
      </c>
      <c r="AD100" s="24" t="s">
        <v>0</v>
      </c>
      <c r="AE100" s="5">
        <v>2.0</v>
      </c>
      <c r="AF100" s="5">
        <v>0.0</v>
      </c>
      <c r="AG100" s="5" t="s">
        <v>169</v>
      </c>
      <c r="AH100" s="5" t="s">
        <v>0</v>
      </c>
      <c r="AI100" s="42"/>
      <c r="AJ100" s="28">
        <v>0.0</v>
      </c>
      <c r="AK100" s="28">
        <v>0.0</v>
      </c>
      <c r="AL100" s="28">
        <v>0.0</v>
      </c>
      <c r="AM100" s="28">
        <v>0.0</v>
      </c>
      <c r="AN100" s="28">
        <v>0.0</v>
      </c>
      <c r="AO100" s="28">
        <v>0.0</v>
      </c>
      <c r="AP100" s="28">
        <v>0.0</v>
      </c>
      <c r="AQ100" s="28">
        <v>0.0</v>
      </c>
      <c r="AR100" s="28">
        <v>0.0</v>
      </c>
      <c r="AS100" s="28">
        <v>0.0</v>
      </c>
      <c r="AT100" s="28">
        <v>0.0</v>
      </c>
      <c r="AU100" s="28">
        <v>0.0</v>
      </c>
      <c r="AV100" s="28">
        <v>0.0</v>
      </c>
      <c r="AW100" s="28">
        <v>0.0</v>
      </c>
      <c r="AX100" s="5"/>
      <c r="AY100" s="5" t="s">
        <v>125</v>
      </c>
      <c r="AZ100" s="5" t="s">
        <v>127</v>
      </c>
      <c r="BA100" s="32" t="s">
        <v>264</v>
      </c>
      <c r="BB100" s="5" t="s">
        <v>126</v>
      </c>
      <c r="BC100" s="5" t="s">
        <v>1032</v>
      </c>
      <c r="BD100" s="5" t="s">
        <v>130</v>
      </c>
      <c r="BE100" s="5" t="s">
        <v>131</v>
      </c>
    </row>
    <row r="101" ht="16.5" hidden="1" customHeight="1">
      <c r="A101" s="5" t="s">
        <v>155</v>
      </c>
      <c r="B101" s="5" t="s">
        <v>137</v>
      </c>
      <c r="C101" s="5" t="b">
        <v>1</v>
      </c>
      <c r="D101" s="5" t="s">
        <v>376</v>
      </c>
      <c r="E101" s="5" t="s">
        <v>377</v>
      </c>
      <c r="F101" s="5"/>
      <c r="G101" s="5" t="s">
        <v>65</v>
      </c>
      <c r="H101" s="5" t="s">
        <v>84</v>
      </c>
      <c r="I101" s="5" t="s">
        <v>82</v>
      </c>
      <c r="J101" s="25"/>
      <c r="K101" s="25"/>
      <c r="L101" s="25" t="s">
        <v>181</v>
      </c>
      <c r="M101" s="5" t="s">
        <v>66</v>
      </c>
      <c r="N101" s="5" t="s">
        <v>68</v>
      </c>
      <c r="O101" s="5" t="s">
        <v>69</v>
      </c>
      <c r="P101" s="5" t="s">
        <v>70</v>
      </c>
      <c r="Q101" s="5" t="b">
        <v>1</v>
      </c>
      <c r="R101" s="5" t="b">
        <v>0</v>
      </c>
      <c r="S101" s="5"/>
      <c r="T101" s="5">
        <v>2800.0</v>
      </c>
      <c r="U101" s="26">
        <v>2.1</v>
      </c>
      <c r="V101" s="5">
        <v>1333.0</v>
      </c>
      <c r="W101" s="27">
        <v>0.0</v>
      </c>
      <c r="X101" s="28">
        <v>1333.0</v>
      </c>
      <c r="Y101" s="27">
        <v>1.0</v>
      </c>
      <c r="Z101" s="5" t="s">
        <v>117</v>
      </c>
      <c r="AA101" s="5">
        <v>0.55</v>
      </c>
      <c r="AB101" s="5"/>
      <c r="AC101" s="5" t="s">
        <v>80</v>
      </c>
      <c r="AD101" s="5" t="s">
        <v>81</v>
      </c>
      <c r="AE101" s="5">
        <v>1.0</v>
      </c>
      <c r="AF101" s="5">
        <v>1.0</v>
      </c>
      <c r="AG101" s="5" t="s">
        <v>0</v>
      </c>
      <c r="AH101" s="5" t="s">
        <v>0</v>
      </c>
      <c r="AI101" s="42"/>
      <c r="AJ101" s="28">
        <v>1917.0</v>
      </c>
      <c r="AK101" s="28">
        <v>0.0</v>
      </c>
      <c r="AL101" s="28">
        <v>0.0</v>
      </c>
      <c r="AM101" s="28">
        <v>1884.0</v>
      </c>
      <c r="AN101" s="28">
        <v>0.0</v>
      </c>
      <c r="AO101" s="28">
        <v>2282150.16</v>
      </c>
      <c r="AP101" s="28">
        <v>0.0</v>
      </c>
      <c r="AQ101" s="28">
        <v>0.0</v>
      </c>
      <c r="AR101" s="28">
        <v>2242864.32</v>
      </c>
      <c r="AS101" s="28">
        <v>0.0</v>
      </c>
      <c r="AT101" s="28">
        <v>1925291.2934662236</v>
      </c>
      <c r="AU101" s="28">
        <v>0.0</v>
      </c>
      <c r="AV101" s="28">
        <v>0.0</v>
      </c>
      <c r="AW101" s="28">
        <v>1827514.1935215949</v>
      </c>
      <c r="AX101" s="5"/>
      <c r="AY101" s="5" t="str">
        <f t="array" ref="AY101">IFERROR(_xlfn.XLOOKUP($E101,'FW27'!$C$3:$C$1102,'FW27'!$AM$3:$AM$1102),"")</f>
        <v>Outdoor</v>
      </c>
      <c r="AZ101" s="5" t="str">
        <f t="array" ref="AZ101">IFERROR(_xlfn.XLOOKUP($E101,'FW27'!$C$3:$C$1102,'FW27'!$AN$3:$AN$1102),"")</f>
        <v>Day Hiking</v>
      </c>
      <c r="BA101" s="32" t="s">
        <v>379</v>
      </c>
      <c r="BB101" s="5" t="str">
        <f t="array" ref="BB101">IFERROR(_xlfn.XLOOKUP($E101,'FW27'!$C$3:$C$1102,'FW27'!$AS$3:$AS$1102),"")</f>
        <v>Softshell</v>
      </c>
      <c r="BC101" s="5" t="str">
        <f t="array" ref="BC101">IFERROR(_xlfn.XLOOKUP($E101,'FW27'!$C$3:$C$1102,'FW27'!$AT$3:$AT$1102),"")</f>
        <v>Pant</v>
      </c>
      <c r="BD101" s="5" t="str">
        <f t="array" ref="BD101">IFERROR(_xlfn.XLOOKUP($E101,'FW27'!$C$3:$C$1102,'FW27'!$AU$3:$AU$1102),"")</f>
        <v>2L</v>
      </c>
      <c r="BE101" s="5" t="str">
        <f t="array" ref="BE101">IFERROR(_xlfn.XLOOKUP($E101,'FW27'!$C$3:$C$1102,'FW27'!$AV$3:$AV$1102),"")</f>
        <v>Y</v>
      </c>
    </row>
    <row r="102" ht="16.5" hidden="1" customHeight="1">
      <c r="A102" s="5" t="s">
        <v>155</v>
      </c>
      <c r="B102" s="5" t="s">
        <v>137</v>
      </c>
      <c r="C102" s="5" t="b">
        <v>1</v>
      </c>
      <c r="D102" s="5" t="s">
        <v>380</v>
      </c>
      <c r="E102" s="5" t="s">
        <v>381</v>
      </c>
      <c r="F102" s="5"/>
      <c r="G102" s="5" t="s">
        <v>65</v>
      </c>
      <c r="H102" s="5" t="s">
        <v>84</v>
      </c>
      <c r="I102" s="5" t="s">
        <v>82</v>
      </c>
      <c r="J102" s="25"/>
      <c r="K102" s="25"/>
      <c r="L102" s="25" t="s">
        <v>181</v>
      </c>
      <c r="M102" s="5" t="s">
        <v>66</v>
      </c>
      <c r="N102" s="5" t="s">
        <v>68</v>
      </c>
      <c r="O102" s="5" t="s">
        <v>69</v>
      </c>
      <c r="P102" s="5" t="s">
        <v>107</v>
      </c>
      <c r="Q102" s="5" t="b">
        <v>1</v>
      </c>
      <c r="R102" s="5" t="b">
        <v>0</v>
      </c>
      <c r="S102" s="5"/>
      <c r="T102" s="5">
        <v>2800.0</v>
      </c>
      <c r="U102" s="26">
        <v>2.1</v>
      </c>
      <c r="V102" s="5">
        <v>1333.0</v>
      </c>
      <c r="W102" s="27">
        <v>0.0</v>
      </c>
      <c r="X102" s="28">
        <v>1333.0</v>
      </c>
      <c r="Y102" s="27">
        <v>1.0</v>
      </c>
      <c r="Z102" s="5" t="s">
        <v>117</v>
      </c>
      <c r="AA102" s="5">
        <v>0.56</v>
      </c>
      <c r="AB102" s="5"/>
      <c r="AC102" s="5" t="s">
        <v>80</v>
      </c>
      <c r="AD102" s="5" t="s">
        <v>81</v>
      </c>
      <c r="AE102" s="5">
        <v>1.0</v>
      </c>
      <c r="AF102" s="5">
        <v>1.0</v>
      </c>
      <c r="AG102" s="5" t="s">
        <v>0</v>
      </c>
      <c r="AH102" s="5" t="s">
        <v>0</v>
      </c>
      <c r="AI102" s="42"/>
      <c r="AJ102" s="28">
        <v>1611.0</v>
      </c>
      <c r="AK102" s="28">
        <v>0.0</v>
      </c>
      <c r="AL102" s="28">
        <v>0.0</v>
      </c>
      <c r="AM102" s="28">
        <v>1694.0</v>
      </c>
      <c r="AN102" s="28">
        <v>0.0</v>
      </c>
      <c r="AO102" s="28">
        <v>1917863.28</v>
      </c>
      <c r="AP102" s="28">
        <v>0.0</v>
      </c>
      <c r="AQ102" s="28">
        <v>0.0</v>
      </c>
      <c r="AR102" s="28">
        <v>2016673.12</v>
      </c>
      <c r="AS102" s="28">
        <v>0.0</v>
      </c>
      <c r="AT102" s="28">
        <v>1605255.400609081</v>
      </c>
      <c r="AU102" s="28">
        <v>0.0</v>
      </c>
      <c r="AV102" s="28">
        <v>0.0</v>
      </c>
      <c r="AW102" s="28">
        <v>1631760.4039313397</v>
      </c>
      <c r="AX102" s="5"/>
      <c r="AY102" s="5" t="str">
        <f t="array" ref="AY102">IFERROR(_xlfn.XLOOKUP($E102,'FW27'!$C$3:$C$1102,'FW27'!$AM$3:$AM$1102),"")</f>
        <v>Outdoor</v>
      </c>
      <c r="AZ102" s="5" t="str">
        <f t="array" ref="AZ102">IFERROR(_xlfn.XLOOKUP($E102,'FW27'!$C$3:$C$1102,'FW27'!$AN$3:$AN$1102),"")</f>
        <v>Day Hiking</v>
      </c>
      <c r="BA102" s="32" t="s">
        <v>379</v>
      </c>
      <c r="BB102" s="5" t="str">
        <f t="array" ref="BB102">IFERROR(_xlfn.XLOOKUP($E102,'FW27'!$C$3:$C$1102,'FW27'!$AS$3:$AS$1102),"")</f>
        <v>Softshell</v>
      </c>
      <c r="BC102" s="5" t="str">
        <f t="array" ref="BC102">IFERROR(_xlfn.XLOOKUP($E102,'FW27'!$C$3:$C$1102,'FW27'!$AT$3:$AT$1102),"")</f>
        <v>Pant</v>
      </c>
      <c r="BD102" s="5" t="str">
        <f t="array" ref="BD102">IFERROR(_xlfn.XLOOKUP($E102,'FW27'!$C$3:$C$1102,'FW27'!$AU$3:$AU$1102),"")</f>
        <v>2L</v>
      </c>
      <c r="BE102" s="5" t="str">
        <f t="array" ref="BE102">IFERROR(_xlfn.XLOOKUP($E102,'FW27'!$C$3:$C$1102,'FW27'!$AV$3:$AV$1102),"")</f>
        <v>Y</v>
      </c>
    </row>
    <row r="103" ht="16.5" hidden="1" customHeight="1">
      <c r="A103" s="5" t="s">
        <v>155</v>
      </c>
      <c r="B103" s="5" t="s">
        <v>137</v>
      </c>
      <c r="C103" s="5" t="b">
        <v>1</v>
      </c>
      <c r="D103" s="5" t="s">
        <v>1431</v>
      </c>
      <c r="E103" s="5" t="s">
        <v>1432</v>
      </c>
      <c r="F103" s="5"/>
      <c r="G103" s="5" t="s">
        <v>65</v>
      </c>
      <c r="H103" s="5" t="s">
        <v>84</v>
      </c>
      <c r="I103" s="5" t="s">
        <v>82</v>
      </c>
      <c r="J103" s="25" t="s">
        <v>164</v>
      </c>
      <c r="K103" s="25"/>
      <c r="L103" s="25"/>
      <c r="M103" s="5" t="s">
        <v>66</v>
      </c>
      <c r="N103" s="5" t="s">
        <v>334</v>
      </c>
      <c r="O103" s="5" t="s">
        <v>69</v>
      </c>
      <c r="P103" s="5" t="s">
        <v>70</v>
      </c>
      <c r="Q103" s="5" t="b">
        <v>1</v>
      </c>
      <c r="R103" s="5" t="b">
        <v>0</v>
      </c>
      <c r="S103" s="5"/>
      <c r="T103" s="5">
        <v>1000.0</v>
      </c>
      <c r="U103" s="26">
        <v>2.1</v>
      </c>
      <c r="V103" s="5">
        <v>476.0</v>
      </c>
      <c r="W103" s="27">
        <v>0.0</v>
      </c>
      <c r="X103" s="28">
        <v>476.0</v>
      </c>
      <c r="Y103" s="27">
        <v>1.0</v>
      </c>
      <c r="Z103" s="5" t="s">
        <v>117</v>
      </c>
      <c r="AA103" s="5">
        <v>0.61</v>
      </c>
      <c r="AB103" s="5"/>
      <c r="AC103" s="24" t="s">
        <v>0</v>
      </c>
      <c r="AD103" s="24" t="s">
        <v>0</v>
      </c>
      <c r="AE103" s="5">
        <v>3.0</v>
      </c>
      <c r="AF103" s="5">
        <v>0.0</v>
      </c>
      <c r="AG103" s="5" t="s">
        <v>125</v>
      </c>
      <c r="AH103" s="5" t="s">
        <v>0</v>
      </c>
      <c r="AI103" s="42"/>
      <c r="AJ103" s="28">
        <v>0.0</v>
      </c>
      <c r="AK103" s="28">
        <v>0.0</v>
      </c>
      <c r="AL103" s="28">
        <v>0.0</v>
      </c>
      <c r="AM103" s="28">
        <v>0.0</v>
      </c>
      <c r="AN103" s="28">
        <v>0.0</v>
      </c>
      <c r="AO103" s="28">
        <v>0.0</v>
      </c>
      <c r="AP103" s="28">
        <v>0.0</v>
      </c>
      <c r="AQ103" s="28">
        <v>0.0</v>
      </c>
      <c r="AR103" s="28">
        <v>0.0</v>
      </c>
      <c r="AS103" s="28">
        <v>0.0</v>
      </c>
      <c r="AT103" s="28">
        <v>0.0</v>
      </c>
      <c r="AU103" s="28">
        <v>0.0</v>
      </c>
      <c r="AV103" s="28">
        <v>0.0</v>
      </c>
      <c r="AW103" s="28">
        <v>0.0</v>
      </c>
      <c r="AX103" s="5"/>
      <c r="AY103" s="5" t="s">
        <v>125</v>
      </c>
      <c r="AZ103" s="5" t="s">
        <v>127</v>
      </c>
      <c r="BA103" s="5" t="s">
        <v>237</v>
      </c>
      <c r="BB103" s="5" t="s">
        <v>334</v>
      </c>
      <c r="BC103" s="5" t="s">
        <v>337</v>
      </c>
      <c r="BD103" s="5" t="s">
        <v>387</v>
      </c>
      <c r="BE103" s="5" t="s">
        <v>131</v>
      </c>
    </row>
    <row r="104" ht="16.5" hidden="1" customHeight="1">
      <c r="A104" s="5" t="s">
        <v>155</v>
      </c>
      <c r="B104" s="5" t="s">
        <v>137</v>
      </c>
      <c r="C104" s="5" t="b">
        <v>1</v>
      </c>
      <c r="D104" s="5" t="s">
        <v>1436</v>
      </c>
      <c r="E104" s="5" t="s">
        <v>1437</v>
      </c>
      <c r="F104" s="5"/>
      <c r="G104" s="5" t="s">
        <v>65</v>
      </c>
      <c r="H104" s="5" t="s">
        <v>84</v>
      </c>
      <c r="I104" s="5" t="s">
        <v>82</v>
      </c>
      <c r="J104" s="25" t="s">
        <v>164</v>
      </c>
      <c r="K104" s="25"/>
      <c r="L104" s="25"/>
      <c r="M104" s="5" t="s">
        <v>66</v>
      </c>
      <c r="N104" s="5" t="s">
        <v>334</v>
      </c>
      <c r="O104" s="5" t="s">
        <v>69</v>
      </c>
      <c r="P104" s="5" t="s">
        <v>107</v>
      </c>
      <c r="Q104" s="5" t="b">
        <v>1</v>
      </c>
      <c r="R104" s="5" t="b">
        <v>0</v>
      </c>
      <c r="S104" s="5"/>
      <c r="T104" s="5">
        <v>1000.0</v>
      </c>
      <c r="U104" s="26">
        <v>2.1</v>
      </c>
      <c r="V104" s="5">
        <v>476.0</v>
      </c>
      <c r="W104" s="27">
        <v>0.0</v>
      </c>
      <c r="X104" s="28">
        <v>476.0</v>
      </c>
      <c r="Y104" s="27">
        <v>1.0</v>
      </c>
      <c r="Z104" s="5" t="s">
        <v>117</v>
      </c>
      <c r="AA104" s="5">
        <v>0.62</v>
      </c>
      <c r="AB104" s="5"/>
      <c r="AC104" s="24" t="s">
        <v>0</v>
      </c>
      <c r="AD104" s="24" t="s">
        <v>0</v>
      </c>
      <c r="AE104" s="5">
        <v>3.0</v>
      </c>
      <c r="AF104" s="5">
        <v>0.0</v>
      </c>
      <c r="AG104" s="5" t="s">
        <v>125</v>
      </c>
      <c r="AH104" s="5" t="s">
        <v>0</v>
      </c>
      <c r="AI104" s="42"/>
      <c r="AJ104" s="28">
        <v>0.0</v>
      </c>
      <c r="AK104" s="28">
        <v>0.0</v>
      </c>
      <c r="AL104" s="28">
        <v>0.0</v>
      </c>
      <c r="AM104" s="28">
        <v>0.0</v>
      </c>
      <c r="AN104" s="28">
        <v>0.0</v>
      </c>
      <c r="AO104" s="28">
        <v>0.0</v>
      </c>
      <c r="AP104" s="28">
        <v>0.0</v>
      </c>
      <c r="AQ104" s="28">
        <v>0.0</v>
      </c>
      <c r="AR104" s="28">
        <v>0.0</v>
      </c>
      <c r="AS104" s="28">
        <v>0.0</v>
      </c>
      <c r="AT104" s="28">
        <v>0.0</v>
      </c>
      <c r="AU104" s="28">
        <v>0.0</v>
      </c>
      <c r="AV104" s="28">
        <v>0.0</v>
      </c>
      <c r="AW104" s="28">
        <v>0.0</v>
      </c>
      <c r="AX104" s="5"/>
      <c r="AY104" s="5" t="s">
        <v>125</v>
      </c>
      <c r="AZ104" s="5" t="s">
        <v>127</v>
      </c>
      <c r="BA104" s="5" t="s">
        <v>237</v>
      </c>
      <c r="BB104" s="5" t="s">
        <v>334</v>
      </c>
      <c r="BC104" s="5" t="s">
        <v>337</v>
      </c>
      <c r="BD104" s="5" t="s">
        <v>387</v>
      </c>
      <c r="BE104" s="5" t="s">
        <v>131</v>
      </c>
    </row>
    <row r="105" ht="16.5" hidden="1" customHeight="1">
      <c r="A105" s="5" t="s">
        <v>155</v>
      </c>
      <c r="B105" s="5" t="s">
        <v>137</v>
      </c>
      <c r="C105" s="5" t="b">
        <v>1</v>
      </c>
      <c r="D105" s="5" t="s">
        <v>1445</v>
      </c>
      <c r="E105" s="5" t="s">
        <v>1446</v>
      </c>
      <c r="F105" s="5"/>
      <c r="G105" s="5" t="s">
        <v>65</v>
      </c>
      <c r="H105" s="5" t="s">
        <v>84</v>
      </c>
      <c r="I105" s="5" t="s">
        <v>82</v>
      </c>
      <c r="J105" s="25" t="s">
        <v>164</v>
      </c>
      <c r="K105" s="25"/>
      <c r="L105" s="25"/>
      <c r="M105" s="5" t="s">
        <v>66</v>
      </c>
      <c r="N105" s="5" t="s">
        <v>334</v>
      </c>
      <c r="O105" s="5" t="s">
        <v>69</v>
      </c>
      <c r="P105" s="5" t="s">
        <v>70</v>
      </c>
      <c r="Q105" s="5" t="b">
        <v>1</v>
      </c>
      <c r="R105" s="5" t="b">
        <v>0</v>
      </c>
      <c r="S105" s="5"/>
      <c r="T105" s="5">
        <v>900.0</v>
      </c>
      <c r="U105" s="26">
        <v>2.1</v>
      </c>
      <c r="V105" s="5">
        <v>429.0</v>
      </c>
      <c r="W105" s="27">
        <v>0.0</v>
      </c>
      <c r="X105" s="28">
        <v>429.0</v>
      </c>
      <c r="Y105" s="27">
        <v>1.0</v>
      </c>
      <c r="Z105" s="5" t="s">
        <v>117</v>
      </c>
      <c r="AA105" s="5">
        <v>0.61</v>
      </c>
      <c r="AB105" s="5"/>
      <c r="AC105" s="24" t="s">
        <v>0</v>
      </c>
      <c r="AD105" s="24" t="s">
        <v>0</v>
      </c>
      <c r="AE105" s="5">
        <v>3.0</v>
      </c>
      <c r="AF105" s="5">
        <v>0.0</v>
      </c>
      <c r="AG105" s="5" t="s">
        <v>125</v>
      </c>
      <c r="AH105" s="5" t="s">
        <v>0</v>
      </c>
      <c r="AI105" s="42"/>
      <c r="AJ105" s="28">
        <v>0.0</v>
      </c>
      <c r="AK105" s="28">
        <v>0.0</v>
      </c>
      <c r="AL105" s="28">
        <v>0.0</v>
      </c>
      <c r="AM105" s="28">
        <v>0.0</v>
      </c>
      <c r="AN105" s="28">
        <v>0.0</v>
      </c>
      <c r="AO105" s="28">
        <v>0.0</v>
      </c>
      <c r="AP105" s="28">
        <v>0.0</v>
      </c>
      <c r="AQ105" s="28">
        <v>0.0</v>
      </c>
      <c r="AR105" s="28">
        <v>0.0</v>
      </c>
      <c r="AS105" s="28">
        <v>0.0</v>
      </c>
      <c r="AT105" s="28">
        <v>0.0</v>
      </c>
      <c r="AU105" s="28">
        <v>0.0</v>
      </c>
      <c r="AV105" s="28">
        <v>0.0</v>
      </c>
      <c r="AW105" s="28">
        <v>0.0</v>
      </c>
      <c r="AX105" s="5"/>
      <c r="AY105" s="5" t="s">
        <v>125</v>
      </c>
      <c r="AZ105" s="5" t="s">
        <v>127</v>
      </c>
      <c r="BA105" s="5" t="s">
        <v>237</v>
      </c>
      <c r="BB105" s="5" t="s">
        <v>334</v>
      </c>
      <c r="BC105" s="5" t="s">
        <v>348</v>
      </c>
      <c r="BD105" s="5" t="s">
        <v>387</v>
      </c>
      <c r="BE105" s="5" t="s">
        <v>131</v>
      </c>
    </row>
    <row r="106" ht="16.5" hidden="1" customHeight="1">
      <c r="A106" s="5" t="s">
        <v>155</v>
      </c>
      <c r="B106" s="5" t="s">
        <v>137</v>
      </c>
      <c r="C106" s="5" t="b">
        <v>1</v>
      </c>
      <c r="D106" s="5" t="s">
        <v>1450</v>
      </c>
      <c r="E106" s="5" t="s">
        <v>1451</v>
      </c>
      <c r="F106" s="5"/>
      <c r="G106" s="5" t="s">
        <v>65</v>
      </c>
      <c r="H106" s="5" t="s">
        <v>84</v>
      </c>
      <c r="I106" s="5" t="s">
        <v>82</v>
      </c>
      <c r="J106" s="25" t="s">
        <v>164</v>
      </c>
      <c r="K106" s="25"/>
      <c r="L106" s="25"/>
      <c r="M106" s="5" t="s">
        <v>66</v>
      </c>
      <c r="N106" s="5" t="s">
        <v>334</v>
      </c>
      <c r="O106" s="5" t="s">
        <v>69</v>
      </c>
      <c r="P106" s="5" t="s">
        <v>107</v>
      </c>
      <c r="Q106" s="5" t="b">
        <v>1</v>
      </c>
      <c r="R106" s="5" t="b">
        <v>0</v>
      </c>
      <c r="S106" s="5"/>
      <c r="T106" s="5">
        <v>900.0</v>
      </c>
      <c r="U106" s="26">
        <v>2.1</v>
      </c>
      <c r="V106" s="5">
        <v>429.0</v>
      </c>
      <c r="W106" s="27">
        <v>0.0</v>
      </c>
      <c r="X106" s="28">
        <v>429.0</v>
      </c>
      <c r="Y106" s="27">
        <v>1.0</v>
      </c>
      <c r="Z106" s="5" t="s">
        <v>117</v>
      </c>
      <c r="AA106" s="5">
        <v>0.62</v>
      </c>
      <c r="AB106" s="5"/>
      <c r="AC106" s="24" t="s">
        <v>0</v>
      </c>
      <c r="AD106" s="24" t="s">
        <v>0</v>
      </c>
      <c r="AE106" s="5">
        <v>3.0</v>
      </c>
      <c r="AF106" s="5">
        <v>0.0</v>
      </c>
      <c r="AG106" s="5" t="s">
        <v>125</v>
      </c>
      <c r="AH106" s="5" t="s">
        <v>0</v>
      </c>
      <c r="AI106" s="42"/>
      <c r="AJ106" s="28">
        <v>0.0</v>
      </c>
      <c r="AK106" s="28">
        <v>0.0</v>
      </c>
      <c r="AL106" s="28">
        <v>0.0</v>
      </c>
      <c r="AM106" s="28">
        <v>0.0</v>
      </c>
      <c r="AN106" s="28">
        <v>0.0</v>
      </c>
      <c r="AO106" s="28">
        <v>0.0</v>
      </c>
      <c r="AP106" s="28">
        <v>0.0</v>
      </c>
      <c r="AQ106" s="28">
        <v>0.0</v>
      </c>
      <c r="AR106" s="28">
        <v>0.0</v>
      </c>
      <c r="AS106" s="28">
        <v>0.0</v>
      </c>
      <c r="AT106" s="28">
        <v>0.0</v>
      </c>
      <c r="AU106" s="28">
        <v>0.0</v>
      </c>
      <c r="AV106" s="28">
        <v>0.0</v>
      </c>
      <c r="AW106" s="28">
        <v>0.0</v>
      </c>
      <c r="AX106" s="5"/>
      <c r="AY106" s="5" t="s">
        <v>125</v>
      </c>
      <c r="AZ106" s="5" t="s">
        <v>127</v>
      </c>
      <c r="BA106" s="5" t="s">
        <v>237</v>
      </c>
      <c r="BB106" s="5" t="s">
        <v>334</v>
      </c>
      <c r="BC106" s="5" t="s">
        <v>348</v>
      </c>
      <c r="BD106" s="5" t="s">
        <v>387</v>
      </c>
      <c r="BE106" s="5" t="s">
        <v>131</v>
      </c>
    </row>
    <row r="107" ht="16.5" hidden="1" customHeight="1">
      <c r="A107" s="5" t="s">
        <v>155</v>
      </c>
      <c r="B107" s="5" t="s">
        <v>137</v>
      </c>
      <c r="C107" s="5" t="b">
        <v>0</v>
      </c>
      <c r="D107" s="5" t="s">
        <v>384</v>
      </c>
      <c r="E107" s="5" t="s">
        <v>385</v>
      </c>
      <c r="F107" s="5"/>
      <c r="G107" s="5" t="s">
        <v>65</v>
      </c>
      <c r="H107" s="5" t="s">
        <v>74</v>
      </c>
      <c r="I107" s="5" t="s">
        <v>106</v>
      </c>
      <c r="J107" s="25" t="s">
        <v>164</v>
      </c>
      <c r="K107" s="25"/>
      <c r="L107" s="25"/>
      <c r="M107" s="5" t="s">
        <v>66</v>
      </c>
      <c r="N107" s="5" t="s">
        <v>334</v>
      </c>
      <c r="O107" s="5" t="s">
        <v>69</v>
      </c>
      <c r="P107" s="5" t="s">
        <v>70</v>
      </c>
      <c r="Q107" s="5" t="b">
        <v>1</v>
      </c>
      <c r="R107" s="5" t="b">
        <v>0</v>
      </c>
      <c r="S107" s="5"/>
      <c r="T107" s="5">
        <v>900.0</v>
      </c>
      <c r="U107" s="26">
        <v>2.1</v>
      </c>
      <c r="V107" s="5">
        <v>429.0</v>
      </c>
      <c r="W107" s="27">
        <v>0.0</v>
      </c>
      <c r="X107" s="28">
        <v>429.0</v>
      </c>
      <c r="Y107" s="27">
        <v>1.0</v>
      </c>
      <c r="Z107" s="5" t="s">
        <v>117</v>
      </c>
      <c r="AA107" s="27">
        <v>0.6</v>
      </c>
      <c r="AB107" s="5"/>
      <c r="AC107" s="5" t="s">
        <v>81</v>
      </c>
      <c r="AD107" s="5" t="s">
        <v>81</v>
      </c>
      <c r="AE107" s="24">
        <v>0.0</v>
      </c>
      <c r="AF107" s="5">
        <v>3.0</v>
      </c>
      <c r="AG107" s="5" t="s">
        <v>0</v>
      </c>
      <c r="AH107" s="5" t="s">
        <v>386</v>
      </c>
      <c r="AI107" s="56"/>
      <c r="AJ107" s="28">
        <v>0.0</v>
      </c>
      <c r="AK107" s="28">
        <v>0.0</v>
      </c>
      <c r="AL107" s="28">
        <v>0.0</v>
      </c>
      <c r="AM107" s="28">
        <v>352.0</v>
      </c>
      <c r="AN107" s="28">
        <v>0.0</v>
      </c>
      <c r="AO107" s="28">
        <v>0.0</v>
      </c>
      <c r="AP107" s="28">
        <v>0.0</v>
      </c>
      <c r="AQ107" s="28">
        <v>0.0</v>
      </c>
      <c r="AR107" s="28">
        <v>150856.64</v>
      </c>
      <c r="AS107" s="28">
        <v>0.0</v>
      </c>
      <c r="AT107" s="28">
        <v>0.0</v>
      </c>
      <c r="AU107" s="28">
        <v>0.0</v>
      </c>
      <c r="AV107" s="28">
        <v>0.0</v>
      </c>
      <c r="AW107" s="28">
        <v>150857.14285714284</v>
      </c>
      <c r="AX107" s="5"/>
      <c r="AY107" s="5" t="s">
        <v>125</v>
      </c>
      <c r="AZ107" s="5" t="s">
        <v>127</v>
      </c>
      <c r="BA107" s="5" t="s">
        <v>237</v>
      </c>
      <c r="BB107" s="5" t="s">
        <v>334</v>
      </c>
      <c r="BC107" s="5" t="s">
        <v>337</v>
      </c>
      <c r="BD107" s="5" t="s">
        <v>387</v>
      </c>
      <c r="BE107" s="5" t="s">
        <v>131</v>
      </c>
      <c r="BF107" s="5" t="s">
        <v>1459</v>
      </c>
    </row>
    <row r="108" ht="16.5" hidden="1" customHeight="1">
      <c r="A108" s="5" t="s">
        <v>155</v>
      </c>
      <c r="B108" s="5" t="s">
        <v>137</v>
      </c>
      <c r="C108" s="5" t="b">
        <v>0</v>
      </c>
      <c r="D108" s="5" t="s">
        <v>388</v>
      </c>
      <c r="E108" s="5" t="s">
        <v>389</v>
      </c>
      <c r="F108" s="5"/>
      <c r="G108" s="5" t="s">
        <v>65</v>
      </c>
      <c r="H108" s="5" t="s">
        <v>74</v>
      </c>
      <c r="I108" s="5" t="s">
        <v>106</v>
      </c>
      <c r="J108" s="25" t="s">
        <v>164</v>
      </c>
      <c r="K108" s="25"/>
      <c r="L108" s="25"/>
      <c r="M108" s="5" t="s">
        <v>66</v>
      </c>
      <c r="N108" s="5" t="s">
        <v>334</v>
      </c>
      <c r="O108" s="5" t="s">
        <v>69</v>
      </c>
      <c r="P108" s="5" t="s">
        <v>107</v>
      </c>
      <c r="Q108" s="5" t="b">
        <v>1</v>
      </c>
      <c r="R108" s="5" t="b">
        <v>0</v>
      </c>
      <c r="S108" s="5"/>
      <c r="T108" s="5">
        <v>900.0</v>
      </c>
      <c r="U108" s="26">
        <v>2.1</v>
      </c>
      <c r="V108" s="5">
        <v>429.0</v>
      </c>
      <c r="W108" s="27">
        <v>0.0</v>
      </c>
      <c r="X108" s="28">
        <v>429.0</v>
      </c>
      <c r="Y108" s="27">
        <v>1.0</v>
      </c>
      <c r="Z108" s="5" t="s">
        <v>117</v>
      </c>
      <c r="AA108" s="27">
        <v>0.62</v>
      </c>
      <c r="AB108" s="5"/>
      <c r="AC108" s="5" t="s">
        <v>81</v>
      </c>
      <c r="AD108" s="5" t="s">
        <v>81</v>
      </c>
      <c r="AE108" s="24">
        <v>0.0</v>
      </c>
      <c r="AF108" s="5">
        <v>3.0</v>
      </c>
      <c r="AG108" s="5" t="s">
        <v>0</v>
      </c>
      <c r="AH108" s="5" t="s">
        <v>386</v>
      </c>
      <c r="AI108" s="56"/>
      <c r="AJ108" s="28">
        <v>0.0</v>
      </c>
      <c r="AK108" s="28">
        <v>0.0</v>
      </c>
      <c r="AL108" s="28">
        <v>0.0</v>
      </c>
      <c r="AM108" s="28">
        <v>300.0</v>
      </c>
      <c r="AN108" s="28">
        <v>0.0</v>
      </c>
      <c r="AO108" s="28">
        <v>0.0</v>
      </c>
      <c r="AP108" s="28">
        <v>0.0</v>
      </c>
      <c r="AQ108" s="28">
        <v>0.0</v>
      </c>
      <c r="AR108" s="28">
        <v>128571.0</v>
      </c>
      <c r="AS108" s="28">
        <v>0.0</v>
      </c>
      <c r="AT108" s="28">
        <v>0.0</v>
      </c>
      <c r="AU108" s="28">
        <v>0.0</v>
      </c>
      <c r="AV108" s="28">
        <v>0.0</v>
      </c>
      <c r="AW108" s="28">
        <v>128571.42857142855</v>
      </c>
      <c r="AX108" s="5"/>
      <c r="AY108" s="5" t="s">
        <v>125</v>
      </c>
      <c r="AZ108" s="5" t="s">
        <v>127</v>
      </c>
      <c r="BA108" s="5" t="s">
        <v>237</v>
      </c>
      <c r="BB108" s="5" t="s">
        <v>334</v>
      </c>
      <c r="BC108" s="5" t="s">
        <v>337</v>
      </c>
      <c r="BD108" s="5" t="s">
        <v>387</v>
      </c>
      <c r="BE108" s="5" t="s">
        <v>131</v>
      </c>
      <c r="BF108" s="5" t="s">
        <v>1459</v>
      </c>
    </row>
    <row r="109" ht="16.5" hidden="1" customHeight="1">
      <c r="A109" s="5" t="s">
        <v>155</v>
      </c>
      <c r="B109" s="5" t="s">
        <v>137</v>
      </c>
      <c r="C109" s="5" t="b">
        <v>1</v>
      </c>
      <c r="D109" s="5" t="s">
        <v>1464</v>
      </c>
      <c r="E109" s="5" t="s">
        <v>1465</v>
      </c>
      <c r="F109" s="5"/>
      <c r="G109" s="5" t="s">
        <v>65</v>
      </c>
      <c r="H109" s="5" t="s">
        <v>84</v>
      </c>
      <c r="I109" s="5" t="s">
        <v>82</v>
      </c>
      <c r="J109" s="25" t="s">
        <v>164</v>
      </c>
      <c r="K109" s="25"/>
      <c r="L109" s="25"/>
      <c r="M109" s="5" t="s">
        <v>66</v>
      </c>
      <c r="N109" s="5" t="s">
        <v>334</v>
      </c>
      <c r="O109" s="5" t="s">
        <v>69</v>
      </c>
      <c r="P109" s="5" t="s">
        <v>107</v>
      </c>
      <c r="Q109" s="5" t="b">
        <v>1</v>
      </c>
      <c r="R109" s="5" t="b">
        <v>0</v>
      </c>
      <c r="S109" s="5"/>
      <c r="T109" s="5">
        <v>750.0</v>
      </c>
      <c r="U109" s="26">
        <v>2.1</v>
      </c>
      <c r="V109" s="5">
        <v>357.0</v>
      </c>
      <c r="W109" s="27">
        <v>0.0</v>
      </c>
      <c r="X109" s="28">
        <v>357.0</v>
      </c>
      <c r="Y109" s="27">
        <v>1.0</v>
      </c>
      <c r="Z109" s="5" t="s">
        <v>117</v>
      </c>
      <c r="AA109" s="5">
        <v>0.62</v>
      </c>
      <c r="AB109" s="5"/>
      <c r="AC109" s="24" t="s">
        <v>0</v>
      </c>
      <c r="AD109" s="24" t="s">
        <v>0</v>
      </c>
      <c r="AE109" s="5">
        <v>3.0</v>
      </c>
      <c r="AF109" s="5">
        <v>0.0</v>
      </c>
      <c r="AG109" s="5" t="s">
        <v>125</v>
      </c>
      <c r="AH109" s="5" t="s">
        <v>0</v>
      </c>
      <c r="AI109" s="42"/>
      <c r="AJ109" s="28">
        <v>0.0</v>
      </c>
      <c r="AK109" s="28">
        <v>0.0</v>
      </c>
      <c r="AL109" s="28">
        <v>0.0</v>
      </c>
      <c r="AM109" s="28">
        <v>0.0</v>
      </c>
      <c r="AN109" s="28">
        <v>0.0</v>
      </c>
      <c r="AO109" s="28">
        <v>0.0</v>
      </c>
      <c r="AP109" s="28">
        <v>0.0</v>
      </c>
      <c r="AQ109" s="28">
        <v>0.0</v>
      </c>
      <c r="AR109" s="28">
        <v>0.0</v>
      </c>
      <c r="AS109" s="28">
        <v>0.0</v>
      </c>
      <c r="AT109" s="28">
        <v>0.0</v>
      </c>
      <c r="AU109" s="28">
        <v>0.0</v>
      </c>
      <c r="AV109" s="28">
        <v>0.0</v>
      </c>
      <c r="AW109" s="28">
        <v>0.0</v>
      </c>
      <c r="AX109" s="5"/>
      <c r="AY109" s="5" t="s">
        <v>125</v>
      </c>
      <c r="AZ109" s="5" t="s">
        <v>127</v>
      </c>
      <c r="BA109" s="5" t="s">
        <v>237</v>
      </c>
      <c r="BB109" s="5" t="s">
        <v>334</v>
      </c>
      <c r="BC109" s="5" t="s">
        <v>600</v>
      </c>
      <c r="BD109" s="5" t="s">
        <v>387</v>
      </c>
      <c r="BE109" s="5" t="s">
        <v>131</v>
      </c>
    </row>
    <row r="110" ht="16.5" hidden="1" customHeight="1">
      <c r="A110" s="5" t="s">
        <v>155</v>
      </c>
      <c r="B110" s="5" t="s">
        <v>137</v>
      </c>
      <c r="C110" s="5" t="b">
        <v>0</v>
      </c>
      <c r="D110" s="5" t="s">
        <v>392</v>
      </c>
      <c r="E110" s="5" t="s">
        <v>393</v>
      </c>
      <c r="F110" s="5"/>
      <c r="G110" s="5" t="s">
        <v>65</v>
      </c>
      <c r="H110" s="5" t="s">
        <v>74</v>
      </c>
      <c r="I110" s="5" t="s">
        <v>106</v>
      </c>
      <c r="J110" s="25" t="s">
        <v>164</v>
      </c>
      <c r="K110" s="25"/>
      <c r="L110" s="25"/>
      <c r="M110" s="5" t="s">
        <v>66</v>
      </c>
      <c r="N110" s="5" t="s">
        <v>334</v>
      </c>
      <c r="O110" s="5" t="s">
        <v>69</v>
      </c>
      <c r="P110" s="5" t="s">
        <v>70</v>
      </c>
      <c r="Q110" s="5" t="b">
        <v>1</v>
      </c>
      <c r="R110" s="5" t="b">
        <v>0</v>
      </c>
      <c r="S110" s="5"/>
      <c r="T110" s="5">
        <v>750.0</v>
      </c>
      <c r="U110" s="26">
        <v>2.1</v>
      </c>
      <c r="V110" s="5">
        <v>357.0</v>
      </c>
      <c r="W110" s="27">
        <v>0.0</v>
      </c>
      <c r="X110" s="28">
        <v>357.0</v>
      </c>
      <c r="Y110" s="27">
        <v>1.0</v>
      </c>
      <c r="Z110" s="5" t="s">
        <v>117</v>
      </c>
      <c r="AA110" s="27">
        <v>0.62</v>
      </c>
      <c r="AB110" s="5"/>
      <c r="AC110" s="5" t="s">
        <v>81</v>
      </c>
      <c r="AD110" s="5" t="s">
        <v>81</v>
      </c>
      <c r="AE110" s="24">
        <v>0.0</v>
      </c>
      <c r="AF110" s="5">
        <v>3.0</v>
      </c>
      <c r="AG110" s="5" t="s">
        <v>0</v>
      </c>
      <c r="AH110" s="5" t="s">
        <v>386</v>
      </c>
      <c r="AI110" s="56"/>
      <c r="AJ110" s="28">
        <v>0.0</v>
      </c>
      <c r="AK110" s="28">
        <v>0.0</v>
      </c>
      <c r="AL110" s="28">
        <v>0.0</v>
      </c>
      <c r="AM110" s="28">
        <v>321.0</v>
      </c>
      <c r="AN110" s="28">
        <v>0.0</v>
      </c>
      <c r="AO110" s="28">
        <v>0.0</v>
      </c>
      <c r="AP110" s="28">
        <v>0.0</v>
      </c>
      <c r="AQ110" s="28">
        <v>0.0</v>
      </c>
      <c r="AR110" s="28">
        <v>114641.93999999999</v>
      </c>
      <c r="AS110" s="28">
        <v>0.0</v>
      </c>
      <c r="AT110" s="28">
        <v>0.0</v>
      </c>
      <c r="AU110" s="28">
        <v>0.0</v>
      </c>
      <c r="AV110" s="28">
        <v>0.0</v>
      </c>
      <c r="AW110" s="28">
        <v>114642.85714285713</v>
      </c>
      <c r="AX110" s="5"/>
      <c r="AY110" s="5" t="s">
        <v>125</v>
      </c>
      <c r="AZ110" s="5" t="s">
        <v>127</v>
      </c>
      <c r="BA110" s="5" t="s">
        <v>237</v>
      </c>
      <c r="BB110" s="5" t="s">
        <v>334</v>
      </c>
      <c r="BC110" s="5" t="s">
        <v>348</v>
      </c>
      <c r="BD110" s="5" t="s">
        <v>338</v>
      </c>
      <c r="BE110" s="5" t="s">
        <v>131</v>
      </c>
      <c r="BF110" s="5" t="s">
        <v>910</v>
      </c>
    </row>
    <row r="111" ht="16.5" hidden="1" customHeight="1">
      <c r="A111" s="5" t="s">
        <v>155</v>
      </c>
      <c r="B111" s="5" t="s">
        <v>137</v>
      </c>
      <c r="C111" s="5" t="b">
        <v>0</v>
      </c>
      <c r="D111" s="5" t="s">
        <v>396</v>
      </c>
      <c r="E111" s="5" t="s">
        <v>397</v>
      </c>
      <c r="F111" s="5"/>
      <c r="G111" s="5" t="s">
        <v>65</v>
      </c>
      <c r="H111" s="5" t="s">
        <v>74</v>
      </c>
      <c r="I111" s="5" t="s">
        <v>106</v>
      </c>
      <c r="J111" s="25" t="s">
        <v>164</v>
      </c>
      <c r="K111" s="25"/>
      <c r="L111" s="25"/>
      <c r="M111" s="5" t="s">
        <v>66</v>
      </c>
      <c r="N111" s="5" t="s">
        <v>334</v>
      </c>
      <c r="O111" s="5" t="s">
        <v>69</v>
      </c>
      <c r="P111" s="5" t="s">
        <v>107</v>
      </c>
      <c r="Q111" s="5" t="b">
        <v>1</v>
      </c>
      <c r="R111" s="5" t="b">
        <v>0</v>
      </c>
      <c r="S111" s="5"/>
      <c r="T111" s="5">
        <v>750.0</v>
      </c>
      <c r="U111" s="26">
        <v>2.1</v>
      </c>
      <c r="V111" s="5">
        <v>357.0</v>
      </c>
      <c r="W111" s="27">
        <v>0.0</v>
      </c>
      <c r="X111" s="28">
        <v>357.0</v>
      </c>
      <c r="Y111" s="27">
        <v>1.0</v>
      </c>
      <c r="Z111" s="5" t="s">
        <v>117</v>
      </c>
      <c r="AA111" s="27">
        <v>0.63</v>
      </c>
      <c r="AB111" s="5"/>
      <c r="AC111" s="5" t="s">
        <v>81</v>
      </c>
      <c r="AD111" s="5" t="s">
        <v>81</v>
      </c>
      <c r="AE111" s="24">
        <v>0.0</v>
      </c>
      <c r="AF111" s="5">
        <v>3.0</v>
      </c>
      <c r="AG111" s="5" t="s">
        <v>0</v>
      </c>
      <c r="AH111" s="5" t="s">
        <v>386</v>
      </c>
      <c r="AI111" s="56"/>
      <c r="AJ111" s="28">
        <v>0.0</v>
      </c>
      <c r="AK111" s="28">
        <v>0.0</v>
      </c>
      <c r="AL111" s="28">
        <v>0.0</v>
      </c>
      <c r="AM111" s="28">
        <v>270.0</v>
      </c>
      <c r="AN111" s="28">
        <v>0.0</v>
      </c>
      <c r="AO111" s="28">
        <v>0.0</v>
      </c>
      <c r="AP111" s="28">
        <v>0.0</v>
      </c>
      <c r="AQ111" s="28">
        <v>0.0</v>
      </c>
      <c r="AR111" s="28">
        <v>96427.79999999999</v>
      </c>
      <c r="AS111" s="28">
        <v>0.0</v>
      </c>
      <c r="AT111" s="28">
        <v>0.0</v>
      </c>
      <c r="AU111" s="28">
        <v>0.0</v>
      </c>
      <c r="AV111" s="28">
        <v>0.0</v>
      </c>
      <c r="AW111" s="28">
        <v>96428.57142857142</v>
      </c>
      <c r="AX111" s="5"/>
      <c r="AY111" s="5" t="s">
        <v>125</v>
      </c>
      <c r="AZ111" s="5" t="s">
        <v>127</v>
      </c>
      <c r="BA111" s="5" t="s">
        <v>237</v>
      </c>
      <c r="BB111" s="5" t="s">
        <v>334</v>
      </c>
      <c r="BC111" s="5" t="s">
        <v>348</v>
      </c>
      <c r="BD111" s="5" t="s">
        <v>338</v>
      </c>
      <c r="BE111" s="5" t="s">
        <v>131</v>
      </c>
      <c r="BF111" s="5" t="s">
        <v>910</v>
      </c>
    </row>
    <row r="112" ht="16.5" hidden="1" customHeight="1">
      <c r="A112" s="5" t="s">
        <v>155</v>
      </c>
      <c r="B112" s="5" t="s">
        <v>137</v>
      </c>
      <c r="C112" s="5" t="b">
        <v>0</v>
      </c>
      <c r="D112" s="5" t="s">
        <v>398</v>
      </c>
      <c r="E112" s="5" t="s">
        <v>918</v>
      </c>
      <c r="F112" s="5"/>
      <c r="G112" s="5" t="s">
        <v>65</v>
      </c>
      <c r="H112" s="5" t="s">
        <v>76</v>
      </c>
      <c r="I112" s="5" t="s">
        <v>106</v>
      </c>
      <c r="J112" s="25" t="s">
        <v>1479</v>
      </c>
      <c r="K112" s="25"/>
      <c r="L112" s="25" t="s">
        <v>110</v>
      </c>
      <c r="M112" s="5" t="s">
        <v>66</v>
      </c>
      <c r="N112" s="5" t="s">
        <v>68</v>
      </c>
      <c r="O112" s="5" t="s">
        <v>69</v>
      </c>
      <c r="P112" s="5" t="s">
        <v>70</v>
      </c>
      <c r="Q112" s="5" t="b">
        <v>1</v>
      </c>
      <c r="R112" s="5" t="b">
        <v>0</v>
      </c>
      <c r="S112" s="5"/>
      <c r="T112" s="5">
        <v>2500.0</v>
      </c>
      <c r="U112" s="26">
        <v>2.1</v>
      </c>
      <c r="V112" s="5">
        <v>1190.0</v>
      </c>
      <c r="W112" s="27">
        <v>0.0</v>
      </c>
      <c r="X112" s="28">
        <v>1190.0</v>
      </c>
      <c r="Y112" s="27">
        <v>1.0</v>
      </c>
      <c r="Z112" s="5" t="s">
        <v>78</v>
      </c>
      <c r="AA112" s="5">
        <v>0.5920000000000001</v>
      </c>
      <c r="AB112" s="5"/>
      <c r="AC112" s="5" t="s">
        <v>166</v>
      </c>
      <c r="AD112" s="5" t="s">
        <v>81</v>
      </c>
      <c r="AE112" s="5">
        <v>3.0</v>
      </c>
      <c r="AF112" s="5">
        <v>3.0</v>
      </c>
      <c r="AG112" s="5" t="s">
        <v>1480</v>
      </c>
      <c r="AH112" s="5" t="s">
        <v>156</v>
      </c>
      <c r="AI112" s="42"/>
      <c r="AJ112" s="28">
        <v>0.0</v>
      </c>
      <c r="AK112" s="28">
        <v>0.0</v>
      </c>
      <c r="AL112" s="28">
        <v>0.0</v>
      </c>
      <c r="AM112" s="28">
        <v>0.0</v>
      </c>
      <c r="AN112" s="28">
        <v>0.0</v>
      </c>
      <c r="AO112" s="28">
        <v>0.0</v>
      </c>
      <c r="AP112" s="28">
        <v>0.0</v>
      </c>
      <c r="AQ112" s="28">
        <v>0.0</v>
      </c>
      <c r="AR112" s="28">
        <v>0.0</v>
      </c>
      <c r="AS112" s="28">
        <v>0.0</v>
      </c>
      <c r="AT112" s="28">
        <v>0.0</v>
      </c>
      <c r="AU112" s="28">
        <v>0.0</v>
      </c>
      <c r="AV112" s="28">
        <v>0.0</v>
      </c>
      <c r="AW112" s="28">
        <v>0.0</v>
      </c>
      <c r="AX112" s="5"/>
      <c r="AY112" s="5" t="s">
        <v>125</v>
      </c>
      <c r="AZ112" s="5" t="s">
        <v>127</v>
      </c>
      <c r="BB112" s="5" t="s">
        <v>68</v>
      </c>
      <c r="BC112" s="5" t="s">
        <v>89</v>
      </c>
      <c r="BD112" s="5" t="s">
        <v>178</v>
      </c>
      <c r="BE112" s="5" t="s">
        <v>91</v>
      </c>
      <c r="BF112" s="5" t="s">
        <v>1481</v>
      </c>
    </row>
    <row r="113" ht="16.5" hidden="1" customHeight="1">
      <c r="A113" s="5" t="s">
        <v>155</v>
      </c>
      <c r="B113" s="5" t="s">
        <v>137</v>
      </c>
      <c r="C113" s="5" t="b">
        <v>0</v>
      </c>
      <c r="D113" s="5" t="s">
        <v>405</v>
      </c>
      <c r="E113" s="5" t="s">
        <v>928</v>
      </c>
      <c r="F113" s="5"/>
      <c r="G113" s="5" t="s">
        <v>65</v>
      </c>
      <c r="H113" s="5" t="s">
        <v>76</v>
      </c>
      <c r="I113" s="5" t="s">
        <v>106</v>
      </c>
      <c r="J113" s="25" t="s">
        <v>1479</v>
      </c>
      <c r="K113" s="25"/>
      <c r="L113" s="25" t="s">
        <v>110</v>
      </c>
      <c r="M113" s="5" t="s">
        <v>66</v>
      </c>
      <c r="N113" s="5" t="s">
        <v>68</v>
      </c>
      <c r="O113" s="5" t="s">
        <v>69</v>
      </c>
      <c r="P113" s="5" t="s">
        <v>107</v>
      </c>
      <c r="Q113" s="5" t="b">
        <v>1</v>
      </c>
      <c r="R113" s="5" t="b">
        <v>0</v>
      </c>
      <c r="S113" s="5"/>
      <c r="T113" s="5">
        <v>2500.0</v>
      </c>
      <c r="U113" s="26">
        <v>2.1</v>
      </c>
      <c r="V113" s="5">
        <v>1190.0</v>
      </c>
      <c r="W113" s="27">
        <v>0.0</v>
      </c>
      <c r="X113" s="28">
        <v>1190.0</v>
      </c>
      <c r="Y113" s="27">
        <v>1.0</v>
      </c>
      <c r="Z113" s="5" t="s">
        <v>78</v>
      </c>
      <c r="AA113" s="5">
        <v>0.575</v>
      </c>
      <c r="AB113" s="5"/>
      <c r="AC113" s="5" t="s">
        <v>166</v>
      </c>
      <c r="AD113" s="5" t="s">
        <v>81</v>
      </c>
      <c r="AE113" s="5">
        <v>4.0</v>
      </c>
      <c r="AF113" s="5">
        <v>4.0</v>
      </c>
      <c r="AG113" s="5" t="s">
        <v>1484</v>
      </c>
      <c r="AH113" s="5" t="s">
        <v>156</v>
      </c>
      <c r="AI113" s="42"/>
      <c r="AJ113" s="28">
        <v>0.0</v>
      </c>
      <c r="AK113" s="28">
        <v>0.0</v>
      </c>
      <c r="AL113" s="28">
        <v>0.0</v>
      </c>
      <c r="AM113" s="28">
        <v>0.0</v>
      </c>
      <c r="AN113" s="28">
        <v>0.0</v>
      </c>
      <c r="AO113" s="28">
        <v>0.0</v>
      </c>
      <c r="AP113" s="28">
        <v>0.0</v>
      </c>
      <c r="AQ113" s="28">
        <v>0.0</v>
      </c>
      <c r="AR113" s="28">
        <v>0.0</v>
      </c>
      <c r="AS113" s="28">
        <v>0.0</v>
      </c>
      <c r="AT113" s="28">
        <v>0.0</v>
      </c>
      <c r="AU113" s="28">
        <v>0.0</v>
      </c>
      <c r="AV113" s="28">
        <v>0.0</v>
      </c>
      <c r="AW113" s="28">
        <v>0.0</v>
      </c>
      <c r="AX113" s="5"/>
      <c r="AY113" s="5" t="s">
        <v>125</v>
      </c>
      <c r="AZ113" s="5" t="s">
        <v>127</v>
      </c>
      <c r="BB113" s="5" t="s">
        <v>68</v>
      </c>
      <c r="BC113" s="5" t="s">
        <v>89</v>
      </c>
      <c r="BD113" s="5" t="s">
        <v>178</v>
      </c>
      <c r="BE113" s="5" t="s">
        <v>91</v>
      </c>
      <c r="BF113" s="5" t="s">
        <v>1481</v>
      </c>
    </row>
    <row r="114" ht="16.5" hidden="1" customHeight="1">
      <c r="A114" s="5" t="s">
        <v>155</v>
      </c>
      <c r="B114" s="5" t="s">
        <v>137</v>
      </c>
      <c r="C114" s="5" t="b">
        <v>1</v>
      </c>
      <c r="D114" s="5" t="s">
        <v>407</v>
      </c>
      <c r="E114" s="5" t="s">
        <v>408</v>
      </c>
      <c r="F114" s="5"/>
      <c r="G114" s="5" t="s">
        <v>65</v>
      </c>
      <c r="H114" s="5" t="s">
        <v>84</v>
      </c>
      <c r="I114" s="5" t="s">
        <v>82</v>
      </c>
      <c r="J114" s="25"/>
      <c r="K114" s="25"/>
      <c r="L114" s="25" t="s">
        <v>110</v>
      </c>
      <c r="M114" s="5" t="s">
        <v>66</v>
      </c>
      <c r="N114" s="5" t="s">
        <v>68</v>
      </c>
      <c r="O114" s="5" t="s">
        <v>69</v>
      </c>
      <c r="P114" s="5" t="s">
        <v>70</v>
      </c>
      <c r="Q114" s="5" t="b">
        <v>1</v>
      </c>
      <c r="R114" s="5" t="b">
        <v>0</v>
      </c>
      <c r="S114" s="5"/>
      <c r="T114" s="5">
        <v>3500.0</v>
      </c>
      <c r="U114" s="26">
        <v>2.1</v>
      </c>
      <c r="V114" s="5">
        <v>1667.0</v>
      </c>
      <c r="W114" s="27">
        <v>0.0</v>
      </c>
      <c r="X114" s="28">
        <v>1667.0</v>
      </c>
      <c r="Y114" s="27">
        <v>1.0</v>
      </c>
      <c r="Z114" s="5" t="s">
        <v>78</v>
      </c>
      <c r="AA114" s="5">
        <v>0.5920000000000001</v>
      </c>
      <c r="AB114" s="5"/>
      <c r="AC114" s="5" t="s">
        <v>80</v>
      </c>
      <c r="AD114" s="5" t="s">
        <v>81</v>
      </c>
      <c r="AE114" s="24">
        <v>0.0</v>
      </c>
      <c r="AF114" s="5">
        <v>2.0</v>
      </c>
      <c r="AG114" s="5" t="s">
        <v>0</v>
      </c>
      <c r="AH114" s="5" t="s">
        <v>156</v>
      </c>
      <c r="AI114" s="42"/>
      <c r="AJ114" s="28">
        <v>200.0</v>
      </c>
      <c r="AK114" s="28">
        <v>1001.0</v>
      </c>
      <c r="AL114" s="28">
        <v>0.0</v>
      </c>
      <c r="AM114" s="28">
        <v>520.0</v>
      </c>
      <c r="AN114" s="28">
        <v>0.0</v>
      </c>
      <c r="AO114" s="28">
        <v>304762.0</v>
      </c>
      <c r="AP114" s="28">
        <v>1525524.0</v>
      </c>
      <c r="AQ114" s="28">
        <v>0.0</v>
      </c>
      <c r="AR114" s="28">
        <v>792381.2</v>
      </c>
      <c r="AS114" s="28">
        <v>0.0</v>
      </c>
      <c r="AT114" s="28">
        <v>111278.4</v>
      </c>
      <c r="AU114" s="28">
        <v>1172840.9000000001</v>
      </c>
      <c r="AV114" s="28">
        <v>0.0</v>
      </c>
      <c r="AW114" s="28">
        <v>297755.16279069765</v>
      </c>
      <c r="AX114" s="5"/>
      <c r="AY114" s="5" t="str">
        <f t="array" ref="AY114">IFERROR(_xlfn.XLOOKUP($E114,'FW27'!$C$3:$C$1102,'FW27'!$AM$3:$AM$1102),"")</f>
        <v>Essentials</v>
      </c>
      <c r="AZ114" s="5" t="str">
        <f t="array" ref="AZ114">IFERROR(_xlfn.XLOOKUP($E114,'FW27'!$C$3:$C$1102,'FW27'!$AN$3:$AN$1102),"")</f>
        <v>Active Essentials</v>
      </c>
      <c r="BA114" s="5" t="s">
        <v>410</v>
      </c>
      <c r="BB114" s="5" t="str">
        <f t="array" ref="BB114">IFERROR(_xlfn.XLOOKUP($E114,'FW27'!$C$3:$C$1102,'FW27'!$AS$3:$AS$1102),"")</f>
        <v>Shell</v>
      </c>
      <c r="BC114" s="5" t="str">
        <f t="array" ref="BC114">IFERROR(_xlfn.XLOOKUP($E114,'FW27'!$C$3:$C$1102,'FW27'!$AT$3:$AT$1102),"")</f>
        <v>Hooded Jacket</v>
      </c>
      <c r="BD114" s="5" t="str">
        <f t="array" ref="BD114">IFERROR(_xlfn.XLOOKUP($E114,'FW27'!$C$3:$C$1102,'FW27'!$AU$3:$AU$1102),"")</f>
        <v>2L</v>
      </c>
      <c r="BE114" s="5" t="str">
        <f t="array" ref="BE114">IFERROR(_xlfn.XLOOKUP($E114,'FW27'!$C$3:$C$1102,'FW27'!$AV$3:$AV$1102),"")</f>
        <v>Y</v>
      </c>
    </row>
    <row r="115" ht="16.5" hidden="1" customHeight="1">
      <c r="A115" s="5" t="s">
        <v>155</v>
      </c>
      <c r="B115" s="5" t="s">
        <v>137</v>
      </c>
      <c r="C115" s="5" t="b">
        <v>1</v>
      </c>
      <c r="D115" s="5" t="s">
        <v>411</v>
      </c>
      <c r="E115" s="5" t="s">
        <v>412</v>
      </c>
      <c r="F115" s="5"/>
      <c r="G115" s="5" t="s">
        <v>65</v>
      </c>
      <c r="H115" s="5" t="s">
        <v>84</v>
      </c>
      <c r="I115" s="5" t="s">
        <v>82</v>
      </c>
      <c r="J115" s="25"/>
      <c r="K115" s="25"/>
      <c r="L115" s="25" t="s">
        <v>110</v>
      </c>
      <c r="M115" s="5" t="s">
        <v>66</v>
      </c>
      <c r="N115" s="5" t="s">
        <v>68</v>
      </c>
      <c r="O115" s="5" t="s">
        <v>69</v>
      </c>
      <c r="P115" s="5" t="s">
        <v>107</v>
      </c>
      <c r="Q115" s="5" t="b">
        <v>1</v>
      </c>
      <c r="R115" s="5" t="b">
        <v>0</v>
      </c>
      <c r="S115" s="5"/>
      <c r="T115" s="5">
        <v>3500.0</v>
      </c>
      <c r="U115" s="26">
        <v>2.1</v>
      </c>
      <c r="V115" s="5">
        <v>1667.0</v>
      </c>
      <c r="W115" s="27">
        <v>0.0</v>
      </c>
      <c r="X115" s="28">
        <v>1667.0</v>
      </c>
      <c r="Y115" s="27">
        <v>1.0</v>
      </c>
      <c r="Z115" s="5" t="s">
        <v>78</v>
      </c>
      <c r="AA115" s="5">
        <v>0.575</v>
      </c>
      <c r="AB115" s="5"/>
      <c r="AC115" s="5" t="s">
        <v>80</v>
      </c>
      <c r="AD115" s="5" t="s">
        <v>81</v>
      </c>
      <c r="AE115" s="24">
        <v>0.0</v>
      </c>
      <c r="AF115" s="5">
        <v>3.0</v>
      </c>
      <c r="AG115" s="5" t="s">
        <v>0</v>
      </c>
      <c r="AH115" s="5" t="s">
        <v>156</v>
      </c>
      <c r="AI115" s="42"/>
      <c r="AJ115" s="28">
        <v>100.0</v>
      </c>
      <c r="AK115" s="28">
        <v>1002.0</v>
      </c>
      <c r="AL115" s="28">
        <v>0.0</v>
      </c>
      <c r="AM115" s="28">
        <v>220.0</v>
      </c>
      <c r="AN115" s="28">
        <v>0.0</v>
      </c>
      <c r="AO115" s="28">
        <v>152381.0</v>
      </c>
      <c r="AP115" s="28">
        <v>1527048.0</v>
      </c>
      <c r="AQ115" s="28">
        <v>0.0</v>
      </c>
      <c r="AR115" s="28">
        <v>335238.2</v>
      </c>
      <c r="AS115" s="28">
        <v>0.0</v>
      </c>
      <c r="AT115" s="28">
        <v>49547.59999999999</v>
      </c>
      <c r="AU115" s="28">
        <v>1174011.3</v>
      </c>
      <c r="AV115" s="28">
        <v>0.0</v>
      </c>
      <c r="AW115" s="28">
        <v>118654.36279069766</v>
      </c>
      <c r="AX115" s="5"/>
      <c r="AY115" s="5" t="str">
        <f t="array" ref="AY115">IFERROR(_xlfn.XLOOKUP($E115,'FW27'!$C$3:$C$1102,'FW27'!$AM$3:$AM$1102),"")</f>
        <v>Essentials</v>
      </c>
      <c r="AZ115" s="5" t="str">
        <f t="array" ref="AZ115">IFERROR(_xlfn.XLOOKUP($E115,'FW27'!$C$3:$C$1102,'FW27'!$AN$3:$AN$1102),"")</f>
        <v>Active Essentials</v>
      </c>
      <c r="BA115" s="5" t="s">
        <v>410</v>
      </c>
      <c r="BB115" s="5" t="str">
        <f t="array" ref="BB115">IFERROR(_xlfn.XLOOKUP($E115,'FW27'!$C$3:$C$1102,'FW27'!$AS$3:$AS$1102),"")</f>
        <v>Shell</v>
      </c>
      <c r="BC115" s="5" t="str">
        <f t="array" ref="BC115">IFERROR(_xlfn.XLOOKUP($E115,'FW27'!$C$3:$C$1102,'FW27'!$AT$3:$AT$1102),"")</f>
        <v>Hooded Jacket</v>
      </c>
      <c r="BD115" s="5" t="str">
        <f t="array" ref="BD115">IFERROR(_xlfn.XLOOKUP($E115,'FW27'!$C$3:$C$1102,'FW27'!$AU$3:$AU$1102),"")</f>
        <v>2L</v>
      </c>
      <c r="BE115" s="5" t="str">
        <f t="array" ref="BE115">IFERROR(_xlfn.XLOOKUP($E115,'FW27'!$C$3:$C$1102,'FW27'!$AV$3:$AV$1102),"")</f>
        <v>Y</v>
      </c>
    </row>
    <row r="116" ht="16.5" hidden="1" customHeight="1">
      <c r="A116" s="5" t="s">
        <v>155</v>
      </c>
      <c r="B116" s="5" t="s">
        <v>137</v>
      </c>
      <c r="C116" s="5" t="b">
        <v>0</v>
      </c>
      <c r="D116" s="5" t="s">
        <v>415</v>
      </c>
      <c r="E116" s="5" t="s">
        <v>416</v>
      </c>
      <c r="F116" s="5"/>
      <c r="G116" s="5" t="s">
        <v>65</v>
      </c>
      <c r="H116" s="5" t="s">
        <v>76</v>
      </c>
      <c r="I116" s="5" t="s">
        <v>106</v>
      </c>
      <c r="J116" s="25" t="s">
        <v>530</v>
      </c>
      <c r="K116" s="25"/>
      <c r="L116" s="25" t="s">
        <v>181</v>
      </c>
      <c r="M116" s="5" t="s">
        <v>66</v>
      </c>
      <c r="N116" s="5" t="s">
        <v>68</v>
      </c>
      <c r="O116" s="5" t="s">
        <v>141</v>
      </c>
      <c r="P116" s="5" t="s">
        <v>70</v>
      </c>
      <c r="Q116" s="5" t="b">
        <v>1</v>
      </c>
      <c r="R116" s="5" t="b">
        <v>0</v>
      </c>
      <c r="S116" s="5"/>
      <c r="T116" s="5">
        <v>2800.0</v>
      </c>
      <c r="U116" s="26">
        <v>2.1</v>
      </c>
      <c r="V116" s="5">
        <v>1333.0</v>
      </c>
      <c r="W116" s="27">
        <v>0.0</v>
      </c>
      <c r="X116" s="28">
        <v>1333.0</v>
      </c>
      <c r="Y116" s="27">
        <v>1.0</v>
      </c>
      <c r="Z116" s="5" t="s">
        <v>117</v>
      </c>
      <c r="AA116" s="5">
        <v>0.55</v>
      </c>
      <c r="AB116" s="5"/>
      <c r="AC116" s="5" t="s">
        <v>80</v>
      </c>
      <c r="AD116" s="5" t="s">
        <v>81</v>
      </c>
      <c r="AE116" s="5">
        <v>1.0</v>
      </c>
      <c r="AF116" s="5">
        <v>1.0</v>
      </c>
      <c r="AG116" s="5" t="s">
        <v>347</v>
      </c>
      <c r="AH116" s="5" t="s">
        <v>156</v>
      </c>
      <c r="AI116" s="42"/>
      <c r="AJ116" s="28">
        <v>0.0</v>
      </c>
      <c r="AK116" s="28">
        <v>0.0</v>
      </c>
      <c r="AL116" s="28">
        <v>0.0</v>
      </c>
      <c r="AM116" s="28">
        <v>15.0</v>
      </c>
      <c r="AN116" s="28">
        <v>0.0</v>
      </c>
      <c r="AO116" s="28">
        <v>0.0</v>
      </c>
      <c r="AP116" s="28">
        <v>0.0</v>
      </c>
      <c r="AQ116" s="28">
        <v>0.0</v>
      </c>
      <c r="AR116" s="28">
        <v>17857.2</v>
      </c>
      <c r="AS116" s="28">
        <v>0.0</v>
      </c>
      <c r="AT116" s="28">
        <v>0.0</v>
      </c>
      <c r="AU116" s="28">
        <v>0.0</v>
      </c>
      <c r="AV116" s="28">
        <v>0.0</v>
      </c>
      <c r="AW116" s="28">
        <v>11735.497674418606</v>
      </c>
      <c r="AX116" s="5"/>
      <c r="AY116" s="5" t="s">
        <v>125</v>
      </c>
      <c r="AZ116" s="5" t="s">
        <v>127</v>
      </c>
      <c r="BB116" s="5" t="s">
        <v>68</v>
      </c>
      <c r="BC116" s="5" t="s">
        <v>128</v>
      </c>
      <c r="BD116" s="5" t="s">
        <v>90</v>
      </c>
      <c r="BE116" s="5" t="s">
        <v>91</v>
      </c>
      <c r="BF116" s="5" t="s">
        <v>1491</v>
      </c>
    </row>
    <row r="117" ht="16.5" hidden="1" customHeight="1">
      <c r="A117" s="5" t="s">
        <v>155</v>
      </c>
      <c r="B117" s="5" t="s">
        <v>137</v>
      </c>
      <c r="C117" s="5" t="b">
        <v>0</v>
      </c>
      <c r="D117" s="5" t="s">
        <v>422</v>
      </c>
      <c r="E117" s="5" t="s">
        <v>423</v>
      </c>
      <c r="F117" s="5"/>
      <c r="G117" s="5" t="s">
        <v>65</v>
      </c>
      <c r="H117" s="5" t="s">
        <v>76</v>
      </c>
      <c r="I117" s="5" t="s">
        <v>106</v>
      </c>
      <c r="J117" s="25" t="s">
        <v>530</v>
      </c>
      <c r="K117" s="25"/>
      <c r="L117" s="25" t="s">
        <v>181</v>
      </c>
      <c r="M117" s="5" t="s">
        <v>66</v>
      </c>
      <c r="N117" s="5" t="s">
        <v>68</v>
      </c>
      <c r="O117" s="5" t="s">
        <v>141</v>
      </c>
      <c r="P117" s="5" t="s">
        <v>107</v>
      </c>
      <c r="Q117" s="5" t="b">
        <v>1</v>
      </c>
      <c r="R117" s="5" t="b">
        <v>0</v>
      </c>
      <c r="S117" s="5"/>
      <c r="T117" s="5">
        <v>2800.0</v>
      </c>
      <c r="U117" s="26">
        <v>2.1</v>
      </c>
      <c r="V117" s="5">
        <v>1333.0</v>
      </c>
      <c r="W117" s="27">
        <v>0.0</v>
      </c>
      <c r="X117" s="28">
        <v>1333.0</v>
      </c>
      <c r="Y117" s="27">
        <v>1.0</v>
      </c>
      <c r="Z117" s="5" t="s">
        <v>117</v>
      </c>
      <c r="AA117" s="5">
        <v>0.56</v>
      </c>
      <c r="AB117" s="5"/>
      <c r="AC117" s="5" t="s">
        <v>80</v>
      </c>
      <c r="AD117" s="5" t="s">
        <v>81</v>
      </c>
      <c r="AE117" s="5">
        <v>1.0</v>
      </c>
      <c r="AF117" s="5">
        <v>1.0</v>
      </c>
      <c r="AG117" s="5" t="s">
        <v>347</v>
      </c>
      <c r="AH117" s="5" t="s">
        <v>156</v>
      </c>
      <c r="AI117" s="42"/>
      <c r="AJ117" s="28">
        <v>0.0</v>
      </c>
      <c r="AK117" s="28">
        <v>0.0</v>
      </c>
      <c r="AL117" s="28">
        <v>0.0</v>
      </c>
      <c r="AM117" s="28">
        <v>15.0</v>
      </c>
      <c r="AN117" s="28">
        <v>0.0</v>
      </c>
      <c r="AO117" s="28">
        <v>0.0</v>
      </c>
      <c r="AP117" s="28">
        <v>0.0</v>
      </c>
      <c r="AQ117" s="28">
        <v>0.0</v>
      </c>
      <c r="AR117" s="28">
        <v>17857.2</v>
      </c>
      <c r="AS117" s="28">
        <v>0.0</v>
      </c>
      <c r="AT117" s="28">
        <v>0.0</v>
      </c>
      <c r="AU117" s="28">
        <v>0.0</v>
      </c>
      <c r="AV117" s="28">
        <v>0.0</v>
      </c>
      <c r="AW117" s="28">
        <v>11735.497674418606</v>
      </c>
      <c r="AX117" s="5"/>
      <c r="AY117" s="5" t="s">
        <v>125</v>
      </c>
      <c r="AZ117" s="5" t="s">
        <v>127</v>
      </c>
      <c r="BB117" s="5" t="s">
        <v>68</v>
      </c>
      <c r="BC117" s="5" t="s">
        <v>128</v>
      </c>
      <c r="BD117" s="5" t="s">
        <v>90</v>
      </c>
      <c r="BE117" s="5" t="s">
        <v>91</v>
      </c>
      <c r="BF117" s="5" t="s">
        <v>1491</v>
      </c>
    </row>
    <row r="118" ht="16.5" hidden="1" customHeight="1">
      <c r="A118" s="5" t="s">
        <v>155</v>
      </c>
      <c r="B118" s="5" t="s">
        <v>137</v>
      </c>
      <c r="C118" s="5" t="b">
        <v>1</v>
      </c>
      <c r="D118" s="5" t="s">
        <v>426</v>
      </c>
      <c r="E118" s="5" t="s">
        <v>427</v>
      </c>
      <c r="F118" s="5"/>
      <c r="G118" s="5" t="s">
        <v>65</v>
      </c>
      <c r="H118" s="5" t="s">
        <v>84</v>
      </c>
      <c r="I118" s="5" t="s">
        <v>82</v>
      </c>
      <c r="J118" s="25"/>
      <c r="K118" s="25"/>
      <c r="L118" s="25"/>
      <c r="M118" s="5" t="s">
        <v>66</v>
      </c>
      <c r="N118" s="5" t="s">
        <v>113</v>
      </c>
      <c r="O118" s="5" t="s">
        <v>69</v>
      </c>
      <c r="P118" s="5" t="s">
        <v>70</v>
      </c>
      <c r="Q118" s="5" t="b">
        <v>1</v>
      </c>
      <c r="R118" s="5" t="b">
        <v>0</v>
      </c>
      <c r="S118" s="5"/>
      <c r="T118" s="5">
        <v>1300.0</v>
      </c>
      <c r="U118" s="26">
        <v>2.1</v>
      </c>
      <c r="V118" s="5">
        <v>619.0</v>
      </c>
      <c r="W118" s="27">
        <v>0.0</v>
      </c>
      <c r="X118" s="28">
        <v>619.0</v>
      </c>
      <c r="Y118" s="27">
        <v>1.0</v>
      </c>
      <c r="Z118" s="5" t="s">
        <v>78</v>
      </c>
      <c r="AA118" s="5">
        <v>0.63</v>
      </c>
      <c r="AB118" s="5"/>
      <c r="AC118" s="5" t="s">
        <v>81</v>
      </c>
      <c r="AD118" s="5" t="s">
        <v>81</v>
      </c>
      <c r="AE118" s="5">
        <v>4.0</v>
      </c>
      <c r="AF118" s="5">
        <v>4.0</v>
      </c>
      <c r="AG118" s="5" t="s">
        <v>1415</v>
      </c>
      <c r="AH118" s="5" t="s">
        <v>0</v>
      </c>
      <c r="AI118" s="42"/>
      <c r="AJ118" s="28">
        <v>0.0</v>
      </c>
      <c r="AK118" s="28">
        <v>0.0</v>
      </c>
      <c r="AL118" s="28">
        <v>0.0</v>
      </c>
      <c r="AM118" s="28">
        <v>2624.0</v>
      </c>
      <c r="AN118" s="28">
        <v>0.0</v>
      </c>
      <c r="AO118" s="28">
        <v>0.0</v>
      </c>
      <c r="AP118" s="28">
        <v>0.0</v>
      </c>
      <c r="AQ118" s="28">
        <v>0.0</v>
      </c>
      <c r="AR118" s="28">
        <v>1624387.2</v>
      </c>
      <c r="AS118" s="28">
        <v>0.0</v>
      </c>
      <c r="AT118" s="28">
        <v>0.0</v>
      </c>
      <c r="AU118" s="28">
        <v>0.0</v>
      </c>
      <c r="AV118" s="28">
        <v>0.0</v>
      </c>
      <c r="AW118" s="28">
        <v>1284639.889479513</v>
      </c>
      <c r="AX118" s="5"/>
      <c r="AY118" s="5" t="s">
        <v>86</v>
      </c>
      <c r="AZ118" s="5" t="s">
        <v>87</v>
      </c>
      <c r="BA118" s="32" t="s">
        <v>429</v>
      </c>
      <c r="BB118" s="5" t="s">
        <v>126</v>
      </c>
      <c r="BC118" s="5" t="s">
        <v>128</v>
      </c>
      <c r="BD118" s="5" t="s">
        <v>130</v>
      </c>
      <c r="BE118" s="5" t="s">
        <v>131</v>
      </c>
    </row>
    <row r="119" ht="16.5" hidden="1" customHeight="1">
      <c r="A119" s="5" t="s">
        <v>155</v>
      </c>
      <c r="B119" s="5" t="s">
        <v>137</v>
      </c>
      <c r="C119" s="5" t="b">
        <v>1</v>
      </c>
      <c r="D119" s="47" t="s">
        <v>430</v>
      </c>
      <c r="E119" s="47" t="s">
        <v>431</v>
      </c>
      <c r="F119" s="47"/>
      <c r="G119" s="47" t="s">
        <v>65</v>
      </c>
      <c r="H119" s="47" t="s">
        <v>76</v>
      </c>
      <c r="I119" s="47" t="s">
        <v>82</v>
      </c>
      <c r="J119" s="48" t="s">
        <v>322</v>
      </c>
      <c r="K119" s="25" t="s">
        <v>150</v>
      </c>
      <c r="L119" s="25"/>
      <c r="M119" s="5" t="s">
        <v>66</v>
      </c>
      <c r="N119" s="5" t="s">
        <v>113</v>
      </c>
      <c r="O119" s="5" t="s">
        <v>96</v>
      </c>
      <c r="P119" s="5" t="s">
        <v>70</v>
      </c>
      <c r="Q119" s="5" t="b">
        <v>1</v>
      </c>
      <c r="R119" s="5" t="b">
        <v>0</v>
      </c>
      <c r="S119" s="5"/>
      <c r="T119" s="5">
        <v>1300.0</v>
      </c>
      <c r="U119" s="26">
        <v>2.1</v>
      </c>
      <c r="V119" s="5">
        <v>619.0</v>
      </c>
      <c r="W119" s="27">
        <v>0.0</v>
      </c>
      <c r="X119" s="28">
        <v>619.0</v>
      </c>
      <c r="Y119" s="27">
        <v>1.0</v>
      </c>
      <c r="Z119" s="5" t="s">
        <v>78</v>
      </c>
      <c r="AA119" s="5">
        <v>0.63</v>
      </c>
      <c r="AB119" s="5"/>
      <c r="AC119" s="5" t="s">
        <v>81</v>
      </c>
      <c r="AD119" s="5" t="s">
        <v>81</v>
      </c>
      <c r="AE119" s="5">
        <v>3.0</v>
      </c>
      <c r="AF119" s="5">
        <v>3.0</v>
      </c>
      <c r="AG119" s="5" t="s">
        <v>966</v>
      </c>
      <c r="AH119" s="5" t="s">
        <v>97</v>
      </c>
      <c r="AI119" s="42"/>
      <c r="AJ119" s="28">
        <v>0.0</v>
      </c>
      <c r="AK119" s="28">
        <v>0.0</v>
      </c>
      <c r="AL119" s="28">
        <v>0.0</v>
      </c>
      <c r="AM119" s="28">
        <v>1060.0</v>
      </c>
      <c r="AN119" s="28">
        <v>0.0</v>
      </c>
      <c r="AO119" s="28">
        <v>0.0</v>
      </c>
      <c r="AP119" s="28">
        <v>0.0</v>
      </c>
      <c r="AQ119" s="28">
        <v>0.0</v>
      </c>
      <c r="AR119" s="28">
        <v>656192.9999999999</v>
      </c>
      <c r="AS119" s="28">
        <v>0.0</v>
      </c>
      <c r="AT119" s="28">
        <v>0.0</v>
      </c>
      <c r="AU119" s="28">
        <v>0.0</v>
      </c>
      <c r="AV119" s="28">
        <v>0.0</v>
      </c>
      <c r="AW119" s="28">
        <v>231073.39999999997</v>
      </c>
      <c r="AX119" s="5"/>
      <c r="AY119" s="5" t="str">
        <f t="array" ref="AY119">IFERROR(_xlfn.XLOOKUP($E119,'FW27'!$C$3:$C$1102,'FW27'!$AM$3:$AM$1102),"")</f>
        <v>Outdoor</v>
      </c>
      <c r="AZ119" s="5" t="str">
        <f t="array" ref="AZ119">IFERROR(_xlfn.XLOOKUP($E119,'FW27'!$C$3:$C$1102,'FW27'!$AN$3:$AN$1102),"")</f>
        <v>Day Hiking</v>
      </c>
      <c r="BA119" s="32" t="s">
        <v>429</v>
      </c>
      <c r="BB119" s="5" t="str">
        <f t="array" ref="BB119">IFERROR(_xlfn.XLOOKUP($E119,'FW27'!$C$3:$C$1102,'FW27'!$AS$3:$AS$1102),"")</f>
        <v>Softshell</v>
      </c>
      <c r="BC119" s="5" t="str">
        <f t="array" ref="BC119">IFERROR(_xlfn.XLOOKUP($E119,'FW27'!$C$3:$C$1102,'FW27'!$AT$3:$AT$1102),"")</f>
        <v>Pant</v>
      </c>
      <c r="BD119" s="5" t="str">
        <f t="array" ref="BD119">IFERROR(_xlfn.XLOOKUP($E119,'FW27'!$C$3:$C$1102,'FW27'!$AU$3:$AU$1102),"")</f>
        <v>Classic Softshell</v>
      </c>
      <c r="BE119" s="5" t="str">
        <f t="array" ref="BE119">IFERROR(_xlfn.XLOOKUP($E119,'FW27'!$C$3:$C$1102,'FW27'!$AV$3:$AV$1102),"")</f>
        <v>N</v>
      </c>
    </row>
    <row r="120" ht="16.5" hidden="1" customHeight="1">
      <c r="A120" s="5" t="s">
        <v>155</v>
      </c>
      <c r="B120" s="5" t="s">
        <v>137</v>
      </c>
      <c r="C120" s="5" t="b">
        <v>1</v>
      </c>
      <c r="D120" s="5" t="s">
        <v>438</v>
      </c>
      <c r="E120" s="5" t="s">
        <v>439</v>
      </c>
      <c r="F120" s="5"/>
      <c r="G120" s="5" t="s">
        <v>65</v>
      </c>
      <c r="H120" s="5" t="s">
        <v>84</v>
      </c>
      <c r="I120" s="5" t="s">
        <v>82</v>
      </c>
      <c r="J120" s="25"/>
      <c r="K120" s="25"/>
      <c r="L120" s="25"/>
      <c r="M120" s="5" t="s">
        <v>66</v>
      </c>
      <c r="N120" s="5" t="s">
        <v>113</v>
      </c>
      <c r="O120" s="5" t="s">
        <v>69</v>
      </c>
      <c r="P120" s="5" t="s">
        <v>107</v>
      </c>
      <c r="Q120" s="5" t="b">
        <v>1</v>
      </c>
      <c r="R120" s="5" t="b">
        <v>0</v>
      </c>
      <c r="S120" s="5"/>
      <c r="T120" s="5">
        <v>1300.0</v>
      </c>
      <c r="U120" s="26">
        <v>2.1</v>
      </c>
      <c r="V120" s="5">
        <v>619.0</v>
      </c>
      <c r="W120" s="27">
        <v>0.0</v>
      </c>
      <c r="X120" s="28">
        <v>619.0</v>
      </c>
      <c r="Y120" s="27">
        <v>1.0</v>
      </c>
      <c r="Z120" s="5" t="s">
        <v>78</v>
      </c>
      <c r="AA120" s="5">
        <v>0.61</v>
      </c>
      <c r="AB120" s="5"/>
      <c r="AC120" s="5" t="s">
        <v>81</v>
      </c>
      <c r="AD120" s="5" t="s">
        <v>81</v>
      </c>
      <c r="AE120" s="5">
        <v>5.0</v>
      </c>
      <c r="AF120" s="5">
        <v>4.0</v>
      </c>
      <c r="AG120" s="5" t="s">
        <v>1415</v>
      </c>
      <c r="AH120" s="5" t="s">
        <v>0</v>
      </c>
      <c r="AI120" s="42"/>
      <c r="AJ120" s="28">
        <v>0.0</v>
      </c>
      <c r="AK120" s="28">
        <v>0.0</v>
      </c>
      <c r="AL120" s="28">
        <v>0.0</v>
      </c>
      <c r="AM120" s="28">
        <v>3345.0</v>
      </c>
      <c r="AN120" s="28">
        <v>0.0</v>
      </c>
      <c r="AO120" s="28">
        <v>0.0</v>
      </c>
      <c r="AP120" s="28">
        <v>0.0</v>
      </c>
      <c r="AQ120" s="28">
        <v>0.0</v>
      </c>
      <c r="AR120" s="28">
        <v>2070722.25</v>
      </c>
      <c r="AS120" s="28">
        <v>0.0</v>
      </c>
      <c r="AT120" s="28">
        <v>0.0</v>
      </c>
      <c r="AU120" s="28">
        <v>0.0</v>
      </c>
      <c r="AV120" s="28">
        <v>0.0</v>
      </c>
      <c r="AW120" s="28">
        <v>1449194.2392026577</v>
      </c>
      <c r="AX120" s="5"/>
      <c r="AY120" s="5" t="s">
        <v>86</v>
      </c>
      <c r="AZ120" s="5" t="s">
        <v>87</v>
      </c>
      <c r="BA120" s="32" t="s">
        <v>429</v>
      </c>
      <c r="BB120" s="5" t="s">
        <v>126</v>
      </c>
      <c r="BC120" s="5" t="s">
        <v>128</v>
      </c>
      <c r="BD120" s="5" t="s">
        <v>130</v>
      </c>
      <c r="BE120" s="5" t="s">
        <v>131</v>
      </c>
    </row>
    <row r="121" ht="16.5" hidden="1" customHeight="1">
      <c r="A121" s="5" t="s">
        <v>155</v>
      </c>
      <c r="B121" s="5" t="s">
        <v>200</v>
      </c>
      <c r="C121" s="5" t="b">
        <v>0</v>
      </c>
      <c r="D121" s="5" t="s">
        <v>440</v>
      </c>
      <c r="E121" s="5" t="s">
        <v>441</v>
      </c>
      <c r="F121" s="5"/>
      <c r="G121" s="5" t="s">
        <v>65</v>
      </c>
      <c r="H121" s="5" t="s">
        <v>84</v>
      </c>
      <c r="I121" s="5" t="s">
        <v>106</v>
      </c>
      <c r="J121" s="25" t="s">
        <v>413</v>
      </c>
      <c r="K121" s="25"/>
      <c r="L121" s="25"/>
      <c r="M121" s="5" t="s">
        <v>66</v>
      </c>
      <c r="N121" s="5" t="s">
        <v>113</v>
      </c>
      <c r="O121" s="5" t="s">
        <v>69</v>
      </c>
      <c r="P121" s="5" t="s">
        <v>70</v>
      </c>
      <c r="Q121" s="5" t="b">
        <v>1</v>
      </c>
      <c r="R121" s="5" t="b">
        <v>0</v>
      </c>
      <c r="S121" s="5"/>
      <c r="T121" s="5">
        <v>1000.0</v>
      </c>
      <c r="U121" s="26">
        <v>2.1</v>
      </c>
      <c r="V121" s="5">
        <v>476.0</v>
      </c>
      <c r="W121" s="27">
        <v>0.0</v>
      </c>
      <c r="X121" s="28">
        <v>476.0</v>
      </c>
      <c r="Y121" s="27">
        <v>1.0</v>
      </c>
      <c r="Z121" s="5" t="s">
        <v>117</v>
      </c>
      <c r="AA121" s="5">
        <v>0.6</v>
      </c>
      <c r="AB121" s="5"/>
      <c r="AC121" s="5" t="s">
        <v>81</v>
      </c>
      <c r="AD121" s="5" t="s">
        <v>81</v>
      </c>
      <c r="AE121" s="5">
        <v>5.0</v>
      </c>
      <c r="AF121" s="5">
        <v>4.0</v>
      </c>
      <c r="AG121" s="5" t="s">
        <v>1415</v>
      </c>
      <c r="AH121" s="5" t="s">
        <v>0</v>
      </c>
      <c r="AI121" s="42"/>
      <c r="AJ121" s="28">
        <v>0.0</v>
      </c>
      <c r="AK121" s="28">
        <v>0.0</v>
      </c>
      <c r="AL121" s="28">
        <v>0.0</v>
      </c>
      <c r="AM121" s="28">
        <v>4183.0</v>
      </c>
      <c r="AN121" s="28">
        <v>0.0</v>
      </c>
      <c r="AO121" s="28">
        <v>0.0</v>
      </c>
      <c r="AP121" s="28">
        <v>0.0</v>
      </c>
      <c r="AQ121" s="28">
        <v>0.0</v>
      </c>
      <c r="AR121" s="28">
        <v>1991902.7700000003</v>
      </c>
      <c r="AS121" s="28">
        <v>0.0</v>
      </c>
      <c r="AT121" s="28">
        <v>0.0</v>
      </c>
      <c r="AU121" s="28">
        <v>0.0</v>
      </c>
      <c r="AV121" s="28">
        <v>0.0</v>
      </c>
      <c r="AW121" s="28">
        <v>1460998.6070874857</v>
      </c>
      <c r="AX121" s="5"/>
      <c r="AY121" s="5" t="s">
        <v>86</v>
      </c>
      <c r="AZ121" s="5" t="s">
        <v>87</v>
      </c>
      <c r="BA121" s="5" t="s">
        <v>88</v>
      </c>
      <c r="BB121" s="5" t="s">
        <v>126</v>
      </c>
      <c r="BC121" s="5" t="s">
        <v>147</v>
      </c>
      <c r="BD121" s="5" t="s">
        <v>130</v>
      </c>
      <c r="BE121" s="5" t="s">
        <v>131</v>
      </c>
      <c r="BF121" s="5" t="s">
        <v>1506</v>
      </c>
    </row>
    <row r="122" ht="16.5" hidden="1" customHeight="1">
      <c r="A122" s="5" t="s">
        <v>155</v>
      </c>
      <c r="B122" s="5" t="s">
        <v>200</v>
      </c>
      <c r="C122" s="5" t="b">
        <v>0</v>
      </c>
      <c r="D122" s="5" t="s">
        <v>446</v>
      </c>
      <c r="E122" s="5" t="s">
        <v>447</v>
      </c>
      <c r="F122" s="5"/>
      <c r="G122" s="5" t="s">
        <v>65</v>
      </c>
      <c r="H122" s="5" t="s">
        <v>84</v>
      </c>
      <c r="I122" s="5" t="s">
        <v>106</v>
      </c>
      <c r="J122" s="25" t="s">
        <v>413</v>
      </c>
      <c r="K122" s="25"/>
      <c r="L122" s="25"/>
      <c r="M122" s="5" t="s">
        <v>66</v>
      </c>
      <c r="N122" s="5" t="s">
        <v>113</v>
      </c>
      <c r="O122" s="5" t="s">
        <v>69</v>
      </c>
      <c r="P122" s="5" t="s">
        <v>107</v>
      </c>
      <c r="Q122" s="5" t="b">
        <v>1</v>
      </c>
      <c r="R122" s="5" t="b">
        <v>0</v>
      </c>
      <c r="S122" s="5"/>
      <c r="T122" s="5">
        <v>1000.0</v>
      </c>
      <c r="U122" s="26">
        <v>2.1</v>
      </c>
      <c r="V122" s="5">
        <v>476.0</v>
      </c>
      <c r="W122" s="27">
        <v>0.0</v>
      </c>
      <c r="X122" s="28">
        <v>476.0</v>
      </c>
      <c r="Y122" s="27">
        <v>1.0</v>
      </c>
      <c r="Z122" s="5" t="s">
        <v>117</v>
      </c>
      <c r="AA122" s="5">
        <v>0.62</v>
      </c>
      <c r="AB122" s="5"/>
      <c r="AC122" s="5" t="s">
        <v>81</v>
      </c>
      <c r="AD122" s="5" t="s">
        <v>81</v>
      </c>
      <c r="AE122" s="5">
        <v>5.0</v>
      </c>
      <c r="AF122" s="5">
        <v>4.0</v>
      </c>
      <c r="AG122" s="5" t="s">
        <v>1415</v>
      </c>
      <c r="AH122" s="5" t="s">
        <v>0</v>
      </c>
      <c r="AI122" s="42"/>
      <c r="AJ122" s="28">
        <v>0.0</v>
      </c>
      <c r="AK122" s="28">
        <v>0.0</v>
      </c>
      <c r="AL122" s="28">
        <v>0.0</v>
      </c>
      <c r="AM122" s="28">
        <v>3818.0</v>
      </c>
      <c r="AN122" s="28">
        <v>0.0</v>
      </c>
      <c r="AO122" s="28">
        <v>0.0</v>
      </c>
      <c r="AP122" s="28">
        <v>0.0</v>
      </c>
      <c r="AQ122" s="28">
        <v>0.0</v>
      </c>
      <c r="AR122" s="28">
        <v>1818093.42</v>
      </c>
      <c r="AS122" s="28">
        <v>0.0</v>
      </c>
      <c r="AT122" s="28">
        <v>0.0</v>
      </c>
      <c r="AU122" s="28">
        <v>0.0</v>
      </c>
      <c r="AV122" s="28">
        <v>0.0</v>
      </c>
      <c r="AW122" s="28">
        <v>1392027.6425249171</v>
      </c>
      <c r="AX122" s="5"/>
      <c r="AY122" s="5" t="s">
        <v>86</v>
      </c>
      <c r="AZ122" s="5" t="s">
        <v>87</v>
      </c>
      <c r="BA122" s="5" t="s">
        <v>88</v>
      </c>
      <c r="BB122" s="5" t="s">
        <v>126</v>
      </c>
      <c r="BC122" s="5" t="s">
        <v>147</v>
      </c>
      <c r="BD122" s="5" t="s">
        <v>130</v>
      </c>
      <c r="BE122" s="5" t="s">
        <v>131</v>
      </c>
      <c r="BF122" s="5" t="s">
        <v>1506</v>
      </c>
    </row>
    <row r="123" ht="16.5" hidden="1" customHeight="1">
      <c r="A123" s="5" t="s">
        <v>155</v>
      </c>
      <c r="B123" s="5" t="s">
        <v>137</v>
      </c>
      <c r="C123" s="5" t="b">
        <v>1</v>
      </c>
      <c r="D123" s="5" t="s">
        <v>452</v>
      </c>
      <c r="E123" s="5" t="s">
        <v>453</v>
      </c>
      <c r="F123" s="5"/>
      <c r="G123" s="5" t="s">
        <v>65</v>
      </c>
      <c r="H123" s="5" t="s">
        <v>84</v>
      </c>
      <c r="I123" s="5" t="s">
        <v>82</v>
      </c>
      <c r="J123" s="25"/>
      <c r="K123" s="25"/>
      <c r="L123" s="25"/>
      <c r="M123" s="5" t="s">
        <v>66</v>
      </c>
      <c r="N123" s="5" t="s">
        <v>270</v>
      </c>
      <c r="O123" s="5" t="s">
        <v>69</v>
      </c>
      <c r="P123" s="5" t="s">
        <v>70</v>
      </c>
      <c r="Q123" s="5" t="b">
        <v>1</v>
      </c>
      <c r="R123" s="5" t="b">
        <v>0</v>
      </c>
      <c r="S123" s="5"/>
      <c r="T123" s="5">
        <v>800.0</v>
      </c>
      <c r="U123" s="26">
        <v>2.1</v>
      </c>
      <c r="V123" s="5">
        <v>381.0</v>
      </c>
      <c r="W123" s="27">
        <v>0.0</v>
      </c>
      <c r="X123" s="28">
        <v>381.0</v>
      </c>
      <c r="Y123" s="27">
        <v>1.0</v>
      </c>
      <c r="Z123" s="5" t="s">
        <v>78</v>
      </c>
      <c r="AA123" s="5">
        <v>0.62</v>
      </c>
      <c r="AB123" s="5"/>
      <c r="AC123" s="5" t="s">
        <v>81</v>
      </c>
      <c r="AD123" s="5" t="s">
        <v>81</v>
      </c>
      <c r="AE123" s="5">
        <v>3.0</v>
      </c>
      <c r="AF123" s="5">
        <v>2.0</v>
      </c>
      <c r="AG123" s="5" t="s">
        <v>1513</v>
      </c>
      <c r="AH123" s="5" t="s">
        <v>0</v>
      </c>
      <c r="AI123" s="42"/>
      <c r="AJ123" s="28">
        <v>1108.0</v>
      </c>
      <c r="AK123" s="28">
        <v>1562.0</v>
      </c>
      <c r="AL123" s="28">
        <v>0.0</v>
      </c>
      <c r="AM123" s="28">
        <v>891.0</v>
      </c>
      <c r="AN123" s="28">
        <v>0.0</v>
      </c>
      <c r="AO123" s="28">
        <v>422092.6</v>
      </c>
      <c r="AP123" s="28">
        <v>595122.0</v>
      </c>
      <c r="AQ123" s="28">
        <v>0.0</v>
      </c>
      <c r="AR123" s="28">
        <v>339426.45</v>
      </c>
      <c r="AS123" s="28">
        <v>0.0</v>
      </c>
      <c r="AT123" s="28">
        <v>314533.27048726473</v>
      </c>
      <c r="AU123" s="28">
        <v>452460.446354</v>
      </c>
      <c r="AV123" s="28">
        <v>0.0</v>
      </c>
      <c r="AW123" s="28">
        <v>275190.8527131783</v>
      </c>
      <c r="AX123" s="5"/>
      <c r="AY123" s="5" t="str">
        <f t="array" ref="AY123">IFERROR(_xlfn.XLOOKUP($E123,'FW27'!$C$3:$C$1102,'FW27'!$AM$3:$AM$1102),"")</f>
        <v>Essentials</v>
      </c>
      <c r="AZ123" s="5" t="str">
        <f t="array" ref="AZ123">IFERROR(_xlfn.XLOOKUP($E123,'FW27'!$C$3:$C$1102,'FW27'!$AN$3:$AN$1102),"")</f>
        <v>Active Essentials</v>
      </c>
      <c r="BA123" s="32" t="s">
        <v>264</v>
      </c>
      <c r="BB123" s="5" t="str">
        <f t="array" ref="BB123">IFERROR(_xlfn.XLOOKUP($E123,'FW27'!$C$3:$C$1102,'FW27'!$AS$3:$AS$1102),"")</f>
        <v>Fleece/Midlayer</v>
      </c>
      <c r="BC123" s="5" t="str">
        <f t="array" ref="BC123">IFERROR(_xlfn.XLOOKUP($E123,'FW27'!$C$3:$C$1102,'FW27'!$AT$3:$AT$1102),"")</f>
        <v>1/2 Zip</v>
      </c>
      <c r="BD123" s="5" t="str">
        <f t="array" ref="BD123">IFERROR(_xlfn.XLOOKUP($E123,'FW27'!$C$3:$C$1102,'FW27'!$AU$3:$AU$1102),"")</f>
        <v>Midweight</v>
      </c>
      <c r="BE123" s="5" t="str">
        <f t="array" ref="BE123">IFERROR(_xlfn.XLOOKUP($E123,'FW27'!$C$3:$C$1102,'FW27'!$AV$3:$AV$1102),"")</f>
        <v>N</v>
      </c>
    </row>
    <row r="124" ht="16.5" hidden="1" customHeight="1">
      <c r="A124" s="5" t="s">
        <v>155</v>
      </c>
      <c r="B124" s="5" t="s">
        <v>137</v>
      </c>
      <c r="C124" s="5" t="b">
        <v>1</v>
      </c>
      <c r="D124" s="5" t="s">
        <v>458</v>
      </c>
      <c r="E124" s="5" t="s">
        <v>459</v>
      </c>
      <c r="F124" s="5"/>
      <c r="G124" s="5" t="s">
        <v>65</v>
      </c>
      <c r="H124" s="5" t="s">
        <v>84</v>
      </c>
      <c r="I124" s="5" t="s">
        <v>82</v>
      </c>
      <c r="J124" s="25"/>
      <c r="K124" s="25"/>
      <c r="L124" s="25"/>
      <c r="M124" s="5" t="s">
        <v>66</v>
      </c>
      <c r="N124" s="5" t="s">
        <v>270</v>
      </c>
      <c r="O124" s="5" t="s">
        <v>69</v>
      </c>
      <c r="P124" s="5" t="s">
        <v>107</v>
      </c>
      <c r="Q124" s="5" t="b">
        <v>1</v>
      </c>
      <c r="R124" s="5" t="b">
        <v>0</v>
      </c>
      <c r="S124" s="5"/>
      <c r="T124" s="5">
        <v>800.0</v>
      </c>
      <c r="U124" s="26">
        <v>2.1</v>
      </c>
      <c r="V124" s="5">
        <v>381.0</v>
      </c>
      <c r="W124" s="27">
        <v>0.0</v>
      </c>
      <c r="X124" s="28">
        <v>381.0</v>
      </c>
      <c r="Y124" s="27">
        <v>1.0</v>
      </c>
      <c r="Z124" s="5" t="s">
        <v>78</v>
      </c>
      <c r="AA124" s="5">
        <v>0.65</v>
      </c>
      <c r="AB124" s="5"/>
      <c r="AC124" s="5" t="s">
        <v>81</v>
      </c>
      <c r="AD124" s="5" t="s">
        <v>81</v>
      </c>
      <c r="AE124" s="5">
        <v>2.0</v>
      </c>
      <c r="AF124" s="5">
        <v>2.0</v>
      </c>
      <c r="AG124" s="5" t="s">
        <v>1523</v>
      </c>
      <c r="AH124" s="5" t="s">
        <v>0</v>
      </c>
      <c r="AI124" s="42"/>
      <c r="AJ124" s="28">
        <v>778.0</v>
      </c>
      <c r="AK124" s="28">
        <v>1140.0</v>
      </c>
      <c r="AL124" s="28">
        <v>0.0</v>
      </c>
      <c r="AM124" s="28">
        <v>561.0</v>
      </c>
      <c r="AN124" s="28">
        <v>0.0</v>
      </c>
      <c r="AO124" s="28">
        <v>296379.1</v>
      </c>
      <c r="AP124" s="28">
        <v>434340.0</v>
      </c>
      <c r="AQ124" s="28">
        <v>0.0</v>
      </c>
      <c r="AR124" s="28">
        <v>213712.95</v>
      </c>
      <c r="AS124" s="28">
        <v>0.0</v>
      </c>
      <c r="AT124" s="28">
        <v>219365.56284606867</v>
      </c>
      <c r="AU124" s="28">
        <v>330269.8176700001</v>
      </c>
      <c r="AV124" s="28">
        <v>0.0</v>
      </c>
      <c r="AW124" s="28">
        <v>174455.70985603545</v>
      </c>
      <c r="AX124" s="5"/>
      <c r="AY124" s="5" t="str">
        <f t="array" ref="AY124">IFERROR(_xlfn.XLOOKUP($E124,'FW27'!$C$3:$C$1102,'FW27'!$AM$3:$AM$1102),"")</f>
        <v>Essentials</v>
      </c>
      <c r="AZ124" s="5" t="str">
        <f t="array" ref="AZ124">IFERROR(_xlfn.XLOOKUP($E124,'FW27'!$C$3:$C$1102,'FW27'!$AN$3:$AN$1102),"")</f>
        <v>Active Essentials</v>
      </c>
      <c r="BA124" s="32" t="s">
        <v>264</v>
      </c>
      <c r="BB124" s="5" t="str">
        <f t="array" ref="BB124">IFERROR(_xlfn.XLOOKUP($E124,'FW27'!$C$3:$C$1102,'FW27'!$AS$3:$AS$1102),"")</f>
        <v>Fleece/Midlayer</v>
      </c>
      <c r="BC124" s="5" t="str">
        <f t="array" ref="BC124">IFERROR(_xlfn.XLOOKUP($E124,'FW27'!$C$3:$C$1102,'FW27'!$AT$3:$AT$1102),"")</f>
        <v>1/2 Zip</v>
      </c>
      <c r="BD124" s="5" t="str">
        <f t="array" ref="BD124">IFERROR(_xlfn.XLOOKUP($E124,'FW27'!$C$3:$C$1102,'FW27'!$AU$3:$AU$1102),"")</f>
        <v>Midweight</v>
      </c>
      <c r="BE124" s="5" t="str">
        <f t="array" ref="BE124">IFERROR(_xlfn.XLOOKUP($E124,'FW27'!$C$3:$C$1102,'FW27'!$AV$3:$AV$1102),"")</f>
        <v>N</v>
      </c>
    </row>
    <row r="125" ht="16.5" hidden="1" customHeight="1">
      <c r="A125" s="5" t="s">
        <v>155</v>
      </c>
      <c r="B125" s="5" t="s">
        <v>137</v>
      </c>
      <c r="C125" s="5" t="b">
        <v>1</v>
      </c>
      <c r="D125" s="5" t="s">
        <v>462</v>
      </c>
      <c r="E125" s="5" t="s">
        <v>463</v>
      </c>
      <c r="F125" s="5"/>
      <c r="G125" s="5" t="s">
        <v>65</v>
      </c>
      <c r="H125" s="5" t="s">
        <v>84</v>
      </c>
      <c r="I125" s="5" t="s">
        <v>82</v>
      </c>
      <c r="J125" s="25"/>
      <c r="K125" s="25"/>
      <c r="L125" s="25"/>
      <c r="M125" s="5" t="s">
        <v>66</v>
      </c>
      <c r="N125" s="5" t="s">
        <v>270</v>
      </c>
      <c r="O125" s="5" t="s">
        <v>69</v>
      </c>
      <c r="P125" s="5" t="s">
        <v>70</v>
      </c>
      <c r="Q125" s="5" t="b">
        <v>1</v>
      </c>
      <c r="R125" s="5" t="b">
        <v>0</v>
      </c>
      <c r="S125" s="5"/>
      <c r="T125" s="5">
        <v>1000.0</v>
      </c>
      <c r="U125" s="26">
        <v>2.1</v>
      </c>
      <c r="V125" s="5">
        <v>476.0</v>
      </c>
      <c r="W125" s="27">
        <v>0.0</v>
      </c>
      <c r="X125" s="28">
        <v>476.0</v>
      </c>
      <c r="Y125" s="27">
        <v>1.0</v>
      </c>
      <c r="Z125" s="5" t="s">
        <v>78</v>
      </c>
      <c r="AA125" s="5">
        <v>0.6</v>
      </c>
      <c r="AB125" s="5"/>
      <c r="AC125" s="5" t="s">
        <v>81</v>
      </c>
      <c r="AD125" s="5" t="s">
        <v>81</v>
      </c>
      <c r="AE125" s="5">
        <v>5.0</v>
      </c>
      <c r="AF125" s="5">
        <v>4.0</v>
      </c>
      <c r="AG125" s="5" t="s">
        <v>1531</v>
      </c>
      <c r="AH125" s="5" t="s">
        <v>0</v>
      </c>
      <c r="AI125" s="42"/>
      <c r="AJ125" s="28">
        <v>1996.0</v>
      </c>
      <c r="AK125" s="28">
        <v>2456.0</v>
      </c>
      <c r="AL125" s="28">
        <v>0.0</v>
      </c>
      <c r="AM125" s="28">
        <v>1985.0</v>
      </c>
      <c r="AN125" s="28">
        <v>0.0</v>
      </c>
      <c r="AO125" s="28">
        <v>950475.24</v>
      </c>
      <c r="AP125" s="28">
        <v>1169056.0</v>
      </c>
      <c r="AQ125" s="28">
        <v>0.0</v>
      </c>
      <c r="AR125" s="28">
        <v>945237.1500000003</v>
      </c>
      <c r="AS125" s="28">
        <v>0.0</v>
      </c>
      <c r="AT125" s="28">
        <v>767382.4105204872</v>
      </c>
      <c r="AU125" s="28">
        <v>914647.7273200002</v>
      </c>
      <c r="AV125" s="28">
        <v>0.0</v>
      </c>
      <c r="AW125" s="28">
        <v>740383.435215947</v>
      </c>
      <c r="AX125" s="5"/>
      <c r="AY125" s="5" t="str">
        <f t="array" ref="AY125">IFERROR(_xlfn.XLOOKUP($E125,'FW27'!$C$3:$C$1102,'FW27'!$AM$3:$AM$1102),"")</f>
        <v>Essentials</v>
      </c>
      <c r="AZ125" s="5" t="str">
        <f t="array" ref="AZ125">IFERROR(_xlfn.XLOOKUP($E125,'FW27'!$C$3:$C$1102,'FW27'!$AN$3:$AN$1102),"")</f>
        <v>Active Essentials</v>
      </c>
      <c r="BA125" s="32" t="s">
        <v>264</v>
      </c>
      <c r="BB125" s="5" t="str">
        <f t="array" ref="BB125">IFERROR(_xlfn.XLOOKUP($E125,'FW27'!$C$3:$C$1102,'FW27'!$AS$3:$AS$1102),"")</f>
        <v>Fleece/Midlayer</v>
      </c>
      <c r="BC125" s="5" t="str">
        <f t="array" ref="BC125">IFERROR(_xlfn.XLOOKUP($E125,'FW27'!$C$3:$C$1102,'FW27'!$AT$3:$AT$1102),"")</f>
        <v>Hooded Jacket</v>
      </c>
      <c r="BD125" s="5" t="str">
        <f t="array" ref="BD125">IFERROR(_xlfn.XLOOKUP($E125,'FW27'!$C$3:$C$1102,'FW27'!$AU$3:$AU$1102),"")</f>
        <v>Midweight</v>
      </c>
      <c r="BE125" s="5" t="str">
        <f t="array" ref="BE125">IFERROR(_xlfn.XLOOKUP($E125,'FW27'!$C$3:$C$1102,'FW27'!$AV$3:$AV$1102),"")</f>
        <v>N</v>
      </c>
    </row>
    <row r="126" ht="16.5" hidden="1" customHeight="1">
      <c r="A126" s="5" t="s">
        <v>155</v>
      </c>
      <c r="B126" s="5" t="s">
        <v>137</v>
      </c>
      <c r="C126" s="5" t="b">
        <v>1</v>
      </c>
      <c r="D126" s="5" t="s">
        <v>465</v>
      </c>
      <c r="E126" s="5" t="s">
        <v>466</v>
      </c>
      <c r="F126" s="5"/>
      <c r="G126" s="5" t="s">
        <v>65</v>
      </c>
      <c r="H126" s="5" t="s">
        <v>84</v>
      </c>
      <c r="I126" s="5" t="s">
        <v>82</v>
      </c>
      <c r="J126" s="25"/>
      <c r="K126" s="25"/>
      <c r="L126" s="25"/>
      <c r="M126" s="5" t="s">
        <v>66</v>
      </c>
      <c r="N126" s="5" t="s">
        <v>270</v>
      </c>
      <c r="O126" s="5" t="s">
        <v>69</v>
      </c>
      <c r="P126" s="5" t="s">
        <v>107</v>
      </c>
      <c r="Q126" s="5" t="b">
        <v>1</v>
      </c>
      <c r="R126" s="5" t="b">
        <v>0</v>
      </c>
      <c r="S126" s="5"/>
      <c r="T126" s="5">
        <v>1000.0</v>
      </c>
      <c r="U126" s="26">
        <v>2.1</v>
      </c>
      <c r="V126" s="5">
        <v>476.0</v>
      </c>
      <c r="W126" s="27">
        <v>0.0</v>
      </c>
      <c r="X126" s="28">
        <v>476.0</v>
      </c>
      <c r="Y126" s="27">
        <v>1.0</v>
      </c>
      <c r="Z126" s="5" t="s">
        <v>78</v>
      </c>
      <c r="AA126" s="5">
        <v>0.63</v>
      </c>
      <c r="AB126" s="5"/>
      <c r="AC126" s="5" t="s">
        <v>81</v>
      </c>
      <c r="AD126" s="5" t="s">
        <v>81</v>
      </c>
      <c r="AE126" s="5">
        <v>5.0</v>
      </c>
      <c r="AF126" s="5">
        <v>4.0</v>
      </c>
      <c r="AG126" s="5" t="s">
        <v>1534</v>
      </c>
      <c r="AH126" s="5" t="s">
        <v>0</v>
      </c>
      <c r="AI126" s="42"/>
      <c r="AJ126" s="28">
        <v>1247.0</v>
      </c>
      <c r="AK126" s="28">
        <v>1162.0</v>
      </c>
      <c r="AL126" s="28">
        <v>0.0</v>
      </c>
      <c r="AM126" s="28">
        <v>2015.0</v>
      </c>
      <c r="AN126" s="28">
        <v>0.0</v>
      </c>
      <c r="AO126" s="28">
        <v>593808.93</v>
      </c>
      <c r="AP126" s="28">
        <v>553112.0</v>
      </c>
      <c r="AQ126" s="28">
        <v>0.0</v>
      </c>
      <c r="AR126" s="28">
        <v>959522.8500000001</v>
      </c>
      <c r="AS126" s="28">
        <v>0.0</v>
      </c>
      <c r="AT126" s="28">
        <v>464951.2774086378</v>
      </c>
      <c r="AU126" s="28">
        <v>415219.2146199998</v>
      </c>
      <c r="AV126" s="28">
        <v>0.0</v>
      </c>
      <c r="AW126" s="28">
        <v>766865.0874861572</v>
      </c>
      <c r="AX126" s="5"/>
      <c r="AY126" s="5" t="str">
        <f t="array" ref="AY126">IFERROR(_xlfn.XLOOKUP($E126,'FW27'!$C$3:$C$1102,'FW27'!$AM$3:$AM$1102),"")</f>
        <v>Essentials</v>
      </c>
      <c r="AZ126" s="5" t="str">
        <f t="array" ref="AZ126">IFERROR(_xlfn.XLOOKUP($E126,'FW27'!$C$3:$C$1102,'FW27'!$AN$3:$AN$1102),"")</f>
        <v>Active Essentials</v>
      </c>
      <c r="BA126" s="32" t="s">
        <v>264</v>
      </c>
      <c r="BB126" s="5" t="str">
        <f t="array" ref="BB126">IFERROR(_xlfn.XLOOKUP($E126,'FW27'!$C$3:$C$1102,'FW27'!$AS$3:$AS$1102),"")</f>
        <v>Fleece/Midlayer</v>
      </c>
      <c r="BC126" s="5" t="str">
        <f t="array" ref="BC126">IFERROR(_xlfn.XLOOKUP($E126,'FW27'!$C$3:$C$1102,'FW27'!$AT$3:$AT$1102),"")</f>
        <v>Hooded Jacket</v>
      </c>
      <c r="BD126" s="5" t="str">
        <f t="array" ref="BD126">IFERROR(_xlfn.XLOOKUP($E126,'FW27'!$C$3:$C$1102,'FW27'!$AU$3:$AU$1102),"")</f>
        <v>Midweight</v>
      </c>
      <c r="BE126" s="5" t="str">
        <f t="array" ref="BE126">IFERROR(_xlfn.XLOOKUP($E126,'FW27'!$C$3:$C$1102,'FW27'!$AV$3:$AV$1102),"")</f>
        <v>N</v>
      </c>
    </row>
    <row r="127" ht="16.5" hidden="1" customHeight="1">
      <c r="A127" s="5" t="s">
        <v>155</v>
      </c>
      <c r="B127" s="5" t="s">
        <v>137</v>
      </c>
      <c r="C127" s="5" t="b">
        <v>1</v>
      </c>
      <c r="D127" s="5" t="s">
        <v>469</v>
      </c>
      <c r="E127" s="5" t="s">
        <v>470</v>
      </c>
      <c r="F127" s="5"/>
      <c r="G127" s="5" t="s">
        <v>65</v>
      </c>
      <c r="H127" s="5" t="s">
        <v>84</v>
      </c>
      <c r="I127" s="5" t="s">
        <v>82</v>
      </c>
      <c r="J127" s="25"/>
      <c r="K127" s="25"/>
      <c r="L127" s="25"/>
      <c r="M127" s="5" t="s">
        <v>66</v>
      </c>
      <c r="N127" s="5" t="s">
        <v>270</v>
      </c>
      <c r="O127" s="5" t="s">
        <v>69</v>
      </c>
      <c r="P127" s="5" t="s">
        <v>70</v>
      </c>
      <c r="Q127" s="5" t="b">
        <v>1</v>
      </c>
      <c r="R127" s="5" t="b">
        <v>0</v>
      </c>
      <c r="S127" s="5"/>
      <c r="T127" s="5">
        <v>900.0</v>
      </c>
      <c r="U127" s="26">
        <v>2.1</v>
      </c>
      <c r="V127" s="5">
        <v>429.0</v>
      </c>
      <c r="W127" s="27">
        <v>0.0</v>
      </c>
      <c r="X127" s="28">
        <v>429.0</v>
      </c>
      <c r="Y127" s="27">
        <v>1.0</v>
      </c>
      <c r="Z127" s="5" t="s">
        <v>78</v>
      </c>
      <c r="AA127" s="5">
        <v>0.62</v>
      </c>
      <c r="AB127" s="5"/>
      <c r="AC127" s="5" t="s">
        <v>81</v>
      </c>
      <c r="AD127" s="5" t="s">
        <v>81</v>
      </c>
      <c r="AE127" s="5">
        <v>4.0</v>
      </c>
      <c r="AF127" s="5">
        <v>2.0</v>
      </c>
      <c r="AG127" s="5" t="s">
        <v>1537</v>
      </c>
      <c r="AH127" s="5" t="s">
        <v>0</v>
      </c>
      <c r="AI127" s="42"/>
      <c r="AJ127" s="28">
        <v>1512.0</v>
      </c>
      <c r="AK127" s="28">
        <v>1422.0</v>
      </c>
      <c r="AL127" s="28">
        <v>0.0</v>
      </c>
      <c r="AM127" s="28">
        <v>1469.0</v>
      </c>
      <c r="AN127" s="28">
        <v>0.0</v>
      </c>
      <c r="AO127" s="28">
        <v>647997.8400000001</v>
      </c>
      <c r="AP127" s="28">
        <v>610038.0</v>
      </c>
      <c r="AQ127" s="28">
        <v>0.0</v>
      </c>
      <c r="AR127" s="28">
        <v>629569.3300000001</v>
      </c>
      <c r="AS127" s="28">
        <v>0.0</v>
      </c>
      <c r="AT127" s="28">
        <v>507907.36866002216</v>
      </c>
      <c r="AU127" s="28">
        <v>486190.11220099987</v>
      </c>
      <c r="AV127" s="28">
        <v>0.0</v>
      </c>
      <c r="AW127" s="28">
        <v>531338.2122923587</v>
      </c>
      <c r="AX127" s="5"/>
      <c r="AY127" s="5" t="str">
        <f t="array" ref="AY127">IFERROR(_xlfn.XLOOKUP($E127,'FW27'!$C$3:$C$1102,'FW27'!$AM$3:$AM$1102),"")</f>
        <v>Essentials</v>
      </c>
      <c r="AZ127" s="5" t="str">
        <f t="array" ref="AZ127">IFERROR(_xlfn.XLOOKUP($E127,'FW27'!$C$3:$C$1102,'FW27'!$AN$3:$AN$1102),"")</f>
        <v>Active Essentials</v>
      </c>
      <c r="BA127" s="32" t="s">
        <v>264</v>
      </c>
      <c r="BB127" s="5" t="str">
        <f t="array" ref="BB127">IFERROR(_xlfn.XLOOKUP($E127,'FW27'!$C$3:$C$1102,'FW27'!$AS$3:$AS$1102),"")</f>
        <v>Fleece/Midlayer</v>
      </c>
      <c r="BC127" s="5" t="str">
        <f t="array" ref="BC127">IFERROR(_xlfn.XLOOKUP($E127,'FW27'!$C$3:$C$1102,'FW27'!$AT$3:$AT$1102),"")</f>
        <v>Jacket</v>
      </c>
      <c r="BD127" s="5" t="str">
        <f t="array" ref="BD127">IFERROR(_xlfn.XLOOKUP($E127,'FW27'!$C$3:$C$1102,'FW27'!$AU$3:$AU$1102),"")</f>
        <v>Midweight</v>
      </c>
      <c r="BE127" s="5" t="str">
        <f t="array" ref="BE127">IFERROR(_xlfn.XLOOKUP($E127,'FW27'!$C$3:$C$1102,'FW27'!$AV$3:$AV$1102),"")</f>
        <v>N</v>
      </c>
    </row>
    <row r="128" ht="16.5" hidden="1" customHeight="1">
      <c r="A128" s="5" t="s">
        <v>155</v>
      </c>
      <c r="B128" s="5" t="s">
        <v>137</v>
      </c>
      <c r="C128" s="5" t="b">
        <v>1</v>
      </c>
      <c r="D128" s="5" t="s">
        <v>472</v>
      </c>
      <c r="E128" s="5" t="s">
        <v>473</v>
      </c>
      <c r="F128" s="5"/>
      <c r="G128" s="5" t="s">
        <v>65</v>
      </c>
      <c r="H128" s="5" t="s">
        <v>84</v>
      </c>
      <c r="I128" s="5" t="s">
        <v>82</v>
      </c>
      <c r="J128" s="25"/>
      <c r="K128" s="25"/>
      <c r="L128" s="25"/>
      <c r="M128" s="5" t="s">
        <v>66</v>
      </c>
      <c r="N128" s="5" t="s">
        <v>270</v>
      </c>
      <c r="O128" s="5" t="s">
        <v>69</v>
      </c>
      <c r="P128" s="5" t="s">
        <v>107</v>
      </c>
      <c r="Q128" s="5" t="b">
        <v>1</v>
      </c>
      <c r="R128" s="5" t="b">
        <v>0</v>
      </c>
      <c r="S128" s="5"/>
      <c r="T128" s="5">
        <v>900.0</v>
      </c>
      <c r="U128" s="26">
        <v>2.1</v>
      </c>
      <c r="V128" s="5">
        <v>429.0</v>
      </c>
      <c r="W128" s="27">
        <v>0.0</v>
      </c>
      <c r="X128" s="28">
        <v>429.0</v>
      </c>
      <c r="Y128" s="27">
        <v>1.0</v>
      </c>
      <c r="Z128" s="5" t="s">
        <v>78</v>
      </c>
      <c r="AA128" s="5">
        <v>0.65</v>
      </c>
      <c r="AB128" s="5"/>
      <c r="AC128" s="5" t="s">
        <v>81</v>
      </c>
      <c r="AD128" s="5" t="s">
        <v>81</v>
      </c>
      <c r="AE128" s="5">
        <v>3.0</v>
      </c>
      <c r="AF128" s="5">
        <v>3.0</v>
      </c>
      <c r="AG128" s="5" t="s">
        <v>1542</v>
      </c>
      <c r="AH128" s="5" t="s">
        <v>0</v>
      </c>
      <c r="AI128" s="42"/>
      <c r="AJ128" s="28">
        <v>1138.0</v>
      </c>
      <c r="AK128" s="28">
        <v>1092.0</v>
      </c>
      <c r="AL128" s="28">
        <v>0.0</v>
      </c>
      <c r="AM128" s="28">
        <v>951.0</v>
      </c>
      <c r="AN128" s="28">
        <v>0.0</v>
      </c>
      <c r="AO128" s="28">
        <v>487712.6599999999</v>
      </c>
      <c r="AP128" s="28">
        <v>468468.0</v>
      </c>
      <c r="AQ128" s="28">
        <v>0.0</v>
      </c>
      <c r="AR128" s="28">
        <v>407570.07000000007</v>
      </c>
      <c r="AS128" s="28">
        <v>0.0</v>
      </c>
      <c r="AT128" s="28">
        <v>404625.3758582503</v>
      </c>
      <c r="AU128" s="28">
        <v>384093.13945</v>
      </c>
      <c r="AV128" s="28">
        <v>0.0</v>
      </c>
      <c r="AW128" s="28">
        <v>338651.7217054264</v>
      </c>
      <c r="AX128" s="5"/>
      <c r="AY128" s="5" t="str">
        <f t="array" ref="AY128">IFERROR(_xlfn.XLOOKUP($E128,'FW27'!$C$3:$C$1102,'FW27'!$AM$3:$AM$1102),"")</f>
        <v>Essentials</v>
      </c>
      <c r="AZ128" s="5" t="str">
        <f t="array" ref="AZ128">IFERROR(_xlfn.XLOOKUP($E128,'FW27'!$C$3:$C$1102,'FW27'!$AN$3:$AN$1102),"")</f>
        <v>Active Essentials</v>
      </c>
      <c r="BA128" s="32" t="s">
        <v>264</v>
      </c>
      <c r="BB128" s="5" t="str">
        <f t="array" ref="BB128">IFERROR(_xlfn.XLOOKUP($E128,'FW27'!$C$3:$C$1102,'FW27'!$AS$3:$AS$1102),"")</f>
        <v>Fleece/Midlayer</v>
      </c>
      <c r="BC128" s="5" t="str">
        <f t="array" ref="BC128">IFERROR(_xlfn.XLOOKUP($E128,'FW27'!$C$3:$C$1102,'FW27'!$AT$3:$AT$1102),"")</f>
        <v>Jacket</v>
      </c>
      <c r="BD128" s="5" t="str">
        <f t="array" ref="BD128">IFERROR(_xlfn.XLOOKUP($E128,'FW27'!$C$3:$C$1102,'FW27'!$AU$3:$AU$1102),"")</f>
        <v>Midweight</v>
      </c>
      <c r="BE128" s="5" t="str">
        <f t="array" ref="BE128">IFERROR(_xlfn.XLOOKUP($E128,'FW27'!$C$3:$C$1102,'FW27'!$AV$3:$AV$1102),"")</f>
        <v>N</v>
      </c>
    </row>
    <row r="129" ht="16.5" hidden="1" customHeight="1">
      <c r="A129" s="5" t="s">
        <v>155</v>
      </c>
      <c r="B129" s="5" t="s">
        <v>137</v>
      </c>
      <c r="C129" s="5" t="b">
        <v>1</v>
      </c>
      <c r="D129" s="5" t="s">
        <v>476</v>
      </c>
      <c r="E129" s="5" t="s">
        <v>477</v>
      </c>
      <c r="F129" s="5"/>
      <c r="G129" s="5" t="s">
        <v>65</v>
      </c>
      <c r="H129" s="5" t="s">
        <v>84</v>
      </c>
      <c r="I129" s="5" t="s">
        <v>82</v>
      </c>
      <c r="J129" s="25"/>
      <c r="K129" s="25"/>
      <c r="L129" s="25" t="s">
        <v>181</v>
      </c>
      <c r="M129" s="5" t="s">
        <v>66</v>
      </c>
      <c r="N129" s="5" t="s">
        <v>68</v>
      </c>
      <c r="O129" s="5" t="s">
        <v>69</v>
      </c>
      <c r="P129" s="5" t="s">
        <v>70</v>
      </c>
      <c r="Q129" s="5" t="b">
        <v>1</v>
      </c>
      <c r="R129" s="5" t="b">
        <v>0</v>
      </c>
      <c r="S129" s="5"/>
      <c r="T129" s="5">
        <v>1300.0</v>
      </c>
      <c r="U129" s="26">
        <v>2.1</v>
      </c>
      <c r="V129" s="5">
        <v>619.0</v>
      </c>
      <c r="W129" s="27">
        <v>0.0</v>
      </c>
      <c r="X129" s="28">
        <v>619.0</v>
      </c>
      <c r="Y129" s="27">
        <v>1.0</v>
      </c>
      <c r="Z129" s="5" t="s">
        <v>78</v>
      </c>
      <c r="AA129" s="5">
        <v>0.58</v>
      </c>
      <c r="AB129" s="5"/>
      <c r="AC129" s="5" t="s">
        <v>166</v>
      </c>
      <c r="AD129" s="5" t="s">
        <v>81</v>
      </c>
      <c r="AE129" s="5">
        <v>1.0</v>
      </c>
      <c r="AF129" s="5">
        <v>1.0</v>
      </c>
      <c r="AG129" s="5" t="s">
        <v>0</v>
      </c>
      <c r="AH129" s="5" t="s">
        <v>0</v>
      </c>
      <c r="AI129" s="42"/>
      <c r="AJ129" s="28">
        <v>1826.0</v>
      </c>
      <c r="AK129" s="28">
        <v>1612.0</v>
      </c>
      <c r="AL129" s="28">
        <v>0.0</v>
      </c>
      <c r="AM129" s="28">
        <v>1360.0</v>
      </c>
      <c r="AN129" s="28">
        <v>0.0</v>
      </c>
      <c r="AO129" s="28">
        <v>1130385.3</v>
      </c>
      <c r="AP129" s="28">
        <v>997828.0</v>
      </c>
      <c r="AQ129" s="28">
        <v>0.0</v>
      </c>
      <c r="AR129" s="28">
        <v>841907.9999999999</v>
      </c>
      <c r="AS129" s="28">
        <v>0.0</v>
      </c>
      <c r="AT129" s="28">
        <v>927062.380952381</v>
      </c>
      <c r="AU129" s="28">
        <v>767191.016784</v>
      </c>
      <c r="AV129" s="28">
        <v>0.0</v>
      </c>
      <c r="AW129" s="28">
        <v>691503.4188815061</v>
      </c>
      <c r="AX129" s="5"/>
      <c r="AY129" s="5" t="str">
        <f t="array" ref="AY129">IFERROR(_xlfn.XLOOKUP($E129,'FW27'!$C$3:$C$1102,'FW27'!$AM$3:$AM$1102),"")</f>
        <v>Essentials</v>
      </c>
      <c r="AZ129" s="5" t="str">
        <f t="array" ref="AZ129">IFERROR(_xlfn.XLOOKUP($E129,'FW27'!$C$3:$C$1102,'FW27'!$AN$3:$AN$1102),"")</f>
        <v>Active Essentials</v>
      </c>
      <c r="BA129" s="5" t="s">
        <v>237</v>
      </c>
      <c r="BB129" s="5" t="str">
        <f t="array" ref="BB129">IFERROR(_xlfn.XLOOKUP($E129,'FW27'!$C$3:$C$1102,'FW27'!$AS$3:$AS$1102),"")</f>
        <v>Shell</v>
      </c>
      <c r="BC129" s="5" t="str">
        <f t="array" ref="BC129">IFERROR(_xlfn.XLOOKUP($E129,'FW27'!$C$3:$C$1102,'FW27'!$AT$3:$AT$1102),"")</f>
        <v>Pant</v>
      </c>
      <c r="BD129" s="5" t="str">
        <f t="array" ref="BD129">IFERROR(_xlfn.XLOOKUP($E129,'FW27'!$C$3:$C$1102,'FW27'!$AU$3:$AU$1102),"")</f>
        <v>2L</v>
      </c>
      <c r="BE129" s="5" t="str">
        <f t="array" ref="BE129">IFERROR(_xlfn.XLOOKUP($E129,'FW27'!$C$3:$C$1102,'FW27'!$AV$3:$AV$1102),"")</f>
        <v>Y</v>
      </c>
    </row>
    <row r="130" ht="16.5" hidden="1" customHeight="1">
      <c r="A130" s="5" t="s">
        <v>155</v>
      </c>
      <c r="B130" s="5" t="s">
        <v>137</v>
      </c>
      <c r="C130" s="5" t="b">
        <v>1</v>
      </c>
      <c r="D130" s="5" t="s">
        <v>480</v>
      </c>
      <c r="E130" s="5" t="s">
        <v>482</v>
      </c>
      <c r="F130" s="5"/>
      <c r="G130" s="5" t="s">
        <v>65</v>
      </c>
      <c r="H130" s="5" t="s">
        <v>84</v>
      </c>
      <c r="I130" s="5" t="s">
        <v>82</v>
      </c>
      <c r="J130" s="25"/>
      <c r="K130" s="25"/>
      <c r="L130" s="25" t="s">
        <v>181</v>
      </c>
      <c r="M130" s="5" t="s">
        <v>66</v>
      </c>
      <c r="N130" s="5" t="s">
        <v>68</v>
      </c>
      <c r="O130" s="5" t="s">
        <v>69</v>
      </c>
      <c r="P130" s="5" t="s">
        <v>107</v>
      </c>
      <c r="Q130" s="5" t="b">
        <v>1</v>
      </c>
      <c r="R130" s="5" t="b">
        <v>0</v>
      </c>
      <c r="S130" s="5"/>
      <c r="T130" s="5">
        <v>1300.0</v>
      </c>
      <c r="U130" s="26">
        <v>2.1</v>
      </c>
      <c r="V130" s="5">
        <v>619.0</v>
      </c>
      <c r="W130" s="27">
        <v>0.0</v>
      </c>
      <c r="X130" s="28">
        <v>619.0</v>
      </c>
      <c r="Y130" s="27">
        <v>1.0</v>
      </c>
      <c r="Z130" s="5" t="s">
        <v>78</v>
      </c>
      <c r="AA130" s="5">
        <v>0.58</v>
      </c>
      <c r="AB130" s="5"/>
      <c r="AC130" s="5" t="s">
        <v>166</v>
      </c>
      <c r="AD130" s="5" t="s">
        <v>81</v>
      </c>
      <c r="AE130" s="5">
        <v>1.0</v>
      </c>
      <c r="AF130" s="5">
        <v>1.0</v>
      </c>
      <c r="AG130" s="5" t="s">
        <v>0</v>
      </c>
      <c r="AH130" s="5" t="s">
        <v>0</v>
      </c>
      <c r="AI130" s="42"/>
      <c r="AJ130" s="28">
        <v>1489.0</v>
      </c>
      <c r="AK130" s="28">
        <v>1362.0</v>
      </c>
      <c r="AL130" s="28">
        <v>0.0</v>
      </c>
      <c r="AM130" s="28">
        <v>1162.0</v>
      </c>
      <c r="AN130" s="28">
        <v>0.0</v>
      </c>
      <c r="AO130" s="28">
        <v>921765.45</v>
      </c>
      <c r="AP130" s="28">
        <v>843078.0</v>
      </c>
      <c r="AQ130" s="28">
        <v>0.0</v>
      </c>
      <c r="AR130" s="28">
        <v>719336.1</v>
      </c>
      <c r="AS130" s="28">
        <v>0.0</v>
      </c>
      <c r="AT130" s="28">
        <v>752730.5357142857</v>
      </c>
      <c r="AU130" s="28">
        <v>654087.2519639998</v>
      </c>
      <c r="AV130" s="28">
        <v>0.0</v>
      </c>
      <c r="AW130" s="28">
        <v>591711.1201550388</v>
      </c>
      <c r="AX130" s="5"/>
      <c r="AY130" s="5" t="str">
        <f t="array" ref="AY130">IFERROR(_xlfn.XLOOKUP($E130,'FW27'!$C$3:$C$1102,'FW27'!$AM$3:$AM$1102),"")</f>
        <v>Essentials</v>
      </c>
      <c r="AZ130" s="5" t="str">
        <f t="array" ref="AZ130">IFERROR(_xlfn.XLOOKUP($E130,'FW27'!$C$3:$C$1102,'FW27'!$AN$3:$AN$1102),"")</f>
        <v>Active Essentials</v>
      </c>
      <c r="BA130" s="5" t="s">
        <v>237</v>
      </c>
      <c r="BB130" s="5" t="str">
        <f t="array" ref="BB130">IFERROR(_xlfn.XLOOKUP($E130,'FW27'!$C$3:$C$1102,'FW27'!$AS$3:$AS$1102),"")</f>
        <v>Shell</v>
      </c>
      <c r="BC130" s="5" t="str">
        <f t="array" ref="BC130">IFERROR(_xlfn.XLOOKUP($E130,'FW27'!$C$3:$C$1102,'FW27'!$AT$3:$AT$1102),"")</f>
        <v>Pant</v>
      </c>
      <c r="BD130" s="5" t="str">
        <f t="array" ref="BD130">IFERROR(_xlfn.XLOOKUP($E130,'FW27'!$C$3:$C$1102,'FW27'!$AU$3:$AU$1102),"")</f>
        <v>2L</v>
      </c>
      <c r="BE130" s="5" t="str">
        <f t="array" ref="BE130">IFERROR(_xlfn.XLOOKUP($E130,'FW27'!$C$3:$C$1102,'FW27'!$AV$3:$AV$1102),"")</f>
        <v>Y</v>
      </c>
    </row>
    <row r="131" ht="16.5" hidden="1" customHeight="1">
      <c r="A131" s="5" t="s">
        <v>155</v>
      </c>
      <c r="B131" s="5" t="s">
        <v>137</v>
      </c>
      <c r="C131" s="5" t="b">
        <v>1</v>
      </c>
      <c r="D131" s="5" t="s">
        <v>483</v>
      </c>
      <c r="E131" s="5" t="s">
        <v>484</v>
      </c>
      <c r="F131" s="5"/>
      <c r="G131" s="5" t="s">
        <v>65</v>
      </c>
      <c r="H131" s="5" t="s">
        <v>84</v>
      </c>
      <c r="I131" s="5" t="s">
        <v>82</v>
      </c>
      <c r="J131" s="25"/>
      <c r="K131" s="25"/>
      <c r="L131" s="25" t="s">
        <v>110</v>
      </c>
      <c r="M131" s="5" t="s">
        <v>66</v>
      </c>
      <c r="N131" s="5" t="s">
        <v>68</v>
      </c>
      <c r="O131" s="5" t="s">
        <v>69</v>
      </c>
      <c r="P131" s="5" t="s">
        <v>70</v>
      </c>
      <c r="Q131" s="5" t="b">
        <v>1</v>
      </c>
      <c r="R131" s="5" t="b">
        <v>0</v>
      </c>
      <c r="S131" s="5"/>
      <c r="T131" s="5">
        <v>1800.0</v>
      </c>
      <c r="U131" s="26">
        <v>2.1</v>
      </c>
      <c r="V131" s="5">
        <v>857.0</v>
      </c>
      <c r="W131" s="27">
        <v>0.0</v>
      </c>
      <c r="X131" s="28">
        <v>857.0</v>
      </c>
      <c r="Y131" s="27">
        <v>1.0</v>
      </c>
      <c r="Z131" s="5" t="s">
        <v>78</v>
      </c>
      <c r="AA131" s="5">
        <v>0.64</v>
      </c>
      <c r="AB131" s="5"/>
      <c r="AC131" s="5" t="s">
        <v>166</v>
      </c>
      <c r="AD131" s="5" t="s">
        <v>81</v>
      </c>
      <c r="AE131" s="5">
        <v>3.0</v>
      </c>
      <c r="AF131" s="5">
        <v>3.0</v>
      </c>
      <c r="AG131" s="5" t="s">
        <v>0</v>
      </c>
      <c r="AH131" s="5" t="s">
        <v>0</v>
      </c>
      <c r="AI131" s="42"/>
      <c r="AJ131" s="28">
        <v>3519.0</v>
      </c>
      <c r="AK131" s="28">
        <v>3336.0</v>
      </c>
      <c r="AL131" s="28">
        <v>0.0</v>
      </c>
      <c r="AM131" s="28">
        <v>4261.0</v>
      </c>
      <c r="AN131" s="28">
        <v>0.0</v>
      </c>
      <c r="AO131" s="28">
        <v>3016275.6600000006</v>
      </c>
      <c r="AP131" s="28">
        <v>2858952.0</v>
      </c>
      <c r="AQ131" s="28">
        <v>0.0</v>
      </c>
      <c r="AR131" s="28">
        <v>3652273.5400000005</v>
      </c>
      <c r="AS131" s="28">
        <v>0.0</v>
      </c>
      <c r="AT131" s="28">
        <v>2477552.772978959</v>
      </c>
      <c r="AU131" s="28">
        <v>2126238.32988</v>
      </c>
      <c r="AV131" s="28">
        <v>0.0</v>
      </c>
      <c r="AW131" s="28">
        <v>2584548.866002215</v>
      </c>
      <c r="AX131" s="5"/>
      <c r="AY131" s="5" t="str">
        <f t="array" ref="AY131">IFERROR(_xlfn.XLOOKUP($E131,'FW27'!$C$3:$C$1102,'FW27'!$AM$3:$AM$1102),"")</f>
        <v>Essentials</v>
      </c>
      <c r="AZ131" s="5" t="str">
        <f t="array" ref="AZ131">IFERROR(_xlfn.XLOOKUP($E131,'FW27'!$C$3:$C$1102,'FW27'!$AN$3:$AN$1102),"")</f>
        <v>Active Essentials</v>
      </c>
      <c r="BA131" s="5" t="s">
        <v>237</v>
      </c>
      <c r="BB131" s="5" t="str">
        <f t="array" ref="BB131">IFERROR(_xlfn.XLOOKUP($E131,'FW27'!$C$3:$C$1102,'FW27'!$AS$3:$AS$1102),"")</f>
        <v>Shell</v>
      </c>
      <c r="BC131" s="5" t="str">
        <f t="array" ref="BC131">IFERROR(_xlfn.XLOOKUP($E131,'FW27'!$C$3:$C$1102,'FW27'!$AT$3:$AT$1102),"")</f>
        <v>Jacket</v>
      </c>
      <c r="BD131" s="5" t="str">
        <f t="array" ref="BD131">IFERROR(_xlfn.XLOOKUP($E131,'FW27'!$C$3:$C$1102,'FW27'!$AU$3:$AU$1102),"")</f>
        <v>2L</v>
      </c>
      <c r="BE131" s="5" t="str">
        <f t="array" ref="BE131">IFERROR(_xlfn.XLOOKUP($E131,'FW27'!$C$3:$C$1102,'FW27'!$AV$3:$AV$1102),"")</f>
        <v>Y</v>
      </c>
    </row>
    <row r="132" ht="16.5" hidden="1" customHeight="1">
      <c r="A132" s="5" t="s">
        <v>155</v>
      </c>
      <c r="B132" s="5" t="s">
        <v>137</v>
      </c>
      <c r="C132" s="5" t="b">
        <v>1</v>
      </c>
      <c r="D132" s="47" t="s">
        <v>1038</v>
      </c>
      <c r="E132" s="47" t="s">
        <v>1039</v>
      </c>
      <c r="F132" s="47"/>
      <c r="G132" s="47" t="s">
        <v>65</v>
      </c>
      <c r="H132" s="47" t="s">
        <v>74</v>
      </c>
      <c r="I132" s="47" t="s">
        <v>82</v>
      </c>
      <c r="J132" s="48" t="s">
        <v>322</v>
      </c>
      <c r="K132" s="25" t="s">
        <v>150</v>
      </c>
      <c r="L132" s="25" t="s">
        <v>110</v>
      </c>
      <c r="M132" s="5" t="s">
        <v>66</v>
      </c>
      <c r="N132" s="5" t="s">
        <v>68</v>
      </c>
      <c r="O132" s="5" t="s">
        <v>96</v>
      </c>
      <c r="P132" s="5" t="s">
        <v>70</v>
      </c>
      <c r="Q132" s="5" t="b">
        <v>1</v>
      </c>
      <c r="R132" s="5" t="b">
        <v>0</v>
      </c>
      <c r="S132" s="5"/>
      <c r="T132" s="5">
        <v>1800.0</v>
      </c>
      <c r="U132" s="26">
        <v>2.1</v>
      </c>
      <c r="V132" s="5">
        <v>857.0</v>
      </c>
      <c r="W132" s="27">
        <v>0.0</v>
      </c>
      <c r="X132" s="28">
        <v>857.0</v>
      </c>
      <c r="Y132" s="27">
        <v>1.0</v>
      </c>
      <c r="Z132" s="5" t="s">
        <v>78</v>
      </c>
      <c r="AA132" s="27">
        <v>0.64</v>
      </c>
      <c r="AB132" s="5"/>
      <c r="AC132" s="5" t="s">
        <v>166</v>
      </c>
      <c r="AD132" s="5" t="s">
        <v>81</v>
      </c>
      <c r="AE132" s="24">
        <v>0.0</v>
      </c>
      <c r="AF132" s="5">
        <v>3.0</v>
      </c>
      <c r="AG132" s="5" t="s">
        <v>0</v>
      </c>
      <c r="AH132" s="5" t="s">
        <v>471</v>
      </c>
      <c r="AI132" s="56"/>
      <c r="AJ132" s="28">
        <v>0.0</v>
      </c>
      <c r="AK132" s="28">
        <v>0.0</v>
      </c>
      <c r="AL132" s="28">
        <v>0.0</v>
      </c>
      <c r="AM132" s="28">
        <v>0.0</v>
      </c>
      <c r="AN132" s="28">
        <v>0.0</v>
      </c>
      <c r="AO132" s="28">
        <v>0.0</v>
      </c>
      <c r="AP132" s="28">
        <v>0.0</v>
      </c>
      <c r="AQ132" s="28">
        <v>0.0</v>
      </c>
      <c r="AR132" s="28">
        <v>0.0</v>
      </c>
      <c r="AS132" s="28">
        <v>0.0</v>
      </c>
      <c r="AT132" s="28">
        <v>0.0</v>
      </c>
      <c r="AU132" s="28">
        <v>0.0</v>
      </c>
      <c r="AV132" s="28">
        <v>0.0</v>
      </c>
      <c r="AW132" s="28">
        <v>0.0</v>
      </c>
      <c r="AX132" s="5"/>
      <c r="AY132" s="5" t="s">
        <v>125</v>
      </c>
      <c r="AZ132" s="5" t="s">
        <v>127</v>
      </c>
      <c r="BA132" s="5" t="s">
        <v>237</v>
      </c>
      <c r="BB132" s="5" t="s">
        <v>68</v>
      </c>
      <c r="BC132" s="5" t="s">
        <v>89</v>
      </c>
      <c r="BD132" s="5" t="s">
        <v>90</v>
      </c>
      <c r="BE132" s="5" t="s">
        <v>91</v>
      </c>
    </row>
    <row r="133" ht="16.5" hidden="1" customHeight="1">
      <c r="A133" s="5" t="s">
        <v>155</v>
      </c>
      <c r="B133" s="5" t="s">
        <v>137</v>
      </c>
      <c r="C133" s="5" t="b">
        <v>1</v>
      </c>
      <c r="D133" s="5" t="s">
        <v>486</v>
      </c>
      <c r="E133" s="5" t="s">
        <v>487</v>
      </c>
      <c r="F133" s="5"/>
      <c r="G133" s="5" t="s">
        <v>65</v>
      </c>
      <c r="H133" s="5" t="s">
        <v>84</v>
      </c>
      <c r="I133" s="5" t="s">
        <v>82</v>
      </c>
      <c r="J133" s="25"/>
      <c r="K133" s="25"/>
      <c r="L133" s="25" t="s">
        <v>110</v>
      </c>
      <c r="M133" s="5" t="s">
        <v>66</v>
      </c>
      <c r="N133" s="5" t="s">
        <v>68</v>
      </c>
      <c r="O133" s="5" t="s">
        <v>69</v>
      </c>
      <c r="P133" s="5" t="s">
        <v>107</v>
      </c>
      <c r="Q133" s="5" t="b">
        <v>1</v>
      </c>
      <c r="R133" s="5" t="b">
        <v>0</v>
      </c>
      <c r="S133" s="5"/>
      <c r="T133" s="5">
        <v>1800.0</v>
      </c>
      <c r="U133" s="26">
        <v>2.1</v>
      </c>
      <c r="V133" s="5">
        <v>857.0</v>
      </c>
      <c r="W133" s="27">
        <v>0.0</v>
      </c>
      <c r="X133" s="28">
        <v>857.0</v>
      </c>
      <c r="Y133" s="27">
        <v>1.0</v>
      </c>
      <c r="Z133" s="5" t="s">
        <v>78</v>
      </c>
      <c r="AA133" s="5">
        <v>0.6559999999999999</v>
      </c>
      <c r="AB133" s="5"/>
      <c r="AC133" s="5" t="s">
        <v>166</v>
      </c>
      <c r="AD133" s="5" t="s">
        <v>81</v>
      </c>
      <c r="AE133" s="5">
        <v>3.0</v>
      </c>
      <c r="AF133" s="5">
        <v>3.0</v>
      </c>
      <c r="AG133" s="5" t="s">
        <v>0</v>
      </c>
      <c r="AH133" s="5" t="s">
        <v>0</v>
      </c>
      <c r="AI133" s="42"/>
      <c r="AJ133" s="28">
        <v>1831.0</v>
      </c>
      <c r="AK133" s="28">
        <v>1353.0</v>
      </c>
      <c r="AL133" s="28">
        <v>0.0</v>
      </c>
      <c r="AM133" s="28">
        <v>2546.0</v>
      </c>
      <c r="AN133" s="28">
        <v>0.0</v>
      </c>
      <c r="AO133" s="28">
        <v>1569423.3399999999</v>
      </c>
      <c r="AP133" s="28">
        <v>1159521.0</v>
      </c>
      <c r="AQ133" s="28">
        <v>0.0</v>
      </c>
      <c r="AR133" s="28">
        <v>2182278.44</v>
      </c>
      <c r="AS133" s="28">
        <v>0.0</v>
      </c>
      <c r="AT133" s="28">
        <v>1272480.9302325582</v>
      </c>
      <c r="AU133" s="28">
        <v>933614.57375</v>
      </c>
      <c r="AV133" s="28">
        <v>0.0</v>
      </c>
      <c r="AW133" s="28">
        <v>1547670.3266888151</v>
      </c>
      <c r="AX133" s="5"/>
      <c r="AY133" s="5" t="str">
        <f t="array" ref="AY133">IFERROR(_xlfn.XLOOKUP($E133,'FW27'!$C$3:$C$1102,'FW27'!$AM$3:$AM$1102),"")</f>
        <v>Essentials</v>
      </c>
      <c r="AZ133" s="5" t="str">
        <f t="array" ref="AZ133">IFERROR(_xlfn.XLOOKUP($E133,'FW27'!$C$3:$C$1102,'FW27'!$AN$3:$AN$1102),"")</f>
        <v>Active Essentials</v>
      </c>
      <c r="BA133" s="5" t="s">
        <v>237</v>
      </c>
      <c r="BB133" s="5" t="str">
        <f t="array" ref="BB133">IFERROR(_xlfn.XLOOKUP($E133,'FW27'!$C$3:$C$1102,'FW27'!$AS$3:$AS$1102),"")</f>
        <v>Shell</v>
      </c>
      <c r="BC133" s="5" t="str">
        <f t="array" ref="BC133">IFERROR(_xlfn.XLOOKUP($E133,'FW27'!$C$3:$C$1102,'FW27'!$AT$3:$AT$1102),"")</f>
        <v>Jacket</v>
      </c>
      <c r="BD133" s="5" t="str">
        <f t="array" ref="BD133">IFERROR(_xlfn.XLOOKUP($E133,'FW27'!$C$3:$C$1102,'FW27'!$AU$3:$AU$1102),"")</f>
        <v>2L</v>
      </c>
      <c r="BE133" s="5" t="str">
        <f t="array" ref="BE133">IFERROR(_xlfn.XLOOKUP($E133,'FW27'!$C$3:$C$1102,'FW27'!$AV$3:$AV$1102),"")</f>
        <v>Y</v>
      </c>
    </row>
    <row r="134" ht="16.5" hidden="1" customHeight="1">
      <c r="A134" s="5" t="s">
        <v>155</v>
      </c>
      <c r="B134" s="5" t="s">
        <v>137</v>
      </c>
      <c r="C134" s="5" t="b">
        <v>1</v>
      </c>
      <c r="D134" s="47" t="s">
        <v>1048</v>
      </c>
      <c r="E134" s="47" t="s">
        <v>1049</v>
      </c>
      <c r="F134" s="47"/>
      <c r="G134" s="47" t="s">
        <v>65</v>
      </c>
      <c r="H134" s="47" t="s">
        <v>74</v>
      </c>
      <c r="I134" s="47" t="s">
        <v>82</v>
      </c>
      <c r="J134" s="48" t="s">
        <v>322</v>
      </c>
      <c r="K134" s="25" t="s">
        <v>150</v>
      </c>
      <c r="L134" s="25" t="s">
        <v>110</v>
      </c>
      <c r="M134" s="5" t="s">
        <v>66</v>
      </c>
      <c r="N134" s="5" t="s">
        <v>68</v>
      </c>
      <c r="O134" s="5" t="s">
        <v>96</v>
      </c>
      <c r="P134" s="5" t="s">
        <v>107</v>
      </c>
      <c r="Q134" s="5" t="b">
        <v>1</v>
      </c>
      <c r="R134" s="5" t="b">
        <v>0</v>
      </c>
      <c r="S134" s="5"/>
      <c r="T134" s="5">
        <v>1800.0</v>
      </c>
      <c r="U134" s="26">
        <v>2.1</v>
      </c>
      <c r="V134" s="5">
        <v>857.0</v>
      </c>
      <c r="W134" s="27">
        <v>0.0</v>
      </c>
      <c r="X134" s="28">
        <v>857.0</v>
      </c>
      <c r="Y134" s="27">
        <v>1.0</v>
      </c>
      <c r="Z134" s="5" t="s">
        <v>78</v>
      </c>
      <c r="AA134" s="27">
        <v>0.6559999999999999</v>
      </c>
      <c r="AB134" s="5"/>
      <c r="AC134" s="5" t="s">
        <v>166</v>
      </c>
      <c r="AD134" s="5" t="s">
        <v>81</v>
      </c>
      <c r="AE134" s="24">
        <v>0.0</v>
      </c>
      <c r="AF134" s="5">
        <v>2.0</v>
      </c>
      <c r="AG134" s="5" t="s">
        <v>0</v>
      </c>
      <c r="AH134" s="5" t="s">
        <v>471</v>
      </c>
      <c r="AI134" s="56"/>
      <c r="AJ134" s="28">
        <v>0.0</v>
      </c>
      <c r="AK134" s="28">
        <v>0.0</v>
      </c>
      <c r="AL134" s="28">
        <v>0.0</v>
      </c>
      <c r="AM134" s="28">
        <v>0.0</v>
      </c>
      <c r="AN134" s="28">
        <v>0.0</v>
      </c>
      <c r="AO134" s="28">
        <v>0.0</v>
      </c>
      <c r="AP134" s="28">
        <v>0.0</v>
      </c>
      <c r="AQ134" s="28">
        <v>0.0</v>
      </c>
      <c r="AR134" s="28">
        <v>0.0</v>
      </c>
      <c r="AS134" s="28">
        <v>0.0</v>
      </c>
      <c r="AT134" s="28">
        <v>0.0</v>
      </c>
      <c r="AU134" s="28">
        <v>0.0</v>
      </c>
      <c r="AV134" s="28">
        <v>0.0</v>
      </c>
      <c r="AW134" s="28">
        <v>0.0</v>
      </c>
      <c r="AX134" s="5"/>
      <c r="AY134" s="5" t="s">
        <v>125</v>
      </c>
      <c r="AZ134" s="5" t="s">
        <v>127</v>
      </c>
      <c r="BA134" s="5" t="s">
        <v>237</v>
      </c>
      <c r="BB134" s="5" t="s">
        <v>68</v>
      </c>
      <c r="BC134" s="5" t="s">
        <v>89</v>
      </c>
      <c r="BD134" s="5" t="s">
        <v>90</v>
      </c>
      <c r="BE134" s="5" t="s">
        <v>91</v>
      </c>
    </row>
    <row r="135" ht="16.5" hidden="1" customHeight="1">
      <c r="A135" s="5" t="s">
        <v>155</v>
      </c>
      <c r="B135" s="5" t="s">
        <v>137</v>
      </c>
      <c r="C135" s="5" t="b">
        <v>1</v>
      </c>
      <c r="D135" s="5" t="s">
        <v>490</v>
      </c>
      <c r="E135" s="5" t="s">
        <v>491</v>
      </c>
      <c r="F135" s="5"/>
      <c r="G135" s="5" t="s">
        <v>65</v>
      </c>
      <c r="H135" s="5" t="s">
        <v>84</v>
      </c>
      <c r="I135" s="5" t="s">
        <v>82</v>
      </c>
      <c r="J135" s="25"/>
      <c r="K135" s="25"/>
      <c r="L135" s="25"/>
      <c r="M135" s="5" t="s">
        <v>66</v>
      </c>
      <c r="N135" s="5" t="s">
        <v>126</v>
      </c>
      <c r="O135" s="5" t="s">
        <v>69</v>
      </c>
      <c r="P135" s="5" t="s">
        <v>70</v>
      </c>
      <c r="Q135" s="5" t="b">
        <v>1</v>
      </c>
      <c r="R135" s="5" t="b">
        <v>0</v>
      </c>
      <c r="S135" s="5"/>
      <c r="T135" s="5">
        <v>1800.0</v>
      </c>
      <c r="U135" s="26">
        <v>2.1</v>
      </c>
      <c r="V135" s="5">
        <v>857.0</v>
      </c>
      <c r="W135" s="27">
        <v>0.0</v>
      </c>
      <c r="X135" s="28">
        <v>857.0</v>
      </c>
      <c r="Y135" s="27">
        <v>1.0</v>
      </c>
      <c r="Z135" s="5" t="s">
        <v>78</v>
      </c>
      <c r="AA135" s="5">
        <v>0.62</v>
      </c>
      <c r="AB135" s="5"/>
      <c r="AC135" s="5" t="s">
        <v>81</v>
      </c>
      <c r="AD135" s="5" t="s">
        <v>81</v>
      </c>
      <c r="AE135" s="5">
        <v>4.0</v>
      </c>
      <c r="AF135" s="5">
        <v>3.0</v>
      </c>
      <c r="AG135" s="5" t="s">
        <v>1563</v>
      </c>
      <c r="AH135" s="5" t="s">
        <v>0</v>
      </c>
      <c r="AI135" s="42"/>
      <c r="AJ135" s="28">
        <v>988.0</v>
      </c>
      <c r="AK135" s="28">
        <v>0.0</v>
      </c>
      <c r="AL135" s="28">
        <v>0.0</v>
      </c>
      <c r="AM135" s="28">
        <v>3317.0</v>
      </c>
      <c r="AN135" s="28">
        <v>0.0</v>
      </c>
      <c r="AO135" s="28">
        <v>846854.3200000001</v>
      </c>
      <c r="AP135" s="28">
        <v>0.0</v>
      </c>
      <c r="AQ135" s="28">
        <v>0.0</v>
      </c>
      <c r="AR135" s="28">
        <v>2843133.38</v>
      </c>
      <c r="AS135" s="28">
        <v>0.0</v>
      </c>
      <c r="AT135" s="28">
        <v>754803.1904761905</v>
      </c>
      <c r="AU135" s="28">
        <v>0.0</v>
      </c>
      <c r="AV135" s="28">
        <v>0.0</v>
      </c>
      <c r="AW135" s="28">
        <v>2125932.4654485052</v>
      </c>
      <c r="AX135" s="5"/>
      <c r="AY135" s="5" t="str">
        <f t="array" ref="AY135">IFERROR(_xlfn.XLOOKUP($E135,'FW27'!$C$3:$C$1102,'FW27'!$AM$3:$AM$1102),"")</f>
        <v>Outdoor</v>
      </c>
      <c r="AZ135" s="5" t="str">
        <f t="array" ref="AZ135">IFERROR(_xlfn.XLOOKUP($E135,'FW27'!$C$3:$C$1102,'FW27'!$AN$3:$AN$1102),"")</f>
        <v>Day Hiking</v>
      </c>
      <c r="BA135" s="5" t="s">
        <v>88</v>
      </c>
      <c r="BB135" s="5" t="str">
        <f t="array" ref="BB135">IFERROR(_xlfn.XLOOKUP($E135,'FW27'!$C$3:$C$1102,'FW27'!$AS$3:$AS$1102),"")</f>
        <v>Softshell</v>
      </c>
      <c r="BC135" s="5" t="str">
        <f t="array" ref="BC135">IFERROR(_xlfn.XLOOKUP($E135,'FW27'!$C$3:$C$1102,'FW27'!$AT$3:$AT$1102),"")</f>
        <v>Hooded Jacket</v>
      </c>
      <c r="BD135" s="5" t="str">
        <f t="array" ref="BD135">IFERROR(_xlfn.XLOOKUP($E135,'FW27'!$C$3:$C$1102,'FW27'!$AU$3:$AU$1102),"")</f>
        <v>Classic Softshell</v>
      </c>
      <c r="BE135" s="5" t="str">
        <f t="array" ref="BE135">IFERROR(_xlfn.XLOOKUP($E135,'FW27'!$C$3:$C$1102,'FW27'!$AV$3:$AV$1102),"")</f>
        <v>N</v>
      </c>
    </row>
    <row r="136" ht="16.5" hidden="1" customHeight="1">
      <c r="A136" s="5" t="s">
        <v>155</v>
      </c>
      <c r="B136" s="5" t="s">
        <v>137</v>
      </c>
      <c r="C136" s="5" t="b">
        <v>1</v>
      </c>
      <c r="D136" s="47" t="s">
        <v>1060</v>
      </c>
      <c r="E136" s="47" t="s">
        <v>1061</v>
      </c>
      <c r="F136" s="47"/>
      <c r="G136" s="47" t="s">
        <v>65</v>
      </c>
      <c r="H136" s="47" t="s">
        <v>74</v>
      </c>
      <c r="I136" s="47" t="s">
        <v>82</v>
      </c>
      <c r="J136" s="48" t="s">
        <v>322</v>
      </c>
      <c r="K136" s="25" t="s">
        <v>150</v>
      </c>
      <c r="L136" s="25"/>
      <c r="M136" s="5" t="s">
        <v>66</v>
      </c>
      <c r="N136" s="5" t="s">
        <v>126</v>
      </c>
      <c r="O136" s="5" t="s">
        <v>96</v>
      </c>
      <c r="P136" s="5" t="s">
        <v>70</v>
      </c>
      <c r="Q136" s="5" t="b">
        <v>1</v>
      </c>
      <c r="R136" s="5" t="b">
        <v>0</v>
      </c>
      <c r="S136" s="5"/>
      <c r="T136" s="5">
        <v>1800.0</v>
      </c>
      <c r="U136" s="26">
        <v>2.1</v>
      </c>
      <c r="V136" s="5">
        <v>857.0</v>
      </c>
      <c r="W136" s="27">
        <v>0.0</v>
      </c>
      <c r="X136" s="28">
        <v>857.0</v>
      </c>
      <c r="Y136" s="27">
        <v>1.0</v>
      </c>
      <c r="Z136" s="5" t="s">
        <v>78</v>
      </c>
      <c r="AA136" s="27">
        <v>0.62</v>
      </c>
      <c r="AB136" s="5"/>
      <c r="AC136" s="5" t="s">
        <v>81</v>
      </c>
      <c r="AD136" s="5" t="s">
        <v>81</v>
      </c>
      <c r="AE136" s="24">
        <v>0.0</v>
      </c>
      <c r="AF136" s="5">
        <v>3.0</v>
      </c>
      <c r="AG136" s="5" t="s">
        <v>0</v>
      </c>
      <c r="AH136" s="5" t="s">
        <v>471</v>
      </c>
      <c r="AI136" s="56"/>
      <c r="AJ136" s="28">
        <v>0.0</v>
      </c>
      <c r="AK136" s="28">
        <v>0.0</v>
      </c>
      <c r="AL136" s="28">
        <v>0.0</v>
      </c>
      <c r="AM136" s="28">
        <v>0.0</v>
      </c>
      <c r="AN136" s="28">
        <v>0.0</v>
      </c>
      <c r="AO136" s="28">
        <v>0.0</v>
      </c>
      <c r="AP136" s="28">
        <v>0.0</v>
      </c>
      <c r="AQ136" s="28">
        <v>0.0</v>
      </c>
      <c r="AR136" s="28">
        <v>0.0</v>
      </c>
      <c r="AS136" s="28">
        <v>0.0</v>
      </c>
      <c r="AT136" s="28">
        <v>0.0</v>
      </c>
      <c r="AU136" s="28">
        <v>0.0</v>
      </c>
      <c r="AV136" s="28">
        <v>0.0</v>
      </c>
      <c r="AW136" s="28">
        <v>0.0</v>
      </c>
      <c r="AX136" s="5"/>
      <c r="AY136" s="5" t="s">
        <v>86</v>
      </c>
      <c r="AZ136" s="5" t="s">
        <v>87</v>
      </c>
      <c r="BA136" s="5" t="s">
        <v>88</v>
      </c>
      <c r="BB136" s="5" t="s">
        <v>126</v>
      </c>
      <c r="BC136" s="5" t="s">
        <v>161</v>
      </c>
      <c r="BD136" s="5" t="s">
        <v>130</v>
      </c>
      <c r="BE136" s="5" t="s">
        <v>131</v>
      </c>
    </row>
    <row r="137" ht="16.5" hidden="1" customHeight="1">
      <c r="A137" s="5" t="s">
        <v>155</v>
      </c>
      <c r="B137" s="5" t="s">
        <v>137</v>
      </c>
      <c r="C137" s="5" t="b">
        <v>1</v>
      </c>
      <c r="D137" s="5" t="s">
        <v>492</v>
      </c>
      <c r="E137" s="5" t="s">
        <v>493</v>
      </c>
      <c r="F137" s="5"/>
      <c r="G137" s="5" t="s">
        <v>65</v>
      </c>
      <c r="H137" s="5" t="s">
        <v>84</v>
      </c>
      <c r="I137" s="5" t="s">
        <v>82</v>
      </c>
      <c r="J137" s="25"/>
      <c r="K137" s="25"/>
      <c r="L137" s="25"/>
      <c r="M137" s="5" t="s">
        <v>66</v>
      </c>
      <c r="N137" s="5" t="s">
        <v>126</v>
      </c>
      <c r="O137" s="5" t="s">
        <v>69</v>
      </c>
      <c r="P137" s="5" t="s">
        <v>107</v>
      </c>
      <c r="Q137" s="5" t="b">
        <v>1</v>
      </c>
      <c r="R137" s="5" t="b">
        <v>0</v>
      </c>
      <c r="S137" s="5"/>
      <c r="T137" s="5">
        <v>1800.0</v>
      </c>
      <c r="U137" s="26">
        <v>2.1</v>
      </c>
      <c r="V137" s="5">
        <v>857.0</v>
      </c>
      <c r="W137" s="27">
        <v>0.0</v>
      </c>
      <c r="X137" s="28">
        <v>857.0</v>
      </c>
      <c r="Y137" s="27">
        <v>1.0</v>
      </c>
      <c r="Z137" s="5" t="s">
        <v>78</v>
      </c>
      <c r="AA137" s="5">
        <v>0.64</v>
      </c>
      <c r="AB137" s="5"/>
      <c r="AC137" s="5" t="s">
        <v>81</v>
      </c>
      <c r="AD137" s="5" t="s">
        <v>81</v>
      </c>
      <c r="AE137" s="5">
        <v>4.0</v>
      </c>
      <c r="AF137" s="5">
        <v>3.0</v>
      </c>
      <c r="AG137" s="5" t="s">
        <v>1563</v>
      </c>
      <c r="AH137" s="5" t="s">
        <v>0</v>
      </c>
      <c r="AI137" s="42"/>
      <c r="AJ137" s="28">
        <v>797.0</v>
      </c>
      <c r="AK137" s="28">
        <v>0.0</v>
      </c>
      <c r="AL137" s="28">
        <v>0.0</v>
      </c>
      <c r="AM137" s="28">
        <v>2543.0</v>
      </c>
      <c r="AN137" s="28">
        <v>0.0</v>
      </c>
      <c r="AO137" s="28">
        <v>683140.5800000001</v>
      </c>
      <c r="AP137" s="28">
        <v>0.0</v>
      </c>
      <c r="AQ137" s="28">
        <v>0.0</v>
      </c>
      <c r="AR137" s="28">
        <v>2179707.0199999996</v>
      </c>
      <c r="AS137" s="28">
        <v>0.0</v>
      </c>
      <c r="AT137" s="28">
        <v>607682.7142857143</v>
      </c>
      <c r="AU137" s="28">
        <v>0.0</v>
      </c>
      <c r="AV137" s="28">
        <v>0.0</v>
      </c>
      <c r="AW137" s="28">
        <v>1675793.4559246951</v>
      </c>
      <c r="AX137" s="5"/>
      <c r="AY137" s="5" t="str">
        <f t="array" ref="AY137">IFERROR(_xlfn.XLOOKUP($E137,'FW27'!$C$3:$C$1102,'FW27'!$AM$3:$AM$1102),"")</f>
        <v>Outdoor</v>
      </c>
      <c r="AZ137" s="5" t="str">
        <f t="array" ref="AZ137">IFERROR(_xlfn.XLOOKUP($E137,'FW27'!$C$3:$C$1102,'FW27'!$AN$3:$AN$1102),"")</f>
        <v>Day Hiking</v>
      </c>
      <c r="BA137" s="5" t="s">
        <v>88</v>
      </c>
      <c r="BB137" s="5" t="str">
        <f t="array" ref="BB137">IFERROR(_xlfn.XLOOKUP($E137,'FW27'!$C$3:$C$1102,'FW27'!$AS$3:$AS$1102),"")</f>
        <v>Softshell</v>
      </c>
      <c r="BC137" s="5" t="str">
        <f t="array" ref="BC137">IFERROR(_xlfn.XLOOKUP($E137,'FW27'!$C$3:$C$1102,'FW27'!$AT$3:$AT$1102),"")</f>
        <v>Hooded Jacket</v>
      </c>
      <c r="BD137" s="5" t="str">
        <f t="array" ref="BD137">IFERROR(_xlfn.XLOOKUP($E137,'FW27'!$C$3:$C$1102,'FW27'!$AU$3:$AU$1102),"")</f>
        <v>Classic Softshell</v>
      </c>
      <c r="BE137" s="5" t="str">
        <f t="array" ref="BE137">IFERROR(_xlfn.XLOOKUP($E137,'FW27'!$C$3:$C$1102,'FW27'!$AV$3:$AV$1102),"")</f>
        <v>N</v>
      </c>
    </row>
    <row r="138" ht="16.5" hidden="1" customHeight="1">
      <c r="A138" s="5" t="s">
        <v>155</v>
      </c>
      <c r="B138" s="5" t="s">
        <v>137</v>
      </c>
      <c r="C138" s="5" t="b">
        <v>1</v>
      </c>
      <c r="D138" s="47" t="s">
        <v>1069</v>
      </c>
      <c r="E138" s="47" t="s">
        <v>1071</v>
      </c>
      <c r="F138" s="47"/>
      <c r="G138" s="47" t="s">
        <v>65</v>
      </c>
      <c r="H138" s="47" t="s">
        <v>74</v>
      </c>
      <c r="I138" s="47" t="s">
        <v>82</v>
      </c>
      <c r="J138" s="48" t="s">
        <v>322</v>
      </c>
      <c r="K138" s="25" t="s">
        <v>150</v>
      </c>
      <c r="L138" s="25"/>
      <c r="M138" s="5" t="s">
        <v>66</v>
      </c>
      <c r="N138" s="5" t="s">
        <v>126</v>
      </c>
      <c r="O138" s="5" t="s">
        <v>96</v>
      </c>
      <c r="P138" s="5" t="s">
        <v>107</v>
      </c>
      <c r="Q138" s="5" t="b">
        <v>1</v>
      </c>
      <c r="R138" s="5" t="b">
        <v>0</v>
      </c>
      <c r="S138" s="5"/>
      <c r="T138" s="5">
        <v>1800.0</v>
      </c>
      <c r="U138" s="26">
        <v>2.1</v>
      </c>
      <c r="V138" s="5">
        <v>857.0</v>
      </c>
      <c r="W138" s="27">
        <v>0.0</v>
      </c>
      <c r="X138" s="28">
        <v>857.0</v>
      </c>
      <c r="Y138" s="27">
        <v>1.0</v>
      </c>
      <c r="Z138" s="5" t="s">
        <v>78</v>
      </c>
      <c r="AA138" s="27">
        <v>0.64</v>
      </c>
      <c r="AB138" s="5"/>
      <c r="AC138" s="5" t="s">
        <v>81</v>
      </c>
      <c r="AD138" s="5" t="s">
        <v>81</v>
      </c>
      <c r="AE138" s="24">
        <v>0.0</v>
      </c>
      <c r="AF138" s="5">
        <v>3.0</v>
      </c>
      <c r="AG138" s="5" t="s">
        <v>0</v>
      </c>
      <c r="AH138" s="5" t="s">
        <v>471</v>
      </c>
      <c r="AI138" s="56"/>
      <c r="AJ138" s="28">
        <v>0.0</v>
      </c>
      <c r="AK138" s="28">
        <v>0.0</v>
      </c>
      <c r="AL138" s="28">
        <v>0.0</v>
      </c>
      <c r="AM138" s="28">
        <v>0.0</v>
      </c>
      <c r="AN138" s="28">
        <v>0.0</v>
      </c>
      <c r="AO138" s="28">
        <v>0.0</v>
      </c>
      <c r="AP138" s="28">
        <v>0.0</v>
      </c>
      <c r="AQ138" s="28">
        <v>0.0</v>
      </c>
      <c r="AR138" s="28">
        <v>0.0</v>
      </c>
      <c r="AS138" s="28">
        <v>0.0</v>
      </c>
      <c r="AT138" s="28">
        <v>0.0</v>
      </c>
      <c r="AU138" s="28">
        <v>0.0</v>
      </c>
      <c r="AV138" s="28">
        <v>0.0</v>
      </c>
      <c r="AW138" s="28">
        <v>0.0</v>
      </c>
      <c r="AX138" s="5"/>
      <c r="AY138" s="5" t="s">
        <v>86</v>
      </c>
      <c r="AZ138" s="5" t="s">
        <v>87</v>
      </c>
      <c r="BA138" s="5" t="s">
        <v>88</v>
      </c>
      <c r="BB138" s="5" t="s">
        <v>126</v>
      </c>
      <c r="BC138" s="5" t="s">
        <v>161</v>
      </c>
      <c r="BD138" s="5" t="s">
        <v>130</v>
      </c>
      <c r="BE138" s="5" t="s">
        <v>131</v>
      </c>
    </row>
    <row r="139" ht="16.5" hidden="1" customHeight="1">
      <c r="A139" s="5" t="s">
        <v>155</v>
      </c>
      <c r="B139" s="5" t="s">
        <v>137</v>
      </c>
      <c r="C139" s="5" t="b">
        <v>1</v>
      </c>
      <c r="D139" s="5" t="s">
        <v>498</v>
      </c>
      <c r="E139" s="5" t="s">
        <v>499</v>
      </c>
      <c r="F139" s="5"/>
      <c r="G139" s="5" t="s">
        <v>65</v>
      </c>
      <c r="H139" s="5" t="s">
        <v>84</v>
      </c>
      <c r="I139" s="5" t="s">
        <v>82</v>
      </c>
      <c r="J139" s="25"/>
      <c r="K139" s="25"/>
      <c r="L139" s="25"/>
      <c r="M139" s="5" t="s">
        <v>66</v>
      </c>
      <c r="N139" s="5" t="s">
        <v>126</v>
      </c>
      <c r="O139" s="5" t="s">
        <v>69</v>
      </c>
      <c r="P139" s="5" t="s">
        <v>70</v>
      </c>
      <c r="Q139" s="5" t="b">
        <v>1</v>
      </c>
      <c r="R139" s="5" t="b">
        <v>0</v>
      </c>
      <c r="S139" s="5"/>
      <c r="T139" s="5">
        <v>1400.0</v>
      </c>
      <c r="U139" s="26">
        <v>2.1</v>
      </c>
      <c r="V139" s="5">
        <v>667.0</v>
      </c>
      <c r="W139" s="27">
        <v>0.0</v>
      </c>
      <c r="X139" s="28">
        <v>667.0</v>
      </c>
      <c r="Y139" s="27">
        <v>1.0</v>
      </c>
      <c r="Z139" s="5" t="s">
        <v>78</v>
      </c>
      <c r="AA139" s="5">
        <v>0.65</v>
      </c>
      <c r="AB139" s="5"/>
      <c r="AC139" s="5" t="s">
        <v>81</v>
      </c>
      <c r="AD139" s="5" t="s">
        <v>81</v>
      </c>
      <c r="AE139" s="5">
        <v>2.0</v>
      </c>
      <c r="AF139" s="5">
        <v>1.0</v>
      </c>
      <c r="AG139" s="5" t="s">
        <v>1571</v>
      </c>
      <c r="AH139" s="5" t="s">
        <v>0</v>
      </c>
      <c r="AI139" s="42"/>
      <c r="AJ139" s="28">
        <v>869.0</v>
      </c>
      <c r="AK139" s="28">
        <v>0.0</v>
      </c>
      <c r="AL139" s="28">
        <v>0.0</v>
      </c>
      <c r="AM139" s="28">
        <v>2227.0</v>
      </c>
      <c r="AN139" s="28">
        <v>0.0</v>
      </c>
      <c r="AO139" s="28">
        <v>579336.23</v>
      </c>
      <c r="AP139" s="28">
        <v>0.0</v>
      </c>
      <c r="AQ139" s="28">
        <v>0.0</v>
      </c>
      <c r="AR139" s="28">
        <v>1484674.0899999999</v>
      </c>
      <c r="AS139" s="28">
        <v>0.0</v>
      </c>
      <c r="AT139" s="28">
        <v>481106.33333333326</v>
      </c>
      <c r="AU139" s="28">
        <v>0.0</v>
      </c>
      <c r="AV139" s="28">
        <v>0.0</v>
      </c>
      <c r="AW139" s="28">
        <v>1093803.4589147288</v>
      </c>
      <c r="AX139" s="5"/>
      <c r="AY139" s="5" t="str">
        <f t="array" ref="AY139">IFERROR(_xlfn.XLOOKUP($E139,'FW27'!$C$3:$C$1102,'FW27'!$AM$3:$AM$1102),"")</f>
        <v>Outdoor</v>
      </c>
      <c r="AZ139" s="5" t="str">
        <f t="array" ref="AZ139">IFERROR(_xlfn.XLOOKUP($E139,'FW27'!$C$3:$C$1102,'FW27'!$AN$3:$AN$1102),"")</f>
        <v>Day Hiking</v>
      </c>
      <c r="BA139" s="32" t="s">
        <v>379</v>
      </c>
      <c r="BB139" s="5" t="str">
        <f t="array" ref="BB139">IFERROR(_xlfn.XLOOKUP($E139,'FW27'!$C$3:$C$1102,'FW27'!$AS$3:$AS$1102),"")</f>
        <v>Softshell</v>
      </c>
      <c r="BC139" s="5" t="str">
        <f t="array" ref="BC139">IFERROR(_xlfn.XLOOKUP($E139,'FW27'!$C$3:$C$1102,'FW27'!$AT$3:$AT$1102),"")</f>
        <v>Pant</v>
      </c>
      <c r="BD139" s="5" t="str">
        <f t="array" ref="BD139">IFERROR(_xlfn.XLOOKUP($E139,'FW27'!$C$3:$C$1102,'FW27'!$AU$3:$AU$1102),"")</f>
        <v>Classic Softshell</v>
      </c>
      <c r="BE139" s="5" t="str">
        <f t="array" ref="BE139">IFERROR(_xlfn.XLOOKUP($E139,'FW27'!$C$3:$C$1102,'FW27'!$AV$3:$AV$1102),"")</f>
        <v>N</v>
      </c>
    </row>
    <row r="140" ht="16.5" hidden="1" customHeight="1">
      <c r="A140" s="5" t="s">
        <v>155</v>
      </c>
      <c r="B140" s="5" t="s">
        <v>137</v>
      </c>
      <c r="C140" s="5" t="b">
        <v>1</v>
      </c>
      <c r="D140" s="5" t="s">
        <v>505</v>
      </c>
      <c r="E140" s="5" t="s">
        <v>506</v>
      </c>
      <c r="F140" s="5"/>
      <c r="G140" s="5" t="s">
        <v>65</v>
      </c>
      <c r="H140" s="5" t="s">
        <v>84</v>
      </c>
      <c r="I140" s="5" t="s">
        <v>82</v>
      </c>
      <c r="J140" s="25"/>
      <c r="K140" s="25"/>
      <c r="L140" s="25"/>
      <c r="M140" s="5" t="s">
        <v>66</v>
      </c>
      <c r="N140" s="5" t="s">
        <v>126</v>
      </c>
      <c r="O140" s="5" t="s">
        <v>69</v>
      </c>
      <c r="P140" s="5" t="s">
        <v>107</v>
      </c>
      <c r="Q140" s="5" t="b">
        <v>1</v>
      </c>
      <c r="R140" s="5" t="b">
        <v>0</v>
      </c>
      <c r="S140" s="5"/>
      <c r="T140" s="5">
        <v>1400.0</v>
      </c>
      <c r="U140" s="26">
        <v>2.1</v>
      </c>
      <c r="V140" s="5">
        <v>667.0</v>
      </c>
      <c r="W140" s="27">
        <v>0.0</v>
      </c>
      <c r="X140" s="28">
        <v>667.0</v>
      </c>
      <c r="Y140" s="27">
        <v>1.0</v>
      </c>
      <c r="Z140" s="5" t="s">
        <v>78</v>
      </c>
      <c r="AA140" s="5">
        <v>0.65</v>
      </c>
      <c r="AB140" s="5"/>
      <c r="AC140" s="5" t="s">
        <v>81</v>
      </c>
      <c r="AD140" s="5" t="s">
        <v>81</v>
      </c>
      <c r="AE140" s="5">
        <v>2.0</v>
      </c>
      <c r="AF140" s="5">
        <v>1.0</v>
      </c>
      <c r="AG140" s="5" t="s">
        <v>1571</v>
      </c>
      <c r="AH140" s="5" t="s">
        <v>0</v>
      </c>
      <c r="AI140" s="42"/>
      <c r="AJ140" s="28">
        <v>687.0</v>
      </c>
      <c r="AK140" s="28">
        <v>0.0</v>
      </c>
      <c r="AL140" s="28">
        <v>0.0</v>
      </c>
      <c r="AM140" s="28">
        <v>1665.0</v>
      </c>
      <c r="AN140" s="28">
        <v>0.0</v>
      </c>
      <c r="AO140" s="28">
        <v>458002.29</v>
      </c>
      <c r="AP140" s="28">
        <v>0.0</v>
      </c>
      <c r="AQ140" s="28">
        <v>0.0</v>
      </c>
      <c r="AR140" s="28">
        <v>1110005.5499999998</v>
      </c>
      <c r="AS140" s="28">
        <v>0.0</v>
      </c>
      <c r="AT140" s="28">
        <v>382424.1904761905</v>
      </c>
      <c r="AU140" s="28">
        <v>0.0</v>
      </c>
      <c r="AV140" s="28">
        <v>0.0</v>
      </c>
      <c r="AW140" s="28">
        <v>835918.091472868</v>
      </c>
      <c r="AX140" s="5"/>
      <c r="AY140" s="5" t="str">
        <f t="array" ref="AY140">IFERROR(_xlfn.XLOOKUP($E140,'FW27'!$C$3:$C$1102,'FW27'!$AM$3:$AM$1102),"")</f>
        <v>Outdoor</v>
      </c>
      <c r="AZ140" s="5" t="str">
        <f t="array" ref="AZ140">IFERROR(_xlfn.XLOOKUP($E140,'FW27'!$C$3:$C$1102,'FW27'!$AN$3:$AN$1102),"")</f>
        <v>Day Hiking</v>
      </c>
      <c r="BA140" s="32" t="s">
        <v>379</v>
      </c>
      <c r="BB140" s="5" t="str">
        <f t="array" ref="BB140">IFERROR(_xlfn.XLOOKUP($E140,'FW27'!$C$3:$C$1102,'FW27'!$AS$3:$AS$1102),"")</f>
        <v>Softshell</v>
      </c>
      <c r="BC140" s="5" t="str">
        <f t="array" ref="BC140">IFERROR(_xlfn.XLOOKUP($E140,'FW27'!$C$3:$C$1102,'FW27'!$AT$3:$AT$1102),"")</f>
        <v>Pant</v>
      </c>
      <c r="BD140" s="5" t="str">
        <f t="array" ref="BD140">IFERROR(_xlfn.XLOOKUP($E140,'FW27'!$C$3:$C$1102,'FW27'!$AU$3:$AU$1102),"")</f>
        <v>Classic Softshell</v>
      </c>
      <c r="BE140" s="5" t="str">
        <f t="array" ref="BE140">IFERROR(_xlfn.XLOOKUP($E140,'FW27'!$C$3:$C$1102,'FW27'!$AV$3:$AV$1102),"")</f>
        <v>N</v>
      </c>
    </row>
    <row r="141" ht="16.5" hidden="1" customHeight="1">
      <c r="A141" s="5" t="s">
        <v>155</v>
      </c>
      <c r="B141" s="5" t="s">
        <v>215</v>
      </c>
      <c r="C141" s="5" t="b">
        <v>0</v>
      </c>
      <c r="D141" s="5" t="s">
        <v>1264</v>
      </c>
      <c r="E141" s="5" t="s">
        <v>1265</v>
      </c>
      <c r="F141" s="5"/>
      <c r="G141" s="5" t="s">
        <v>65</v>
      </c>
      <c r="H141" s="5" t="s">
        <v>76</v>
      </c>
      <c r="I141" s="5" t="s">
        <v>106</v>
      </c>
      <c r="J141" s="25" t="s">
        <v>530</v>
      </c>
      <c r="K141" s="25"/>
      <c r="L141" s="25"/>
      <c r="M141" s="5" t="s">
        <v>66</v>
      </c>
      <c r="N141" s="5" t="s">
        <v>126</v>
      </c>
      <c r="O141" s="5" t="s">
        <v>141</v>
      </c>
      <c r="P141" s="5" t="s">
        <v>70</v>
      </c>
      <c r="Q141" s="5" t="b">
        <v>1</v>
      </c>
      <c r="R141" s="5" t="b">
        <v>0</v>
      </c>
      <c r="S141" s="5"/>
      <c r="T141" s="5">
        <v>2500.0</v>
      </c>
      <c r="U141" s="26">
        <v>2.1</v>
      </c>
      <c r="V141" s="5">
        <v>1190.0</v>
      </c>
      <c r="W141" s="27">
        <v>0.0</v>
      </c>
      <c r="X141" s="28">
        <v>1190.0</v>
      </c>
      <c r="Y141" s="27">
        <v>1.0</v>
      </c>
      <c r="Z141" s="5" t="s">
        <v>117</v>
      </c>
      <c r="AA141" s="5">
        <v>0.637</v>
      </c>
      <c r="AB141" s="5"/>
      <c r="AC141" s="5" t="s">
        <v>81</v>
      </c>
      <c r="AD141" s="5" t="s">
        <v>81</v>
      </c>
      <c r="AE141" s="5">
        <v>1.0</v>
      </c>
      <c r="AF141" s="5">
        <v>1.0</v>
      </c>
      <c r="AG141" s="5" t="s">
        <v>1586</v>
      </c>
      <c r="AH141" s="5" t="s">
        <v>156</v>
      </c>
      <c r="AI141" s="42"/>
      <c r="AJ141" s="28">
        <v>0.0</v>
      </c>
      <c r="AK141" s="28">
        <v>0.0</v>
      </c>
      <c r="AL141" s="28">
        <v>0.0</v>
      </c>
      <c r="AM141" s="28">
        <v>0.0</v>
      </c>
      <c r="AN141" s="28">
        <v>0.0</v>
      </c>
      <c r="AO141" s="28">
        <v>0.0</v>
      </c>
      <c r="AP141" s="28">
        <v>0.0</v>
      </c>
      <c r="AQ141" s="28">
        <v>0.0</v>
      </c>
      <c r="AR141" s="28">
        <v>0.0</v>
      </c>
      <c r="AS141" s="28">
        <v>0.0</v>
      </c>
      <c r="AT141" s="28">
        <v>0.0</v>
      </c>
      <c r="AU141" s="28">
        <v>0.0</v>
      </c>
      <c r="AV141" s="28">
        <v>0.0</v>
      </c>
      <c r="AW141" s="28">
        <v>0.0</v>
      </c>
      <c r="AX141" s="5"/>
      <c r="AY141" s="5" t="s">
        <v>125</v>
      </c>
      <c r="AZ141" s="5" t="s">
        <v>127</v>
      </c>
      <c r="BB141" s="5" t="s">
        <v>126</v>
      </c>
      <c r="BC141" s="5" t="s">
        <v>128</v>
      </c>
      <c r="BD141" s="5" t="s">
        <v>130</v>
      </c>
      <c r="BE141" s="5" t="s">
        <v>131</v>
      </c>
      <c r="BF141" s="5" t="s">
        <v>868</v>
      </c>
    </row>
    <row r="142" ht="16.5" hidden="1" customHeight="1">
      <c r="A142" s="5" t="s">
        <v>155</v>
      </c>
      <c r="B142" s="5" t="s">
        <v>215</v>
      </c>
      <c r="C142" s="5" t="b">
        <v>0</v>
      </c>
      <c r="D142" s="5" t="s">
        <v>1276</v>
      </c>
      <c r="E142" s="5" t="s">
        <v>1277</v>
      </c>
      <c r="F142" s="5"/>
      <c r="G142" s="5" t="s">
        <v>65</v>
      </c>
      <c r="H142" s="5" t="s">
        <v>76</v>
      </c>
      <c r="I142" s="5" t="s">
        <v>106</v>
      </c>
      <c r="J142" s="25" t="s">
        <v>530</v>
      </c>
      <c r="K142" s="25"/>
      <c r="L142" s="25"/>
      <c r="M142" s="5" t="s">
        <v>66</v>
      </c>
      <c r="N142" s="5" t="s">
        <v>126</v>
      </c>
      <c r="O142" s="5" t="s">
        <v>141</v>
      </c>
      <c r="P142" s="5" t="s">
        <v>107</v>
      </c>
      <c r="Q142" s="5" t="b">
        <v>1</v>
      </c>
      <c r="R142" s="5" t="b">
        <v>0</v>
      </c>
      <c r="S142" s="5"/>
      <c r="T142" s="5">
        <v>2500.0</v>
      </c>
      <c r="U142" s="26">
        <v>2.1</v>
      </c>
      <c r="V142" s="5">
        <v>1190.0</v>
      </c>
      <c r="W142" s="27">
        <v>0.0</v>
      </c>
      <c r="X142" s="28">
        <v>1190.0</v>
      </c>
      <c r="Y142" s="27">
        <v>1.0</v>
      </c>
      <c r="Z142" s="5" t="s">
        <v>117</v>
      </c>
      <c r="AA142" s="5">
        <v>0.657</v>
      </c>
      <c r="AB142" s="5"/>
      <c r="AC142" s="5" t="s">
        <v>81</v>
      </c>
      <c r="AD142" s="5" t="s">
        <v>81</v>
      </c>
      <c r="AE142" s="5">
        <v>1.0</v>
      </c>
      <c r="AF142" s="5">
        <v>1.0</v>
      </c>
      <c r="AG142" s="5" t="s">
        <v>1587</v>
      </c>
      <c r="AH142" s="5" t="s">
        <v>156</v>
      </c>
      <c r="AI142" s="42"/>
      <c r="AJ142" s="28">
        <v>0.0</v>
      </c>
      <c r="AK142" s="28">
        <v>0.0</v>
      </c>
      <c r="AL142" s="28">
        <v>0.0</v>
      </c>
      <c r="AM142" s="28">
        <v>0.0</v>
      </c>
      <c r="AN142" s="28">
        <v>0.0</v>
      </c>
      <c r="AO142" s="28">
        <v>0.0</v>
      </c>
      <c r="AP142" s="28">
        <v>0.0</v>
      </c>
      <c r="AQ142" s="28">
        <v>0.0</v>
      </c>
      <c r="AR142" s="28">
        <v>0.0</v>
      </c>
      <c r="AS142" s="28">
        <v>0.0</v>
      </c>
      <c r="AT142" s="28">
        <v>0.0</v>
      </c>
      <c r="AU142" s="28">
        <v>0.0</v>
      </c>
      <c r="AV142" s="28">
        <v>0.0</v>
      </c>
      <c r="AW142" s="28">
        <v>0.0</v>
      </c>
      <c r="AX142" s="5"/>
      <c r="AY142" s="5" t="s">
        <v>125</v>
      </c>
      <c r="AZ142" s="5" t="s">
        <v>127</v>
      </c>
      <c r="BB142" s="5" t="s">
        <v>126</v>
      </c>
      <c r="BC142" s="5" t="s">
        <v>128</v>
      </c>
      <c r="BD142" s="5" t="s">
        <v>130</v>
      </c>
      <c r="BE142" s="5" t="s">
        <v>131</v>
      </c>
      <c r="BF142" s="5" t="s">
        <v>868</v>
      </c>
    </row>
    <row r="143" ht="16.5" hidden="1" customHeight="1">
      <c r="A143" s="5" t="s">
        <v>155</v>
      </c>
      <c r="B143" s="5" t="s">
        <v>137</v>
      </c>
      <c r="C143" s="5" t="b">
        <v>1</v>
      </c>
      <c r="D143" s="5" t="s">
        <v>1589</v>
      </c>
      <c r="E143" s="5" t="s">
        <v>1590</v>
      </c>
      <c r="F143" s="5"/>
      <c r="G143" s="5" t="s">
        <v>65</v>
      </c>
      <c r="H143" s="5" t="s">
        <v>84</v>
      </c>
      <c r="I143" s="5" t="s">
        <v>82</v>
      </c>
      <c r="J143" s="25" t="s">
        <v>164</v>
      </c>
      <c r="K143" s="25"/>
      <c r="L143" s="25" t="s">
        <v>110</v>
      </c>
      <c r="M143" s="5" t="s">
        <v>109</v>
      </c>
      <c r="N143" s="5" t="s">
        <v>68</v>
      </c>
      <c r="O143" s="5" t="s">
        <v>69</v>
      </c>
      <c r="P143" s="5" t="s">
        <v>70</v>
      </c>
      <c r="Q143" s="5" t="b">
        <v>1</v>
      </c>
      <c r="R143" s="5" t="b">
        <v>0</v>
      </c>
      <c r="S143" s="5"/>
      <c r="T143" s="5">
        <v>5000.0</v>
      </c>
      <c r="U143" s="26">
        <v>2.1</v>
      </c>
      <c r="V143" s="5">
        <v>2381.0</v>
      </c>
      <c r="W143" s="27">
        <v>0.0</v>
      </c>
      <c r="X143" s="28">
        <v>2381.0</v>
      </c>
      <c r="Y143" s="27">
        <v>1.0</v>
      </c>
      <c r="Z143" s="5" t="s">
        <v>242</v>
      </c>
      <c r="AA143" s="5">
        <v>0.5</v>
      </c>
      <c r="AB143" s="5"/>
      <c r="AC143" s="5" t="s">
        <v>166</v>
      </c>
      <c r="AD143" s="24" t="s">
        <v>0</v>
      </c>
      <c r="AE143" s="5">
        <v>2.0</v>
      </c>
      <c r="AF143" s="5">
        <v>0.0</v>
      </c>
      <c r="AG143" s="5" t="s">
        <v>0</v>
      </c>
      <c r="AH143" s="5" t="s">
        <v>0</v>
      </c>
      <c r="AI143" s="42"/>
      <c r="AJ143" s="28">
        <v>0.0</v>
      </c>
      <c r="AK143" s="28">
        <v>0.0</v>
      </c>
      <c r="AL143" s="28">
        <v>0.0</v>
      </c>
      <c r="AM143" s="28">
        <v>0.0</v>
      </c>
      <c r="AN143" s="28">
        <v>0.0</v>
      </c>
      <c r="AO143" s="28">
        <v>0.0</v>
      </c>
      <c r="AP143" s="28">
        <v>0.0</v>
      </c>
      <c r="AQ143" s="28">
        <v>0.0</v>
      </c>
      <c r="AR143" s="28">
        <v>0.0</v>
      </c>
      <c r="AS143" s="28">
        <v>0.0</v>
      </c>
      <c r="AT143" s="28">
        <v>0.0</v>
      </c>
      <c r="AU143" s="28">
        <v>0.0</v>
      </c>
      <c r="AV143" s="28">
        <v>0.0</v>
      </c>
      <c r="AW143" s="28">
        <v>0.0</v>
      </c>
      <c r="AX143" s="5"/>
      <c r="AY143" s="5" t="s">
        <v>86</v>
      </c>
      <c r="AZ143" s="5" t="s">
        <v>512</v>
      </c>
      <c r="BA143" s="5" t="s">
        <v>88</v>
      </c>
      <c r="BB143" s="5" t="s">
        <v>68</v>
      </c>
      <c r="BC143" s="5" t="s">
        <v>89</v>
      </c>
      <c r="BD143" s="5" t="s">
        <v>132</v>
      </c>
      <c r="BE143" s="5" t="s">
        <v>91</v>
      </c>
    </row>
    <row r="144" ht="16.5" hidden="1" customHeight="1">
      <c r="A144" s="5" t="s">
        <v>155</v>
      </c>
      <c r="B144" s="5" t="s">
        <v>137</v>
      </c>
      <c r="C144" s="5" t="b">
        <v>1</v>
      </c>
      <c r="D144" s="5" t="s">
        <v>1593</v>
      </c>
      <c r="E144" s="5" t="s">
        <v>1594</v>
      </c>
      <c r="F144" s="5"/>
      <c r="G144" s="5" t="s">
        <v>65</v>
      </c>
      <c r="H144" s="5" t="s">
        <v>84</v>
      </c>
      <c r="I144" s="5" t="s">
        <v>82</v>
      </c>
      <c r="J144" s="25" t="s">
        <v>164</v>
      </c>
      <c r="K144" s="25"/>
      <c r="L144" s="25" t="s">
        <v>110</v>
      </c>
      <c r="M144" s="5" t="s">
        <v>109</v>
      </c>
      <c r="N144" s="5" t="s">
        <v>68</v>
      </c>
      <c r="O144" s="5" t="s">
        <v>69</v>
      </c>
      <c r="P144" s="5" t="s">
        <v>107</v>
      </c>
      <c r="Q144" s="5" t="b">
        <v>1</v>
      </c>
      <c r="R144" s="5" t="b">
        <v>0</v>
      </c>
      <c r="S144" s="5"/>
      <c r="T144" s="5">
        <v>5000.0</v>
      </c>
      <c r="U144" s="26">
        <v>2.1</v>
      </c>
      <c r="V144" s="5">
        <v>2381.0</v>
      </c>
      <c r="W144" s="27">
        <v>0.0</v>
      </c>
      <c r="X144" s="28">
        <v>2381.0</v>
      </c>
      <c r="Y144" s="27">
        <v>1.0</v>
      </c>
      <c r="Z144" s="5" t="s">
        <v>242</v>
      </c>
      <c r="AA144" s="27">
        <v>0.5</v>
      </c>
      <c r="AB144" s="26"/>
      <c r="AC144" s="5" t="s">
        <v>166</v>
      </c>
      <c r="AD144" s="24" t="s">
        <v>0</v>
      </c>
      <c r="AE144" s="5">
        <v>2.0</v>
      </c>
      <c r="AF144" s="5">
        <v>0.0</v>
      </c>
      <c r="AG144" s="5" t="s">
        <v>0</v>
      </c>
      <c r="AH144" s="5" t="s">
        <v>0</v>
      </c>
      <c r="AI144" s="42"/>
      <c r="AJ144" s="28">
        <v>0.0</v>
      </c>
      <c r="AK144" s="28">
        <v>0.0</v>
      </c>
      <c r="AL144" s="28">
        <v>0.0</v>
      </c>
      <c r="AM144" s="28">
        <v>0.0</v>
      </c>
      <c r="AN144" s="28">
        <v>0.0</v>
      </c>
      <c r="AO144" s="28">
        <v>0.0</v>
      </c>
      <c r="AP144" s="28">
        <v>0.0</v>
      </c>
      <c r="AQ144" s="28">
        <v>0.0</v>
      </c>
      <c r="AR144" s="28">
        <v>0.0</v>
      </c>
      <c r="AS144" s="28">
        <v>0.0</v>
      </c>
      <c r="AT144" s="28">
        <v>0.0</v>
      </c>
      <c r="AU144" s="28">
        <v>0.0</v>
      </c>
      <c r="AV144" s="28">
        <v>0.0</v>
      </c>
      <c r="AW144" s="28">
        <v>0.0</v>
      </c>
      <c r="AX144" s="5"/>
      <c r="AY144" s="5" t="s">
        <v>86</v>
      </c>
      <c r="AZ144" s="5" t="s">
        <v>512</v>
      </c>
      <c r="BA144" s="5" t="s">
        <v>88</v>
      </c>
      <c r="BB144" s="5" t="s">
        <v>68</v>
      </c>
      <c r="BC144" s="5" t="s">
        <v>89</v>
      </c>
      <c r="BD144" s="5" t="s">
        <v>132</v>
      </c>
      <c r="BE144" s="5" t="s">
        <v>91</v>
      </c>
    </row>
    <row r="145" ht="16.5" hidden="1" customHeight="1">
      <c r="A145" s="5" t="s">
        <v>155</v>
      </c>
      <c r="B145" s="5" t="s">
        <v>137</v>
      </c>
      <c r="C145" s="5" t="b">
        <v>0</v>
      </c>
      <c r="D145" s="5" t="s">
        <v>508</v>
      </c>
      <c r="E145" s="5" t="s">
        <v>509</v>
      </c>
      <c r="F145" s="5"/>
      <c r="G145" s="5" t="s">
        <v>65</v>
      </c>
      <c r="H145" s="5" t="s">
        <v>76</v>
      </c>
      <c r="I145" s="5" t="s">
        <v>106</v>
      </c>
      <c r="J145" s="25" t="s">
        <v>164</v>
      </c>
      <c r="K145" s="25"/>
      <c r="L145" s="25" t="s">
        <v>110</v>
      </c>
      <c r="M145" s="5" t="s">
        <v>109</v>
      </c>
      <c r="N145" s="5" t="s">
        <v>68</v>
      </c>
      <c r="O145" s="5" t="s">
        <v>69</v>
      </c>
      <c r="P145" s="5" t="s">
        <v>70</v>
      </c>
      <c r="Q145" s="5" t="b">
        <v>1</v>
      </c>
      <c r="R145" s="5" t="b">
        <v>0</v>
      </c>
      <c r="S145" s="5"/>
      <c r="T145" s="5">
        <v>3000.0</v>
      </c>
      <c r="U145" s="26">
        <v>2.1</v>
      </c>
      <c r="V145" s="5">
        <v>1429.0</v>
      </c>
      <c r="W145" s="27">
        <v>0.0</v>
      </c>
      <c r="X145" s="28">
        <v>1429.0</v>
      </c>
      <c r="Y145" s="27">
        <v>1.0</v>
      </c>
      <c r="Z145" s="5" t="s">
        <v>117</v>
      </c>
      <c r="AA145" s="5">
        <v>0.6</v>
      </c>
      <c r="AB145" s="5"/>
      <c r="AC145" s="5" t="s">
        <v>511</v>
      </c>
      <c r="AD145" s="5" t="s">
        <v>81</v>
      </c>
      <c r="AE145" s="5">
        <v>3.0</v>
      </c>
      <c r="AF145" s="5">
        <v>3.0</v>
      </c>
      <c r="AG145" s="5" t="s">
        <v>1087</v>
      </c>
      <c r="AH145" s="5" t="s">
        <v>0</v>
      </c>
      <c r="AI145" s="42"/>
      <c r="AJ145" s="28">
        <v>1250.0</v>
      </c>
      <c r="AK145" s="28">
        <v>1070.0</v>
      </c>
      <c r="AL145" s="28">
        <v>0.0</v>
      </c>
      <c r="AM145" s="28">
        <v>2187.0</v>
      </c>
      <c r="AN145" s="28">
        <v>0.0</v>
      </c>
      <c r="AO145" s="28">
        <v>1785712.5</v>
      </c>
      <c r="AP145" s="28">
        <v>1529030.0</v>
      </c>
      <c r="AQ145" s="28">
        <v>0.0</v>
      </c>
      <c r="AR145" s="28">
        <v>3124282.5900000003</v>
      </c>
      <c r="AS145" s="28">
        <v>0.0</v>
      </c>
      <c r="AT145" s="28">
        <v>1357594.8062015504</v>
      </c>
      <c r="AU145" s="28">
        <v>1197069.8487989998</v>
      </c>
      <c r="AV145" s="28">
        <v>0.0</v>
      </c>
      <c r="AW145" s="28">
        <v>2377895.92635659</v>
      </c>
      <c r="AX145" s="5"/>
      <c r="AY145" s="5" t="str">
        <f t="array" ref="AY145">IFERROR(_xlfn.XLOOKUP($E145,'FW27'!$C$3:$C$1102,'FW27'!$AM$3:$AM$1102),"")</f>
        <v>Outdoor</v>
      </c>
      <c r="AZ145" s="5" t="str">
        <f t="array" ref="AZ145">IFERROR(_xlfn.XLOOKUP($E145,'FW27'!$C$3:$C$1102,'FW27'!$AN$3:$AN$1102),"")</f>
        <v>Trail Run &amp; Fast Hike</v>
      </c>
      <c r="BA145" s="32" t="s">
        <v>379</v>
      </c>
      <c r="BB145" s="5" t="str">
        <f t="array" ref="BB145">IFERROR(_xlfn.XLOOKUP($E145,'FW27'!$C$3:$C$1102,'FW27'!$AS$3:$AS$1102),"")</f>
        <v>Shell</v>
      </c>
      <c r="BC145" s="5" t="str">
        <f t="array" ref="BC145">IFERROR(_xlfn.XLOOKUP($E145,'FW27'!$C$3:$C$1102,'FW27'!$AT$3:$AT$1102),"")</f>
        <v>Jacket</v>
      </c>
      <c r="BD145" s="5" t="str">
        <f t="array" ref="BD145">IFERROR(_xlfn.XLOOKUP($E145,'FW27'!$C$3:$C$1102,'FW27'!$AU$3:$AU$1102),"")</f>
        <v>2.5L</v>
      </c>
      <c r="BE145" s="5" t="str">
        <f t="array" ref="BE145">IFERROR(_xlfn.XLOOKUP($E145,'FW27'!$C$3:$C$1102,'FW27'!$AV$3:$AV$1102),"")</f>
        <v>Y</v>
      </c>
    </row>
    <row r="146" ht="16.5" hidden="1" customHeight="1">
      <c r="A146" s="5" t="s">
        <v>155</v>
      </c>
      <c r="B146" s="5" t="s">
        <v>137</v>
      </c>
      <c r="C146" s="5" t="b">
        <v>0</v>
      </c>
      <c r="D146" s="5" t="s">
        <v>515</v>
      </c>
      <c r="E146" s="5" t="s">
        <v>516</v>
      </c>
      <c r="F146" s="5"/>
      <c r="G146" s="5" t="s">
        <v>65</v>
      </c>
      <c r="H146" s="5" t="s">
        <v>76</v>
      </c>
      <c r="I146" s="5" t="s">
        <v>106</v>
      </c>
      <c r="J146" s="25" t="s">
        <v>164</v>
      </c>
      <c r="K146" s="25"/>
      <c r="L146" s="25" t="s">
        <v>110</v>
      </c>
      <c r="M146" s="5" t="s">
        <v>109</v>
      </c>
      <c r="N146" s="5" t="s">
        <v>68</v>
      </c>
      <c r="O146" s="5" t="s">
        <v>69</v>
      </c>
      <c r="P146" s="5" t="s">
        <v>107</v>
      </c>
      <c r="Q146" s="5" t="b">
        <v>1</v>
      </c>
      <c r="R146" s="5" t="b">
        <v>0</v>
      </c>
      <c r="S146" s="5"/>
      <c r="T146" s="5">
        <v>3000.0</v>
      </c>
      <c r="U146" s="26">
        <v>2.1</v>
      </c>
      <c r="V146" s="5">
        <v>1429.0</v>
      </c>
      <c r="W146" s="27">
        <v>0.0</v>
      </c>
      <c r="X146" s="28">
        <v>1429.0</v>
      </c>
      <c r="Y146" s="27">
        <v>1.0</v>
      </c>
      <c r="Z146" s="5" t="s">
        <v>117</v>
      </c>
      <c r="AA146" s="5">
        <v>0.62</v>
      </c>
      <c r="AB146" s="5"/>
      <c r="AC146" s="5" t="s">
        <v>511</v>
      </c>
      <c r="AD146" s="5" t="s">
        <v>81</v>
      </c>
      <c r="AE146" s="5">
        <v>4.0</v>
      </c>
      <c r="AF146" s="5">
        <v>4.0</v>
      </c>
      <c r="AG146" s="5" t="s">
        <v>1087</v>
      </c>
      <c r="AH146" s="5" t="s">
        <v>0</v>
      </c>
      <c r="AI146" s="42"/>
      <c r="AJ146" s="28">
        <v>1181.0</v>
      </c>
      <c r="AK146" s="28">
        <v>1006.0</v>
      </c>
      <c r="AL146" s="28">
        <v>0.0</v>
      </c>
      <c r="AM146" s="28">
        <v>1700.0</v>
      </c>
      <c r="AN146" s="28">
        <v>0.0</v>
      </c>
      <c r="AO146" s="28">
        <v>1687141.17</v>
      </c>
      <c r="AP146" s="28">
        <v>1437574.0</v>
      </c>
      <c r="AQ146" s="28">
        <v>0.0</v>
      </c>
      <c r="AR146" s="28">
        <v>2428569.0000000005</v>
      </c>
      <c r="AS146" s="28">
        <v>0.0</v>
      </c>
      <c r="AT146" s="28">
        <v>1307495.3218161683</v>
      </c>
      <c r="AU146" s="28">
        <v>1121741.8091019997</v>
      </c>
      <c r="AV146" s="28">
        <v>0.0</v>
      </c>
      <c r="AW146" s="28">
        <v>1877968.9878183831</v>
      </c>
      <c r="AX146" s="5"/>
      <c r="AY146" s="5" t="str">
        <f t="array" ref="AY146">IFERROR(_xlfn.XLOOKUP($E146,'FW27'!$C$3:$C$1102,'FW27'!$AM$3:$AM$1102),"")</f>
        <v>Outdoor</v>
      </c>
      <c r="AZ146" s="5" t="str">
        <f t="array" ref="AZ146">IFERROR(_xlfn.XLOOKUP($E146,'FW27'!$C$3:$C$1102,'FW27'!$AN$3:$AN$1102),"")</f>
        <v>Trail Run &amp; Fast Hike</v>
      </c>
      <c r="BA146" s="32" t="s">
        <v>379</v>
      </c>
      <c r="BB146" s="5" t="str">
        <f t="array" ref="BB146">IFERROR(_xlfn.XLOOKUP($E146,'FW27'!$C$3:$C$1102,'FW27'!$AS$3:$AS$1102),"")</f>
        <v>Shell</v>
      </c>
      <c r="BC146" s="5" t="str">
        <f t="array" ref="BC146">IFERROR(_xlfn.XLOOKUP($E146,'FW27'!$C$3:$C$1102,'FW27'!$AT$3:$AT$1102),"")</f>
        <v>Jacket</v>
      </c>
      <c r="BD146" s="5" t="str">
        <f t="array" ref="BD146">IFERROR(_xlfn.XLOOKUP($E146,'FW27'!$C$3:$C$1102,'FW27'!$AU$3:$AU$1102),"")</f>
        <v>2.5L</v>
      </c>
      <c r="BE146" s="5" t="str">
        <f t="array" ref="BE146">IFERROR(_xlfn.XLOOKUP($E146,'FW27'!$C$3:$C$1102,'FW27'!$AV$3:$AV$1102),"")</f>
        <v>Y</v>
      </c>
    </row>
    <row r="147" ht="16.5" hidden="1" customHeight="1">
      <c r="A147" s="5" t="s">
        <v>155</v>
      </c>
      <c r="B147" s="5" t="s">
        <v>137</v>
      </c>
      <c r="C147" s="5" t="b">
        <v>0</v>
      </c>
      <c r="D147" s="5" t="s">
        <v>519</v>
      </c>
      <c r="E147" s="5" t="s">
        <v>520</v>
      </c>
      <c r="F147" s="5"/>
      <c r="G147" s="5" t="s">
        <v>65</v>
      </c>
      <c r="H147" s="5" t="s">
        <v>76</v>
      </c>
      <c r="I147" s="5" t="s">
        <v>106</v>
      </c>
      <c r="J147" s="25" t="s">
        <v>164</v>
      </c>
      <c r="K147" s="25"/>
      <c r="L147" s="25" t="s">
        <v>181</v>
      </c>
      <c r="M147" s="5" t="s">
        <v>109</v>
      </c>
      <c r="N147" s="5" t="s">
        <v>68</v>
      </c>
      <c r="O147" s="5" t="s">
        <v>69</v>
      </c>
      <c r="P147" s="5" t="s">
        <v>70</v>
      </c>
      <c r="Q147" s="5" t="b">
        <v>1</v>
      </c>
      <c r="R147" s="5" t="b">
        <v>0</v>
      </c>
      <c r="S147" s="5"/>
      <c r="T147" s="5">
        <v>1700.0</v>
      </c>
      <c r="U147" s="26">
        <v>2.1</v>
      </c>
      <c r="V147" s="5">
        <v>810.0</v>
      </c>
      <c r="W147" s="27">
        <v>0.0</v>
      </c>
      <c r="X147" s="28">
        <v>810.0</v>
      </c>
      <c r="Y147" s="27">
        <v>1.0</v>
      </c>
      <c r="Z147" s="5" t="s">
        <v>117</v>
      </c>
      <c r="AA147" s="27">
        <v>0.6</v>
      </c>
      <c r="AB147" s="26"/>
      <c r="AC147" s="5" t="s">
        <v>511</v>
      </c>
      <c r="AD147" s="5" t="s">
        <v>81</v>
      </c>
      <c r="AE147" s="5">
        <v>1.0</v>
      </c>
      <c r="AF147" s="5">
        <v>1.0</v>
      </c>
      <c r="AG147" s="5" t="s">
        <v>1097</v>
      </c>
      <c r="AH147" s="5" t="s">
        <v>0</v>
      </c>
      <c r="AI147" s="42"/>
      <c r="AJ147" s="28">
        <v>690.0</v>
      </c>
      <c r="AK147" s="28">
        <v>630.0</v>
      </c>
      <c r="AL147" s="28">
        <v>0.0</v>
      </c>
      <c r="AM147" s="28">
        <v>697.0</v>
      </c>
      <c r="AN147" s="28">
        <v>0.0</v>
      </c>
      <c r="AO147" s="28">
        <v>558568.8</v>
      </c>
      <c r="AP147" s="28">
        <v>510300.0</v>
      </c>
      <c r="AQ147" s="28">
        <v>0.0</v>
      </c>
      <c r="AR147" s="28">
        <v>564235.44</v>
      </c>
      <c r="AS147" s="28">
        <v>0.0</v>
      </c>
      <c r="AT147" s="28">
        <v>449813.31561461795</v>
      </c>
      <c r="AU147" s="28">
        <v>430948.794028</v>
      </c>
      <c r="AV147" s="28">
        <v>0.0</v>
      </c>
      <c r="AW147" s="28">
        <v>441618.5567552603</v>
      </c>
      <c r="AX147" s="5"/>
      <c r="AY147" s="5" t="str">
        <f t="array" ref="AY147">IFERROR(_xlfn.XLOOKUP($E147,'FW27'!$C$3:$C$1102,'FW27'!$AM$3:$AM$1102),"")</f>
        <v>Outdoor</v>
      </c>
      <c r="AZ147" s="5" t="str">
        <f t="array" ref="AZ147">IFERROR(_xlfn.XLOOKUP($E147,'FW27'!$C$3:$C$1102,'FW27'!$AN$3:$AN$1102),"")</f>
        <v>Trail Run &amp; Fast Hike</v>
      </c>
      <c r="BA147" s="32" t="s">
        <v>379</v>
      </c>
      <c r="BB147" s="5" t="str">
        <f t="array" ref="BB147">IFERROR(_xlfn.XLOOKUP($E147,'FW27'!$C$3:$C$1102,'FW27'!$AS$3:$AS$1102),"")</f>
        <v>Shell</v>
      </c>
      <c r="BC147" s="5" t="str">
        <f t="array" ref="BC147">IFERROR(_xlfn.XLOOKUP($E147,'FW27'!$C$3:$C$1102,'FW27'!$AT$3:$AT$1102),"")</f>
        <v>Pant</v>
      </c>
      <c r="BD147" s="5" t="str">
        <f t="array" ref="BD147">IFERROR(_xlfn.XLOOKUP($E147,'FW27'!$C$3:$C$1102,'FW27'!$AU$3:$AU$1102),"")</f>
        <v>2.5L</v>
      </c>
      <c r="BE147" s="5" t="str">
        <f t="array" ref="BE147">IFERROR(_xlfn.XLOOKUP($E147,'FW27'!$C$3:$C$1102,'FW27'!$AV$3:$AV$1102),"")</f>
        <v>Y</v>
      </c>
    </row>
    <row r="148" ht="16.5" hidden="1" customHeight="1">
      <c r="A148" s="5" t="s">
        <v>155</v>
      </c>
      <c r="B148" s="5" t="s">
        <v>137</v>
      </c>
      <c r="C148" s="5" t="b">
        <v>0</v>
      </c>
      <c r="D148" s="5" t="s">
        <v>521</v>
      </c>
      <c r="E148" s="5" t="s">
        <v>522</v>
      </c>
      <c r="F148" s="5"/>
      <c r="G148" s="5" t="s">
        <v>65</v>
      </c>
      <c r="H148" s="5" t="s">
        <v>76</v>
      </c>
      <c r="I148" s="5" t="s">
        <v>106</v>
      </c>
      <c r="J148" s="25" t="s">
        <v>164</v>
      </c>
      <c r="K148" s="25"/>
      <c r="L148" s="25" t="s">
        <v>181</v>
      </c>
      <c r="M148" s="5" t="s">
        <v>109</v>
      </c>
      <c r="N148" s="5" t="s">
        <v>68</v>
      </c>
      <c r="O148" s="5" t="s">
        <v>69</v>
      </c>
      <c r="P148" s="5" t="s">
        <v>107</v>
      </c>
      <c r="Q148" s="5" t="b">
        <v>1</v>
      </c>
      <c r="R148" s="5" t="b">
        <v>0</v>
      </c>
      <c r="S148" s="5"/>
      <c r="T148" s="5">
        <v>1700.0</v>
      </c>
      <c r="U148" s="26">
        <v>2.1</v>
      </c>
      <c r="V148" s="5">
        <v>810.0</v>
      </c>
      <c r="W148" s="27">
        <v>0.0</v>
      </c>
      <c r="X148" s="28">
        <v>810.0</v>
      </c>
      <c r="Y148" s="27">
        <v>1.0</v>
      </c>
      <c r="Z148" s="5" t="s">
        <v>117</v>
      </c>
      <c r="AA148" s="27">
        <v>0.62</v>
      </c>
      <c r="AB148" s="26"/>
      <c r="AC148" s="5" t="s">
        <v>511</v>
      </c>
      <c r="AD148" s="5" t="s">
        <v>81</v>
      </c>
      <c r="AE148" s="5">
        <v>1.0</v>
      </c>
      <c r="AF148" s="5">
        <v>1.0</v>
      </c>
      <c r="AG148" s="5" t="s">
        <v>1097</v>
      </c>
      <c r="AH148" s="5" t="s">
        <v>0</v>
      </c>
      <c r="AI148" s="42"/>
      <c r="AJ148" s="28">
        <v>622.0</v>
      </c>
      <c r="AK148" s="28">
        <v>552.0</v>
      </c>
      <c r="AL148" s="28">
        <v>0.0</v>
      </c>
      <c r="AM148" s="28">
        <v>654.0</v>
      </c>
      <c r="AN148" s="28">
        <v>0.0</v>
      </c>
      <c r="AO148" s="28">
        <v>503521.43999999994</v>
      </c>
      <c r="AP148" s="28">
        <v>447120.0</v>
      </c>
      <c r="AQ148" s="28">
        <v>0.0</v>
      </c>
      <c r="AR148" s="28">
        <v>529426.0800000001</v>
      </c>
      <c r="AS148" s="28">
        <v>0.0</v>
      </c>
      <c r="AT148" s="28">
        <v>405484.19180509413</v>
      </c>
      <c r="AU148" s="28">
        <v>376127.90473999997</v>
      </c>
      <c r="AV148" s="28">
        <v>0.0</v>
      </c>
      <c r="AW148" s="28">
        <v>425514.57259136223</v>
      </c>
      <c r="AX148" s="5"/>
      <c r="AY148" s="5" t="str">
        <f t="array" ref="AY148">IFERROR(_xlfn.XLOOKUP($E148,'FW27'!$C$3:$C$1102,'FW27'!$AM$3:$AM$1102),"")</f>
        <v>Outdoor</v>
      </c>
      <c r="AZ148" s="5" t="str">
        <f t="array" ref="AZ148">IFERROR(_xlfn.XLOOKUP($E148,'FW27'!$C$3:$C$1102,'FW27'!$AN$3:$AN$1102),"")</f>
        <v>Trail Run &amp; Fast Hike</v>
      </c>
      <c r="BA148" s="32" t="s">
        <v>379</v>
      </c>
      <c r="BB148" s="5" t="str">
        <f t="array" ref="BB148">IFERROR(_xlfn.XLOOKUP($E148,'FW27'!$C$3:$C$1102,'FW27'!$AS$3:$AS$1102),"")</f>
        <v>Shell</v>
      </c>
      <c r="BC148" s="5" t="str">
        <f t="array" ref="BC148">IFERROR(_xlfn.XLOOKUP($E148,'FW27'!$C$3:$C$1102,'FW27'!$AT$3:$AT$1102),"")</f>
        <v>Pant</v>
      </c>
      <c r="BD148" s="5" t="str">
        <f t="array" ref="BD148">IFERROR(_xlfn.XLOOKUP($E148,'FW27'!$C$3:$C$1102,'FW27'!$AU$3:$AU$1102),"")</f>
        <v>2.5L</v>
      </c>
      <c r="BE148" s="5" t="str">
        <f t="array" ref="BE148">IFERROR(_xlfn.XLOOKUP($E148,'FW27'!$C$3:$C$1102,'FW27'!$AV$3:$AV$1102),"")</f>
        <v>Y</v>
      </c>
    </row>
    <row r="149" ht="16.5" hidden="1" customHeight="1">
      <c r="A149" s="5" t="s">
        <v>155</v>
      </c>
      <c r="B149" s="5" t="s">
        <v>137</v>
      </c>
      <c r="C149" s="5" t="b">
        <v>0</v>
      </c>
      <c r="D149" s="5" t="s">
        <v>524</v>
      </c>
      <c r="E149" s="5" t="s">
        <v>525</v>
      </c>
      <c r="F149" s="5"/>
      <c r="G149" s="5" t="s">
        <v>65</v>
      </c>
      <c r="H149" s="5" t="s">
        <v>76</v>
      </c>
      <c r="I149" s="5" t="s">
        <v>106</v>
      </c>
      <c r="J149" s="25" t="s">
        <v>164</v>
      </c>
      <c r="K149" s="25"/>
      <c r="L149" s="25" t="s">
        <v>110</v>
      </c>
      <c r="M149" s="5" t="s">
        <v>109</v>
      </c>
      <c r="N149" s="5" t="s">
        <v>68</v>
      </c>
      <c r="O149" s="5" t="s">
        <v>69</v>
      </c>
      <c r="P149" s="5" t="s">
        <v>70</v>
      </c>
      <c r="Q149" s="5" t="b">
        <v>1</v>
      </c>
      <c r="R149" s="5" t="b">
        <v>0</v>
      </c>
      <c r="S149" s="5"/>
      <c r="T149" s="5">
        <v>5000.0</v>
      </c>
      <c r="U149" s="26">
        <v>2.1</v>
      </c>
      <c r="V149" s="5">
        <v>2381.0</v>
      </c>
      <c r="W149" s="27">
        <v>0.0</v>
      </c>
      <c r="X149" s="28">
        <v>2381.0</v>
      </c>
      <c r="Y149" s="27">
        <v>1.0</v>
      </c>
      <c r="Z149" s="5" t="s">
        <v>242</v>
      </c>
      <c r="AA149" s="27">
        <v>0.5</v>
      </c>
      <c r="AB149" s="26"/>
      <c r="AC149" s="5" t="s">
        <v>80</v>
      </c>
      <c r="AD149" s="5" t="s">
        <v>81</v>
      </c>
      <c r="AE149" s="5">
        <v>4.0</v>
      </c>
      <c r="AF149" s="5">
        <v>4.0</v>
      </c>
      <c r="AG149" s="5" t="s">
        <v>1105</v>
      </c>
      <c r="AH149" s="5" t="s">
        <v>0</v>
      </c>
      <c r="AI149" s="42"/>
      <c r="AJ149" s="28">
        <v>1143.0</v>
      </c>
      <c r="AK149" s="28">
        <v>1702.0</v>
      </c>
      <c r="AL149" s="28">
        <v>0.0</v>
      </c>
      <c r="AM149" s="28">
        <v>1716.0</v>
      </c>
      <c r="AN149" s="28">
        <v>0.0</v>
      </c>
      <c r="AO149" s="28">
        <v>2721425.85</v>
      </c>
      <c r="AP149" s="28">
        <v>4052462.0</v>
      </c>
      <c r="AQ149" s="28">
        <v>0.0</v>
      </c>
      <c r="AR149" s="28">
        <v>4085710.2</v>
      </c>
      <c r="AS149" s="28">
        <v>0.0</v>
      </c>
      <c r="AT149" s="28">
        <v>2325443.625138427</v>
      </c>
      <c r="AU149" s="28">
        <v>3064350.0907779993</v>
      </c>
      <c r="AV149" s="28">
        <v>0.0</v>
      </c>
      <c r="AW149" s="28">
        <v>2990966.528349944</v>
      </c>
      <c r="AX149" s="5"/>
      <c r="AY149" s="5" t="str">
        <f t="array" ref="AY149">IFERROR(_xlfn.XLOOKUP($E149,'FW27'!$C$3:$C$1102,'FW27'!$AM$3:$AM$1102),"")</f>
        <v>Outdoor</v>
      </c>
      <c r="AZ149" s="5" t="str">
        <f t="array" ref="AZ149">IFERROR(_xlfn.XLOOKUP($E149,'FW27'!$C$3:$C$1102,'FW27'!$AN$3:$AN$1102),"")</f>
        <v>Trail Run &amp; Fast Hike</v>
      </c>
      <c r="BA149" s="32" t="s">
        <v>379</v>
      </c>
      <c r="BB149" s="5" t="str">
        <f t="array" ref="BB149">IFERROR(_xlfn.XLOOKUP($E149,'FW27'!$C$3:$C$1102,'FW27'!$AS$3:$AS$1102),"")</f>
        <v>Shell</v>
      </c>
      <c r="BC149" s="5" t="str">
        <f t="array" ref="BC149">IFERROR(_xlfn.XLOOKUP($E149,'FW27'!$C$3:$C$1102,'FW27'!$AT$3:$AT$1102),"")</f>
        <v>Jacket</v>
      </c>
      <c r="BD149" s="5" t="str">
        <f t="array" ref="BD149">IFERROR(_xlfn.XLOOKUP($E149,'FW27'!$C$3:$C$1102,'FW27'!$AU$3:$AU$1102),"")</f>
        <v>3L</v>
      </c>
      <c r="BE149" s="5" t="str">
        <f t="array" ref="BE149">IFERROR(_xlfn.XLOOKUP($E149,'FW27'!$C$3:$C$1102,'FW27'!$AV$3:$AV$1102),"")</f>
        <v>Y</v>
      </c>
    </row>
    <row r="150" ht="16.5" hidden="1" customHeight="1">
      <c r="A150" s="5" t="s">
        <v>155</v>
      </c>
      <c r="B150" s="5" t="s">
        <v>137</v>
      </c>
      <c r="C150" s="5" t="b">
        <v>0</v>
      </c>
      <c r="D150" s="5" t="s">
        <v>531</v>
      </c>
      <c r="E150" s="5" t="s">
        <v>532</v>
      </c>
      <c r="F150" s="5"/>
      <c r="G150" s="5" t="s">
        <v>65</v>
      </c>
      <c r="H150" s="5" t="s">
        <v>76</v>
      </c>
      <c r="I150" s="5" t="s">
        <v>106</v>
      </c>
      <c r="J150" s="25" t="s">
        <v>164</v>
      </c>
      <c r="K150" s="25"/>
      <c r="L150" s="25" t="s">
        <v>110</v>
      </c>
      <c r="M150" s="5" t="s">
        <v>109</v>
      </c>
      <c r="N150" s="5" t="s">
        <v>68</v>
      </c>
      <c r="O150" s="5" t="s">
        <v>69</v>
      </c>
      <c r="P150" s="5" t="s">
        <v>107</v>
      </c>
      <c r="Q150" s="5" t="b">
        <v>1</v>
      </c>
      <c r="R150" s="5" t="b">
        <v>0</v>
      </c>
      <c r="S150" s="5"/>
      <c r="T150" s="5">
        <v>5000.0</v>
      </c>
      <c r="U150" s="26">
        <v>2.1</v>
      </c>
      <c r="V150" s="5">
        <v>2381.0</v>
      </c>
      <c r="W150" s="27">
        <v>0.0</v>
      </c>
      <c r="X150" s="28">
        <v>2381.0</v>
      </c>
      <c r="Y150" s="27">
        <v>1.0</v>
      </c>
      <c r="Z150" s="5" t="s">
        <v>242</v>
      </c>
      <c r="AA150" s="27">
        <v>0.52</v>
      </c>
      <c r="AB150" s="26"/>
      <c r="AC150" s="5" t="s">
        <v>80</v>
      </c>
      <c r="AD150" s="5" t="s">
        <v>81</v>
      </c>
      <c r="AE150" s="5">
        <v>4.0</v>
      </c>
      <c r="AF150" s="5">
        <v>4.0</v>
      </c>
      <c r="AG150" s="5" t="s">
        <v>1116</v>
      </c>
      <c r="AH150" s="5" t="s">
        <v>0</v>
      </c>
      <c r="AI150" s="42"/>
      <c r="AJ150" s="28">
        <v>879.0</v>
      </c>
      <c r="AK150" s="28">
        <v>1098.0</v>
      </c>
      <c r="AL150" s="28">
        <v>0.0</v>
      </c>
      <c r="AM150" s="28">
        <v>1154.0</v>
      </c>
      <c r="AN150" s="28">
        <v>0.0</v>
      </c>
      <c r="AO150" s="28">
        <v>2092855.0499999998</v>
      </c>
      <c r="AP150" s="28">
        <v>2614338.0</v>
      </c>
      <c r="AQ150" s="28">
        <v>0.0</v>
      </c>
      <c r="AR150" s="28">
        <v>2747616.3</v>
      </c>
      <c r="AS150" s="28">
        <v>0.0</v>
      </c>
      <c r="AT150" s="28">
        <v>1779971.7469545957</v>
      </c>
      <c r="AU150" s="28">
        <v>2076572.1034519996</v>
      </c>
      <c r="AV150" s="28">
        <v>0.0</v>
      </c>
      <c r="AW150" s="28">
        <v>2067115.2633444075</v>
      </c>
      <c r="AX150" s="5"/>
      <c r="AY150" s="5" t="str">
        <f t="array" ref="AY150">IFERROR(_xlfn.XLOOKUP($E150,'FW27'!$C$3:$C$1102,'FW27'!$AM$3:$AM$1102),"")</f>
        <v>Outdoor</v>
      </c>
      <c r="AZ150" s="5" t="str">
        <f t="array" ref="AZ150">IFERROR(_xlfn.XLOOKUP($E150,'FW27'!$C$3:$C$1102,'FW27'!$AN$3:$AN$1102),"")</f>
        <v>Trail Run &amp; Fast Hike</v>
      </c>
      <c r="BA150" s="32" t="s">
        <v>379</v>
      </c>
      <c r="BB150" s="5" t="str">
        <f t="array" ref="BB150">IFERROR(_xlfn.XLOOKUP($E150,'FW27'!$C$3:$C$1102,'FW27'!$AS$3:$AS$1102),"")</f>
        <v>Shell</v>
      </c>
      <c r="BC150" s="5" t="str">
        <f t="array" ref="BC150">IFERROR(_xlfn.XLOOKUP($E150,'FW27'!$C$3:$C$1102,'FW27'!$AT$3:$AT$1102),"")</f>
        <v>Jacket</v>
      </c>
      <c r="BD150" s="5" t="str">
        <f t="array" ref="BD150">IFERROR(_xlfn.XLOOKUP($E150,'FW27'!$C$3:$C$1102,'FW27'!$AU$3:$AU$1102),"")</f>
        <v>3L</v>
      </c>
      <c r="BE150" s="5" t="str">
        <f t="array" ref="BE150">IFERROR(_xlfn.XLOOKUP($E150,'FW27'!$C$3:$C$1102,'FW27'!$AV$3:$AV$1102),"")</f>
        <v>Y</v>
      </c>
    </row>
    <row r="151" ht="16.5" hidden="1" customHeight="1">
      <c r="A151" s="5" t="s">
        <v>155</v>
      </c>
      <c r="B151" s="5" t="s">
        <v>200</v>
      </c>
      <c r="C151" s="5" t="b">
        <v>0</v>
      </c>
      <c r="D151" s="5" t="s">
        <v>534</v>
      </c>
      <c r="E151" s="5" t="s">
        <v>535</v>
      </c>
      <c r="F151" s="5"/>
      <c r="G151" s="5" t="s">
        <v>65</v>
      </c>
      <c r="H151" s="5" t="s">
        <v>84</v>
      </c>
      <c r="I151" s="5" t="s">
        <v>106</v>
      </c>
      <c r="J151" s="25" t="s">
        <v>413</v>
      </c>
      <c r="K151" s="25"/>
      <c r="L151" s="25"/>
      <c r="M151" s="5" t="s">
        <v>109</v>
      </c>
      <c r="N151" s="5" t="s">
        <v>334</v>
      </c>
      <c r="O151" s="5" t="s">
        <v>69</v>
      </c>
      <c r="P151" s="5" t="s">
        <v>107</v>
      </c>
      <c r="Q151" s="5" t="b">
        <v>1</v>
      </c>
      <c r="R151" s="5" t="b">
        <v>0</v>
      </c>
      <c r="S151" s="5"/>
      <c r="T151" s="5">
        <v>700.0</v>
      </c>
      <c r="U151" s="26">
        <v>2.1</v>
      </c>
      <c r="V151" s="5">
        <v>333.0</v>
      </c>
      <c r="W151" s="27">
        <v>0.0</v>
      </c>
      <c r="X151" s="28">
        <v>333.0</v>
      </c>
      <c r="Y151" s="27">
        <v>1.0</v>
      </c>
      <c r="Z151" s="5" t="s">
        <v>117</v>
      </c>
      <c r="AA151" s="27">
        <v>0.63</v>
      </c>
      <c r="AB151" s="26"/>
      <c r="AC151" s="5" t="s">
        <v>273</v>
      </c>
      <c r="AD151" s="5" t="s">
        <v>81</v>
      </c>
      <c r="AE151" s="5">
        <v>4.0</v>
      </c>
      <c r="AF151" s="5">
        <v>1.0</v>
      </c>
      <c r="AG151" s="5" t="s">
        <v>1637</v>
      </c>
      <c r="AH151" s="5" t="s">
        <v>0</v>
      </c>
      <c r="AI151" s="42"/>
      <c r="AJ151" s="28">
        <v>0.0</v>
      </c>
      <c r="AK151" s="28">
        <v>0.0</v>
      </c>
      <c r="AL151" s="28">
        <v>0.0</v>
      </c>
      <c r="AM151" s="28">
        <v>2172.0</v>
      </c>
      <c r="AN151" s="28">
        <v>0.0</v>
      </c>
      <c r="AO151" s="28">
        <v>0.0</v>
      </c>
      <c r="AP151" s="28">
        <v>0.0</v>
      </c>
      <c r="AQ151" s="28">
        <v>0.0</v>
      </c>
      <c r="AR151" s="28">
        <v>723992.76</v>
      </c>
      <c r="AS151" s="28">
        <v>0.0</v>
      </c>
      <c r="AT151" s="28">
        <v>0.0</v>
      </c>
      <c r="AU151" s="28">
        <v>0.0</v>
      </c>
      <c r="AV151" s="28">
        <v>0.0</v>
      </c>
      <c r="AW151" s="28">
        <v>535493.1738648948</v>
      </c>
      <c r="AX151" s="5"/>
      <c r="AY151" s="5" t="s">
        <v>86</v>
      </c>
      <c r="AZ151" s="5" t="s">
        <v>512</v>
      </c>
      <c r="BA151" s="5" t="s">
        <v>88</v>
      </c>
      <c r="BB151" s="5" t="s">
        <v>334</v>
      </c>
      <c r="BC151" s="5" t="s">
        <v>348</v>
      </c>
      <c r="BD151" s="5" t="s">
        <v>539</v>
      </c>
      <c r="BE151" s="5" t="s">
        <v>131</v>
      </c>
      <c r="BF151" s="5" t="s">
        <v>1639</v>
      </c>
    </row>
    <row r="152" ht="16.5" hidden="1" customHeight="1">
      <c r="A152" s="5" t="s">
        <v>155</v>
      </c>
      <c r="B152" s="5" t="s">
        <v>200</v>
      </c>
      <c r="C152" s="5" t="b">
        <v>0</v>
      </c>
      <c r="D152" s="5" t="s">
        <v>540</v>
      </c>
      <c r="E152" s="5" t="s">
        <v>541</v>
      </c>
      <c r="F152" s="5"/>
      <c r="G152" s="5" t="s">
        <v>65</v>
      </c>
      <c r="H152" s="5" t="s">
        <v>84</v>
      </c>
      <c r="I152" s="5" t="s">
        <v>106</v>
      </c>
      <c r="J152" s="25" t="s">
        <v>413</v>
      </c>
      <c r="K152" s="25"/>
      <c r="L152" s="25"/>
      <c r="M152" s="5" t="s">
        <v>109</v>
      </c>
      <c r="N152" s="5" t="s">
        <v>334</v>
      </c>
      <c r="O152" s="5" t="s">
        <v>69</v>
      </c>
      <c r="P152" s="5" t="s">
        <v>70</v>
      </c>
      <c r="Q152" s="5" t="b">
        <v>1</v>
      </c>
      <c r="R152" s="5" t="b">
        <v>0</v>
      </c>
      <c r="S152" s="5"/>
      <c r="T152" s="5">
        <v>700.0</v>
      </c>
      <c r="U152" s="26">
        <v>2.1</v>
      </c>
      <c r="V152" s="5">
        <v>333.0</v>
      </c>
      <c r="W152" s="27">
        <v>0.0</v>
      </c>
      <c r="X152" s="28">
        <v>333.0</v>
      </c>
      <c r="Y152" s="27">
        <v>1.0</v>
      </c>
      <c r="Z152" s="5" t="s">
        <v>117</v>
      </c>
      <c r="AA152" s="27">
        <v>0.61</v>
      </c>
      <c r="AB152" s="26"/>
      <c r="AC152" s="5" t="s">
        <v>273</v>
      </c>
      <c r="AD152" s="5" t="s">
        <v>81</v>
      </c>
      <c r="AE152" s="5">
        <v>4.0</v>
      </c>
      <c r="AF152" s="5">
        <v>1.0</v>
      </c>
      <c r="AG152" s="5" t="s">
        <v>1637</v>
      </c>
      <c r="AH152" s="5" t="s">
        <v>0</v>
      </c>
      <c r="AI152" s="42"/>
      <c r="AJ152" s="28">
        <v>0.0</v>
      </c>
      <c r="AK152" s="28">
        <v>80.0</v>
      </c>
      <c r="AL152" s="28">
        <v>0.0</v>
      </c>
      <c r="AM152" s="28">
        <v>2652.0</v>
      </c>
      <c r="AN152" s="28">
        <v>0.0</v>
      </c>
      <c r="AO152" s="28">
        <v>0.0</v>
      </c>
      <c r="AP152" s="28">
        <v>26640.0</v>
      </c>
      <c r="AQ152" s="28">
        <v>0.0</v>
      </c>
      <c r="AR152" s="28">
        <v>883991.16</v>
      </c>
      <c r="AS152" s="28">
        <v>0.0</v>
      </c>
      <c r="AT152" s="28">
        <v>0.0</v>
      </c>
      <c r="AU152" s="28">
        <v>23048.928</v>
      </c>
      <c r="AV152" s="28">
        <v>0.0</v>
      </c>
      <c r="AW152" s="28">
        <v>637875.234994463</v>
      </c>
      <c r="AX152" s="5"/>
      <c r="AY152" s="5" t="s">
        <v>86</v>
      </c>
      <c r="AZ152" s="5" t="s">
        <v>512</v>
      </c>
      <c r="BA152" s="5" t="s">
        <v>88</v>
      </c>
      <c r="BB152" s="5" t="s">
        <v>334</v>
      </c>
      <c r="BC152" s="5" t="s">
        <v>348</v>
      </c>
      <c r="BD152" s="5" t="s">
        <v>539</v>
      </c>
      <c r="BE152" s="5" t="s">
        <v>131</v>
      </c>
      <c r="BF152" s="5" t="s">
        <v>1639</v>
      </c>
    </row>
    <row r="153" ht="16.5" hidden="1" customHeight="1">
      <c r="A153" s="5" t="s">
        <v>155</v>
      </c>
      <c r="B153" s="5" t="s">
        <v>137</v>
      </c>
      <c r="C153" s="5" t="b">
        <v>1</v>
      </c>
      <c r="D153" s="5" t="s">
        <v>1642</v>
      </c>
      <c r="E153" s="5" t="s">
        <v>1644</v>
      </c>
      <c r="F153" s="5"/>
      <c r="G153" s="5" t="s">
        <v>65</v>
      </c>
      <c r="H153" s="5" t="s">
        <v>84</v>
      </c>
      <c r="I153" s="5" t="s">
        <v>82</v>
      </c>
      <c r="J153" s="25" t="s">
        <v>164</v>
      </c>
      <c r="K153" s="25"/>
      <c r="L153" s="25" t="s">
        <v>110</v>
      </c>
      <c r="M153" s="5" t="s">
        <v>109</v>
      </c>
      <c r="N153" s="5" t="s">
        <v>355</v>
      </c>
      <c r="O153" s="5" t="s">
        <v>69</v>
      </c>
      <c r="P153" s="5" t="s">
        <v>70</v>
      </c>
      <c r="Q153" s="5" t="b">
        <v>1</v>
      </c>
      <c r="R153" s="5" t="b">
        <v>0</v>
      </c>
      <c r="S153" s="5"/>
      <c r="T153" s="5">
        <v>6000.0</v>
      </c>
      <c r="U153" s="26">
        <v>2.1</v>
      </c>
      <c r="V153" s="5">
        <v>2857.0</v>
      </c>
      <c r="W153" s="27">
        <v>0.0</v>
      </c>
      <c r="X153" s="28">
        <v>2857.0</v>
      </c>
      <c r="Y153" s="27">
        <v>1.0</v>
      </c>
      <c r="Z153" s="5" t="s">
        <v>242</v>
      </c>
      <c r="AA153" s="27">
        <v>0.5</v>
      </c>
      <c r="AB153" s="26"/>
      <c r="AC153" s="5" t="s">
        <v>359</v>
      </c>
      <c r="AD153" s="24" t="s">
        <v>0</v>
      </c>
      <c r="AE153" s="5">
        <v>2.0</v>
      </c>
      <c r="AF153" s="5">
        <v>0.0</v>
      </c>
      <c r="AG153" s="5" t="s">
        <v>0</v>
      </c>
      <c r="AH153" s="5" t="s">
        <v>0</v>
      </c>
      <c r="AI153" s="42"/>
      <c r="AJ153" s="28">
        <v>0.0</v>
      </c>
      <c r="AK153" s="28">
        <v>0.0</v>
      </c>
      <c r="AL153" s="28">
        <v>0.0</v>
      </c>
      <c r="AM153" s="28">
        <v>0.0</v>
      </c>
      <c r="AN153" s="28">
        <v>0.0</v>
      </c>
      <c r="AO153" s="28">
        <v>0.0</v>
      </c>
      <c r="AP153" s="28">
        <v>0.0</v>
      </c>
      <c r="AQ153" s="28">
        <v>0.0</v>
      </c>
      <c r="AR153" s="28">
        <v>0.0</v>
      </c>
      <c r="AS153" s="28">
        <v>0.0</v>
      </c>
      <c r="AT153" s="28">
        <v>0.0</v>
      </c>
      <c r="AU153" s="28">
        <v>0.0</v>
      </c>
      <c r="AV153" s="28">
        <v>0.0</v>
      </c>
      <c r="AW153" s="28">
        <v>0.0</v>
      </c>
      <c r="AX153" s="5"/>
      <c r="AY153" s="5" t="s">
        <v>86</v>
      </c>
      <c r="AZ153" s="5" t="s">
        <v>512</v>
      </c>
      <c r="BA153" s="5" t="s">
        <v>88</v>
      </c>
      <c r="BB153" s="5" t="s">
        <v>355</v>
      </c>
      <c r="BC153" s="5" t="s">
        <v>161</v>
      </c>
      <c r="BD153" s="5" t="s">
        <v>360</v>
      </c>
      <c r="BE153" s="5" t="s">
        <v>131</v>
      </c>
    </row>
    <row r="154" ht="16.5" hidden="1" customHeight="1">
      <c r="A154" s="5" t="s">
        <v>155</v>
      </c>
      <c r="B154" s="5" t="s">
        <v>137</v>
      </c>
      <c r="C154" s="5" t="b">
        <v>1</v>
      </c>
      <c r="D154" s="5" t="s">
        <v>1646</v>
      </c>
      <c r="E154" s="5" t="s">
        <v>1647</v>
      </c>
      <c r="F154" s="5"/>
      <c r="G154" s="5" t="s">
        <v>65</v>
      </c>
      <c r="H154" s="5" t="s">
        <v>84</v>
      </c>
      <c r="I154" s="5" t="s">
        <v>82</v>
      </c>
      <c r="J154" s="25" t="s">
        <v>164</v>
      </c>
      <c r="K154" s="25"/>
      <c r="L154" s="25" t="s">
        <v>110</v>
      </c>
      <c r="M154" s="5" t="s">
        <v>109</v>
      </c>
      <c r="N154" s="5" t="s">
        <v>355</v>
      </c>
      <c r="O154" s="5" t="s">
        <v>69</v>
      </c>
      <c r="P154" s="5" t="s">
        <v>107</v>
      </c>
      <c r="Q154" s="5" t="b">
        <v>1</v>
      </c>
      <c r="R154" s="5" t="b">
        <v>0</v>
      </c>
      <c r="S154" s="5"/>
      <c r="T154" s="5">
        <v>6000.0</v>
      </c>
      <c r="U154" s="26">
        <v>2.1</v>
      </c>
      <c r="V154" s="5">
        <v>2857.0</v>
      </c>
      <c r="W154" s="27">
        <v>0.0</v>
      </c>
      <c r="X154" s="28">
        <v>2857.0</v>
      </c>
      <c r="Y154" s="27">
        <v>1.0</v>
      </c>
      <c r="Z154" s="5" t="s">
        <v>242</v>
      </c>
      <c r="AA154" s="27">
        <v>0.5</v>
      </c>
      <c r="AB154" s="26"/>
      <c r="AC154" s="5" t="s">
        <v>359</v>
      </c>
      <c r="AD154" s="24" t="s">
        <v>0</v>
      </c>
      <c r="AE154" s="5">
        <v>2.0</v>
      </c>
      <c r="AF154" s="5">
        <v>0.0</v>
      </c>
      <c r="AG154" s="5" t="s">
        <v>0</v>
      </c>
      <c r="AH154" s="5" t="s">
        <v>0</v>
      </c>
      <c r="AI154" s="42"/>
      <c r="AJ154" s="28">
        <v>0.0</v>
      </c>
      <c r="AK154" s="28">
        <v>0.0</v>
      </c>
      <c r="AL154" s="28">
        <v>0.0</v>
      </c>
      <c r="AM154" s="28">
        <v>0.0</v>
      </c>
      <c r="AN154" s="28">
        <v>0.0</v>
      </c>
      <c r="AO154" s="28">
        <v>0.0</v>
      </c>
      <c r="AP154" s="28">
        <v>0.0</v>
      </c>
      <c r="AQ154" s="28">
        <v>0.0</v>
      </c>
      <c r="AR154" s="28">
        <v>0.0</v>
      </c>
      <c r="AS154" s="28">
        <v>0.0</v>
      </c>
      <c r="AT154" s="28">
        <v>0.0</v>
      </c>
      <c r="AU154" s="28">
        <v>0.0</v>
      </c>
      <c r="AV154" s="28">
        <v>0.0</v>
      </c>
      <c r="AW154" s="28">
        <v>0.0</v>
      </c>
      <c r="AX154" s="5"/>
      <c r="AY154" s="5" t="s">
        <v>86</v>
      </c>
      <c r="AZ154" s="5" t="s">
        <v>512</v>
      </c>
      <c r="BA154" s="5" t="s">
        <v>88</v>
      </c>
      <c r="BB154" s="5" t="s">
        <v>355</v>
      </c>
      <c r="BC154" s="5" t="s">
        <v>161</v>
      </c>
      <c r="BD154" s="5" t="s">
        <v>360</v>
      </c>
      <c r="BE154" s="5" t="s">
        <v>131</v>
      </c>
    </row>
    <row r="155" ht="16.5" hidden="1" customHeight="1">
      <c r="A155" s="5" t="s">
        <v>155</v>
      </c>
      <c r="B155" s="5" t="s">
        <v>137</v>
      </c>
      <c r="C155" s="5" t="b">
        <v>0</v>
      </c>
      <c r="D155" s="5" t="s">
        <v>1135</v>
      </c>
      <c r="E155" s="5" t="s">
        <v>1136</v>
      </c>
      <c r="F155" s="5"/>
      <c r="G155" s="5" t="s">
        <v>65</v>
      </c>
      <c r="H155" s="5" t="s">
        <v>76</v>
      </c>
      <c r="I155" s="5" t="s">
        <v>106</v>
      </c>
      <c r="J155" s="25" t="s">
        <v>164</v>
      </c>
      <c r="K155" s="25"/>
      <c r="L155" s="25"/>
      <c r="M155" s="5" t="s">
        <v>109</v>
      </c>
      <c r="N155" s="5" t="s">
        <v>355</v>
      </c>
      <c r="O155" s="5" t="s">
        <v>69</v>
      </c>
      <c r="P155" s="5" t="s">
        <v>70</v>
      </c>
      <c r="Q155" s="5" t="b">
        <v>1</v>
      </c>
      <c r="R155" s="5" t="b">
        <v>0</v>
      </c>
      <c r="S155" s="5"/>
      <c r="T155" s="5">
        <v>3500.0</v>
      </c>
      <c r="U155" s="26">
        <v>2.1</v>
      </c>
      <c r="V155" s="5">
        <v>1667.0</v>
      </c>
      <c r="W155" s="27">
        <v>0.0</v>
      </c>
      <c r="X155" s="28">
        <v>1667.0</v>
      </c>
      <c r="Y155" s="27">
        <v>1.0</v>
      </c>
      <c r="Z155" s="5" t="s">
        <v>242</v>
      </c>
      <c r="AA155" s="5">
        <v>0.6</v>
      </c>
      <c r="AB155" s="5"/>
      <c r="AC155" s="5" t="s">
        <v>359</v>
      </c>
      <c r="AD155" s="5" t="s">
        <v>81</v>
      </c>
      <c r="AE155" s="5">
        <v>3.0</v>
      </c>
      <c r="AF155" s="5">
        <v>3.0</v>
      </c>
      <c r="AG155" s="5" t="s">
        <v>1140</v>
      </c>
      <c r="AH155" s="5" t="s">
        <v>0</v>
      </c>
      <c r="AI155" s="42"/>
      <c r="AJ155" s="28">
        <v>1231.0</v>
      </c>
      <c r="AK155" s="28">
        <v>1151.0</v>
      </c>
      <c r="AL155" s="28">
        <v>0.0</v>
      </c>
      <c r="AM155" s="28">
        <v>0.0</v>
      </c>
      <c r="AN155" s="28">
        <v>0.0</v>
      </c>
      <c r="AO155" s="28">
        <v>2051670.7700000003</v>
      </c>
      <c r="AP155" s="28">
        <v>1918717.0</v>
      </c>
      <c r="AQ155" s="28">
        <v>0.0</v>
      </c>
      <c r="AR155" s="28">
        <v>0.0</v>
      </c>
      <c r="AS155" s="28">
        <v>0.0</v>
      </c>
      <c r="AT155" s="28">
        <v>1581819.0787375416</v>
      </c>
      <c r="AU155" s="28">
        <v>1490636.9160929997</v>
      </c>
      <c r="AV155" s="28">
        <v>0.0</v>
      </c>
      <c r="AW155" s="28">
        <v>0.0</v>
      </c>
      <c r="AX155" s="5"/>
      <c r="AY155" s="5" t="str">
        <f t="array" ref="AY155">IFERROR(_xlfn.XLOOKUP($E155,'FW27'!$C$3:$C$1102,'FW27'!$AM$3:$AM$1102),"")</f>
        <v>Outdoor</v>
      </c>
      <c r="AZ155" s="5" t="str">
        <f t="array" ref="AZ155">IFERROR(_xlfn.XLOOKUP($E155,'FW27'!$C$3:$C$1102,'FW27'!$AN$3:$AN$1102),"")</f>
        <v>Trail Run &amp; Fast Hike</v>
      </c>
      <c r="BA155" s="5" t="s">
        <v>88</v>
      </c>
      <c r="BB155" s="5" t="str">
        <f t="array" ref="BB155">IFERROR(_xlfn.XLOOKUP($E155,'FW27'!$C$3:$C$1102,'FW27'!$AS$3:$AS$1102),"")</f>
        <v>Insulation</v>
      </c>
      <c r="BC155" s="5" t="str">
        <f t="array" ref="BC155">IFERROR(_xlfn.XLOOKUP($E155,'FW27'!$C$3:$C$1102,'FW27'!$AT$3:$AT$1102),"")</f>
        <v>Hooded Jacket</v>
      </c>
      <c r="BD155" s="5" t="str">
        <f t="array" ref="BD155">IFERROR(_xlfn.XLOOKUP($E155,'FW27'!$C$3:$C$1102,'FW27'!$AU$3:$AU$1102),"")</f>
        <v>Lightweight Down</v>
      </c>
      <c r="BE155" s="5" t="str">
        <f t="array" ref="BE155">IFERROR(_xlfn.XLOOKUP($E155,'FW27'!$C$3:$C$1102,'FW27'!$AV$3:$AV$1102),"")</f>
        <v>N</v>
      </c>
    </row>
    <row r="156" ht="16.5" hidden="1" customHeight="1">
      <c r="A156" s="5" t="s">
        <v>155</v>
      </c>
      <c r="B156" s="5" t="s">
        <v>137</v>
      </c>
      <c r="C156" s="5" t="b">
        <v>0</v>
      </c>
      <c r="D156" s="5" t="s">
        <v>1143</v>
      </c>
      <c r="E156" s="5" t="s">
        <v>1144</v>
      </c>
      <c r="F156" s="5"/>
      <c r="G156" s="5" t="s">
        <v>65</v>
      </c>
      <c r="H156" s="5" t="s">
        <v>76</v>
      </c>
      <c r="I156" s="5" t="s">
        <v>106</v>
      </c>
      <c r="J156" s="25" t="s">
        <v>164</v>
      </c>
      <c r="K156" s="25"/>
      <c r="L156" s="25"/>
      <c r="M156" s="5" t="s">
        <v>109</v>
      </c>
      <c r="N156" s="5" t="s">
        <v>355</v>
      </c>
      <c r="O156" s="5" t="s">
        <v>69</v>
      </c>
      <c r="P156" s="5" t="s">
        <v>107</v>
      </c>
      <c r="Q156" s="5" t="b">
        <v>1</v>
      </c>
      <c r="R156" s="5" t="b">
        <v>0</v>
      </c>
      <c r="S156" s="5"/>
      <c r="T156" s="5">
        <v>3500.0</v>
      </c>
      <c r="U156" s="26">
        <v>2.1</v>
      </c>
      <c r="V156" s="5">
        <v>1667.0</v>
      </c>
      <c r="W156" s="27">
        <v>0.0</v>
      </c>
      <c r="X156" s="28">
        <v>1667.0</v>
      </c>
      <c r="Y156" s="27">
        <v>1.0</v>
      </c>
      <c r="Z156" s="5" t="s">
        <v>242</v>
      </c>
      <c r="AA156" s="5">
        <v>0.62</v>
      </c>
      <c r="AB156" s="5"/>
      <c r="AC156" s="5" t="s">
        <v>359</v>
      </c>
      <c r="AD156" s="5" t="s">
        <v>81</v>
      </c>
      <c r="AE156" s="5">
        <v>3.0</v>
      </c>
      <c r="AF156" s="5">
        <v>3.0</v>
      </c>
      <c r="AG156" s="5" t="s">
        <v>1150</v>
      </c>
      <c r="AH156" s="5" t="s">
        <v>0</v>
      </c>
      <c r="AI156" s="42"/>
      <c r="AJ156" s="28">
        <v>1033.0</v>
      </c>
      <c r="AK156" s="28">
        <v>896.0</v>
      </c>
      <c r="AL156" s="28">
        <v>0.0</v>
      </c>
      <c r="AM156" s="28">
        <v>0.0</v>
      </c>
      <c r="AN156" s="28">
        <v>0.0</v>
      </c>
      <c r="AO156" s="28">
        <v>1721670.11</v>
      </c>
      <c r="AP156" s="28">
        <v>1493632.0</v>
      </c>
      <c r="AQ156" s="28">
        <v>0.0</v>
      </c>
      <c r="AR156" s="28">
        <v>0.0</v>
      </c>
      <c r="AS156" s="28">
        <v>0.0</v>
      </c>
      <c r="AT156" s="28">
        <v>1367660.7563676636</v>
      </c>
      <c r="AU156" s="28">
        <v>1167758.1903149998</v>
      </c>
      <c r="AV156" s="28">
        <v>0.0</v>
      </c>
      <c r="AW156" s="28">
        <v>0.0</v>
      </c>
      <c r="AX156" s="5"/>
      <c r="AY156" s="5" t="str">
        <f t="array" ref="AY156">IFERROR(_xlfn.XLOOKUP($E156,'FW27'!$C$3:$C$1102,'FW27'!$AM$3:$AM$1102),"")</f>
        <v>Outdoor</v>
      </c>
      <c r="AZ156" s="5" t="str">
        <f t="array" ref="AZ156">IFERROR(_xlfn.XLOOKUP($E156,'FW27'!$C$3:$C$1102,'FW27'!$AN$3:$AN$1102),"")</f>
        <v>Trail Run &amp; Fast Hike</v>
      </c>
      <c r="BA156" s="5" t="s">
        <v>88</v>
      </c>
      <c r="BB156" s="5" t="str">
        <f t="array" ref="BB156">IFERROR(_xlfn.XLOOKUP($E156,'FW27'!$C$3:$C$1102,'FW27'!$AS$3:$AS$1102),"")</f>
        <v>Insulation</v>
      </c>
      <c r="BC156" s="5" t="str">
        <f t="array" ref="BC156">IFERROR(_xlfn.XLOOKUP($E156,'FW27'!$C$3:$C$1102,'FW27'!$AT$3:$AT$1102),"")</f>
        <v>Hooded Jacket</v>
      </c>
      <c r="BD156" s="5" t="str">
        <f t="array" ref="BD156">IFERROR(_xlfn.XLOOKUP($E156,'FW27'!$C$3:$C$1102,'FW27'!$AU$3:$AU$1102),"")</f>
        <v>Lightweight Down</v>
      </c>
      <c r="BE156" s="5" t="str">
        <f t="array" ref="BE156">IFERROR(_xlfn.XLOOKUP($E156,'FW27'!$C$3:$C$1102,'FW27'!$AV$3:$AV$1102),"")</f>
        <v>N</v>
      </c>
    </row>
    <row r="157" ht="16.5" hidden="1" customHeight="1">
      <c r="A157" s="5" t="s">
        <v>155</v>
      </c>
      <c r="B157" s="5" t="s">
        <v>200</v>
      </c>
      <c r="C157" s="5" t="b">
        <v>0</v>
      </c>
      <c r="D157" s="5" t="s">
        <v>544</v>
      </c>
      <c r="E157" s="5" t="s">
        <v>545</v>
      </c>
      <c r="F157" s="5"/>
      <c r="G157" s="5" t="s">
        <v>65</v>
      </c>
      <c r="H157" s="5" t="s">
        <v>74</v>
      </c>
      <c r="I157" s="5" t="s">
        <v>106</v>
      </c>
      <c r="J157" s="25" t="s">
        <v>164</v>
      </c>
      <c r="K157" s="25"/>
      <c r="L157" s="25"/>
      <c r="M157" s="5" t="s">
        <v>109</v>
      </c>
      <c r="N157" s="5" t="s">
        <v>113</v>
      </c>
      <c r="O157" s="5" t="s">
        <v>69</v>
      </c>
      <c r="P157" s="5" t="s">
        <v>70</v>
      </c>
      <c r="Q157" s="5" t="b">
        <v>1</v>
      </c>
      <c r="R157" s="5" t="b">
        <v>0</v>
      </c>
      <c r="S157" s="5"/>
      <c r="T157" s="5">
        <v>1200.0</v>
      </c>
      <c r="U157" s="26">
        <v>2.1</v>
      </c>
      <c r="V157" s="5">
        <v>571.0</v>
      </c>
      <c r="W157" s="27">
        <v>0.0</v>
      </c>
      <c r="X157" s="28">
        <v>571.0</v>
      </c>
      <c r="Y157" s="27">
        <v>1.0</v>
      </c>
      <c r="Z157" s="5" t="s">
        <v>78</v>
      </c>
      <c r="AA157" s="27">
        <v>0.6</v>
      </c>
      <c r="AB157" s="5"/>
      <c r="AC157" s="5" t="s">
        <v>546</v>
      </c>
      <c r="AD157" s="5" t="s">
        <v>81</v>
      </c>
      <c r="AE157" s="5">
        <v>4.0</v>
      </c>
      <c r="AF157" s="5">
        <v>4.0</v>
      </c>
      <c r="AG157" s="5" t="s">
        <v>0</v>
      </c>
      <c r="AH157" s="5" t="s">
        <v>0</v>
      </c>
      <c r="AI157" s="56"/>
      <c r="AJ157" s="28">
        <v>0.0</v>
      </c>
      <c r="AK157" s="28">
        <v>0.0</v>
      </c>
      <c r="AL157" s="28">
        <v>0.0</v>
      </c>
      <c r="AM157" s="28">
        <v>3593.0</v>
      </c>
      <c r="AN157" s="28">
        <v>0.0</v>
      </c>
      <c r="AO157" s="28">
        <v>0.0</v>
      </c>
      <c r="AP157" s="28">
        <v>0.0</v>
      </c>
      <c r="AQ157" s="28">
        <v>0.0</v>
      </c>
      <c r="AR157" s="28">
        <v>2053147.9900000005</v>
      </c>
      <c r="AS157" s="28">
        <v>0.0</v>
      </c>
      <c r="AT157" s="28">
        <v>0.0</v>
      </c>
      <c r="AU157" s="28">
        <v>0.0</v>
      </c>
      <c r="AV157" s="28">
        <v>0.0</v>
      </c>
      <c r="AW157" s="28">
        <v>1263926.6063122924</v>
      </c>
      <c r="AX157" s="5"/>
      <c r="AY157" s="5" t="s">
        <v>86</v>
      </c>
      <c r="AZ157" s="5" t="s">
        <v>512</v>
      </c>
      <c r="BB157" s="5" t="s">
        <v>126</v>
      </c>
      <c r="BC157" s="5" t="s">
        <v>128</v>
      </c>
      <c r="BD157" s="5" t="s">
        <v>130</v>
      </c>
      <c r="BE157" s="5" t="s">
        <v>131</v>
      </c>
      <c r="BF157" s="5" t="s">
        <v>910</v>
      </c>
    </row>
    <row r="158" ht="16.5" hidden="1" customHeight="1">
      <c r="A158" s="5" t="s">
        <v>155</v>
      </c>
      <c r="B158" s="5" t="s">
        <v>200</v>
      </c>
      <c r="C158" s="5" t="b">
        <v>0</v>
      </c>
      <c r="D158" s="5" t="s">
        <v>1158</v>
      </c>
      <c r="E158" s="5" t="s">
        <v>1161</v>
      </c>
      <c r="F158" s="5"/>
      <c r="G158" s="5" t="s">
        <v>65</v>
      </c>
      <c r="H158" s="5" t="s">
        <v>74</v>
      </c>
      <c r="I158" s="5" t="s">
        <v>106</v>
      </c>
      <c r="J158" s="25" t="s">
        <v>164</v>
      </c>
      <c r="K158" s="25" t="s">
        <v>150</v>
      </c>
      <c r="L158" s="25"/>
      <c r="M158" s="5" t="s">
        <v>109</v>
      </c>
      <c r="N158" s="5" t="s">
        <v>113</v>
      </c>
      <c r="O158" s="5" t="s">
        <v>96</v>
      </c>
      <c r="P158" s="5" t="s">
        <v>70</v>
      </c>
      <c r="Q158" s="5" t="b">
        <v>1</v>
      </c>
      <c r="R158" s="5" t="b">
        <v>0</v>
      </c>
      <c r="S158" s="5"/>
      <c r="T158" s="5">
        <v>1200.0</v>
      </c>
      <c r="U158" s="26">
        <v>2.1</v>
      </c>
      <c r="V158" s="5">
        <v>571.0</v>
      </c>
      <c r="W158" s="27">
        <v>0.0</v>
      </c>
      <c r="X158" s="28">
        <v>571.0</v>
      </c>
      <c r="Y158" s="27">
        <v>1.0</v>
      </c>
      <c r="Z158" s="5" t="s">
        <v>78</v>
      </c>
      <c r="AA158" s="27">
        <v>0.6</v>
      </c>
      <c r="AB158" s="5"/>
      <c r="AC158" s="5" t="s">
        <v>546</v>
      </c>
      <c r="AD158" s="5" t="s">
        <v>81</v>
      </c>
      <c r="AE158" s="24">
        <v>0.0</v>
      </c>
      <c r="AF158" s="5">
        <v>4.0</v>
      </c>
      <c r="AG158" s="5" t="s">
        <v>0</v>
      </c>
      <c r="AH158" s="5" t="s">
        <v>471</v>
      </c>
      <c r="AI158" s="56"/>
      <c r="AJ158" s="28">
        <v>0.0</v>
      </c>
      <c r="AK158" s="28">
        <v>0.0</v>
      </c>
      <c r="AL158" s="28">
        <v>0.0</v>
      </c>
      <c r="AM158" s="28">
        <v>0.0</v>
      </c>
      <c r="AN158" s="28">
        <v>0.0</v>
      </c>
      <c r="AO158" s="28">
        <v>0.0</v>
      </c>
      <c r="AP158" s="28">
        <v>0.0</v>
      </c>
      <c r="AQ158" s="28">
        <v>0.0</v>
      </c>
      <c r="AR158" s="28">
        <v>0.0</v>
      </c>
      <c r="AS158" s="28">
        <v>0.0</v>
      </c>
      <c r="AT158" s="28">
        <v>0.0</v>
      </c>
      <c r="AU158" s="28">
        <v>0.0</v>
      </c>
      <c r="AV158" s="28">
        <v>0.0</v>
      </c>
      <c r="AW158" s="28">
        <v>0.0</v>
      </c>
      <c r="AX158" s="5"/>
      <c r="AY158" s="5" t="s">
        <v>86</v>
      </c>
      <c r="AZ158" s="5" t="s">
        <v>512</v>
      </c>
      <c r="BB158" s="5" t="s">
        <v>126</v>
      </c>
      <c r="BC158" s="5" t="s">
        <v>128</v>
      </c>
      <c r="BD158" s="5" t="s">
        <v>130</v>
      </c>
      <c r="BE158" s="5" t="s">
        <v>131</v>
      </c>
      <c r="BF158" s="5" t="s">
        <v>910</v>
      </c>
    </row>
    <row r="159" ht="16.5" hidden="1" customHeight="1">
      <c r="A159" s="5" t="s">
        <v>155</v>
      </c>
      <c r="B159" s="5" t="s">
        <v>200</v>
      </c>
      <c r="C159" s="5" t="b">
        <v>0</v>
      </c>
      <c r="D159" s="5" t="s">
        <v>547</v>
      </c>
      <c r="E159" s="5" t="s">
        <v>548</v>
      </c>
      <c r="F159" s="5"/>
      <c r="G159" s="5" t="s">
        <v>65</v>
      </c>
      <c r="H159" s="5" t="s">
        <v>74</v>
      </c>
      <c r="I159" s="5" t="s">
        <v>106</v>
      </c>
      <c r="J159" s="25" t="s">
        <v>164</v>
      </c>
      <c r="K159" s="25"/>
      <c r="L159" s="25"/>
      <c r="M159" s="5" t="s">
        <v>109</v>
      </c>
      <c r="N159" s="5" t="s">
        <v>113</v>
      </c>
      <c r="O159" s="5" t="s">
        <v>69</v>
      </c>
      <c r="P159" s="5" t="s">
        <v>107</v>
      </c>
      <c r="Q159" s="5" t="b">
        <v>1</v>
      </c>
      <c r="R159" s="5" t="b">
        <v>0</v>
      </c>
      <c r="S159" s="5"/>
      <c r="T159" s="5">
        <v>1200.0</v>
      </c>
      <c r="U159" s="26">
        <v>2.1</v>
      </c>
      <c r="V159" s="5">
        <v>571.0</v>
      </c>
      <c r="W159" s="27">
        <v>0.0</v>
      </c>
      <c r="X159" s="28">
        <v>571.0</v>
      </c>
      <c r="Y159" s="27">
        <v>1.0</v>
      </c>
      <c r="Z159" s="5" t="s">
        <v>78</v>
      </c>
      <c r="AA159" s="27">
        <v>0.61</v>
      </c>
      <c r="AB159" s="5"/>
      <c r="AC159" s="5" t="s">
        <v>546</v>
      </c>
      <c r="AD159" s="5" t="s">
        <v>81</v>
      </c>
      <c r="AE159" s="5">
        <v>3.0</v>
      </c>
      <c r="AF159" s="5">
        <v>4.0</v>
      </c>
      <c r="AG159" s="5" t="s">
        <v>0</v>
      </c>
      <c r="AH159" s="5" t="s">
        <v>0</v>
      </c>
      <c r="AI159" s="56"/>
      <c r="AJ159" s="28">
        <v>0.0</v>
      </c>
      <c r="AK159" s="28">
        <v>0.0</v>
      </c>
      <c r="AL159" s="28">
        <v>0.0</v>
      </c>
      <c r="AM159" s="28">
        <v>2600.0</v>
      </c>
      <c r="AN159" s="28">
        <v>0.0</v>
      </c>
      <c r="AO159" s="28">
        <v>0.0</v>
      </c>
      <c r="AP159" s="28">
        <v>0.0</v>
      </c>
      <c r="AQ159" s="28">
        <v>0.0</v>
      </c>
      <c r="AR159" s="28">
        <v>1485718.0</v>
      </c>
      <c r="AS159" s="28">
        <v>0.0</v>
      </c>
      <c r="AT159" s="28">
        <v>0.0</v>
      </c>
      <c r="AU159" s="28">
        <v>0.0</v>
      </c>
      <c r="AV159" s="28">
        <v>0.0</v>
      </c>
      <c r="AW159" s="28">
        <v>1029849.3327796235</v>
      </c>
      <c r="AX159" s="5"/>
      <c r="AY159" s="5" t="s">
        <v>86</v>
      </c>
      <c r="AZ159" s="5" t="s">
        <v>512</v>
      </c>
      <c r="BB159" s="5" t="s">
        <v>126</v>
      </c>
      <c r="BC159" s="5" t="s">
        <v>128</v>
      </c>
      <c r="BD159" s="5" t="s">
        <v>130</v>
      </c>
      <c r="BE159" s="5" t="s">
        <v>131</v>
      </c>
      <c r="BF159" s="5" t="s">
        <v>910</v>
      </c>
    </row>
    <row r="160" ht="16.5" hidden="1" customHeight="1">
      <c r="A160" s="5" t="s">
        <v>155</v>
      </c>
      <c r="B160" s="5" t="s">
        <v>200</v>
      </c>
      <c r="C160" s="5" t="b">
        <v>0</v>
      </c>
      <c r="D160" s="5" t="s">
        <v>1173</v>
      </c>
      <c r="E160" s="5" t="s">
        <v>1176</v>
      </c>
      <c r="F160" s="5"/>
      <c r="G160" s="5" t="s">
        <v>65</v>
      </c>
      <c r="H160" s="5" t="s">
        <v>74</v>
      </c>
      <c r="I160" s="5" t="s">
        <v>106</v>
      </c>
      <c r="J160" s="25" t="s">
        <v>164</v>
      </c>
      <c r="K160" s="25" t="s">
        <v>150</v>
      </c>
      <c r="L160" s="25"/>
      <c r="M160" s="5" t="s">
        <v>109</v>
      </c>
      <c r="N160" s="5" t="s">
        <v>113</v>
      </c>
      <c r="O160" s="5" t="s">
        <v>96</v>
      </c>
      <c r="P160" s="5" t="s">
        <v>107</v>
      </c>
      <c r="Q160" s="5" t="b">
        <v>1</v>
      </c>
      <c r="R160" s="5" t="b">
        <v>0</v>
      </c>
      <c r="S160" s="5"/>
      <c r="T160" s="5">
        <v>1200.0</v>
      </c>
      <c r="U160" s="26">
        <v>2.1</v>
      </c>
      <c r="V160" s="5">
        <v>571.0</v>
      </c>
      <c r="W160" s="27">
        <v>0.0</v>
      </c>
      <c r="X160" s="28">
        <v>571.0</v>
      </c>
      <c r="Y160" s="27">
        <v>1.0</v>
      </c>
      <c r="Z160" s="5" t="s">
        <v>78</v>
      </c>
      <c r="AA160" s="27">
        <v>0.61</v>
      </c>
      <c r="AB160" s="5"/>
      <c r="AC160" s="5" t="s">
        <v>546</v>
      </c>
      <c r="AD160" s="5" t="s">
        <v>81</v>
      </c>
      <c r="AE160" s="24">
        <v>0.0</v>
      </c>
      <c r="AF160" s="5">
        <v>3.0</v>
      </c>
      <c r="AG160" s="5" t="s">
        <v>0</v>
      </c>
      <c r="AH160" s="5" t="s">
        <v>471</v>
      </c>
      <c r="AI160" s="56"/>
      <c r="AJ160" s="28">
        <v>0.0</v>
      </c>
      <c r="AK160" s="28">
        <v>0.0</v>
      </c>
      <c r="AL160" s="28">
        <v>0.0</v>
      </c>
      <c r="AM160" s="28">
        <v>0.0</v>
      </c>
      <c r="AN160" s="28">
        <v>0.0</v>
      </c>
      <c r="AO160" s="28">
        <v>0.0</v>
      </c>
      <c r="AP160" s="28">
        <v>0.0</v>
      </c>
      <c r="AQ160" s="28">
        <v>0.0</v>
      </c>
      <c r="AR160" s="28">
        <v>0.0</v>
      </c>
      <c r="AS160" s="28">
        <v>0.0</v>
      </c>
      <c r="AT160" s="28">
        <v>0.0</v>
      </c>
      <c r="AU160" s="28">
        <v>0.0</v>
      </c>
      <c r="AV160" s="28">
        <v>0.0</v>
      </c>
      <c r="AW160" s="28">
        <v>0.0</v>
      </c>
      <c r="AX160" s="5"/>
      <c r="AY160" s="5" t="s">
        <v>86</v>
      </c>
      <c r="AZ160" s="5" t="s">
        <v>512</v>
      </c>
      <c r="BB160" s="5" t="s">
        <v>126</v>
      </c>
      <c r="BC160" s="5" t="s">
        <v>128</v>
      </c>
      <c r="BD160" s="5" t="s">
        <v>130</v>
      </c>
      <c r="BE160" s="5" t="s">
        <v>131</v>
      </c>
      <c r="BF160" s="5" t="s">
        <v>910</v>
      </c>
    </row>
    <row r="161" ht="16.5" hidden="1" customHeight="1">
      <c r="A161" s="5" t="s">
        <v>155</v>
      </c>
      <c r="B161" s="5" t="s">
        <v>200</v>
      </c>
      <c r="C161" s="5" t="b">
        <v>0</v>
      </c>
      <c r="D161" s="5" t="s">
        <v>549</v>
      </c>
      <c r="E161" s="5" t="s">
        <v>550</v>
      </c>
      <c r="F161" s="5"/>
      <c r="G161" s="5" t="s">
        <v>65</v>
      </c>
      <c r="H161" s="5" t="s">
        <v>74</v>
      </c>
      <c r="I161" s="5" t="s">
        <v>106</v>
      </c>
      <c r="J161" s="25" t="s">
        <v>164</v>
      </c>
      <c r="K161" s="25"/>
      <c r="L161" s="25"/>
      <c r="M161" s="5" t="s">
        <v>109</v>
      </c>
      <c r="N161" s="5" t="s">
        <v>113</v>
      </c>
      <c r="O161" s="5" t="s">
        <v>69</v>
      </c>
      <c r="P161" s="5" t="s">
        <v>70</v>
      </c>
      <c r="Q161" s="5" t="b">
        <v>1</v>
      </c>
      <c r="R161" s="5" t="b">
        <v>0</v>
      </c>
      <c r="S161" s="5"/>
      <c r="T161" s="5">
        <v>1000.0</v>
      </c>
      <c r="U161" s="26">
        <v>2.1</v>
      </c>
      <c r="V161" s="5">
        <v>476.0</v>
      </c>
      <c r="W161" s="27">
        <v>0.0</v>
      </c>
      <c r="X161" s="28">
        <v>476.0</v>
      </c>
      <c r="Y161" s="27">
        <v>1.0</v>
      </c>
      <c r="Z161" s="5" t="s">
        <v>78</v>
      </c>
      <c r="AA161" s="27">
        <v>0.61</v>
      </c>
      <c r="AB161" s="5"/>
      <c r="AC161" s="5" t="s">
        <v>546</v>
      </c>
      <c r="AD161" s="5" t="s">
        <v>81</v>
      </c>
      <c r="AE161" s="5">
        <v>4.0</v>
      </c>
      <c r="AF161" s="5">
        <v>4.0</v>
      </c>
      <c r="AG161" s="5" t="s">
        <v>0</v>
      </c>
      <c r="AH161" s="5" t="s">
        <v>0</v>
      </c>
      <c r="AI161" s="56"/>
      <c r="AJ161" s="28">
        <v>0.0</v>
      </c>
      <c r="AK161" s="28">
        <v>0.0</v>
      </c>
      <c r="AL161" s="28">
        <v>0.0</v>
      </c>
      <c r="AM161" s="28">
        <v>4250.0</v>
      </c>
      <c r="AN161" s="28">
        <v>0.0</v>
      </c>
      <c r="AO161" s="28">
        <v>0.0</v>
      </c>
      <c r="AP161" s="28">
        <v>0.0</v>
      </c>
      <c r="AQ161" s="28">
        <v>0.0</v>
      </c>
      <c r="AR161" s="28">
        <v>2023807.5000000002</v>
      </c>
      <c r="AS161" s="28">
        <v>0.0</v>
      </c>
      <c r="AT161" s="28">
        <v>0.0</v>
      </c>
      <c r="AU161" s="28">
        <v>0.0</v>
      </c>
      <c r="AV161" s="28">
        <v>0.0</v>
      </c>
      <c r="AW161" s="28">
        <v>1296117.0095238092</v>
      </c>
      <c r="AX161" s="5"/>
      <c r="AY161" s="5" t="s">
        <v>86</v>
      </c>
      <c r="AZ161" s="5" t="s">
        <v>512</v>
      </c>
      <c r="BB161" s="5" t="s">
        <v>126</v>
      </c>
      <c r="BC161" s="5" t="s">
        <v>147</v>
      </c>
      <c r="BD161" s="5" t="s">
        <v>130</v>
      </c>
      <c r="BE161" s="5" t="s">
        <v>131</v>
      </c>
      <c r="BF161" s="5" t="s">
        <v>910</v>
      </c>
    </row>
    <row r="162" ht="16.5" hidden="1" customHeight="1">
      <c r="A162" s="5" t="s">
        <v>155</v>
      </c>
      <c r="B162" s="5" t="s">
        <v>200</v>
      </c>
      <c r="C162" s="5" t="b">
        <v>0</v>
      </c>
      <c r="D162" s="5" t="s">
        <v>554</v>
      </c>
      <c r="E162" s="5" t="s">
        <v>555</v>
      </c>
      <c r="F162" s="5"/>
      <c r="G162" s="5" t="s">
        <v>65</v>
      </c>
      <c r="H162" s="5" t="s">
        <v>74</v>
      </c>
      <c r="I162" s="5" t="s">
        <v>106</v>
      </c>
      <c r="J162" s="25" t="s">
        <v>164</v>
      </c>
      <c r="K162" s="25"/>
      <c r="L162" s="25"/>
      <c r="M162" s="5" t="s">
        <v>109</v>
      </c>
      <c r="N162" s="5" t="s">
        <v>113</v>
      </c>
      <c r="O162" s="5" t="s">
        <v>69</v>
      </c>
      <c r="P162" s="5" t="s">
        <v>107</v>
      </c>
      <c r="Q162" s="5" t="b">
        <v>1</v>
      </c>
      <c r="R162" s="5" t="b">
        <v>0</v>
      </c>
      <c r="S162" s="5"/>
      <c r="T162" s="5">
        <v>1000.0</v>
      </c>
      <c r="U162" s="26">
        <v>2.1</v>
      </c>
      <c r="V162" s="5">
        <v>476.0</v>
      </c>
      <c r="W162" s="27">
        <v>0.0</v>
      </c>
      <c r="X162" s="28">
        <v>476.0</v>
      </c>
      <c r="Y162" s="27">
        <v>1.0</v>
      </c>
      <c r="Z162" s="5" t="s">
        <v>78</v>
      </c>
      <c r="AA162" s="27">
        <v>0.63</v>
      </c>
      <c r="AB162" s="5"/>
      <c r="AC162" s="5" t="s">
        <v>546</v>
      </c>
      <c r="AD162" s="5" t="s">
        <v>81</v>
      </c>
      <c r="AE162" s="5">
        <v>4.0</v>
      </c>
      <c r="AF162" s="5">
        <v>5.0</v>
      </c>
      <c r="AG162" s="5" t="s">
        <v>0</v>
      </c>
      <c r="AH162" s="5" t="s">
        <v>0</v>
      </c>
      <c r="AI162" s="56"/>
      <c r="AJ162" s="28">
        <v>0.0</v>
      </c>
      <c r="AK162" s="28">
        <v>0.0</v>
      </c>
      <c r="AL162" s="28">
        <v>0.0</v>
      </c>
      <c r="AM162" s="28">
        <v>2847.0</v>
      </c>
      <c r="AN162" s="28">
        <v>0.0</v>
      </c>
      <c r="AO162" s="28">
        <v>0.0</v>
      </c>
      <c r="AP162" s="28">
        <v>0.0</v>
      </c>
      <c r="AQ162" s="28">
        <v>0.0</v>
      </c>
      <c r="AR162" s="28">
        <v>1355712.9300000004</v>
      </c>
      <c r="AS162" s="28">
        <v>0.0</v>
      </c>
      <c r="AT162" s="28">
        <v>0.0</v>
      </c>
      <c r="AU162" s="28">
        <v>0.0</v>
      </c>
      <c r="AV162" s="28">
        <v>0.0</v>
      </c>
      <c r="AW162" s="28">
        <v>1006978.7128460685</v>
      </c>
      <c r="AX162" s="5"/>
      <c r="AY162" s="5" t="s">
        <v>86</v>
      </c>
      <c r="AZ162" s="5" t="s">
        <v>512</v>
      </c>
      <c r="BB162" s="5" t="s">
        <v>126</v>
      </c>
      <c r="BC162" s="5" t="s">
        <v>147</v>
      </c>
      <c r="BD162" s="5" t="s">
        <v>130</v>
      </c>
      <c r="BE162" s="5" t="s">
        <v>131</v>
      </c>
      <c r="BF162" s="5" t="s">
        <v>910</v>
      </c>
    </row>
    <row r="163" ht="16.5" hidden="1" customHeight="1">
      <c r="A163" s="5" t="s">
        <v>155</v>
      </c>
      <c r="B163" s="24" t="s">
        <v>0</v>
      </c>
      <c r="C163" s="5" t="b">
        <v>1</v>
      </c>
      <c r="D163" s="5" t="s">
        <v>1197</v>
      </c>
      <c r="E163" s="5" t="s">
        <v>1199</v>
      </c>
      <c r="F163" s="5"/>
      <c r="G163" s="5" t="s">
        <v>65</v>
      </c>
      <c r="H163" s="5" t="s">
        <v>74</v>
      </c>
      <c r="I163" s="5" t="s">
        <v>82</v>
      </c>
      <c r="J163" s="25" t="s">
        <v>1662</v>
      </c>
      <c r="K163" s="25"/>
      <c r="L163" s="25" t="s">
        <v>110</v>
      </c>
      <c r="M163" s="5" t="s">
        <v>109</v>
      </c>
      <c r="N163" s="5" t="s">
        <v>68</v>
      </c>
      <c r="O163" s="24" t="s">
        <v>69</v>
      </c>
      <c r="P163" s="5" t="s">
        <v>70</v>
      </c>
      <c r="Q163" s="5" t="b">
        <v>1</v>
      </c>
      <c r="R163" s="5" t="b">
        <v>0</v>
      </c>
      <c r="S163" s="5"/>
      <c r="T163" s="24">
        <v>0.0</v>
      </c>
      <c r="U163" s="26">
        <v>2.1</v>
      </c>
      <c r="V163" s="5">
        <v>0.0</v>
      </c>
      <c r="W163" s="27">
        <v>0.0</v>
      </c>
      <c r="X163" s="28">
        <v>0.0</v>
      </c>
      <c r="Y163" s="27">
        <v>0.0</v>
      </c>
      <c r="Z163" s="24" t="s">
        <v>0</v>
      </c>
      <c r="AA163" s="27">
        <v>0.5920000000000001</v>
      </c>
      <c r="AB163" s="5"/>
      <c r="AC163" s="24" t="s">
        <v>0</v>
      </c>
      <c r="AD163" s="24" t="s">
        <v>0</v>
      </c>
      <c r="AE163" s="24">
        <v>0.0</v>
      </c>
      <c r="AF163" s="5">
        <v>0.0</v>
      </c>
      <c r="AG163" s="5" t="s">
        <v>0</v>
      </c>
      <c r="AH163" s="5" t="s">
        <v>0</v>
      </c>
      <c r="AI163" s="56"/>
      <c r="AJ163" s="28">
        <v>0.0</v>
      </c>
      <c r="AK163" s="28">
        <v>0.0</v>
      </c>
      <c r="AL163" s="28">
        <v>0.0</v>
      </c>
      <c r="AM163" s="28">
        <v>0.0</v>
      </c>
      <c r="AN163" s="28">
        <v>0.0</v>
      </c>
      <c r="AO163" s="28">
        <v>0.0</v>
      </c>
      <c r="AP163" s="28">
        <v>0.0</v>
      </c>
      <c r="AQ163" s="28">
        <v>0.0</v>
      </c>
      <c r="AR163" s="28">
        <v>0.0</v>
      </c>
      <c r="AS163" s="28">
        <v>0.0</v>
      </c>
      <c r="AT163" s="28">
        <v>0.0</v>
      </c>
      <c r="AU163" s="28">
        <v>0.0</v>
      </c>
      <c r="AV163" s="28">
        <v>0.0</v>
      </c>
      <c r="AW163" s="28">
        <v>0.0</v>
      </c>
      <c r="AX163" s="5"/>
      <c r="AY163" s="5" t="str">
        <f t="array" ref="AY163">IFERROR(_xlfn.XLOOKUP($E163,'FW27'!$C$3:$C$1102,'FW27'!$AM$3:$AM$1102),"")</f>
        <v>Outdoor</v>
      </c>
      <c r="AZ163" s="5" t="str">
        <f t="array" ref="AZ163">IFERROR(_xlfn.XLOOKUP($E163,'FW27'!$C$3:$C$1102,'FW27'!$AN$3:$AN$1102),"")</f>
        <v>Trail Run &amp; Fast Hike</v>
      </c>
      <c r="BA163" s="5" t="s">
        <v>88</v>
      </c>
      <c r="BB163" s="5" t="str">
        <f t="array" ref="BB163">IFERROR(_xlfn.XLOOKUP($E163,'FW27'!$C$3:$C$1102,'FW27'!$AS$3:$AS$1102),"")</f>
        <v>Shell</v>
      </c>
      <c r="BC163" s="5" t="str">
        <f t="array" ref="BC163">IFERROR(_xlfn.XLOOKUP($E163,'FW27'!$C$3:$C$1102,'FW27'!$AT$3:$AT$1102),"")</f>
        <v>Jacket</v>
      </c>
      <c r="BD163" s="5" t="str">
        <f t="array" ref="BD163">IFERROR(_xlfn.XLOOKUP($E163,'FW27'!$C$3:$C$1102,'FW27'!$AU$3:$AU$1102),"")</f>
        <v>3L</v>
      </c>
      <c r="BE163" s="5" t="str">
        <f t="array" ref="BE163">IFERROR(_xlfn.XLOOKUP($E163,'FW27'!$C$3:$C$1102,'FW27'!$AV$3:$AV$1102),"")</f>
        <v>Y</v>
      </c>
    </row>
    <row r="164" ht="16.5" hidden="1" customHeight="1">
      <c r="A164" s="5" t="s">
        <v>155</v>
      </c>
      <c r="B164" s="24" t="s">
        <v>0</v>
      </c>
      <c r="C164" s="5" t="b">
        <v>1</v>
      </c>
      <c r="D164" s="5" t="s">
        <v>1206</v>
      </c>
      <c r="E164" s="5" t="s">
        <v>1207</v>
      </c>
      <c r="F164" s="5"/>
      <c r="G164" s="5" t="s">
        <v>65</v>
      </c>
      <c r="H164" s="5" t="s">
        <v>74</v>
      </c>
      <c r="I164" s="5" t="s">
        <v>82</v>
      </c>
      <c r="J164" s="25" t="s">
        <v>1662</v>
      </c>
      <c r="K164" s="25"/>
      <c r="L164" s="25" t="s">
        <v>110</v>
      </c>
      <c r="M164" s="5" t="s">
        <v>109</v>
      </c>
      <c r="N164" s="5" t="s">
        <v>68</v>
      </c>
      <c r="O164" s="24" t="s">
        <v>69</v>
      </c>
      <c r="P164" s="5" t="s">
        <v>107</v>
      </c>
      <c r="Q164" s="5" t="b">
        <v>1</v>
      </c>
      <c r="R164" s="5" t="b">
        <v>0</v>
      </c>
      <c r="S164" s="5"/>
      <c r="T164" s="24">
        <v>0.0</v>
      </c>
      <c r="U164" s="26">
        <v>2.1</v>
      </c>
      <c r="V164" s="5">
        <v>0.0</v>
      </c>
      <c r="W164" s="27">
        <v>0.0</v>
      </c>
      <c r="X164" s="28">
        <v>0.0</v>
      </c>
      <c r="Y164" s="27">
        <v>0.0</v>
      </c>
      <c r="Z164" s="24" t="s">
        <v>0</v>
      </c>
      <c r="AA164" s="27">
        <v>0.575</v>
      </c>
      <c r="AB164" s="5"/>
      <c r="AC164" s="24" t="s">
        <v>0</v>
      </c>
      <c r="AD164" s="24" t="s">
        <v>0</v>
      </c>
      <c r="AE164" s="24">
        <v>0.0</v>
      </c>
      <c r="AF164" s="5">
        <v>0.0</v>
      </c>
      <c r="AG164" s="5" t="s">
        <v>0</v>
      </c>
      <c r="AH164" s="5" t="s">
        <v>0</v>
      </c>
      <c r="AI164" s="56"/>
      <c r="AJ164" s="28">
        <v>0.0</v>
      </c>
      <c r="AK164" s="28">
        <v>0.0</v>
      </c>
      <c r="AL164" s="28">
        <v>0.0</v>
      </c>
      <c r="AM164" s="28">
        <v>0.0</v>
      </c>
      <c r="AN164" s="28">
        <v>0.0</v>
      </c>
      <c r="AO164" s="28">
        <v>0.0</v>
      </c>
      <c r="AP164" s="28">
        <v>0.0</v>
      </c>
      <c r="AQ164" s="28">
        <v>0.0</v>
      </c>
      <c r="AR164" s="28">
        <v>0.0</v>
      </c>
      <c r="AS164" s="28">
        <v>0.0</v>
      </c>
      <c r="AT164" s="28">
        <v>0.0</v>
      </c>
      <c r="AU164" s="28">
        <v>0.0</v>
      </c>
      <c r="AV164" s="28">
        <v>0.0</v>
      </c>
      <c r="AW164" s="28">
        <v>0.0</v>
      </c>
      <c r="AX164" s="5"/>
      <c r="AY164" s="5" t="str">
        <f t="array" ref="AY164">IFERROR(_xlfn.XLOOKUP($E164,'FW27'!$C$3:$C$1102,'FW27'!$AM$3:$AM$1102),"")</f>
        <v>Outdoor</v>
      </c>
      <c r="AZ164" s="5" t="str">
        <f t="array" ref="AZ164">IFERROR(_xlfn.XLOOKUP($E164,'FW27'!$C$3:$C$1102,'FW27'!$AN$3:$AN$1102),"")</f>
        <v>Trail Run &amp; Fast Hike</v>
      </c>
      <c r="BA164" s="5" t="s">
        <v>88</v>
      </c>
      <c r="BB164" s="5" t="str">
        <f t="array" ref="BB164">IFERROR(_xlfn.XLOOKUP($E164,'FW27'!$C$3:$C$1102,'FW27'!$AS$3:$AS$1102),"")</f>
        <v>Shell</v>
      </c>
      <c r="BC164" s="5" t="str">
        <f t="array" ref="BC164">IFERROR(_xlfn.XLOOKUP($E164,'FW27'!$C$3:$C$1102,'FW27'!$AT$3:$AT$1102),"")</f>
        <v>Jacket</v>
      </c>
      <c r="BD164" s="5" t="str">
        <f t="array" ref="BD164">IFERROR(_xlfn.XLOOKUP($E164,'FW27'!$C$3:$C$1102,'FW27'!$AU$3:$AU$1102),"")</f>
        <v>3L</v>
      </c>
      <c r="BE164" s="5" t="str">
        <f t="array" ref="BE164">IFERROR(_xlfn.XLOOKUP($E164,'FW27'!$C$3:$C$1102,'FW27'!$AV$3:$AV$1102),"")</f>
        <v>Y</v>
      </c>
    </row>
    <row r="165" ht="16.5" hidden="1" customHeight="1">
      <c r="A165" s="5" t="s">
        <v>155</v>
      </c>
      <c r="B165" s="5" t="s">
        <v>137</v>
      </c>
      <c r="C165" s="5" t="b">
        <v>1</v>
      </c>
      <c r="D165" s="5" t="s">
        <v>559</v>
      </c>
      <c r="E165" s="5" t="s">
        <v>560</v>
      </c>
      <c r="F165" s="5"/>
      <c r="G165" s="5" t="s">
        <v>65</v>
      </c>
      <c r="H165" s="5" t="s">
        <v>84</v>
      </c>
      <c r="I165" s="5" t="s">
        <v>82</v>
      </c>
      <c r="J165" s="25"/>
      <c r="K165" s="25"/>
      <c r="L165" s="25"/>
      <c r="M165" s="5" t="s">
        <v>109</v>
      </c>
      <c r="N165" s="5" t="s">
        <v>270</v>
      </c>
      <c r="O165" s="5" t="s">
        <v>69</v>
      </c>
      <c r="P165" s="5" t="s">
        <v>70</v>
      </c>
      <c r="Q165" s="5" t="b">
        <v>1</v>
      </c>
      <c r="R165" s="5" t="b">
        <v>0</v>
      </c>
      <c r="S165" s="5"/>
      <c r="T165" s="5">
        <v>1200.0</v>
      </c>
      <c r="U165" s="26">
        <v>2.1</v>
      </c>
      <c r="V165" s="5">
        <v>571.0</v>
      </c>
      <c r="W165" s="27">
        <v>0.0</v>
      </c>
      <c r="X165" s="28">
        <v>571.0</v>
      </c>
      <c r="Y165" s="27">
        <v>1.0</v>
      </c>
      <c r="Z165" s="5" t="s">
        <v>117</v>
      </c>
      <c r="AA165" s="5">
        <v>0.6</v>
      </c>
      <c r="AB165" s="5"/>
      <c r="AC165" s="5" t="s">
        <v>81</v>
      </c>
      <c r="AD165" s="5" t="s">
        <v>81</v>
      </c>
      <c r="AE165" s="5">
        <v>3.0</v>
      </c>
      <c r="AF165" s="5">
        <v>0.0</v>
      </c>
      <c r="AG165" s="5" t="s">
        <v>1675</v>
      </c>
      <c r="AH165" s="5" t="s">
        <v>0</v>
      </c>
      <c r="AI165" s="42"/>
      <c r="AJ165" s="28">
        <v>841.0</v>
      </c>
      <c r="AK165" s="28">
        <v>857.0</v>
      </c>
      <c r="AL165" s="28">
        <v>0.0</v>
      </c>
      <c r="AM165" s="28">
        <v>1563.0</v>
      </c>
      <c r="AN165" s="28">
        <v>0.0</v>
      </c>
      <c r="AO165" s="28">
        <v>480572.63</v>
      </c>
      <c r="AP165" s="28">
        <v>489347.0</v>
      </c>
      <c r="AQ165" s="28">
        <v>0.0</v>
      </c>
      <c r="AR165" s="28">
        <v>893145.0899999997</v>
      </c>
      <c r="AS165" s="28">
        <v>0.0</v>
      </c>
      <c r="AT165" s="28">
        <v>429900.4132890365</v>
      </c>
      <c r="AU165" s="28">
        <v>405487.243132</v>
      </c>
      <c r="AV165" s="28">
        <v>0.0</v>
      </c>
      <c r="AW165" s="28">
        <v>735972.6599114063</v>
      </c>
      <c r="AX165" s="5"/>
      <c r="AY165" s="5" t="str">
        <f t="array" ref="AY165">IFERROR(_xlfn.XLOOKUP($E165,'FW27'!$C$3:$C$1102,'FW27'!$AM$3:$AM$1102),"")</f>
        <v>Outdoor</v>
      </c>
      <c r="AZ165" s="5" t="str">
        <f t="array" ref="AZ165">IFERROR(_xlfn.XLOOKUP($E165,'FW27'!$C$3:$C$1102,'FW27'!$AN$3:$AN$1102),"")</f>
        <v>Trail Run &amp; Fast Hike</v>
      </c>
      <c r="BA165" s="5" t="s">
        <v>88</v>
      </c>
      <c r="BB165" s="5" t="str">
        <f t="array" ref="BB165">IFERROR(_xlfn.XLOOKUP($E165,'FW27'!$C$3:$C$1102,'FW27'!$AS$3:$AS$1102),"")</f>
        <v>Fleece/Midlayer</v>
      </c>
      <c r="BC165" s="5" t="str">
        <f t="array" ref="BC165">IFERROR(_xlfn.XLOOKUP($E165,'FW27'!$C$3:$C$1102,'FW27'!$AT$3:$AT$1102),"")</f>
        <v>Hooded Jacket</v>
      </c>
      <c r="BD165" s="5" t="str">
        <f t="array" ref="BD165">IFERROR(_xlfn.XLOOKUP($E165,'FW27'!$C$3:$C$1102,'FW27'!$AU$3:$AU$1102),"")</f>
        <v>Midweight</v>
      </c>
      <c r="BE165" s="5" t="str">
        <f t="array" ref="BE165">IFERROR(_xlfn.XLOOKUP($E165,'FW27'!$C$3:$C$1102,'FW27'!$AV$3:$AV$1102),"")</f>
        <v>N</v>
      </c>
    </row>
    <row r="166" ht="16.5" hidden="1" customHeight="1">
      <c r="A166" s="5" t="s">
        <v>155</v>
      </c>
      <c r="B166" s="5" t="s">
        <v>137</v>
      </c>
      <c r="C166" s="5" t="b">
        <v>1</v>
      </c>
      <c r="D166" s="47" t="s">
        <v>1219</v>
      </c>
      <c r="E166" s="47" t="s">
        <v>1220</v>
      </c>
      <c r="F166" s="47"/>
      <c r="G166" s="47" t="s">
        <v>65</v>
      </c>
      <c r="H166" s="47" t="s">
        <v>74</v>
      </c>
      <c r="I166" s="47" t="s">
        <v>82</v>
      </c>
      <c r="J166" s="48" t="s">
        <v>322</v>
      </c>
      <c r="K166" s="25" t="s">
        <v>150</v>
      </c>
      <c r="L166" s="25"/>
      <c r="M166" s="5" t="s">
        <v>109</v>
      </c>
      <c r="N166" s="5" t="s">
        <v>270</v>
      </c>
      <c r="O166" s="5" t="s">
        <v>96</v>
      </c>
      <c r="P166" s="5" t="s">
        <v>70</v>
      </c>
      <c r="Q166" s="5" t="b">
        <v>1</v>
      </c>
      <c r="R166" s="5" t="b">
        <v>0</v>
      </c>
      <c r="S166" s="5"/>
      <c r="T166" s="5">
        <v>1200.0</v>
      </c>
      <c r="U166" s="26">
        <v>2.1</v>
      </c>
      <c r="V166" s="5">
        <v>571.0</v>
      </c>
      <c r="W166" s="27">
        <v>0.0</v>
      </c>
      <c r="X166" s="28">
        <v>571.0</v>
      </c>
      <c r="Y166" s="27">
        <v>1.0</v>
      </c>
      <c r="Z166" s="5" t="s">
        <v>117</v>
      </c>
      <c r="AA166" s="27">
        <v>0.6</v>
      </c>
      <c r="AB166" s="5"/>
      <c r="AC166" s="5" t="s">
        <v>81</v>
      </c>
      <c r="AD166" s="5" t="s">
        <v>81</v>
      </c>
      <c r="AE166" s="24">
        <v>0.0</v>
      </c>
      <c r="AF166" s="5">
        <v>4.0</v>
      </c>
      <c r="AG166" s="5" t="s">
        <v>0</v>
      </c>
      <c r="AH166" s="5" t="s">
        <v>471</v>
      </c>
      <c r="AI166" s="56"/>
      <c r="AJ166" s="28">
        <v>0.0</v>
      </c>
      <c r="AK166" s="28">
        <v>0.0</v>
      </c>
      <c r="AL166" s="28">
        <v>0.0</v>
      </c>
      <c r="AM166" s="28">
        <v>0.0</v>
      </c>
      <c r="AN166" s="28">
        <v>0.0</v>
      </c>
      <c r="AO166" s="28">
        <v>0.0</v>
      </c>
      <c r="AP166" s="28">
        <v>0.0</v>
      </c>
      <c r="AQ166" s="28">
        <v>0.0</v>
      </c>
      <c r="AR166" s="28">
        <v>0.0</v>
      </c>
      <c r="AS166" s="28">
        <v>0.0</v>
      </c>
      <c r="AT166" s="28">
        <v>0.0</v>
      </c>
      <c r="AU166" s="28">
        <v>0.0</v>
      </c>
      <c r="AV166" s="28">
        <v>0.0</v>
      </c>
      <c r="AW166" s="28">
        <v>0.0</v>
      </c>
      <c r="AX166" s="5"/>
      <c r="AY166" s="5" t="s">
        <v>86</v>
      </c>
      <c r="AZ166" s="5" t="s">
        <v>512</v>
      </c>
      <c r="BA166" s="5" t="s">
        <v>88</v>
      </c>
      <c r="BB166" s="5" t="s">
        <v>276</v>
      </c>
      <c r="BC166" s="5" t="s">
        <v>161</v>
      </c>
      <c r="BD166" s="5" t="s">
        <v>277</v>
      </c>
      <c r="BE166" s="5" t="s">
        <v>131</v>
      </c>
    </row>
    <row r="167" ht="16.5" hidden="1" customHeight="1">
      <c r="A167" s="5" t="s">
        <v>155</v>
      </c>
      <c r="B167" s="5" t="s">
        <v>137</v>
      </c>
      <c r="C167" s="5" t="b">
        <v>1</v>
      </c>
      <c r="D167" s="5" t="s">
        <v>563</v>
      </c>
      <c r="E167" s="5" t="s">
        <v>564</v>
      </c>
      <c r="F167" s="5"/>
      <c r="G167" s="5" t="s">
        <v>65</v>
      </c>
      <c r="H167" s="5" t="s">
        <v>84</v>
      </c>
      <c r="I167" s="5" t="s">
        <v>82</v>
      </c>
      <c r="J167" s="25"/>
      <c r="K167" s="25"/>
      <c r="L167" s="25"/>
      <c r="M167" s="5" t="s">
        <v>109</v>
      </c>
      <c r="N167" s="5" t="s">
        <v>270</v>
      </c>
      <c r="O167" s="5" t="s">
        <v>69</v>
      </c>
      <c r="P167" s="5" t="s">
        <v>107</v>
      </c>
      <c r="Q167" s="5" t="b">
        <v>1</v>
      </c>
      <c r="R167" s="5" t="b">
        <v>0</v>
      </c>
      <c r="S167" s="5"/>
      <c r="T167" s="5">
        <v>1200.0</v>
      </c>
      <c r="U167" s="26">
        <v>2.1</v>
      </c>
      <c r="V167" s="5">
        <v>571.0</v>
      </c>
      <c r="W167" s="27">
        <v>0.0</v>
      </c>
      <c r="X167" s="28">
        <v>571.0</v>
      </c>
      <c r="Y167" s="27">
        <v>1.0</v>
      </c>
      <c r="Z167" s="5" t="s">
        <v>117</v>
      </c>
      <c r="AA167" s="5">
        <v>0.62</v>
      </c>
      <c r="AB167" s="5"/>
      <c r="AC167" s="5" t="s">
        <v>81</v>
      </c>
      <c r="AD167" s="5" t="s">
        <v>81</v>
      </c>
      <c r="AE167" s="5">
        <v>3.0</v>
      </c>
      <c r="AF167" s="5">
        <v>0.0</v>
      </c>
      <c r="AG167" s="5" t="s">
        <v>1680</v>
      </c>
      <c r="AH167" s="5" t="s">
        <v>0</v>
      </c>
      <c r="AI167" s="42"/>
      <c r="AJ167" s="28">
        <v>610.0</v>
      </c>
      <c r="AK167" s="28">
        <v>704.0</v>
      </c>
      <c r="AL167" s="28">
        <v>0.0</v>
      </c>
      <c r="AM167" s="28">
        <v>1405.0</v>
      </c>
      <c r="AN167" s="28">
        <v>0.0</v>
      </c>
      <c r="AO167" s="28">
        <v>348572.29999999993</v>
      </c>
      <c r="AP167" s="28">
        <v>401984.0</v>
      </c>
      <c r="AQ167" s="28">
        <v>0.0</v>
      </c>
      <c r="AR167" s="28">
        <v>802859.1499999998</v>
      </c>
      <c r="AS167" s="28">
        <v>0.0</v>
      </c>
      <c r="AT167" s="28">
        <v>313108.7388704319</v>
      </c>
      <c r="AU167" s="28">
        <v>330109.40228000004</v>
      </c>
      <c r="AV167" s="28">
        <v>0.0</v>
      </c>
      <c r="AW167" s="28">
        <v>675667.5401993357</v>
      </c>
      <c r="AX167" s="5"/>
      <c r="AY167" s="5" t="str">
        <f t="array" ref="AY167">IFERROR(_xlfn.XLOOKUP($E167,'FW27'!$C$3:$C$1102,'FW27'!$AM$3:$AM$1102),"")</f>
        <v>Outdoor</v>
      </c>
      <c r="AZ167" s="5" t="str">
        <f t="array" ref="AZ167">IFERROR(_xlfn.XLOOKUP($E167,'FW27'!$C$3:$C$1102,'FW27'!$AN$3:$AN$1102),"")</f>
        <v>Trail Run &amp; Fast Hike</v>
      </c>
      <c r="BA167" s="5" t="s">
        <v>88</v>
      </c>
      <c r="BB167" s="5" t="str">
        <f t="array" ref="BB167">IFERROR(_xlfn.XLOOKUP($E167,'FW27'!$C$3:$C$1102,'FW27'!$AS$3:$AS$1102),"")</f>
        <v>Fleece/Midlayer</v>
      </c>
      <c r="BC167" s="5" t="str">
        <f t="array" ref="BC167">IFERROR(_xlfn.XLOOKUP($E167,'FW27'!$C$3:$C$1102,'FW27'!$AT$3:$AT$1102),"")</f>
        <v>Hooded Jacket</v>
      </c>
      <c r="BD167" s="5" t="str">
        <f t="array" ref="BD167">IFERROR(_xlfn.XLOOKUP($E167,'FW27'!$C$3:$C$1102,'FW27'!$AU$3:$AU$1102),"")</f>
        <v>Midweight</v>
      </c>
      <c r="BE167" s="5" t="str">
        <f t="array" ref="BE167">IFERROR(_xlfn.XLOOKUP($E167,'FW27'!$C$3:$C$1102,'FW27'!$AV$3:$AV$1102),"")</f>
        <v>N</v>
      </c>
    </row>
    <row r="168" ht="16.5" hidden="1" customHeight="1">
      <c r="A168" s="5" t="s">
        <v>155</v>
      </c>
      <c r="B168" s="5" t="s">
        <v>137</v>
      </c>
      <c r="C168" s="5" t="b">
        <v>1</v>
      </c>
      <c r="D168" s="47" t="s">
        <v>1232</v>
      </c>
      <c r="E168" s="47" t="s">
        <v>1233</v>
      </c>
      <c r="F168" s="47"/>
      <c r="G168" s="47" t="s">
        <v>65</v>
      </c>
      <c r="H168" s="47" t="s">
        <v>74</v>
      </c>
      <c r="I168" s="47" t="s">
        <v>82</v>
      </c>
      <c r="J168" s="48" t="s">
        <v>322</v>
      </c>
      <c r="K168" s="25" t="s">
        <v>150</v>
      </c>
      <c r="L168" s="25"/>
      <c r="M168" s="5" t="s">
        <v>109</v>
      </c>
      <c r="N168" s="5" t="s">
        <v>270</v>
      </c>
      <c r="O168" s="5" t="s">
        <v>96</v>
      </c>
      <c r="P168" s="5" t="s">
        <v>107</v>
      </c>
      <c r="Q168" s="5" t="b">
        <v>1</v>
      </c>
      <c r="R168" s="5" t="b">
        <v>0</v>
      </c>
      <c r="S168" s="5"/>
      <c r="T168" s="5">
        <v>1200.0</v>
      </c>
      <c r="U168" s="26">
        <v>2.1</v>
      </c>
      <c r="V168" s="5">
        <v>571.0</v>
      </c>
      <c r="W168" s="27">
        <v>0.0</v>
      </c>
      <c r="X168" s="28">
        <v>571.0</v>
      </c>
      <c r="Y168" s="27">
        <v>1.0</v>
      </c>
      <c r="Z168" s="5" t="s">
        <v>117</v>
      </c>
      <c r="AA168" s="27">
        <v>0.62</v>
      </c>
      <c r="AB168" s="5"/>
      <c r="AC168" s="5" t="s">
        <v>81</v>
      </c>
      <c r="AD168" s="5" t="s">
        <v>81</v>
      </c>
      <c r="AE168" s="24">
        <v>0.0</v>
      </c>
      <c r="AF168" s="5">
        <v>3.0</v>
      </c>
      <c r="AG168" s="5" t="s">
        <v>0</v>
      </c>
      <c r="AH168" s="5" t="s">
        <v>471</v>
      </c>
      <c r="AI168" s="56"/>
      <c r="AJ168" s="28">
        <v>0.0</v>
      </c>
      <c r="AK168" s="28">
        <v>0.0</v>
      </c>
      <c r="AL168" s="28">
        <v>0.0</v>
      </c>
      <c r="AM168" s="28">
        <v>0.0</v>
      </c>
      <c r="AN168" s="28">
        <v>0.0</v>
      </c>
      <c r="AO168" s="28">
        <v>0.0</v>
      </c>
      <c r="AP168" s="28">
        <v>0.0</v>
      </c>
      <c r="AQ168" s="28">
        <v>0.0</v>
      </c>
      <c r="AR168" s="28">
        <v>0.0</v>
      </c>
      <c r="AS168" s="28">
        <v>0.0</v>
      </c>
      <c r="AT168" s="28">
        <v>0.0</v>
      </c>
      <c r="AU168" s="28">
        <v>0.0</v>
      </c>
      <c r="AV168" s="28">
        <v>0.0</v>
      </c>
      <c r="AW168" s="28">
        <v>0.0</v>
      </c>
      <c r="AX168" s="5"/>
      <c r="AY168" s="5" t="s">
        <v>86</v>
      </c>
      <c r="AZ168" s="5" t="s">
        <v>512</v>
      </c>
      <c r="BA168" s="5" t="s">
        <v>88</v>
      </c>
      <c r="BB168" s="5" t="s">
        <v>276</v>
      </c>
      <c r="BC168" s="5" t="s">
        <v>161</v>
      </c>
      <c r="BD168" s="5" t="s">
        <v>277</v>
      </c>
      <c r="BE168" s="5" t="s">
        <v>131</v>
      </c>
    </row>
    <row r="169" ht="16.5" hidden="1" customHeight="1">
      <c r="A169" s="5" t="s">
        <v>155</v>
      </c>
      <c r="B169" s="5" t="s">
        <v>137</v>
      </c>
      <c r="C169" s="5" t="b">
        <v>1</v>
      </c>
      <c r="D169" s="5" t="s">
        <v>566</v>
      </c>
      <c r="E169" s="5" t="s">
        <v>567</v>
      </c>
      <c r="F169" s="5"/>
      <c r="G169" s="5" t="s">
        <v>65</v>
      </c>
      <c r="H169" s="5" t="s">
        <v>84</v>
      </c>
      <c r="I169" s="5" t="s">
        <v>82</v>
      </c>
      <c r="J169" s="25"/>
      <c r="K169" s="25"/>
      <c r="L169" s="25"/>
      <c r="M169" s="5" t="s">
        <v>109</v>
      </c>
      <c r="N169" s="5" t="s">
        <v>270</v>
      </c>
      <c r="O169" s="5" t="s">
        <v>69</v>
      </c>
      <c r="P169" s="5" t="s">
        <v>70</v>
      </c>
      <c r="Q169" s="5" t="b">
        <v>1</v>
      </c>
      <c r="R169" s="5" t="b">
        <v>0</v>
      </c>
      <c r="S169" s="5"/>
      <c r="T169" s="5">
        <v>1100.0</v>
      </c>
      <c r="U169" s="26">
        <v>2.1</v>
      </c>
      <c r="V169" s="5">
        <v>524.0</v>
      </c>
      <c r="W169" s="27">
        <v>0.0</v>
      </c>
      <c r="X169" s="28">
        <v>524.0</v>
      </c>
      <c r="Y169" s="27">
        <v>1.0</v>
      </c>
      <c r="Z169" s="5" t="s">
        <v>117</v>
      </c>
      <c r="AA169" s="5">
        <v>0.6</v>
      </c>
      <c r="AB169" s="5"/>
      <c r="AC169" s="5" t="s">
        <v>81</v>
      </c>
      <c r="AD169" s="5" t="s">
        <v>81</v>
      </c>
      <c r="AE169" s="5">
        <v>3.0</v>
      </c>
      <c r="AF169" s="5">
        <v>0.0</v>
      </c>
      <c r="AG169" s="5" t="s">
        <v>1695</v>
      </c>
      <c r="AH169" s="5" t="s">
        <v>0</v>
      </c>
      <c r="AI169" s="42"/>
      <c r="AJ169" s="28">
        <v>0.0</v>
      </c>
      <c r="AK169" s="28">
        <v>0.0</v>
      </c>
      <c r="AL169" s="28">
        <v>0.0</v>
      </c>
      <c r="AM169" s="28">
        <v>1164.0</v>
      </c>
      <c r="AN169" s="28">
        <v>0.0</v>
      </c>
      <c r="AO169" s="28">
        <v>0.0</v>
      </c>
      <c r="AP169" s="28">
        <v>0.0</v>
      </c>
      <c r="AQ169" s="28">
        <v>0.0</v>
      </c>
      <c r="AR169" s="28">
        <v>609714.8400000001</v>
      </c>
      <c r="AS169" s="28">
        <v>0.0</v>
      </c>
      <c r="AT169" s="28">
        <v>0.0</v>
      </c>
      <c r="AU169" s="28">
        <v>0.0</v>
      </c>
      <c r="AV169" s="28">
        <v>0.0</v>
      </c>
      <c r="AW169" s="28">
        <v>506565.4163898118</v>
      </c>
      <c r="AX169" s="5"/>
      <c r="AY169" s="5" t="s">
        <v>86</v>
      </c>
      <c r="AZ169" s="5" t="s">
        <v>512</v>
      </c>
      <c r="BA169" s="5" t="s">
        <v>88</v>
      </c>
      <c r="BB169" s="5" t="s">
        <v>276</v>
      </c>
      <c r="BC169" s="5" t="s">
        <v>89</v>
      </c>
      <c r="BD169" s="5" t="s">
        <v>277</v>
      </c>
      <c r="BE169" s="5" t="s">
        <v>131</v>
      </c>
    </row>
    <row r="170" ht="16.5" hidden="1" customHeight="1">
      <c r="A170" s="5" t="s">
        <v>155</v>
      </c>
      <c r="B170" s="5" t="s">
        <v>137</v>
      </c>
      <c r="C170" s="5" t="b">
        <v>1</v>
      </c>
      <c r="D170" s="5" t="s">
        <v>570</v>
      </c>
      <c r="E170" s="5" t="s">
        <v>571</v>
      </c>
      <c r="F170" s="5"/>
      <c r="G170" s="5" t="s">
        <v>65</v>
      </c>
      <c r="H170" s="5" t="s">
        <v>84</v>
      </c>
      <c r="I170" s="5" t="s">
        <v>82</v>
      </c>
      <c r="J170" s="25"/>
      <c r="K170" s="25"/>
      <c r="L170" s="25"/>
      <c r="M170" s="5" t="s">
        <v>109</v>
      </c>
      <c r="N170" s="5" t="s">
        <v>270</v>
      </c>
      <c r="O170" s="5" t="s">
        <v>69</v>
      </c>
      <c r="P170" s="5" t="s">
        <v>107</v>
      </c>
      <c r="Q170" s="5" t="b">
        <v>1</v>
      </c>
      <c r="R170" s="5" t="b">
        <v>0</v>
      </c>
      <c r="S170" s="5"/>
      <c r="T170" s="5">
        <v>1100.0</v>
      </c>
      <c r="U170" s="26">
        <v>2.1</v>
      </c>
      <c r="V170" s="5">
        <v>524.0</v>
      </c>
      <c r="W170" s="27">
        <v>0.0</v>
      </c>
      <c r="X170" s="28">
        <v>524.0</v>
      </c>
      <c r="Y170" s="27">
        <v>1.0</v>
      </c>
      <c r="Z170" s="5" t="s">
        <v>117</v>
      </c>
      <c r="AA170" s="5">
        <v>0.62</v>
      </c>
      <c r="AB170" s="5"/>
      <c r="AC170" s="5" t="s">
        <v>81</v>
      </c>
      <c r="AD170" s="5" t="s">
        <v>81</v>
      </c>
      <c r="AE170" s="5">
        <v>3.0</v>
      </c>
      <c r="AF170" s="5">
        <v>0.0</v>
      </c>
      <c r="AG170" s="5" t="s">
        <v>1695</v>
      </c>
      <c r="AH170" s="5" t="s">
        <v>0</v>
      </c>
      <c r="AI170" s="42"/>
      <c r="AJ170" s="28">
        <v>0.0</v>
      </c>
      <c r="AK170" s="28">
        <v>0.0</v>
      </c>
      <c r="AL170" s="28">
        <v>0.0</v>
      </c>
      <c r="AM170" s="28">
        <v>949.0</v>
      </c>
      <c r="AN170" s="28">
        <v>0.0</v>
      </c>
      <c r="AO170" s="28">
        <v>0.0</v>
      </c>
      <c r="AP170" s="28">
        <v>0.0</v>
      </c>
      <c r="AQ170" s="28">
        <v>0.0</v>
      </c>
      <c r="AR170" s="28">
        <v>497095.69</v>
      </c>
      <c r="AS170" s="28">
        <v>0.0</v>
      </c>
      <c r="AT170" s="28">
        <v>0.0</v>
      </c>
      <c r="AU170" s="28">
        <v>0.0</v>
      </c>
      <c r="AV170" s="28">
        <v>0.0</v>
      </c>
      <c r="AW170" s="28">
        <v>415209.56168327807</v>
      </c>
      <c r="AX170" s="5"/>
      <c r="AY170" s="5" t="s">
        <v>86</v>
      </c>
      <c r="AZ170" s="5" t="s">
        <v>512</v>
      </c>
      <c r="BA170" s="5" t="s">
        <v>88</v>
      </c>
      <c r="BB170" s="5" t="s">
        <v>276</v>
      </c>
      <c r="BC170" s="5" t="s">
        <v>89</v>
      </c>
      <c r="BD170" s="5" t="s">
        <v>277</v>
      </c>
      <c r="BE170" s="5" t="s">
        <v>131</v>
      </c>
    </row>
    <row r="171" ht="16.5" hidden="1" customHeight="1">
      <c r="A171" s="5" t="s">
        <v>155</v>
      </c>
      <c r="B171" s="5" t="s">
        <v>137</v>
      </c>
      <c r="C171" s="5" t="b">
        <v>1</v>
      </c>
      <c r="D171" s="5" t="s">
        <v>573</v>
      </c>
      <c r="E171" s="5" t="s">
        <v>574</v>
      </c>
      <c r="F171" s="5"/>
      <c r="G171" s="5" t="s">
        <v>65</v>
      </c>
      <c r="H171" s="5" t="s">
        <v>84</v>
      </c>
      <c r="I171" s="5" t="s">
        <v>82</v>
      </c>
      <c r="J171" s="25"/>
      <c r="K171" s="25"/>
      <c r="L171" s="25" t="s">
        <v>110</v>
      </c>
      <c r="M171" s="5" t="s">
        <v>109</v>
      </c>
      <c r="N171" s="5" t="s">
        <v>355</v>
      </c>
      <c r="O171" s="5" t="s">
        <v>69</v>
      </c>
      <c r="P171" s="5" t="s">
        <v>70</v>
      </c>
      <c r="Q171" s="5" t="b">
        <v>1</v>
      </c>
      <c r="R171" s="5" t="b">
        <v>0</v>
      </c>
      <c r="S171" s="5"/>
      <c r="T171" s="5">
        <v>2500.0</v>
      </c>
      <c r="U171" s="26">
        <v>2.1</v>
      </c>
      <c r="V171" s="5">
        <v>1190.0</v>
      </c>
      <c r="W171" s="27">
        <v>0.0</v>
      </c>
      <c r="X171" s="28">
        <v>1190.0</v>
      </c>
      <c r="Y171" s="27">
        <v>1.0</v>
      </c>
      <c r="Z171" s="5" t="s">
        <v>117</v>
      </c>
      <c r="AA171" s="5">
        <v>0.6</v>
      </c>
      <c r="AB171" s="5"/>
      <c r="AC171" s="5" t="s">
        <v>198</v>
      </c>
      <c r="AD171" s="5" t="s">
        <v>81</v>
      </c>
      <c r="AE171" s="5">
        <v>4.0</v>
      </c>
      <c r="AF171" s="5">
        <v>0.0</v>
      </c>
      <c r="AG171" s="5" t="s">
        <v>1695</v>
      </c>
      <c r="AH171" s="5" t="s">
        <v>0</v>
      </c>
      <c r="AI171" s="42"/>
      <c r="AJ171" s="28">
        <v>0.0</v>
      </c>
      <c r="AK171" s="28">
        <v>6.0</v>
      </c>
      <c r="AL171" s="28">
        <v>0.0</v>
      </c>
      <c r="AM171" s="28">
        <v>2570.0</v>
      </c>
      <c r="AN171" s="28">
        <v>0.0</v>
      </c>
      <c r="AO171" s="28">
        <v>0.0</v>
      </c>
      <c r="AP171" s="28">
        <v>7140.0</v>
      </c>
      <c r="AQ171" s="28">
        <v>0.0</v>
      </c>
      <c r="AR171" s="28">
        <v>3059533.6</v>
      </c>
      <c r="AS171" s="28">
        <v>0.0</v>
      </c>
      <c r="AT171" s="28">
        <v>0.0</v>
      </c>
      <c r="AU171" s="28">
        <v>6310.35</v>
      </c>
      <c r="AV171" s="28">
        <v>0.0</v>
      </c>
      <c r="AW171" s="28">
        <v>2171820.8673864887</v>
      </c>
      <c r="AX171" s="5"/>
      <c r="AY171" s="5" t="s">
        <v>86</v>
      </c>
      <c r="AZ171" s="5" t="s">
        <v>512</v>
      </c>
      <c r="BA171" s="32" t="s">
        <v>122</v>
      </c>
      <c r="BB171" s="5" t="s">
        <v>355</v>
      </c>
      <c r="BC171" s="5" t="s">
        <v>161</v>
      </c>
      <c r="BD171" s="5" t="s">
        <v>539</v>
      </c>
      <c r="BE171" s="5" t="s">
        <v>131</v>
      </c>
    </row>
    <row r="172" ht="16.5" hidden="1" customHeight="1">
      <c r="A172" s="5" t="s">
        <v>155</v>
      </c>
      <c r="B172" s="5" t="s">
        <v>137</v>
      </c>
      <c r="C172" s="5" t="b">
        <v>1</v>
      </c>
      <c r="D172" s="47" t="s">
        <v>1254</v>
      </c>
      <c r="E172" s="47" t="s">
        <v>1257</v>
      </c>
      <c r="F172" s="47"/>
      <c r="G172" s="47" t="s">
        <v>65</v>
      </c>
      <c r="H172" s="47" t="s">
        <v>74</v>
      </c>
      <c r="I172" s="47" t="s">
        <v>82</v>
      </c>
      <c r="J172" s="48" t="s">
        <v>322</v>
      </c>
      <c r="K172" s="25" t="s">
        <v>150</v>
      </c>
      <c r="L172" s="25"/>
      <c r="M172" s="5" t="s">
        <v>109</v>
      </c>
      <c r="N172" s="5" t="s">
        <v>355</v>
      </c>
      <c r="O172" s="5" t="s">
        <v>96</v>
      </c>
      <c r="P172" s="5" t="s">
        <v>70</v>
      </c>
      <c r="Q172" s="5" t="b">
        <v>1</v>
      </c>
      <c r="R172" s="5" t="b">
        <v>0</v>
      </c>
      <c r="S172" s="5"/>
      <c r="T172" s="5">
        <v>2500.0</v>
      </c>
      <c r="U172" s="26">
        <v>2.1</v>
      </c>
      <c r="V172" s="5">
        <v>1190.0</v>
      </c>
      <c r="W172" s="27">
        <v>0.0</v>
      </c>
      <c r="X172" s="28">
        <v>1190.0</v>
      </c>
      <c r="Y172" s="27">
        <v>1.0</v>
      </c>
      <c r="Z172" s="5" t="s">
        <v>117</v>
      </c>
      <c r="AA172" s="27">
        <v>0.6</v>
      </c>
      <c r="AB172" s="5"/>
      <c r="AC172" s="5" t="s">
        <v>198</v>
      </c>
      <c r="AD172" s="5" t="s">
        <v>81</v>
      </c>
      <c r="AE172" s="24">
        <v>0.0</v>
      </c>
      <c r="AF172" s="5">
        <v>2.0</v>
      </c>
      <c r="AG172" s="5" t="s">
        <v>0</v>
      </c>
      <c r="AH172" s="5" t="s">
        <v>471</v>
      </c>
      <c r="AI172" s="56"/>
      <c r="AJ172" s="28">
        <v>0.0</v>
      </c>
      <c r="AK172" s="28">
        <v>0.0</v>
      </c>
      <c r="AL172" s="28">
        <v>0.0</v>
      </c>
      <c r="AM172" s="28">
        <v>0.0</v>
      </c>
      <c r="AN172" s="28">
        <v>0.0</v>
      </c>
      <c r="AO172" s="28">
        <v>0.0</v>
      </c>
      <c r="AP172" s="28">
        <v>0.0</v>
      </c>
      <c r="AQ172" s="28">
        <v>0.0</v>
      </c>
      <c r="AR172" s="28">
        <v>0.0</v>
      </c>
      <c r="AS172" s="28">
        <v>0.0</v>
      </c>
      <c r="AT172" s="28">
        <v>0.0</v>
      </c>
      <c r="AU172" s="28">
        <v>0.0</v>
      </c>
      <c r="AV172" s="28">
        <v>0.0</v>
      </c>
      <c r="AW172" s="28">
        <v>0.0</v>
      </c>
      <c r="AX172" s="5"/>
      <c r="AY172" s="5" t="s">
        <v>86</v>
      </c>
      <c r="AZ172" s="5" t="s">
        <v>512</v>
      </c>
      <c r="BA172" s="32" t="s">
        <v>122</v>
      </c>
      <c r="BB172" s="5" t="s">
        <v>355</v>
      </c>
      <c r="BC172" s="5" t="s">
        <v>161</v>
      </c>
      <c r="BD172" s="5" t="s">
        <v>539</v>
      </c>
      <c r="BE172" s="5" t="s">
        <v>131</v>
      </c>
    </row>
    <row r="173" ht="16.5" hidden="1" customHeight="1">
      <c r="A173" s="5" t="s">
        <v>155</v>
      </c>
      <c r="B173" s="5" t="s">
        <v>137</v>
      </c>
      <c r="C173" s="5" t="b">
        <v>1</v>
      </c>
      <c r="D173" s="5" t="s">
        <v>576</v>
      </c>
      <c r="E173" s="5" t="s">
        <v>577</v>
      </c>
      <c r="F173" s="5"/>
      <c r="G173" s="5" t="s">
        <v>65</v>
      </c>
      <c r="H173" s="5" t="s">
        <v>84</v>
      </c>
      <c r="I173" s="5" t="s">
        <v>82</v>
      </c>
      <c r="J173" s="25"/>
      <c r="K173" s="25"/>
      <c r="L173" s="25" t="s">
        <v>110</v>
      </c>
      <c r="M173" s="5" t="s">
        <v>109</v>
      </c>
      <c r="N173" s="5" t="s">
        <v>355</v>
      </c>
      <c r="O173" s="5" t="s">
        <v>69</v>
      </c>
      <c r="P173" s="5" t="s">
        <v>107</v>
      </c>
      <c r="Q173" s="5" t="b">
        <v>1</v>
      </c>
      <c r="R173" s="5" t="b">
        <v>0</v>
      </c>
      <c r="S173" s="5"/>
      <c r="T173" s="5">
        <v>2500.0</v>
      </c>
      <c r="U173" s="26">
        <v>2.1</v>
      </c>
      <c r="V173" s="5">
        <v>1190.0</v>
      </c>
      <c r="W173" s="27">
        <v>0.0</v>
      </c>
      <c r="X173" s="28">
        <v>1190.0</v>
      </c>
      <c r="Y173" s="27">
        <v>1.0</v>
      </c>
      <c r="Z173" s="5" t="s">
        <v>117</v>
      </c>
      <c r="AA173" s="5">
        <v>0.62</v>
      </c>
      <c r="AB173" s="5"/>
      <c r="AC173" s="5" t="s">
        <v>198</v>
      </c>
      <c r="AD173" s="5" t="s">
        <v>81</v>
      </c>
      <c r="AE173" s="5">
        <v>3.0</v>
      </c>
      <c r="AF173" s="5">
        <v>0.0</v>
      </c>
      <c r="AG173" s="5" t="s">
        <v>1695</v>
      </c>
      <c r="AH173" s="5" t="s">
        <v>0</v>
      </c>
      <c r="AI173" s="42"/>
      <c r="AJ173" s="28">
        <v>0.0</v>
      </c>
      <c r="AK173" s="28">
        <v>6.0</v>
      </c>
      <c r="AL173" s="28">
        <v>0.0</v>
      </c>
      <c r="AM173" s="28">
        <v>2024.0</v>
      </c>
      <c r="AN173" s="28">
        <v>0.0</v>
      </c>
      <c r="AO173" s="28">
        <v>0.0</v>
      </c>
      <c r="AP173" s="28">
        <v>7140.0</v>
      </c>
      <c r="AQ173" s="28">
        <v>0.0</v>
      </c>
      <c r="AR173" s="28">
        <v>2409531.519999999</v>
      </c>
      <c r="AS173" s="28">
        <v>0.0</v>
      </c>
      <c r="AT173" s="28">
        <v>0.0</v>
      </c>
      <c r="AU173" s="28">
        <v>6310.349999999999</v>
      </c>
      <c r="AV173" s="28">
        <v>0.0</v>
      </c>
      <c r="AW173" s="28">
        <v>1764677.075802879</v>
      </c>
      <c r="AX173" s="5"/>
      <c r="AY173" s="5" t="s">
        <v>86</v>
      </c>
      <c r="AZ173" s="5" t="s">
        <v>512</v>
      </c>
      <c r="BA173" s="32" t="s">
        <v>122</v>
      </c>
      <c r="BB173" s="5" t="s">
        <v>355</v>
      </c>
      <c r="BC173" s="5" t="s">
        <v>161</v>
      </c>
      <c r="BD173" s="5" t="s">
        <v>539</v>
      </c>
      <c r="BE173" s="5" t="s">
        <v>131</v>
      </c>
    </row>
    <row r="174" ht="16.5" hidden="1" customHeight="1">
      <c r="A174" s="5" t="s">
        <v>155</v>
      </c>
      <c r="B174" s="5" t="s">
        <v>137</v>
      </c>
      <c r="C174" s="5" t="b">
        <v>1</v>
      </c>
      <c r="D174" s="47" t="s">
        <v>1270</v>
      </c>
      <c r="E174" s="47" t="s">
        <v>1271</v>
      </c>
      <c r="F174" s="47"/>
      <c r="G174" s="47" t="s">
        <v>65</v>
      </c>
      <c r="H174" s="47" t="s">
        <v>74</v>
      </c>
      <c r="I174" s="47" t="s">
        <v>82</v>
      </c>
      <c r="J174" s="48" t="s">
        <v>322</v>
      </c>
      <c r="K174" s="25" t="s">
        <v>150</v>
      </c>
      <c r="L174" s="25"/>
      <c r="M174" s="5" t="s">
        <v>109</v>
      </c>
      <c r="N174" s="5" t="s">
        <v>355</v>
      </c>
      <c r="O174" s="5" t="s">
        <v>96</v>
      </c>
      <c r="P174" s="5" t="s">
        <v>107</v>
      </c>
      <c r="Q174" s="5" t="b">
        <v>1</v>
      </c>
      <c r="R174" s="5" t="b">
        <v>0</v>
      </c>
      <c r="S174" s="5"/>
      <c r="T174" s="5">
        <v>2500.0</v>
      </c>
      <c r="U174" s="26">
        <v>2.1</v>
      </c>
      <c r="V174" s="5">
        <v>1190.0</v>
      </c>
      <c r="W174" s="27">
        <v>0.0</v>
      </c>
      <c r="X174" s="28">
        <v>1190.0</v>
      </c>
      <c r="Y174" s="27">
        <v>1.0</v>
      </c>
      <c r="Z174" s="5" t="s">
        <v>117</v>
      </c>
      <c r="AA174" s="27">
        <v>0.62</v>
      </c>
      <c r="AB174" s="5"/>
      <c r="AC174" s="5" t="s">
        <v>198</v>
      </c>
      <c r="AD174" s="5" t="s">
        <v>81</v>
      </c>
      <c r="AE174" s="24">
        <v>0.0</v>
      </c>
      <c r="AF174" s="5">
        <v>2.0</v>
      </c>
      <c r="AG174" s="5" t="s">
        <v>0</v>
      </c>
      <c r="AH174" s="5" t="s">
        <v>471</v>
      </c>
      <c r="AI174" s="56"/>
      <c r="AJ174" s="28">
        <v>0.0</v>
      </c>
      <c r="AK174" s="28">
        <v>0.0</v>
      </c>
      <c r="AL174" s="28">
        <v>0.0</v>
      </c>
      <c r="AM174" s="28">
        <v>0.0</v>
      </c>
      <c r="AN174" s="28">
        <v>0.0</v>
      </c>
      <c r="AO174" s="28">
        <v>0.0</v>
      </c>
      <c r="AP174" s="28">
        <v>0.0</v>
      </c>
      <c r="AQ174" s="28">
        <v>0.0</v>
      </c>
      <c r="AR174" s="28">
        <v>0.0</v>
      </c>
      <c r="AS174" s="28">
        <v>0.0</v>
      </c>
      <c r="AT174" s="28">
        <v>0.0</v>
      </c>
      <c r="AU174" s="28">
        <v>0.0</v>
      </c>
      <c r="AV174" s="28">
        <v>0.0</v>
      </c>
      <c r="AW174" s="28">
        <v>0.0</v>
      </c>
      <c r="AX174" s="5"/>
      <c r="AY174" s="5" t="s">
        <v>86</v>
      </c>
      <c r="AZ174" s="5" t="s">
        <v>512</v>
      </c>
      <c r="BA174" s="32" t="s">
        <v>122</v>
      </c>
      <c r="BB174" s="5" t="s">
        <v>355</v>
      </c>
      <c r="BC174" s="5" t="s">
        <v>161</v>
      </c>
      <c r="BD174" s="5" t="s">
        <v>539</v>
      </c>
      <c r="BE174" s="5" t="s">
        <v>131</v>
      </c>
    </row>
    <row r="175" ht="16.5" hidden="1" customHeight="1">
      <c r="A175" s="5" t="s">
        <v>155</v>
      </c>
      <c r="B175" s="5" t="s">
        <v>137</v>
      </c>
      <c r="C175" s="5" t="b">
        <v>1</v>
      </c>
      <c r="D175" s="5" t="s">
        <v>581</v>
      </c>
      <c r="E175" s="5" t="s">
        <v>582</v>
      </c>
      <c r="F175" s="5"/>
      <c r="G175" s="5" t="s">
        <v>65</v>
      </c>
      <c r="H175" s="5" t="s">
        <v>84</v>
      </c>
      <c r="I175" s="5" t="s">
        <v>82</v>
      </c>
      <c r="J175" s="25"/>
      <c r="K175" s="25"/>
      <c r="L175" s="25" t="s">
        <v>110</v>
      </c>
      <c r="M175" s="5" t="s">
        <v>109</v>
      </c>
      <c r="N175" s="5" t="s">
        <v>355</v>
      </c>
      <c r="O175" s="5" t="s">
        <v>69</v>
      </c>
      <c r="P175" s="5" t="s">
        <v>70</v>
      </c>
      <c r="Q175" s="5" t="b">
        <v>1</v>
      </c>
      <c r="R175" s="5" t="b">
        <v>0</v>
      </c>
      <c r="S175" s="5"/>
      <c r="T175" s="5">
        <v>1800.0</v>
      </c>
      <c r="U175" s="26">
        <v>2.1</v>
      </c>
      <c r="V175" s="5">
        <v>857.0</v>
      </c>
      <c r="W175" s="27">
        <v>0.0</v>
      </c>
      <c r="X175" s="28">
        <v>857.0</v>
      </c>
      <c r="Y175" s="27">
        <v>1.0</v>
      </c>
      <c r="Z175" s="5" t="s">
        <v>117</v>
      </c>
      <c r="AA175" s="5">
        <v>0.6</v>
      </c>
      <c r="AB175" s="5"/>
      <c r="AC175" s="5" t="s">
        <v>198</v>
      </c>
      <c r="AD175" s="5" t="s">
        <v>81</v>
      </c>
      <c r="AE175" s="5">
        <v>2.0</v>
      </c>
      <c r="AF175" s="5">
        <v>0.0</v>
      </c>
      <c r="AG175" s="5" t="s">
        <v>1695</v>
      </c>
      <c r="AH175" s="5" t="s">
        <v>0</v>
      </c>
      <c r="AI175" s="42"/>
      <c r="AJ175" s="28">
        <v>0.0</v>
      </c>
      <c r="AK175" s="28">
        <v>0.0</v>
      </c>
      <c r="AL175" s="28">
        <v>0.0</v>
      </c>
      <c r="AM175" s="28">
        <v>997.0</v>
      </c>
      <c r="AN175" s="28">
        <v>0.0</v>
      </c>
      <c r="AO175" s="28">
        <v>0.0</v>
      </c>
      <c r="AP175" s="28">
        <v>0.0</v>
      </c>
      <c r="AQ175" s="28">
        <v>0.0</v>
      </c>
      <c r="AR175" s="28">
        <v>854568.5799999998</v>
      </c>
      <c r="AS175" s="28">
        <v>0.0</v>
      </c>
      <c r="AT175" s="28">
        <v>0.0</v>
      </c>
      <c r="AU175" s="28">
        <v>0.0</v>
      </c>
      <c r="AV175" s="28">
        <v>0.0</v>
      </c>
      <c r="AW175" s="28">
        <v>699324.2410852714</v>
      </c>
      <c r="AX175" s="5"/>
      <c r="AY175" s="5" t="s">
        <v>86</v>
      </c>
      <c r="AZ175" s="5" t="s">
        <v>512</v>
      </c>
      <c r="BA175" s="32" t="s">
        <v>584</v>
      </c>
      <c r="BB175" s="5" t="s">
        <v>355</v>
      </c>
      <c r="BC175" s="5" t="s">
        <v>373</v>
      </c>
      <c r="BD175" s="5" t="s">
        <v>539</v>
      </c>
      <c r="BE175" s="5" t="s">
        <v>131</v>
      </c>
    </row>
    <row r="176" ht="16.5" hidden="1" customHeight="1">
      <c r="A176" s="5" t="s">
        <v>155</v>
      </c>
      <c r="B176" s="5" t="s">
        <v>137</v>
      </c>
      <c r="C176" s="5" t="b">
        <v>1</v>
      </c>
      <c r="D176" s="5" t="s">
        <v>585</v>
      </c>
      <c r="E176" s="5" t="s">
        <v>586</v>
      </c>
      <c r="F176" s="5"/>
      <c r="G176" s="5" t="s">
        <v>65</v>
      </c>
      <c r="H176" s="5" t="s">
        <v>84</v>
      </c>
      <c r="I176" s="5" t="s">
        <v>82</v>
      </c>
      <c r="J176" s="25"/>
      <c r="K176" s="25"/>
      <c r="L176" s="25" t="s">
        <v>110</v>
      </c>
      <c r="M176" s="5" t="s">
        <v>109</v>
      </c>
      <c r="N176" s="5" t="s">
        <v>355</v>
      </c>
      <c r="O176" s="5" t="s">
        <v>69</v>
      </c>
      <c r="P176" s="5" t="s">
        <v>107</v>
      </c>
      <c r="Q176" s="5" t="b">
        <v>1</v>
      </c>
      <c r="R176" s="5" t="b">
        <v>0</v>
      </c>
      <c r="S176" s="5"/>
      <c r="T176" s="5">
        <v>1800.0</v>
      </c>
      <c r="U176" s="26">
        <v>2.1</v>
      </c>
      <c r="V176" s="5">
        <v>857.0</v>
      </c>
      <c r="W176" s="27">
        <v>0.0</v>
      </c>
      <c r="X176" s="28">
        <v>857.0</v>
      </c>
      <c r="Y176" s="27">
        <v>1.0</v>
      </c>
      <c r="Z176" s="5" t="s">
        <v>117</v>
      </c>
      <c r="AA176" s="5">
        <v>0.62</v>
      </c>
      <c r="AB176" s="5"/>
      <c r="AC176" s="5" t="s">
        <v>198</v>
      </c>
      <c r="AD176" s="5" t="s">
        <v>81</v>
      </c>
      <c r="AE176" s="5">
        <v>2.0</v>
      </c>
      <c r="AF176" s="5">
        <v>0.0</v>
      </c>
      <c r="AG176" s="5" t="s">
        <v>1695</v>
      </c>
      <c r="AH176" s="5" t="s">
        <v>0</v>
      </c>
      <c r="AI176" s="42"/>
      <c r="AJ176" s="28">
        <v>0.0</v>
      </c>
      <c r="AK176" s="28">
        <v>0.0</v>
      </c>
      <c r="AL176" s="28">
        <v>0.0</v>
      </c>
      <c r="AM176" s="28">
        <v>836.0</v>
      </c>
      <c r="AN176" s="28">
        <v>0.0</v>
      </c>
      <c r="AO176" s="28">
        <v>0.0</v>
      </c>
      <c r="AP176" s="28">
        <v>0.0</v>
      </c>
      <c r="AQ176" s="28">
        <v>0.0</v>
      </c>
      <c r="AR176" s="28">
        <v>716569.0399999998</v>
      </c>
      <c r="AS176" s="28">
        <v>0.0</v>
      </c>
      <c r="AT176" s="28">
        <v>0.0</v>
      </c>
      <c r="AU176" s="28">
        <v>0.0</v>
      </c>
      <c r="AV176" s="28">
        <v>0.0</v>
      </c>
      <c r="AW176" s="28">
        <v>579650.8861572536</v>
      </c>
      <c r="AX176" s="5"/>
      <c r="AY176" s="5" t="s">
        <v>86</v>
      </c>
      <c r="AZ176" s="5" t="s">
        <v>512</v>
      </c>
      <c r="BA176" s="32" t="s">
        <v>584</v>
      </c>
      <c r="BB176" s="5" t="s">
        <v>355</v>
      </c>
      <c r="BC176" s="5" t="s">
        <v>373</v>
      </c>
      <c r="BD176" s="5" t="s">
        <v>539</v>
      </c>
      <c r="BE176" s="5" t="s">
        <v>131</v>
      </c>
    </row>
    <row r="177" ht="16.5" hidden="1" customHeight="1">
      <c r="A177" s="5" t="s">
        <v>155</v>
      </c>
      <c r="B177" s="5" t="s">
        <v>137</v>
      </c>
      <c r="C177" s="5" t="b">
        <v>1</v>
      </c>
      <c r="D177" s="5" t="s">
        <v>588</v>
      </c>
      <c r="E177" s="5" t="s">
        <v>589</v>
      </c>
      <c r="F177" s="5"/>
      <c r="G177" s="5" t="s">
        <v>65</v>
      </c>
      <c r="H177" s="5" t="s">
        <v>84</v>
      </c>
      <c r="I177" s="5" t="s">
        <v>82</v>
      </c>
      <c r="J177" s="25"/>
      <c r="K177" s="25"/>
      <c r="L177" s="25"/>
      <c r="M177" s="5" t="s">
        <v>109</v>
      </c>
      <c r="N177" s="5" t="s">
        <v>248</v>
      </c>
      <c r="O177" s="5" t="s">
        <v>69</v>
      </c>
      <c r="P177" s="5" t="s">
        <v>249</v>
      </c>
      <c r="Q177" s="5" t="b">
        <v>1</v>
      </c>
      <c r="R177" s="5" t="b">
        <v>0</v>
      </c>
      <c r="S177" s="5"/>
      <c r="T177" s="5">
        <v>500.0</v>
      </c>
      <c r="U177" s="26">
        <v>2.1</v>
      </c>
      <c r="V177" s="5">
        <v>238.0</v>
      </c>
      <c r="W177" s="27">
        <v>0.0</v>
      </c>
      <c r="X177" s="28">
        <v>238.0</v>
      </c>
      <c r="Y177" s="27">
        <v>1.0</v>
      </c>
      <c r="Z177" s="5" t="s">
        <v>117</v>
      </c>
      <c r="AA177" s="5">
        <v>0.6</v>
      </c>
      <c r="AB177" s="5"/>
      <c r="AC177" s="5" t="s">
        <v>81</v>
      </c>
      <c r="AD177" s="5" t="s">
        <v>81</v>
      </c>
      <c r="AE177" s="5">
        <v>4.0</v>
      </c>
      <c r="AF177" s="5">
        <v>0.0</v>
      </c>
      <c r="AG177" s="5" t="s">
        <v>1695</v>
      </c>
      <c r="AH177" s="5" t="s">
        <v>0</v>
      </c>
      <c r="AI177" s="42"/>
      <c r="AJ177" s="28">
        <v>0.0</v>
      </c>
      <c r="AK177" s="28">
        <v>0.0</v>
      </c>
      <c r="AL177" s="28">
        <v>0.0</v>
      </c>
      <c r="AM177" s="28">
        <v>2142.0</v>
      </c>
      <c r="AN177" s="28">
        <v>0.0</v>
      </c>
      <c r="AO177" s="28">
        <v>0.0</v>
      </c>
      <c r="AP177" s="28">
        <v>0.0</v>
      </c>
      <c r="AQ177" s="28">
        <v>0.0</v>
      </c>
      <c r="AR177" s="28">
        <v>510010.19999999995</v>
      </c>
      <c r="AS177" s="28">
        <v>0.0</v>
      </c>
      <c r="AT177" s="28">
        <v>0.0</v>
      </c>
      <c r="AU177" s="28">
        <v>0.0</v>
      </c>
      <c r="AV177" s="28">
        <v>0.0</v>
      </c>
      <c r="AW177" s="28">
        <v>443378.95359911415</v>
      </c>
      <c r="AX177" s="5"/>
      <c r="AY177" s="5" t="s">
        <v>86</v>
      </c>
      <c r="AZ177" s="5" t="s">
        <v>512</v>
      </c>
      <c r="BB177" s="5" t="s">
        <v>248</v>
      </c>
      <c r="BC177" s="5" t="s">
        <v>253</v>
      </c>
      <c r="BD177" s="5" t="s">
        <v>254</v>
      </c>
      <c r="BE177" s="5" t="s">
        <v>131</v>
      </c>
    </row>
    <row r="178" ht="16.5" hidden="1" customHeight="1">
      <c r="A178" s="5" t="s">
        <v>155</v>
      </c>
      <c r="B178" s="5" t="s">
        <v>200</v>
      </c>
      <c r="C178" s="5" t="b">
        <v>0</v>
      </c>
      <c r="D178" s="5" t="s">
        <v>592</v>
      </c>
      <c r="E178" s="5" t="s">
        <v>593</v>
      </c>
      <c r="F178" s="5"/>
      <c r="G178" s="5" t="s">
        <v>65</v>
      </c>
      <c r="H178" s="5" t="s">
        <v>84</v>
      </c>
      <c r="I178" s="5" t="s">
        <v>106</v>
      </c>
      <c r="J178" s="25" t="s">
        <v>413</v>
      </c>
      <c r="K178" s="25"/>
      <c r="L178" s="25"/>
      <c r="M178" s="5" t="s">
        <v>109</v>
      </c>
      <c r="N178" s="5" t="s">
        <v>113</v>
      </c>
      <c r="O178" s="5" t="s">
        <v>69</v>
      </c>
      <c r="P178" s="5" t="s">
        <v>70</v>
      </c>
      <c r="Q178" s="5" t="b">
        <v>1</v>
      </c>
      <c r="R178" s="5" t="b">
        <v>0</v>
      </c>
      <c r="S178" s="5"/>
      <c r="T178" s="5">
        <v>900.0</v>
      </c>
      <c r="U178" s="26">
        <v>2.1</v>
      </c>
      <c r="V178" s="5">
        <v>429.0</v>
      </c>
      <c r="W178" s="27">
        <v>0.0</v>
      </c>
      <c r="X178" s="28">
        <v>429.0</v>
      </c>
      <c r="Y178" s="27">
        <v>1.0</v>
      </c>
      <c r="Z178" s="5" t="s">
        <v>117</v>
      </c>
      <c r="AA178" s="5">
        <v>0.62</v>
      </c>
      <c r="AB178" s="5"/>
      <c r="AC178" s="5" t="s">
        <v>81</v>
      </c>
      <c r="AD178" s="5" t="s">
        <v>81</v>
      </c>
      <c r="AE178" s="5">
        <v>4.0</v>
      </c>
      <c r="AF178" s="5">
        <v>0.0</v>
      </c>
      <c r="AG178" s="5" t="s">
        <v>1695</v>
      </c>
      <c r="AH178" s="5" t="s">
        <v>0</v>
      </c>
      <c r="AI178" s="42"/>
      <c r="AJ178" s="28">
        <v>0.0</v>
      </c>
      <c r="AK178" s="28">
        <v>0.0</v>
      </c>
      <c r="AL178" s="28">
        <v>0.0</v>
      </c>
      <c r="AM178" s="28">
        <v>1552.0</v>
      </c>
      <c r="AN178" s="28">
        <v>0.0</v>
      </c>
      <c r="AO178" s="28">
        <v>0.0</v>
      </c>
      <c r="AP178" s="28">
        <v>0.0</v>
      </c>
      <c r="AQ178" s="28">
        <v>0.0</v>
      </c>
      <c r="AR178" s="28">
        <v>665140.6400000002</v>
      </c>
      <c r="AS178" s="28">
        <v>0.0</v>
      </c>
      <c r="AT178" s="28">
        <v>0.0</v>
      </c>
      <c r="AU178" s="28">
        <v>0.0</v>
      </c>
      <c r="AV178" s="28">
        <v>0.0</v>
      </c>
      <c r="AW178" s="28">
        <v>452221.0873754154</v>
      </c>
      <c r="AX178" s="5"/>
      <c r="AY178" s="5" t="s">
        <v>86</v>
      </c>
      <c r="AZ178" s="5" t="s">
        <v>512</v>
      </c>
      <c r="BA178" s="32" t="s">
        <v>379</v>
      </c>
      <c r="BB178" s="5" t="s">
        <v>126</v>
      </c>
      <c r="BC178" s="5" t="s">
        <v>147</v>
      </c>
      <c r="BD178" s="5" t="s">
        <v>539</v>
      </c>
      <c r="BE178" s="5" t="s">
        <v>131</v>
      </c>
      <c r="BF178" s="5" t="s">
        <v>1639</v>
      </c>
    </row>
    <row r="179" ht="16.5" hidden="1" customHeight="1">
      <c r="A179" s="5" t="s">
        <v>155</v>
      </c>
      <c r="B179" s="5" t="s">
        <v>200</v>
      </c>
      <c r="C179" s="5" t="b">
        <v>0</v>
      </c>
      <c r="D179" s="5" t="s">
        <v>595</v>
      </c>
      <c r="E179" s="5" t="s">
        <v>596</v>
      </c>
      <c r="F179" s="5"/>
      <c r="G179" s="5" t="s">
        <v>65</v>
      </c>
      <c r="H179" s="5" t="s">
        <v>84</v>
      </c>
      <c r="I179" s="5" t="s">
        <v>106</v>
      </c>
      <c r="J179" s="25" t="s">
        <v>413</v>
      </c>
      <c r="K179" s="25"/>
      <c r="L179" s="25"/>
      <c r="M179" s="5" t="s">
        <v>109</v>
      </c>
      <c r="N179" s="5" t="s">
        <v>113</v>
      </c>
      <c r="O179" s="5" t="s">
        <v>69</v>
      </c>
      <c r="P179" s="5" t="s">
        <v>107</v>
      </c>
      <c r="Q179" s="5" t="b">
        <v>1</v>
      </c>
      <c r="R179" s="5" t="b">
        <v>0</v>
      </c>
      <c r="S179" s="5"/>
      <c r="T179" s="5">
        <v>900.0</v>
      </c>
      <c r="U179" s="26">
        <v>2.1</v>
      </c>
      <c r="V179" s="5">
        <v>429.0</v>
      </c>
      <c r="W179" s="27">
        <v>0.0</v>
      </c>
      <c r="X179" s="28">
        <v>429.0</v>
      </c>
      <c r="Y179" s="27">
        <v>1.0</v>
      </c>
      <c r="Z179" s="5" t="s">
        <v>117</v>
      </c>
      <c r="AA179" s="5">
        <v>0.63</v>
      </c>
      <c r="AB179" s="5"/>
      <c r="AC179" s="5" t="s">
        <v>81</v>
      </c>
      <c r="AD179" s="5" t="s">
        <v>81</v>
      </c>
      <c r="AE179" s="5">
        <v>4.0</v>
      </c>
      <c r="AF179" s="5">
        <v>0.0</v>
      </c>
      <c r="AG179" s="5" t="s">
        <v>1695</v>
      </c>
      <c r="AH179" s="5" t="s">
        <v>0</v>
      </c>
      <c r="AI179" s="42"/>
      <c r="AJ179" s="28">
        <v>0.0</v>
      </c>
      <c r="AK179" s="28">
        <v>0.0</v>
      </c>
      <c r="AL179" s="28">
        <v>0.0</v>
      </c>
      <c r="AM179" s="28">
        <v>1588.0</v>
      </c>
      <c r="AN179" s="28">
        <v>0.0</v>
      </c>
      <c r="AO179" s="28">
        <v>0.0</v>
      </c>
      <c r="AP179" s="28">
        <v>0.0</v>
      </c>
      <c r="AQ179" s="28">
        <v>0.0</v>
      </c>
      <c r="AR179" s="28">
        <v>680569.1600000001</v>
      </c>
      <c r="AS179" s="28">
        <v>0.0</v>
      </c>
      <c r="AT179" s="28">
        <v>0.0</v>
      </c>
      <c r="AU179" s="28">
        <v>0.0</v>
      </c>
      <c r="AV179" s="28">
        <v>0.0</v>
      </c>
      <c r="AW179" s="28">
        <v>482062.32801771886</v>
      </c>
      <c r="AX179" s="5"/>
      <c r="AY179" s="5" t="s">
        <v>86</v>
      </c>
      <c r="AZ179" s="5" t="s">
        <v>512</v>
      </c>
      <c r="BA179" s="32" t="s">
        <v>379</v>
      </c>
      <c r="BB179" s="5" t="s">
        <v>126</v>
      </c>
      <c r="BC179" s="5" t="s">
        <v>147</v>
      </c>
      <c r="BD179" s="5" t="s">
        <v>539</v>
      </c>
      <c r="BE179" s="5" t="s">
        <v>131</v>
      </c>
      <c r="BF179" s="5" t="s">
        <v>1639</v>
      </c>
    </row>
    <row r="180" ht="16.5" hidden="1" customHeight="1">
      <c r="A180" s="5" t="s">
        <v>155</v>
      </c>
      <c r="B180" s="5" t="s">
        <v>137</v>
      </c>
      <c r="C180" s="5" t="b">
        <v>1</v>
      </c>
      <c r="D180" s="5" t="s">
        <v>1748</v>
      </c>
      <c r="E180" s="5" t="s">
        <v>1749</v>
      </c>
      <c r="F180" s="5"/>
      <c r="G180" s="5" t="s">
        <v>65</v>
      </c>
      <c r="H180" s="5" t="s">
        <v>84</v>
      </c>
      <c r="I180" s="5" t="s">
        <v>82</v>
      </c>
      <c r="J180" s="25" t="s">
        <v>164</v>
      </c>
      <c r="K180" s="25"/>
      <c r="L180" s="25"/>
      <c r="M180" s="5" t="s">
        <v>109</v>
      </c>
      <c r="N180" s="5" t="s">
        <v>113</v>
      </c>
      <c r="O180" s="5" t="s">
        <v>69</v>
      </c>
      <c r="P180" s="5" t="s">
        <v>70</v>
      </c>
      <c r="Q180" s="5" t="b">
        <v>1</v>
      </c>
      <c r="R180" s="5" t="b">
        <v>0</v>
      </c>
      <c r="S180" s="5"/>
      <c r="T180" s="5">
        <v>1900.0</v>
      </c>
      <c r="U180" s="26">
        <v>2.1</v>
      </c>
      <c r="V180" s="5">
        <v>905.0</v>
      </c>
      <c r="W180" s="27">
        <v>0.0</v>
      </c>
      <c r="X180" s="28">
        <v>905.0</v>
      </c>
      <c r="Y180" s="27">
        <v>1.0</v>
      </c>
      <c r="Z180" s="5" t="s">
        <v>242</v>
      </c>
      <c r="AA180" s="27">
        <v>0.5</v>
      </c>
      <c r="AB180" s="26"/>
      <c r="AC180" s="24" t="s">
        <v>0</v>
      </c>
      <c r="AD180" s="24" t="s">
        <v>0</v>
      </c>
      <c r="AE180" s="5">
        <v>2.0</v>
      </c>
      <c r="AF180" s="5">
        <v>0.0</v>
      </c>
      <c r="AG180" s="5" t="s">
        <v>0</v>
      </c>
      <c r="AH180" s="5" t="s">
        <v>0</v>
      </c>
      <c r="AI180" s="42"/>
      <c r="AJ180" s="28">
        <v>0.0</v>
      </c>
      <c r="AK180" s="28">
        <v>0.0</v>
      </c>
      <c r="AL180" s="28">
        <v>0.0</v>
      </c>
      <c r="AM180" s="28">
        <v>0.0</v>
      </c>
      <c r="AN180" s="28">
        <v>0.0</v>
      </c>
      <c r="AO180" s="28">
        <v>0.0</v>
      </c>
      <c r="AP180" s="28">
        <v>0.0</v>
      </c>
      <c r="AQ180" s="28">
        <v>0.0</v>
      </c>
      <c r="AR180" s="28">
        <v>0.0</v>
      </c>
      <c r="AS180" s="28">
        <v>0.0</v>
      </c>
      <c r="AT180" s="28">
        <v>0.0</v>
      </c>
      <c r="AU180" s="28">
        <v>0.0</v>
      </c>
      <c r="AV180" s="28">
        <v>0.0</v>
      </c>
      <c r="AW180" s="28">
        <v>0.0</v>
      </c>
      <c r="AX180" s="5"/>
      <c r="AY180" s="5" t="s">
        <v>86</v>
      </c>
      <c r="AZ180" s="5" t="s">
        <v>512</v>
      </c>
      <c r="BA180" s="5" t="s">
        <v>88</v>
      </c>
      <c r="BB180" s="5" t="s">
        <v>126</v>
      </c>
      <c r="BC180" s="5" t="s">
        <v>128</v>
      </c>
      <c r="BD180" s="5" t="s">
        <v>539</v>
      </c>
      <c r="BE180" s="5" t="s">
        <v>131</v>
      </c>
    </row>
    <row r="181" ht="16.5" hidden="1" customHeight="1">
      <c r="A181" s="5" t="s">
        <v>155</v>
      </c>
      <c r="B181" s="5" t="s">
        <v>137</v>
      </c>
      <c r="C181" s="5" t="b">
        <v>1</v>
      </c>
      <c r="D181" s="5" t="s">
        <v>1751</v>
      </c>
      <c r="E181" s="5" t="s">
        <v>1752</v>
      </c>
      <c r="F181" s="5"/>
      <c r="G181" s="5" t="s">
        <v>65</v>
      </c>
      <c r="H181" s="5" t="s">
        <v>84</v>
      </c>
      <c r="I181" s="5" t="s">
        <v>82</v>
      </c>
      <c r="J181" s="25" t="s">
        <v>164</v>
      </c>
      <c r="K181" s="25"/>
      <c r="L181" s="25"/>
      <c r="M181" s="5" t="s">
        <v>109</v>
      </c>
      <c r="N181" s="5" t="s">
        <v>113</v>
      </c>
      <c r="O181" s="5" t="s">
        <v>69</v>
      </c>
      <c r="P181" s="5" t="s">
        <v>107</v>
      </c>
      <c r="Q181" s="5" t="b">
        <v>1</v>
      </c>
      <c r="R181" s="5" t="b">
        <v>0</v>
      </c>
      <c r="S181" s="5"/>
      <c r="T181" s="5">
        <v>1900.0</v>
      </c>
      <c r="U181" s="26">
        <v>2.1</v>
      </c>
      <c r="V181" s="5">
        <v>905.0</v>
      </c>
      <c r="W181" s="27">
        <v>0.0</v>
      </c>
      <c r="X181" s="28">
        <v>905.0</v>
      </c>
      <c r="Y181" s="27">
        <v>1.0</v>
      </c>
      <c r="Z181" s="5" t="s">
        <v>242</v>
      </c>
      <c r="AA181" s="27">
        <v>0.5</v>
      </c>
      <c r="AB181" s="26"/>
      <c r="AC181" s="24" t="s">
        <v>0</v>
      </c>
      <c r="AD181" s="24" t="s">
        <v>0</v>
      </c>
      <c r="AE181" s="5">
        <v>2.0</v>
      </c>
      <c r="AF181" s="5">
        <v>0.0</v>
      </c>
      <c r="AG181" s="5" t="s">
        <v>0</v>
      </c>
      <c r="AH181" s="5" t="s">
        <v>0</v>
      </c>
      <c r="AI181" s="42"/>
      <c r="AJ181" s="28">
        <v>0.0</v>
      </c>
      <c r="AK181" s="28">
        <v>0.0</v>
      </c>
      <c r="AL181" s="28">
        <v>0.0</v>
      </c>
      <c r="AM181" s="28">
        <v>0.0</v>
      </c>
      <c r="AN181" s="28">
        <v>0.0</v>
      </c>
      <c r="AO181" s="28">
        <v>0.0</v>
      </c>
      <c r="AP181" s="28">
        <v>0.0</v>
      </c>
      <c r="AQ181" s="28">
        <v>0.0</v>
      </c>
      <c r="AR181" s="28">
        <v>0.0</v>
      </c>
      <c r="AS181" s="28">
        <v>0.0</v>
      </c>
      <c r="AT181" s="28">
        <v>0.0</v>
      </c>
      <c r="AU181" s="28">
        <v>0.0</v>
      </c>
      <c r="AV181" s="28">
        <v>0.0</v>
      </c>
      <c r="AW181" s="28">
        <v>0.0</v>
      </c>
      <c r="AX181" s="5"/>
      <c r="AY181" s="5" t="s">
        <v>86</v>
      </c>
      <c r="AZ181" s="5" t="s">
        <v>512</v>
      </c>
      <c r="BA181" s="5" t="s">
        <v>88</v>
      </c>
      <c r="BB181" s="5" t="s">
        <v>126</v>
      </c>
      <c r="BC181" s="5" t="s">
        <v>128</v>
      </c>
      <c r="BD181" s="5" t="s">
        <v>539</v>
      </c>
      <c r="BE181" s="5" t="s">
        <v>131</v>
      </c>
    </row>
    <row r="182" ht="16.5" hidden="1" customHeight="1">
      <c r="A182" s="5" t="s">
        <v>155</v>
      </c>
      <c r="B182" s="5" t="s">
        <v>200</v>
      </c>
      <c r="C182" s="5" t="b">
        <v>0</v>
      </c>
      <c r="D182" s="5" t="s">
        <v>597</v>
      </c>
      <c r="E182" s="5" t="s">
        <v>598</v>
      </c>
      <c r="F182" s="5"/>
      <c r="G182" s="5" t="s">
        <v>65</v>
      </c>
      <c r="H182" s="5" t="s">
        <v>84</v>
      </c>
      <c r="I182" s="5" t="s">
        <v>106</v>
      </c>
      <c r="J182" s="25" t="s">
        <v>413</v>
      </c>
      <c r="K182" s="25"/>
      <c r="L182" s="25"/>
      <c r="M182" s="5" t="s">
        <v>109</v>
      </c>
      <c r="N182" s="5" t="s">
        <v>334</v>
      </c>
      <c r="O182" s="5" t="s">
        <v>69</v>
      </c>
      <c r="P182" s="5" t="s">
        <v>107</v>
      </c>
      <c r="Q182" s="5" t="b">
        <v>1</v>
      </c>
      <c r="R182" s="5" t="b">
        <v>0</v>
      </c>
      <c r="S182" s="5"/>
      <c r="T182" s="5">
        <v>450.0</v>
      </c>
      <c r="U182" s="26">
        <v>2.1</v>
      </c>
      <c r="V182" s="5">
        <v>214.0</v>
      </c>
      <c r="W182" s="27">
        <v>0.0</v>
      </c>
      <c r="X182" s="28">
        <v>214.0</v>
      </c>
      <c r="Y182" s="27">
        <v>1.0</v>
      </c>
      <c r="Z182" s="5" t="s">
        <v>117</v>
      </c>
      <c r="AA182" s="5">
        <v>0.6</v>
      </c>
      <c r="AB182" s="5"/>
      <c r="AC182" s="5" t="s">
        <v>81</v>
      </c>
      <c r="AD182" s="5" t="s">
        <v>81</v>
      </c>
      <c r="AE182" s="5">
        <v>4.0</v>
      </c>
      <c r="AF182" s="5">
        <v>0.0</v>
      </c>
      <c r="AG182" s="5" t="s">
        <v>1695</v>
      </c>
      <c r="AH182" s="5" t="s">
        <v>0</v>
      </c>
      <c r="AI182" s="42"/>
      <c r="AJ182" s="28">
        <v>0.0</v>
      </c>
      <c r="AK182" s="28">
        <v>0.0</v>
      </c>
      <c r="AL182" s="28">
        <v>0.0</v>
      </c>
      <c r="AM182" s="28">
        <v>1830.0</v>
      </c>
      <c r="AN182" s="28">
        <v>0.0</v>
      </c>
      <c r="AO182" s="28">
        <v>0.0</v>
      </c>
      <c r="AP182" s="28">
        <v>0.0</v>
      </c>
      <c r="AQ182" s="28">
        <v>0.0</v>
      </c>
      <c r="AR182" s="28">
        <v>392150.6999999999</v>
      </c>
      <c r="AS182" s="28">
        <v>0.0</v>
      </c>
      <c r="AT182" s="28">
        <v>0.0</v>
      </c>
      <c r="AU182" s="28">
        <v>0.0</v>
      </c>
      <c r="AV182" s="28">
        <v>0.0</v>
      </c>
      <c r="AW182" s="28">
        <v>338278.2019933555</v>
      </c>
      <c r="AX182" s="5"/>
      <c r="AY182" s="5" t="s">
        <v>86</v>
      </c>
      <c r="AZ182" s="5" t="s">
        <v>512</v>
      </c>
      <c r="BA182" s="32" t="s">
        <v>379</v>
      </c>
      <c r="BB182" s="5" t="s">
        <v>334</v>
      </c>
      <c r="BC182" s="5" t="s">
        <v>600</v>
      </c>
      <c r="BD182" s="5" t="s">
        <v>539</v>
      </c>
      <c r="BE182" s="5" t="s">
        <v>131</v>
      </c>
      <c r="BF182" s="5" t="s">
        <v>1760</v>
      </c>
    </row>
    <row r="183" ht="16.5" hidden="1" customHeight="1">
      <c r="A183" s="5" t="s">
        <v>155</v>
      </c>
      <c r="B183" s="5" t="s">
        <v>137</v>
      </c>
      <c r="C183" s="5" t="b">
        <v>1</v>
      </c>
      <c r="D183" s="5" t="s">
        <v>601</v>
      </c>
      <c r="E183" s="5" t="s">
        <v>602</v>
      </c>
      <c r="F183" s="5"/>
      <c r="G183" s="5" t="s">
        <v>65</v>
      </c>
      <c r="H183" s="5" t="s">
        <v>84</v>
      </c>
      <c r="I183" s="5" t="s">
        <v>82</v>
      </c>
      <c r="J183" s="25"/>
      <c r="K183" s="25"/>
      <c r="L183" s="25"/>
      <c r="M183" s="5" t="s">
        <v>109</v>
      </c>
      <c r="N183" s="5" t="s">
        <v>334</v>
      </c>
      <c r="O183" s="5" t="s">
        <v>69</v>
      </c>
      <c r="P183" s="5" t="s">
        <v>70</v>
      </c>
      <c r="Q183" s="5" t="b">
        <v>1</v>
      </c>
      <c r="R183" s="5" t="b">
        <v>0</v>
      </c>
      <c r="S183" s="5"/>
      <c r="T183" s="5">
        <v>500.0</v>
      </c>
      <c r="U183" s="26">
        <v>2.1</v>
      </c>
      <c r="V183" s="5">
        <v>238.0</v>
      </c>
      <c r="W183" s="27">
        <v>0.0</v>
      </c>
      <c r="X183" s="28">
        <v>238.0</v>
      </c>
      <c r="Y183" s="27">
        <v>1.0</v>
      </c>
      <c r="Z183" s="5" t="s">
        <v>117</v>
      </c>
      <c r="AA183" s="5">
        <v>0.61</v>
      </c>
      <c r="AB183" s="5"/>
      <c r="AC183" s="5" t="s">
        <v>81</v>
      </c>
      <c r="AD183" s="5" t="s">
        <v>81</v>
      </c>
      <c r="AE183" s="5">
        <v>4.0</v>
      </c>
      <c r="AF183" s="5">
        <v>0.0</v>
      </c>
      <c r="AG183" s="5" t="s">
        <v>1695</v>
      </c>
      <c r="AH183" s="5" t="s">
        <v>0</v>
      </c>
      <c r="AI183" s="42"/>
      <c r="AJ183" s="28">
        <v>0.0</v>
      </c>
      <c r="AK183" s="28">
        <v>0.0</v>
      </c>
      <c r="AL183" s="28">
        <v>0.0</v>
      </c>
      <c r="AM183" s="28">
        <v>4410.0</v>
      </c>
      <c r="AN183" s="28">
        <v>0.0</v>
      </c>
      <c r="AO183" s="28">
        <v>0.0</v>
      </c>
      <c r="AP183" s="28">
        <v>0.0</v>
      </c>
      <c r="AQ183" s="28">
        <v>0.0</v>
      </c>
      <c r="AR183" s="28">
        <v>1050021.0</v>
      </c>
      <c r="AS183" s="28">
        <v>0.0</v>
      </c>
      <c r="AT183" s="28">
        <v>0.0</v>
      </c>
      <c r="AU183" s="28">
        <v>0.0</v>
      </c>
      <c r="AV183" s="28">
        <v>0.0</v>
      </c>
      <c r="AW183" s="28">
        <v>724838.622702104</v>
      </c>
      <c r="AX183" s="5"/>
      <c r="AY183" s="5" t="s">
        <v>86</v>
      </c>
      <c r="AZ183" s="5" t="s">
        <v>512</v>
      </c>
      <c r="BB183" s="5" t="s">
        <v>334</v>
      </c>
      <c r="BC183" s="5" t="s">
        <v>348</v>
      </c>
      <c r="BD183" s="5" t="s">
        <v>539</v>
      </c>
      <c r="BE183" s="5" t="s">
        <v>131</v>
      </c>
    </row>
    <row r="184" ht="16.5" hidden="1" customHeight="1">
      <c r="A184" s="5" t="s">
        <v>155</v>
      </c>
      <c r="B184" s="5" t="s">
        <v>137</v>
      </c>
      <c r="C184" s="5" t="b">
        <v>1</v>
      </c>
      <c r="D184" s="5" t="s">
        <v>606</v>
      </c>
      <c r="E184" s="5" t="s">
        <v>607</v>
      </c>
      <c r="F184" s="5"/>
      <c r="G184" s="5" t="s">
        <v>65</v>
      </c>
      <c r="H184" s="5" t="s">
        <v>84</v>
      </c>
      <c r="I184" s="5" t="s">
        <v>82</v>
      </c>
      <c r="J184" s="25"/>
      <c r="K184" s="25"/>
      <c r="L184" s="25"/>
      <c r="M184" s="5" t="s">
        <v>109</v>
      </c>
      <c r="N184" s="5" t="s">
        <v>334</v>
      </c>
      <c r="O184" s="5" t="s">
        <v>69</v>
      </c>
      <c r="P184" s="5" t="s">
        <v>107</v>
      </c>
      <c r="Q184" s="5" t="b">
        <v>1</v>
      </c>
      <c r="R184" s="5" t="b">
        <v>0</v>
      </c>
      <c r="S184" s="5"/>
      <c r="T184" s="5">
        <v>500.0</v>
      </c>
      <c r="U184" s="26">
        <v>2.1</v>
      </c>
      <c r="V184" s="5">
        <v>238.0</v>
      </c>
      <c r="W184" s="27">
        <v>0.0</v>
      </c>
      <c r="X184" s="28">
        <v>238.0</v>
      </c>
      <c r="Y184" s="27">
        <v>1.0</v>
      </c>
      <c r="Z184" s="5" t="s">
        <v>117</v>
      </c>
      <c r="AA184" s="5">
        <v>0.61</v>
      </c>
      <c r="AB184" s="5"/>
      <c r="AC184" s="5" t="s">
        <v>81</v>
      </c>
      <c r="AD184" s="5" t="s">
        <v>81</v>
      </c>
      <c r="AE184" s="5">
        <v>4.0</v>
      </c>
      <c r="AF184" s="5">
        <v>0.0</v>
      </c>
      <c r="AG184" s="5" t="s">
        <v>1695</v>
      </c>
      <c r="AH184" s="5" t="s">
        <v>0</v>
      </c>
      <c r="AI184" s="42"/>
      <c r="AJ184" s="28">
        <v>0.0</v>
      </c>
      <c r="AK184" s="28">
        <v>0.0</v>
      </c>
      <c r="AL184" s="28">
        <v>0.0</v>
      </c>
      <c r="AM184" s="28">
        <v>2791.0</v>
      </c>
      <c r="AN184" s="28">
        <v>0.0</v>
      </c>
      <c r="AO184" s="28">
        <v>0.0</v>
      </c>
      <c r="AP184" s="28">
        <v>0.0</v>
      </c>
      <c r="AQ184" s="28">
        <v>0.0</v>
      </c>
      <c r="AR184" s="28">
        <v>664537.1</v>
      </c>
      <c r="AS184" s="28">
        <v>0.0</v>
      </c>
      <c r="AT184" s="28">
        <v>0.0</v>
      </c>
      <c r="AU184" s="28">
        <v>0.0</v>
      </c>
      <c r="AV184" s="28">
        <v>0.0</v>
      </c>
      <c r="AW184" s="28">
        <v>477007.05337763013</v>
      </c>
      <c r="AX184" s="5"/>
      <c r="AY184" s="5" t="s">
        <v>86</v>
      </c>
      <c r="AZ184" s="5" t="s">
        <v>512</v>
      </c>
      <c r="BB184" s="5" t="s">
        <v>334</v>
      </c>
      <c r="BC184" s="5" t="s">
        <v>348</v>
      </c>
      <c r="BD184" s="5" t="s">
        <v>539</v>
      </c>
      <c r="BE184" s="5" t="s">
        <v>131</v>
      </c>
    </row>
    <row r="185" ht="16.5" hidden="1" customHeight="1">
      <c r="A185" s="5" t="s">
        <v>155</v>
      </c>
      <c r="B185" s="5" t="s">
        <v>200</v>
      </c>
      <c r="C185" s="5" t="b">
        <v>1</v>
      </c>
      <c r="D185" s="43" t="s">
        <v>609</v>
      </c>
      <c r="E185" s="43" t="s">
        <v>610</v>
      </c>
      <c r="F185" s="43"/>
      <c r="G185" s="43" t="s">
        <v>65</v>
      </c>
      <c r="H185" s="43" t="s">
        <v>84</v>
      </c>
      <c r="I185" s="43" t="s">
        <v>82</v>
      </c>
      <c r="J185" s="25" t="s">
        <v>1784</v>
      </c>
      <c r="K185" s="25"/>
      <c r="L185" s="25"/>
      <c r="M185" s="5" t="s">
        <v>109</v>
      </c>
      <c r="N185" s="5" t="s">
        <v>334</v>
      </c>
      <c r="O185" s="5" t="s">
        <v>69</v>
      </c>
      <c r="P185" s="5" t="s">
        <v>70</v>
      </c>
      <c r="Q185" s="5" t="b">
        <v>1</v>
      </c>
      <c r="R185" s="5" t="b">
        <v>0</v>
      </c>
      <c r="S185" s="5"/>
      <c r="T185" s="5">
        <v>1500.0</v>
      </c>
      <c r="U185" s="26">
        <v>2.1</v>
      </c>
      <c r="V185" s="5">
        <v>714.0</v>
      </c>
      <c r="W185" s="27">
        <v>0.0</v>
      </c>
      <c r="X185" s="28">
        <v>714.0</v>
      </c>
      <c r="Y185" s="27">
        <v>1.0</v>
      </c>
      <c r="Z185" s="5" t="s">
        <v>117</v>
      </c>
      <c r="AA185" s="5">
        <v>0.58</v>
      </c>
      <c r="AB185" s="5"/>
      <c r="AC185" s="5" t="s">
        <v>81</v>
      </c>
      <c r="AD185" s="5" t="s">
        <v>81</v>
      </c>
      <c r="AE185" s="5">
        <v>3.0</v>
      </c>
      <c r="AF185" s="5">
        <v>0.0</v>
      </c>
      <c r="AG185" s="5" t="s">
        <v>1695</v>
      </c>
      <c r="AH185" s="5" t="s">
        <v>0</v>
      </c>
      <c r="AI185" s="42"/>
      <c r="AJ185" s="28">
        <v>0.0</v>
      </c>
      <c r="AK185" s="28">
        <v>0.0</v>
      </c>
      <c r="AL185" s="28">
        <v>0.0</v>
      </c>
      <c r="AM185" s="28">
        <v>1364.0</v>
      </c>
      <c r="AN185" s="28">
        <v>0.0</v>
      </c>
      <c r="AO185" s="28">
        <v>0.0</v>
      </c>
      <c r="AP185" s="28">
        <v>0.0</v>
      </c>
      <c r="AQ185" s="28">
        <v>0.0</v>
      </c>
      <c r="AR185" s="28">
        <v>974291.5599999999</v>
      </c>
      <c r="AS185" s="28">
        <v>0.0</v>
      </c>
      <c r="AT185" s="28">
        <v>0.0</v>
      </c>
      <c r="AU185" s="28">
        <v>0.0</v>
      </c>
      <c r="AV185" s="28">
        <v>0.0</v>
      </c>
      <c r="AW185" s="28">
        <v>808245.1045404206</v>
      </c>
      <c r="AX185" s="5"/>
      <c r="AY185" s="5" t="s">
        <v>86</v>
      </c>
      <c r="AZ185" s="5" t="s">
        <v>512</v>
      </c>
      <c r="BA185" s="32" t="s">
        <v>379</v>
      </c>
      <c r="BB185" s="5" t="s">
        <v>126</v>
      </c>
      <c r="BC185" s="5" t="s">
        <v>161</v>
      </c>
      <c r="BD185" s="5" t="s">
        <v>616</v>
      </c>
      <c r="BE185" s="5" t="s">
        <v>131</v>
      </c>
    </row>
    <row r="186" ht="16.5" hidden="1" customHeight="1">
      <c r="A186" s="5" t="s">
        <v>155</v>
      </c>
      <c r="B186" s="5" t="s">
        <v>200</v>
      </c>
      <c r="C186" s="5" t="b">
        <v>1</v>
      </c>
      <c r="D186" s="43" t="s">
        <v>617</v>
      </c>
      <c r="E186" s="43" t="s">
        <v>618</v>
      </c>
      <c r="F186" s="43"/>
      <c r="G186" s="43" t="s">
        <v>65</v>
      </c>
      <c r="H186" s="43" t="s">
        <v>84</v>
      </c>
      <c r="I186" s="43" t="s">
        <v>82</v>
      </c>
      <c r="J186" s="25" t="s">
        <v>1784</v>
      </c>
      <c r="K186" s="25"/>
      <c r="L186" s="25"/>
      <c r="M186" s="5" t="s">
        <v>109</v>
      </c>
      <c r="N186" s="5" t="s">
        <v>334</v>
      </c>
      <c r="O186" s="5" t="s">
        <v>69</v>
      </c>
      <c r="P186" s="5" t="s">
        <v>107</v>
      </c>
      <c r="Q186" s="5" t="b">
        <v>1</v>
      </c>
      <c r="R186" s="5" t="b">
        <v>0</v>
      </c>
      <c r="S186" s="5"/>
      <c r="T186" s="5">
        <v>1500.0</v>
      </c>
      <c r="U186" s="26">
        <v>2.1</v>
      </c>
      <c r="V186" s="5">
        <v>714.0</v>
      </c>
      <c r="W186" s="27">
        <v>0.0</v>
      </c>
      <c r="X186" s="28">
        <v>714.0</v>
      </c>
      <c r="Y186" s="27">
        <v>1.0</v>
      </c>
      <c r="Z186" s="5" t="s">
        <v>117</v>
      </c>
      <c r="AA186" s="5">
        <v>0.59</v>
      </c>
      <c r="AB186" s="5"/>
      <c r="AC186" s="5" t="s">
        <v>81</v>
      </c>
      <c r="AD186" s="5" t="s">
        <v>81</v>
      </c>
      <c r="AE186" s="5">
        <v>3.0</v>
      </c>
      <c r="AF186" s="5">
        <v>0.0</v>
      </c>
      <c r="AG186" s="5" t="s">
        <v>1695</v>
      </c>
      <c r="AH186" s="5" t="s">
        <v>0</v>
      </c>
      <c r="AI186" s="42"/>
      <c r="AJ186" s="28">
        <v>0.0</v>
      </c>
      <c r="AK186" s="28">
        <v>0.0</v>
      </c>
      <c r="AL186" s="28">
        <v>0.0</v>
      </c>
      <c r="AM186" s="28">
        <v>1222.0</v>
      </c>
      <c r="AN186" s="28">
        <v>0.0</v>
      </c>
      <c r="AO186" s="28">
        <v>0.0</v>
      </c>
      <c r="AP186" s="28">
        <v>0.0</v>
      </c>
      <c r="AQ186" s="28">
        <v>0.0</v>
      </c>
      <c r="AR186" s="28">
        <v>872862.38</v>
      </c>
      <c r="AS186" s="28">
        <v>0.0</v>
      </c>
      <c r="AT186" s="28">
        <v>0.0</v>
      </c>
      <c r="AU186" s="28">
        <v>0.0</v>
      </c>
      <c r="AV186" s="28">
        <v>0.0</v>
      </c>
      <c r="AW186" s="28">
        <v>733516.480730897</v>
      </c>
      <c r="AX186" s="5"/>
      <c r="AY186" s="5" t="s">
        <v>86</v>
      </c>
      <c r="AZ186" s="5" t="s">
        <v>512</v>
      </c>
      <c r="BA186" s="32" t="s">
        <v>379</v>
      </c>
      <c r="BB186" s="5" t="s">
        <v>126</v>
      </c>
      <c r="BC186" s="5" t="s">
        <v>161</v>
      </c>
      <c r="BD186" s="5" t="s">
        <v>616</v>
      </c>
      <c r="BE186" s="5" t="s">
        <v>131</v>
      </c>
    </row>
    <row r="187" ht="16.5" hidden="1" customHeight="1">
      <c r="A187" s="5" t="s">
        <v>155</v>
      </c>
      <c r="B187" s="5" t="s">
        <v>200</v>
      </c>
      <c r="C187" s="5" t="b">
        <v>0</v>
      </c>
      <c r="D187" s="5" t="s">
        <v>1826</v>
      </c>
      <c r="E187" s="5" t="s">
        <v>1827</v>
      </c>
      <c r="F187" s="5"/>
      <c r="G187" s="5" t="s">
        <v>65</v>
      </c>
      <c r="H187" s="5" t="s">
        <v>84</v>
      </c>
      <c r="I187" s="5" t="s">
        <v>106</v>
      </c>
      <c r="J187" s="25" t="s">
        <v>413</v>
      </c>
      <c r="K187" s="25"/>
      <c r="L187" s="25"/>
      <c r="M187" s="5" t="s">
        <v>109</v>
      </c>
      <c r="N187" s="5" t="s">
        <v>334</v>
      </c>
      <c r="O187" s="5" t="s">
        <v>69</v>
      </c>
      <c r="P187" s="5" t="s">
        <v>70</v>
      </c>
      <c r="Q187" s="5" t="b">
        <v>1</v>
      </c>
      <c r="R187" s="5" t="b">
        <v>0</v>
      </c>
      <c r="S187" s="5"/>
      <c r="T187" s="5">
        <v>1200.0</v>
      </c>
      <c r="U187" s="26">
        <v>2.1</v>
      </c>
      <c r="V187" s="5">
        <v>571.0</v>
      </c>
      <c r="W187" s="27">
        <v>0.0</v>
      </c>
      <c r="X187" s="28">
        <v>571.0</v>
      </c>
      <c r="Y187" s="27">
        <v>1.0</v>
      </c>
      <c r="Z187" s="5" t="s">
        <v>242</v>
      </c>
      <c r="AA187" s="5">
        <v>0.5</v>
      </c>
      <c r="AB187" s="5"/>
      <c r="AC187" s="24" t="s">
        <v>0</v>
      </c>
      <c r="AD187" s="24" t="s">
        <v>0</v>
      </c>
      <c r="AE187" s="5">
        <v>2.0</v>
      </c>
      <c r="AF187" s="5">
        <v>0.0</v>
      </c>
      <c r="AG187" s="5" t="s">
        <v>0</v>
      </c>
      <c r="AH187" s="5" t="s">
        <v>0</v>
      </c>
      <c r="AI187" s="42"/>
      <c r="AJ187" s="28">
        <v>0.0</v>
      </c>
      <c r="AK187" s="28">
        <v>0.0</v>
      </c>
      <c r="AL187" s="28">
        <v>0.0</v>
      </c>
      <c r="AM187" s="28">
        <v>0.0</v>
      </c>
      <c r="AN187" s="28">
        <v>0.0</v>
      </c>
      <c r="AO187" s="28">
        <v>0.0</v>
      </c>
      <c r="AP187" s="28">
        <v>0.0</v>
      </c>
      <c r="AQ187" s="28">
        <v>0.0</v>
      </c>
      <c r="AR187" s="28">
        <v>0.0</v>
      </c>
      <c r="AS187" s="28">
        <v>0.0</v>
      </c>
      <c r="AT187" s="28">
        <v>0.0</v>
      </c>
      <c r="AU187" s="28">
        <v>0.0</v>
      </c>
      <c r="AV187" s="28">
        <v>0.0</v>
      </c>
      <c r="AW187" s="28">
        <v>0.0</v>
      </c>
      <c r="AX187" s="5"/>
      <c r="AY187" s="5" t="s">
        <v>86</v>
      </c>
      <c r="AZ187" s="5" t="s">
        <v>512</v>
      </c>
      <c r="BB187" s="5" t="s">
        <v>334</v>
      </c>
      <c r="BC187" s="5" t="s">
        <v>348</v>
      </c>
      <c r="BD187" s="5" t="s">
        <v>338</v>
      </c>
      <c r="BE187" s="5" t="s">
        <v>131</v>
      </c>
      <c r="BF187" s="5" t="s">
        <v>1830</v>
      </c>
    </row>
    <row r="188" ht="16.5" hidden="1" customHeight="1">
      <c r="A188" s="5" t="s">
        <v>155</v>
      </c>
      <c r="B188" s="5" t="s">
        <v>200</v>
      </c>
      <c r="C188" s="5" t="b">
        <v>0</v>
      </c>
      <c r="D188" s="5" t="s">
        <v>1831</v>
      </c>
      <c r="E188" s="5" t="s">
        <v>1832</v>
      </c>
      <c r="F188" s="5"/>
      <c r="G188" s="5" t="s">
        <v>65</v>
      </c>
      <c r="H188" s="5" t="s">
        <v>84</v>
      </c>
      <c r="I188" s="5" t="s">
        <v>106</v>
      </c>
      <c r="J188" s="25" t="s">
        <v>413</v>
      </c>
      <c r="K188" s="25"/>
      <c r="L188" s="25"/>
      <c r="M188" s="5" t="s">
        <v>109</v>
      </c>
      <c r="N188" s="5" t="s">
        <v>334</v>
      </c>
      <c r="O188" s="5" t="s">
        <v>69</v>
      </c>
      <c r="P188" s="5" t="s">
        <v>107</v>
      </c>
      <c r="Q188" s="5" t="b">
        <v>1</v>
      </c>
      <c r="R188" s="5" t="b">
        <v>0</v>
      </c>
      <c r="S188" s="5"/>
      <c r="T188" s="5">
        <v>1200.0</v>
      </c>
      <c r="U188" s="26">
        <v>2.1</v>
      </c>
      <c r="V188" s="5">
        <v>571.0</v>
      </c>
      <c r="W188" s="27">
        <v>0.0</v>
      </c>
      <c r="X188" s="28">
        <v>571.0</v>
      </c>
      <c r="Y188" s="27">
        <v>1.0</v>
      </c>
      <c r="Z188" s="5" t="s">
        <v>242</v>
      </c>
      <c r="AA188" s="5">
        <v>0.5</v>
      </c>
      <c r="AB188" s="5"/>
      <c r="AC188" s="24" t="s">
        <v>0</v>
      </c>
      <c r="AD188" s="24" t="s">
        <v>0</v>
      </c>
      <c r="AE188" s="5">
        <v>2.0</v>
      </c>
      <c r="AF188" s="5">
        <v>0.0</v>
      </c>
      <c r="AG188" s="5" t="s">
        <v>0</v>
      </c>
      <c r="AH188" s="5" t="s">
        <v>0</v>
      </c>
      <c r="AI188" s="42"/>
      <c r="AJ188" s="28">
        <v>0.0</v>
      </c>
      <c r="AK188" s="28">
        <v>0.0</v>
      </c>
      <c r="AL188" s="28">
        <v>0.0</v>
      </c>
      <c r="AM188" s="28">
        <v>0.0</v>
      </c>
      <c r="AN188" s="28">
        <v>0.0</v>
      </c>
      <c r="AO188" s="28">
        <v>0.0</v>
      </c>
      <c r="AP188" s="28">
        <v>0.0</v>
      </c>
      <c r="AQ188" s="28">
        <v>0.0</v>
      </c>
      <c r="AR188" s="28">
        <v>0.0</v>
      </c>
      <c r="AS188" s="28">
        <v>0.0</v>
      </c>
      <c r="AT188" s="28">
        <v>0.0</v>
      </c>
      <c r="AU188" s="28">
        <v>0.0</v>
      </c>
      <c r="AV188" s="28">
        <v>0.0</v>
      </c>
      <c r="AW188" s="28">
        <v>0.0</v>
      </c>
      <c r="AX188" s="5"/>
      <c r="AY188" s="5" t="s">
        <v>86</v>
      </c>
      <c r="AZ188" s="5" t="s">
        <v>512</v>
      </c>
      <c r="BB188" s="5" t="s">
        <v>334</v>
      </c>
      <c r="BC188" s="5" t="s">
        <v>348</v>
      </c>
      <c r="BD188" s="5" t="s">
        <v>338</v>
      </c>
      <c r="BE188" s="5" t="s">
        <v>131</v>
      </c>
      <c r="BF188" s="5" t="s">
        <v>1830</v>
      </c>
    </row>
    <row r="189" ht="16.5" hidden="1" customHeight="1">
      <c r="A189" s="5" t="s">
        <v>155</v>
      </c>
      <c r="B189" s="5" t="s">
        <v>137</v>
      </c>
      <c r="C189" s="5" t="b">
        <v>1</v>
      </c>
      <c r="D189" s="5" t="s">
        <v>1837</v>
      </c>
      <c r="E189" s="5" t="s">
        <v>1838</v>
      </c>
      <c r="F189" s="5"/>
      <c r="G189" s="5" t="s">
        <v>65</v>
      </c>
      <c r="H189" s="5" t="s">
        <v>84</v>
      </c>
      <c r="I189" s="5" t="s">
        <v>82</v>
      </c>
      <c r="J189" s="25" t="s">
        <v>164</v>
      </c>
      <c r="K189" s="25"/>
      <c r="L189" s="25" t="s">
        <v>110</v>
      </c>
      <c r="M189" s="5" t="s">
        <v>109</v>
      </c>
      <c r="N189" s="5" t="s">
        <v>68</v>
      </c>
      <c r="O189" s="5" t="s">
        <v>69</v>
      </c>
      <c r="P189" s="5" t="s">
        <v>70</v>
      </c>
      <c r="Q189" s="5" t="b">
        <v>1</v>
      </c>
      <c r="R189" s="5" t="b">
        <v>0</v>
      </c>
      <c r="S189" s="5"/>
      <c r="T189" s="5">
        <v>2000.0</v>
      </c>
      <c r="U189" s="26">
        <v>2.1</v>
      </c>
      <c r="V189" s="5">
        <v>952.0</v>
      </c>
      <c r="W189" s="27">
        <v>0.0</v>
      </c>
      <c r="X189" s="28">
        <v>952.0</v>
      </c>
      <c r="Y189" s="27">
        <v>1.0</v>
      </c>
      <c r="Z189" s="5" t="s">
        <v>242</v>
      </c>
      <c r="AA189" s="5">
        <v>0.5</v>
      </c>
      <c r="AB189" s="5"/>
      <c r="AC189" s="24" t="s">
        <v>0</v>
      </c>
      <c r="AD189" s="24" t="s">
        <v>0</v>
      </c>
      <c r="AE189" s="5">
        <v>2.0</v>
      </c>
      <c r="AF189" s="5">
        <v>0.0</v>
      </c>
      <c r="AG189" s="5" t="s">
        <v>0</v>
      </c>
      <c r="AH189" s="5" t="s">
        <v>0</v>
      </c>
      <c r="AI189" s="42"/>
      <c r="AJ189" s="28">
        <v>0.0</v>
      </c>
      <c r="AK189" s="28">
        <v>0.0</v>
      </c>
      <c r="AL189" s="28">
        <v>0.0</v>
      </c>
      <c r="AM189" s="28">
        <v>0.0</v>
      </c>
      <c r="AN189" s="28">
        <v>0.0</v>
      </c>
      <c r="AO189" s="28">
        <v>0.0</v>
      </c>
      <c r="AP189" s="28">
        <v>0.0</v>
      </c>
      <c r="AQ189" s="28">
        <v>0.0</v>
      </c>
      <c r="AR189" s="28">
        <v>0.0</v>
      </c>
      <c r="AS189" s="28">
        <v>0.0</v>
      </c>
      <c r="AT189" s="28">
        <v>0.0</v>
      </c>
      <c r="AU189" s="28">
        <v>0.0</v>
      </c>
      <c r="AV189" s="28">
        <v>0.0</v>
      </c>
      <c r="AW189" s="28">
        <v>0.0</v>
      </c>
      <c r="AX189" s="5"/>
      <c r="AY189" s="5" t="s">
        <v>86</v>
      </c>
      <c r="AZ189" s="5" t="s">
        <v>512</v>
      </c>
      <c r="BA189" s="32" t="s">
        <v>379</v>
      </c>
      <c r="BB189" s="5" t="s">
        <v>126</v>
      </c>
      <c r="BC189" s="5" t="s">
        <v>89</v>
      </c>
      <c r="BD189" s="5" t="s">
        <v>616</v>
      </c>
      <c r="BE189" s="5" t="s">
        <v>131</v>
      </c>
    </row>
    <row r="190" ht="16.5" hidden="1" customHeight="1">
      <c r="A190" s="5" t="s">
        <v>155</v>
      </c>
      <c r="B190" s="5" t="s">
        <v>137</v>
      </c>
      <c r="C190" s="5" t="b">
        <v>1</v>
      </c>
      <c r="D190" s="5" t="s">
        <v>1842</v>
      </c>
      <c r="E190" s="5" t="s">
        <v>1843</v>
      </c>
      <c r="F190" s="5"/>
      <c r="G190" s="5" t="s">
        <v>65</v>
      </c>
      <c r="H190" s="5" t="s">
        <v>84</v>
      </c>
      <c r="I190" s="5" t="s">
        <v>82</v>
      </c>
      <c r="J190" s="25" t="s">
        <v>164</v>
      </c>
      <c r="K190" s="25"/>
      <c r="L190" s="25" t="s">
        <v>110</v>
      </c>
      <c r="M190" s="5" t="s">
        <v>109</v>
      </c>
      <c r="N190" s="5" t="s">
        <v>68</v>
      </c>
      <c r="O190" s="5" t="s">
        <v>69</v>
      </c>
      <c r="P190" s="5" t="s">
        <v>107</v>
      </c>
      <c r="Q190" s="5" t="b">
        <v>1</v>
      </c>
      <c r="R190" s="5" t="b">
        <v>0</v>
      </c>
      <c r="S190" s="5"/>
      <c r="T190" s="5">
        <v>2000.0</v>
      </c>
      <c r="U190" s="26">
        <v>2.1</v>
      </c>
      <c r="V190" s="5">
        <v>952.0</v>
      </c>
      <c r="W190" s="27">
        <v>0.0</v>
      </c>
      <c r="X190" s="28">
        <v>952.0</v>
      </c>
      <c r="Y190" s="27">
        <v>1.0</v>
      </c>
      <c r="Z190" s="5" t="s">
        <v>242</v>
      </c>
      <c r="AA190" s="5">
        <v>0.5</v>
      </c>
      <c r="AB190" s="5"/>
      <c r="AC190" s="24" t="s">
        <v>0</v>
      </c>
      <c r="AD190" s="24" t="s">
        <v>0</v>
      </c>
      <c r="AE190" s="5">
        <v>2.0</v>
      </c>
      <c r="AF190" s="5">
        <v>0.0</v>
      </c>
      <c r="AG190" s="5" t="s">
        <v>0</v>
      </c>
      <c r="AH190" s="5" t="s">
        <v>0</v>
      </c>
      <c r="AI190" s="42"/>
      <c r="AJ190" s="28">
        <v>0.0</v>
      </c>
      <c r="AK190" s="28">
        <v>0.0</v>
      </c>
      <c r="AL190" s="28">
        <v>0.0</v>
      </c>
      <c r="AM190" s="28">
        <v>0.0</v>
      </c>
      <c r="AN190" s="28">
        <v>0.0</v>
      </c>
      <c r="AO190" s="28">
        <v>0.0</v>
      </c>
      <c r="AP190" s="28">
        <v>0.0</v>
      </c>
      <c r="AQ190" s="28">
        <v>0.0</v>
      </c>
      <c r="AR190" s="28">
        <v>0.0</v>
      </c>
      <c r="AS190" s="28">
        <v>0.0</v>
      </c>
      <c r="AT190" s="28">
        <v>0.0</v>
      </c>
      <c r="AU190" s="28">
        <v>0.0</v>
      </c>
      <c r="AV190" s="28">
        <v>0.0</v>
      </c>
      <c r="AW190" s="28">
        <v>0.0</v>
      </c>
      <c r="AX190" s="5"/>
      <c r="AY190" s="5" t="s">
        <v>86</v>
      </c>
      <c r="AZ190" s="5" t="s">
        <v>512</v>
      </c>
      <c r="BA190" s="32" t="s">
        <v>379</v>
      </c>
      <c r="BB190" s="5" t="s">
        <v>126</v>
      </c>
      <c r="BC190" s="5" t="s">
        <v>89</v>
      </c>
      <c r="BD190" s="5" t="s">
        <v>616</v>
      </c>
      <c r="BE190" s="5" t="s">
        <v>131</v>
      </c>
    </row>
    <row r="191" ht="16.5" hidden="1" customHeight="1">
      <c r="A191" s="5" t="s">
        <v>155</v>
      </c>
      <c r="B191" s="5" t="s">
        <v>215</v>
      </c>
      <c r="C191" s="5" t="b">
        <v>1</v>
      </c>
      <c r="D191" s="5" t="s">
        <v>1327</v>
      </c>
      <c r="E191" s="5" t="s">
        <v>1329</v>
      </c>
      <c r="F191" s="5"/>
      <c r="G191" s="5" t="s">
        <v>65</v>
      </c>
      <c r="H191" s="5" t="s">
        <v>76</v>
      </c>
      <c r="I191" s="5" t="s">
        <v>82</v>
      </c>
      <c r="J191" s="25"/>
      <c r="K191" s="25"/>
      <c r="L191" s="25" t="s">
        <v>110</v>
      </c>
      <c r="M191" s="5" t="s">
        <v>220</v>
      </c>
      <c r="N191" s="5" t="s">
        <v>68</v>
      </c>
      <c r="O191" s="5" t="s">
        <v>69</v>
      </c>
      <c r="P191" s="5" t="s">
        <v>70</v>
      </c>
      <c r="Q191" s="5" t="b">
        <v>1</v>
      </c>
      <c r="R191" s="5" t="b">
        <v>0</v>
      </c>
      <c r="S191" s="5"/>
      <c r="T191" s="5">
        <v>5000.0</v>
      </c>
      <c r="U191" s="26">
        <v>2.1</v>
      </c>
      <c r="V191" s="5">
        <v>2381.0</v>
      </c>
      <c r="W191" s="27">
        <v>0.0</v>
      </c>
      <c r="X191" s="28">
        <v>2381.0</v>
      </c>
      <c r="Y191" s="27">
        <v>1.0</v>
      </c>
      <c r="Z191" s="5" t="s">
        <v>117</v>
      </c>
      <c r="AA191" s="5">
        <v>0.62</v>
      </c>
      <c r="AB191" s="5"/>
      <c r="AC191" s="5" t="s">
        <v>80</v>
      </c>
      <c r="AD191" s="5" t="s">
        <v>198</v>
      </c>
      <c r="AE191" s="5">
        <v>4.0</v>
      </c>
      <c r="AF191" s="5">
        <v>4.0</v>
      </c>
      <c r="AG191" s="5" t="s">
        <v>1331</v>
      </c>
      <c r="AH191" s="5" t="s">
        <v>0</v>
      </c>
      <c r="AI191" s="42"/>
      <c r="AJ191" s="28">
        <v>2769.0</v>
      </c>
      <c r="AK191" s="28">
        <v>3539.0</v>
      </c>
      <c r="AL191" s="28">
        <v>0.0</v>
      </c>
      <c r="AM191" s="28">
        <v>0.0</v>
      </c>
      <c r="AN191" s="28">
        <v>0.0</v>
      </c>
      <c r="AO191" s="28">
        <v>6592850.55</v>
      </c>
      <c r="AP191" s="28">
        <v>8426359.0</v>
      </c>
      <c r="AQ191" s="28">
        <v>0.0</v>
      </c>
      <c r="AR191" s="28">
        <v>0.0</v>
      </c>
      <c r="AS191" s="28">
        <v>0.0</v>
      </c>
      <c r="AT191" s="28">
        <v>5553407.837984496</v>
      </c>
      <c r="AU191" s="28">
        <v>6683787.348274998</v>
      </c>
      <c r="AV191" s="28">
        <v>0.0</v>
      </c>
      <c r="AW191" s="28">
        <v>0.0</v>
      </c>
      <c r="AX191" s="5"/>
      <c r="AY191" s="5" t="str">
        <f t="array" ref="AY191">IFERROR(_xlfn.XLOOKUP($E191,'FW27'!$C$3:$C$1102,'FW27'!$AM$3:$AM$1102),"")</f>
        <v>Skiing/Snowboarding</v>
      </c>
      <c r="AZ191" s="5" t="str">
        <f t="array" ref="AZ191">IFERROR(_xlfn.XLOOKUP($E191,'FW27'!$C$3:$C$1102,'FW27'!$AN$3:$AN$1102),"")</f>
        <v>Freeride</v>
      </c>
      <c r="BA191" s="32" t="s">
        <v>229</v>
      </c>
      <c r="BB191" s="5" t="str">
        <f t="array" ref="BB191">IFERROR(_xlfn.XLOOKUP($E191,'FW27'!$C$3:$C$1102,'FW27'!$AS$3:$AS$1102),"")</f>
        <v>Shell</v>
      </c>
      <c r="BC191" s="5" t="str">
        <f t="array" ref="BC191">IFERROR(_xlfn.XLOOKUP($E191,'FW27'!$C$3:$C$1102,'FW27'!$AT$3:$AT$1102),"")</f>
        <v>Jacket</v>
      </c>
      <c r="BD191" s="5" t="str">
        <f t="array" ref="BD191">IFERROR(_xlfn.XLOOKUP($E191,'FW27'!$C$3:$C$1102,'FW27'!$AU$3:$AU$1102),"")</f>
        <v>Insulated</v>
      </c>
      <c r="BE191" s="5" t="str">
        <f t="array" ref="BE191">IFERROR(_xlfn.XLOOKUP($E191,'FW27'!$C$3:$C$1102,'FW27'!$AV$3:$AV$1102),"")</f>
        <v>Y</v>
      </c>
    </row>
    <row r="192" ht="16.5" hidden="1" customHeight="1">
      <c r="A192" s="5" t="s">
        <v>155</v>
      </c>
      <c r="B192" s="5" t="s">
        <v>215</v>
      </c>
      <c r="C192" s="5" t="b">
        <v>1</v>
      </c>
      <c r="D192" s="5" t="s">
        <v>1336</v>
      </c>
      <c r="E192" s="5" t="s">
        <v>1337</v>
      </c>
      <c r="F192" s="5"/>
      <c r="G192" s="5" t="s">
        <v>65</v>
      </c>
      <c r="H192" s="5" t="s">
        <v>76</v>
      </c>
      <c r="I192" s="5" t="s">
        <v>82</v>
      </c>
      <c r="J192" s="25"/>
      <c r="K192" s="25"/>
      <c r="L192" s="25" t="s">
        <v>110</v>
      </c>
      <c r="M192" s="5" t="s">
        <v>220</v>
      </c>
      <c r="N192" s="5" t="s">
        <v>68</v>
      </c>
      <c r="O192" s="5" t="s">
        <v>69</v>
      </c>
      <c r="P192" s="5" t="s">
        <v>107</v>
      </c>
      <c r="Q192" s="5" t="b">
        <v>1</v>
      </c>
      <c r="R192" s="5" t="b">
        <v>0</v>
      </c>
      <c r="S192" s="5"/>
      <c r="T192" s="5">
        <v>5000.0</v>
      </c>
      <c r="U192" s="26">
        <v>2.1</v>
      </c>
      <c r="V192" s="5">
        <v>2381.0</v>
      </c>
      <c r="W192" s="27">
        <v>0.0</v>
      </c>
      <c r="X192" s="28">
        <v>2381.0</v>
      </c>
      <c r="Y192" s="27">
        <v>1.0</v>
      </c>
      <c r="Z192" s="5" t="s">
        <v>117</v>
      </c>
      <c r="AA192" s="5">
        <v>0.64</v>
      </c>
      <c r="AB192" s="5"/>
      <c r="AC192" s="5" t="s">
        <v>80</v>
      </c>
      <c r="AD192" s="5" t="s">
        <v>198</v>
      </c>
      <c r="AE192" s="5">
        <v>4.0</v>
      </c>
      <c r="AF192" s="5">
        <v>4.0</v>
      </c>
      <c r="AG192" s="5" t="s">
        <v>1340</v>
      </c>
      <c r="AH192" s="5" t="s">
        <v>0</v>
      </c>
      <c r="AI192" s="42"/>
      <c r="AJ192" s="28">
        <v>1923.0</v>
      </c>
      <c r="AK192" s="28">
        <v>2204.0</v>
      </c>
      <c r="AL192" s="28">
        <v>0.0</v>
      </c>
      <c r="AM192" s="28">
        <v>0.0</v>
      </c>
      <c r="AN192" s="28">
        <v>0.0</v>
      </c>
      <c r="AO192" s="28">
        <v>4578566.85</v>
      </c>
      <c r="AP192" s="28">
        <v>5247724.0</v>
      </c>
      <c r="AQ192" s="28">
        <v>0.0</v>
      </c>
      <c r="AR192" s="28">
        <v>0.0</v>
      </c>
      <c r="AS192" s="28">
        <v>0.0</v>
      </c>
      <c r="AT192" s="28">
        <v>3958417.417386489</v>
      </c>
      <c r="AU192" s="28">
        <v>4389657.368335</v>
      </c>
      <c r="AV192" s="28">
        <v>0.0</v>
      </c>
      <c r="AW192" s="28">
        <v>0.0</v>
      </c>
      <c r="AX192" s="5"/>
      <c r="AY192" s="5" t="str">
        <f t="array" ref="AY192">IFERROR(_xlfn.XLOOKUP($E192,'FW27'!$C$3:$C$1102,'FW27'!$AM$3:$AM$1102),"")</f>
        <v>Skiing/Snowboarding</v>
      </c>
      <c r="AZ192" s="5" t="str">
        <f t="array" ref="AZ192">IFERROR(_xlfn.XLOOKUP($E192,'FW27'!$C$3:$C$1102,'FW27'!$AN$3:$AN$1102),"")</f>
        <v>Freeride</v>
      </c>
      <c r="BA192" s="32" t="s">
        <v>229</v>
      </c>
      <c r="BB192" s="5" t="str">
        <f t="array" ref="BB192">IFERROR(_xlfn.XLOOKUP($E192,'FW27'!$C$3:$C$1102,'FW27'!$AS$3:$AS$1102),"")</f>
        <v>Shell</v>
      </c>
      <c r="BC192" s="5" t="str">
        <f t="array" ref="BC192">IFERROR(_xlfn.XLOOKUP($E192,'FW27'!$C$3:$C$1102,'FW27'!$AT$3:$AT$1102),"")</f>
        <v>Jacket</v>
      </c>
      <c r="BD192" s="5" t="str">
        <f t="array" ref="BD192">IFERROR(_xlfn.XLOOKUP($E192,'FW27'!$C$3:$C$1102,'FW27'!$AU$3:$AU$1102),"")</f>
        <v>Insulated</v>
      </c>
      <c r="BE192" s="5" t="str">
        <f t="array" ref="BE192">IFERROR(_xlfn.XLOOKUP($E192,'FW27'!$C$3:$C$1102,'FW27'!$AV$3:$AV$1102),"")</f>
        <v>Y</v>
      </c>
    </row>
    <row r="193" ht="16.5" hidden="1" customHeight="1">
      <c r="A193" s="5" t="s">
        <v>155</v>
      </c>
      <c r="B193" s="5" t="s">
        <v>215</v>
      </c>
      <c r="C193" s="5" t="b">
        <v>1</v>
      </c>
      <c r="D193" s="5" t="s">
        <v>1343</v>
      </c>
      <c r="E193" s="5" t="s">
        <v>1344</v>
      </c>
      <c r="F193" s="5"/>
      <c r="G193" s="5" t="s">
        <v>65</v>
      </c>
      <c r="H193" s="5" t="s">
        <v>76</v>
      </c>
      <c r="I193" s="5" t="s">
        <v>82</v>
      </c>
      <c r="J193" s="25"/>
      <c r="K193" s="25"/>
      <c r="L193" s="25" t="s">
        <v>181</v>
      </c>
      <c r="M193" s="5" t="s">
        <v>220</v>
      </c>
      <c r="N193" s="5" t="s">
        <v>68</v>
      </c>
      <c r="O193" s="5" t="s">
        <v>69</v>
      </c>
      <c r="P193" s="5" t="s">
        <v>70</v>
      </c>
      <c r="Q193" s="5" t="b">
        <v>1</v>
      </c>
      <c r="R193" s="5" t="b">
        <v>0</v>
      </c>
      <c r="S193" s="5"/>
      <c r="T193" s="5">
        <v>4500.0</v>
      </c>
      <c r="U193" s="26">
        <v>2.1</v>
      </c>
      <c r="V193" s="5">
        <v>2143.0</v>
      </c>
      <c r="W193" s="27">
        <v>0.0</v>
      </c>
      <c r="X193" s="28">
        <v>2143.0</v>
      </c>
      <c r="Y193" s="27">
        <v>1.0</v>
      </c>
      <c r="Z193" s="5" t="s">
        <v>117</v>
      </c>
      <c r="AA193" s="5">
        <v>0.64</v>
      </c>
      <c r="AB193" s="5"/>
      <c r="AC193" s="5" t="s">
        <v>80</v>
      </c>
      <c r="AD193" s="5" t="s">
        <v>198</v>
      </c>
      <c r="AE193" s="5">
        <v>3.0</v>
      </c>
      <c r="AF193" s="5">
        <v>4.0</v>
      </c>
      <c r="AG193" s="5" t="s">
        <v>1349</v>
      </c>
      <c r="AH193" s="5" t="s">
        <v>0</v>
      </c>
      <c r="AI193" s="42"/>
      <c r="AJ193" s="28">
        <v>1985.0</v>
      </c>
      <c r="AK193" s="28">
        <v>2542.0</v>
      </c>
      <c r="AL193" s="28">
        <v>0.0</v>
      </c>
      <c r="AM193" s="28">
        <v>0.0</v>
      </c>
      <c r="AN193" s="28">
        <v>0.0</v>
      </c>
      <c r="AO193" s="28">
        <v>4253577.100000001</v>
      </c>
      <c r="AP193" s="28">
        <v>5447506.0</v>
      </c>
      <c r="AQ193" s="28">
        <v>0.0</v>
      </c>
      <c r="AR193" s="28">
        <v>0.0</v>
      </c>
      <c r="AS193" s="28">
        <v>0.0</v>
      </c>
      <c r="AT193" s="28">
        <v>3657512.392026578</v>
      </c>
      <c r="AU193" s="28">
        <v>4223125.67985</v>
      </c>
      <c r="AV193" s="28">
        <v>0.0</v>
      </c>
      <c r="AW193" s="28">
        <v>0.0</v>
      </c>
      <c r="AX193" s="5"/>
      <c r="AY193" s="5" t="str">
        <f t="array" ref="AY193">IFERROR(_xlfn.XLOOKUP($E193,'FW27'!$C$3:$C$1102,'FW27'!$AM$3:$AM$1102),"")</f>
        <v>Skiing/Snowboarding</v>
      </c>
      <c r="AZ193" s="5" t="str">
        <f t="array" ref="AZ193">IFERROR(_xlfn.XLOOKUP($E193,'FW27'!$C$3:$C$1102,'FW27'!$AN$3:$AN$1102),"")</f>
        <v>Freeride</v>
      </c>
      <c r="BA193" s="32" t="s">
        <v>229</v>
      </c>
      <c r="BB193" s="5" t="str">
        <f t="array" ref="BB193">IFERROR(_xlfn.XLOOKUP($E193,'FW27'!$C$3:$C$1102,'FW27'!$AS$3:$AS$1102),"")</f>
        <v>Shell</v>
      </c>
      <c r="BC193" s="5" t="str">
        <f t="array" ref="BC193">IFERROR(_xlfn.XLOOKUP($E193,'FW27'!$C$3:$C$1102,'FW27'!$AT$3:$AT$1102),"")</f>
        <v>Pant</v>
      </c>
      <c r="BD193" s="5" t="str">
        <f t="array" ref="BD193">IFERROR(_xlfn.XLOOKUP($E193,'FW27'!$C$3:$C$1102,'FW27'!$AU$3:$AU$1102),"")</f>
        <v>Insulated</v>
      </c>
      <c r="BE193" s="5" t="str">
        <f t="array" ref="BE193">IFERROR(_xlfn.XLOOKUP($E193,'FW27'!$C$3:$C$1102,'FW27'!$AV$3:$AV$1102),"")</f>
        <v>Y</v>
      </c>
    </row>
    <row r="194" ht="16.5" hidden="1" customHeight="1">
      <c r="A194" s="5" t="s">
        <v>155</v>
      </c>
      <c r="B194" s="5" t="s">
        <v>215</v>
      </c>
      <c r="C194" s="5" t="b">
        <v>1</v>
      </c>
      <c r="D194" s="5" t="s">
        <v>1352</v>
      </c>
      <c r="E194" s="5" t="s">
        <v>1353</v>
      </c>
      <c r="F194" s="5"/>
      <c r="G194" s="5" t="s">
        <v>65</v>
      </c>
      <c r="H194" s="5" t="s">
        <v>76</v>
      </c>
      <c r="I194" s="5" t="s">
        <v>82</v>
      </c>
      <c r="J194" s="25"/>
      <c r="K194" s="25"/>
      <c r="L194" s="25" t="s">
        <v>181</v>
      </c>
      <c r="M194" s="5" t="s">
        <v>220</v>
      </c>
      <c r="N194" s="5" t="s">
        <v>68</v>
      </c>
      <c r="O194" s="5" t="s">
        <v>69</v>
      </c>
      <c r="P194" s="5" t="s">
        <v>107</v>
      </c>
      <c r="Q194" s="5" t="b">
        <v>1</v>
      </c>
      <c r="R194" s="5" t="b">
        <v>0</v>
      </c>
      <c r="S194" s="5"/>
      <c r="T194" s="5">
        <v>4500.0</v>
      </c>
      <c r="U194" s="26">
        <v>2.1</v>
      </c>
      <c r="V194" s="5">
        <v>2143.0</v>
      </c>
      <c r="W194" s="27">
        <v>0.0</v>
      </c>
      <c r="X194" s="28">
        <v>2143.0</v>
      </c>
      <c r="Y194" s="27">
        <v>1.0</v>
      </c>
      <c r="Z194" s="5" t="s">
        <v>117</v>
      </c>
      <c r="AA194" s="5">
        <v>0.66</v>
      </c>
      <c r="AB194" s="5"/>
      <c r="AC194" s="5" t="s">
        <v>80</v>
      </c>
      <c r="AD194" s="5" t="s">
        <v>198</v>
      </c>
      <c r="AE194" s="5">
        <v>3.0</v>
      </c>
      <c r="AF194" s="5">
        <v>3.0</v>
      </c>
      <c r="AG194" s="5" t="s">
        <v>1349</v>
      </c>
      <c r="AH194" s="5" t="s">
        <v>0</v>
      </c>
      <c r="AI194" s="42"/>
      <c r="AJ194" s="28">
        <v>1587.0</v>
      </c>
      <c r="AK194" s="28">
        <v>1749.0</v>
      </c>
      <c r="AL194" s="28">
        <v>0.0</v>
      </c>
      <c r="AM194" s="28">
        <v>0.0</v>
      </c>
      <c r="AN194" s="28">
        <v>0.0</v>
      </c>
      <c r="AO194" s="28">
        <v>3400718.8200000003</v>
      </c>
      <c r="AP194" s="28">
        <v>3748107.0</v>
      </c>
      <c r="AQ194" s="28">
        <v>0.0</v>
      </c>
      <c r="AR194" s="28">
        <v>0.0</v>
      </c>
      <c r="AS194" s="28">
        <v>0.0</v>
      </c>
      <c r="AT194" s="28">
        <v>2975654.810631229</v>
      </c>
      <c r="AU194" s="28">
        <v>3046663.1340799998</v>
      </c>
      <c r="AV194" s="28">
        <v>0.0</v>
      </c>
      <c r="AW194" s="28">
        <v>0.0</v>
      </c>
      <c r="AX194" s="5"/>
      <c r="AY194" s="5" t="str">
        <f t="array" ref="AY194">IFERROR(_xlfn.XLOOKUP($E194,'FW27'!$C$3:$C$1102,'FW27'!$AM$3:$AM$1102),"")</f>
        <v>Skiing/Snowboarding</v>
      </c>
      <c r="AZ194" s="5" t="str">
        <f t="array" ref="AZ194">IFERROR(_xlfn.XLOOKUP($E194,'FW27'!$C$3:$C$1102,'FW27'!$AN$3:$AN$1102),"")</f>
        <v>Freeride</v>
      </c>
      <c r="BA194" s="32" t="s">
        <v>229</v>
      </c>
      <c r="BB194" s="5" t="str">
        <f t="array" ref="BB194">IFERROR(_xlfn.XLOOKUP($E194,'FW27'!$C$3:$C$1102,'FW27'!$AS$3:$AS$1102),"")</f>
        <v>Shell</v>
      </c>
      <c r="BC194" s="5" t="str">
        <f t="array" ref="BC194">IFERROR(_xlfn.XLOOKUP($E194,'FW27'!$C$3:$C$1102,'FW27'!$AT$3:$AT$1102),"")</f>
        <v>Pant</v>
      </c>
      <c r="BD194" s="5" t="str">
        <f t="array" ref="BD194">IFERROR(_xlfn.XLOOKUP($E194,'FW27'!$C$3:$C$1102,'FW27'!$AU$3:$AU$1102),"")</f>
        <v>Insulated</v>
      </c>
      <c r="BE194" s="5" t="str">
        <f t="array" ref="BE194">IFERROR(_xlfn.XLOOKUP($E194,'FW27'!$C$3:$C$1102,'FW27'!$AV$3:$AV$1102),"")</f>
        <v>Y</v>
      </c>
    </row>
    <row r="195" ht="16.5" hidden="1" customHeight="1">
      <c r="A195" s="5" t="s">
        <v>155</v>
      </c>
      <c r="B195" s="5" t="s">
        <v>215</v>
      </c>
      <c r="C195" s="5" t="b">
        <v>1</v>
      </c>
      <c r="D195" s="43" t="s">
        <v>939</v>
      </c>
      <c r="E195" s="43" t="s">
        <v>940</v>
      </c>
      <c r="F195" s="43"/>
      <c r="G195" s="43" t="s">
        <v>65</v>
      </c>
      <c r="H195" s="43" t="s">
        <v>76</v>
      </c>
      <c r="I195" s="43" t="s">
        <v>82</v>
      </c>
      <c r="J195" s="44" t="s">
        <v>1854</v>
      </c>
      <c r="K195" s="25"/>
      <c r="L195" s="25"/>
      <c r="M195" s="5" t="s">
        <v>220</v>
      </c>
      <c r="N195" s="5" t="s">
        <v>942</v>
      </c>
      <c r="O195" s="5" t="s">
        <v>69</v>
      </c>
      <c r="P195" s="5" t="s">
        <v>70</v>
      </c>
      <c r="Q195" s="5" t="b">
        <v>1</v>
      </c>
      <c r="R195" s="5" t="b">
        <v>0</v>
      </c>
      <c r="S195" s="5"/>
      <c r="T195" s="5">
        <v>900.0</v>
      </c>
      <c r="U195" s="26">
        <v>2.1</v>
      </c>
      <c r="V195" s="5">
        <v>429.0</v>
      </c>
      <c r="W195" s="27">
        <v>0.0</v>
      </c>
      <c r="X195" s="28">
        <v>429.0</v>
      </c>
      <c r="Y195" s="27">
        <v>1.0</v>
      </c>
      <c r="Z195" s="5" t="s">
        <v>117</v>
      </c>
      <c r="AA195" s="5">
        <v>0.64</v>
      </c>
      <c r="AB195" s="5"/>
      <c r="AC195" s="5" t="s">
        <v>81</v>
      </c>
      <c r="AD195" s="5" t="s">
        <v>81</v>
      </c>
      <c r="AE195" s="5">
        <v>1.0</v>
      </c>
      <c r="AF195" s="5">
        <v>1.0</v>
      </c>
      <c r="AG195" s="5" t="s">
        <v>1360</v>
      </c>
      <c r="AH195" s="5" t="s">
        <v>0</v>
      </c>
      <c r="AI195" s="42"/>
      <c r="AJ195" s="28">
        <v>358.0</v>
      </c>
      <c r="AK195" s="28">
        <v>313.0</v>
      </c>
      <c r="AL195" s="28">
        <v>0.0</v>
      </c>
      <c r="AM195" s="28">
        <v>0.0</v>
      </c>
      <c r="AN195" s="28">
        <v>0.0</v>
      </c>
      <c r="AO195" s="28">
        <v>153428.06</v>
      </c>
      <c r="AP195" s="28">
        <v>134277.0</v>
      </c>
      <c r="AQ195" s="28">
        <v>0.0</v>
      </c>
      <c r="AR195" s="28">
        <v>0.0</v>
      </c>
      <c r="AS195" s="28">
        <v>0.0</v>
      </c>
      <c r="AT195" s="28">
        <v>135584.39230343298</v>
      </c>
      <c r="AU195" s="28">
        <v>118142.09859999998</v>
      </c>
      <c r="AV195" s="28">
        <v>0.0</v>
      </c>
      <c r="AW195" s="28">
        <v>0.0</v>
      </c>
      <c r="AX195" s="5"/>
      <c r="AY195" s="5" t="str">
        <f t="array" ref="AY195">IFERROR(_xlfn.XLOOKUP($E195,'FW27'!$C$3:$C$1102,'FW27'!$AM$3:$AM$1102),"")</f>
        <v>Essentials</v>
      </c>
      <c r="AZ195" s="5" t="str">
        <f t="array" ref="AZ195">IFERROR(_xlfn.XLOOKUP($E195,'FW27'!$C$3:$C$1102,'FW27'!$AN$3:$AN$1102),"")</f>
        <v>Active Essentials</v>
      </c>
      <c r="BB195" s="5" t="str">
        <f t="array" ref="BB195">IFERROR(_xlfn.XLOOKUP($E195,'FW27'!$C$3:$C$1102,'FW27'!$AS$3:$AS$1102),"")</f>
        <v>Baselayer</v>
      </c>
      <c r="BC195" s="5" t="str">
        <f t="array" ref="BC195">IFERROR(_xlfn.XLOOKUP($E195,'FW27'!$C$3:$C$1102,'FW27'!$AT$3:$AT$1102),"")</f>
        <v>Pant</v>
      </c>
      <c r="BD195" s="5" t="str">
        <f t="array" ref="BD195">IFERROR(_xlfn.XLOOKUP($E195,'FW27'!$C$3:$C$1102,'FW27'!$AU$3:$AU$1102),"")</f>
        <v>Merino Wool</v>
      </c>
      <c r="BE195" s="5" t="str">
        <f t="array" ref="BE195">IFERROR(_xlfn.XLOOKUP($E195,'FW27'!$C$3:$C$1102,'FW27'!$AV$3:$AV$1102),"")</f>
        <v>N</v>
      </c>
    </row>
    <row r="196" ht="16.5" hidden="1" customHeight="1">
      <c r="A196" s="5" t="s">
        <v>155</v>
      </c>
      <c r="B196" s="5" t="s">
        <v>215</v>
      </c>
      <c r="C196" s="5" t="b">
        <v>1</v>
      </c>
      <c r="D196" s="43" t="s">
        <v>961</v>
      </c>
      <c r="E196" s="43" t="s">
        <v>962</v>
      </c>
      <c r="F196" s="43"/>
      <c r="G196" s="43" t="s">
        <v>65</v>
      </c>
      <c r="H196" s="43" t="s">
        <v>76</v>
      </c>
      <c r="I196" s="43" t="s">
        <v>82</v>
      </c>
      <c r="J196" s="44" t="s">
        <v>1854</v>
      </c>
      <c r="K196" s="25"/>
      <c r="L196" s="25"/>
      <c r="M196" s="5" t="s">
        <v>220</v>
      </c>
      <c r="N196" s="5" t="s">
        <v>942</v>
      </c>
      <c r="O196" s="5" t="s">
        <v>69</v>
      </c>
      <c r="P196" s="5" t="s">
        <v>107</v>
      </c>
      <c r="Q196" s="5" t="b">
        <v>1</v>
      </c>
      <c r="R196" s="5" t="b">
        <v>0</v>
      </c>
      <c r="S196" s="5"/>
      <c r="T196" s="5">
        <v>900.0</v>
      </c>
      <c r="U196" s="26">
        <v>2.1</v>
      </c>
      <c r="V196" s="5">
        <v>429.0</v>
      </c>
      <c r="W196" s="27">
        <v>0.0</v>
      </c>
      <c r="X196" s="28">
        <v>429.0</v>
      </c>
      <c r="Y196" s="27">
        <v>1.0</v>
      </c>
      <c r="Z196" s="5" t="s">
        <v>117</v>
      </c>
      <c r="AA196" s="5">
        <v>0.65</v>
      </c>
      <c r="AB196" s="5"/>
      <c r="AC196" s="5" t="s">
        <v>81</v>
      </c>
      <c r="AD196" s="5" t="s">
        <v>81</v>
      </c>
      <c r="AE196" s="5">
        <v>1.0</v>
      </c>
      <c r="AF196" s="5">
        <v>1.0</v>
      </c>
      <c r="AG196" s="5" t="s">
        <v>1360</v>
      </c>
      <c r="AH196" s="5" t="s">
        <v>0</v>
      </c>
      <c r="AI196" s="42"/>
      <c r="AJ196" s="28">
        <v>304.0</v>
      </c>
      <c r="AK196" s="28">
        <v>277.0</v>
      </c>
      <c r="AL196" s="28">
        <v>0.0</v>
      </c>
      <c r="AM196" s="28">
        <v>0.0</v>
      </c>
      <c r="AN196" s="28">
        <v>0.0</v>
      </c>
      <c r="AO196" s="28">
        <v>130285.28</v>
      </c>
      <c r="AP196" s="28">
        <v>118833.0</v>
      </c>
      <c r="AQ196" s="28">
        <v>0.0</v>
      </c>
      <c r="AR196" s="28">
        <v>0.0</v>
      </c>
      <c r="AS196" s="28">
        <v>0.0</v>
      </c>
      <c r="AT196" s="28">
        <v>119156.45299003323</v>
      </c>
      <c r="AU196" s="28">
        <v>108546.9954</v>
      </c>
      <c r="AV196" s="28">
        <v>0.0</v>
      </c>
      <c r="AW196" s="28">
        <v>0.0</v>
      </c>
      <c r="AX196" s="5"/>
      <c r="AY196" s="5" t="str">
        <f t="array" ref="AY196">IFERROR(_xlfn.XLOOKUP($E196,'FW27'!$C$3:$C$1102,'FW27'!$AM$3:$AM$1102),"")</f>
        <v>Essentials</v>
      </c>
      <c r="AZ196" s="5" t="str">
        <f t="array" ref="AZ196">IFERROR(_xlfn.XLOOKUP($E196,'FW27'!$C$3:$C$1102,'FW27'!$AN$3:$AN$1102),"")</f>
        <v>Active Essentials</v>
      </c>
      <c r="BB196" s="5" t="str">
        <f t="array" ref="BB196">IFERROR(_xlfn.XLOOKUP($E196,'FW27'!$C$3:$C$1102,'FW27'!$AS$3:$AS$1102),"")</f>
        <v>Baselayer</v>
      </c>
      <c r="BC196" s="5" t="str">
        <f t="array" ref="BC196">IFERROR(_xlfn.XLOOKUP($E196,'FW27'!$C$3:$C$1102,'FW27'!$AT$3:$AT$1102),"")</f>
        <v>Pant</v>
      </c>
      <c r="BD196" s="5" t="str">
        <f t="array" ref="BD196">IFERROR(_xlfn.XLOOKUP($E196,'FW27'!$C$3:$C$1102,'FW27'!$AU$3:$AU$1102),"")</f>
        <v>Merino Wool</v>
      </c>
      <c r="BE196" s="5" t="str">
        <f t="array" ref="BE196">IFERROR(_xlfn.XLOOKUP($E196,'FW27'!$C$3:$C$1102,'FW27'!$AV$3:$AV$1102),"")</f>
        <v>N</v>
      </c>
    </row>
    <row r="197" ht="16.5" hidden="1" customHeight="1">
      <c r="A197" s="5" t="s">
        <v>155</v>
      </c>
      <c r="B197" s="5" t="s">
        <v>137</v>
      </c>
      <c r="C197" s="5" t="b">
        <v>1</v>
      </c>
      <c r="D197" s="43" t="s">
        <v>1070</v>
      </c>
      <c r="E197" s="43" t="s">
        <v>1072</v>
      </c>
      <c r="F197" s="43"/>
      <c r="G197" s="43" t="s">
        <v>65</v>
      </c>
      <c r="H197" s="43" t="s">
        <v>76</v>
      </c>
      <c r="I197" s="43" t="s">
        <v>82</v>
      </c>
      <c r="J197" s="44" t="s">
        <v>1854</v>
      </c>
      <c r="K197" s="25"/>
      <c r="L197" s="25"/>
      <c r="M197" s="5" t="s">
        <v>220</v>
      </c>
      <c r="N197" s="5" t="s">
        <v>942</v>
      </c>
      <c r="O197" s="5" t="s">
        <v>69</v>
      </c>
      <c r="P197" s="5" t="s">
        <v>70</v>
      </c>
      <c r="Q197" s="5" t="b">
        <v>1</v>
      </c>
      <c r="R197" s="5" t="b">
        <v>0</v>
      </c>
      <c r="S197" s="5"/>
      <c r="T197" s="5">
        <v>1300.0</v>
      </c>
      <c r="U197" s="26">
        <v>2.1</v>
      </c>
      <c r="V197" s="5">
        <v>619.0</v>
      </c>
      <c r="W197" s="27">
        <v>0.0</v>
      </c>
      <c r="X197" s="28">
        <v>619.0</v>
      </c>
      <c r="Y197" s="27">
        <v>1.0</v>
      </c>
      <c r="Z197" s="5" t="s">
        <v>117</v>
      </c>
      <c r="AA197" s="5">
        <v>0.57</v>
      </c>
      <c r="AB197" s="5"/>
      <c r="AC197" s="5" t="s">
        <v>81</v>
      </c>
      <c r="AD197" s="5" t="s">
        <v>81</v>
      </c>
      <c r="AE197" s="5">
        <v>1.0</v>
      </c>
      <c r="AF197" s="5">
        <v>1.0</v>
      </c>
      <c r="AG197" s="5" t="s">
        <v>1360</v>
      </c>
      <c r="AH197" s="5" t="s">
        <v>0</v>
      </c>
      <c r="AI197" s="42"/>
      <c r="AJ197" s="28">
        <v>663.0</v>
      </c>
      <c r="AK197" s="28">
        <v>579.0</v>
      </c>
      <c r="AL197" s="28">
        <v>0.0</v>
      </c>
      <c r="AM197" s="28">
        <v>0.0</v>
      </c>
      <c r="AN197" s="28">
        <v>0.0</v>
      </c>
      <c r="AO197" s="28">
        <v>410430.14999999997</v>
      </c>
      <c r="AP197" s="28">
        <v>358401.0</v>
      </c>
      <c r="AQ197" s="28">
        <v>0.0</v>
      </c>
      <c r="AR197" s="28">
        <v>0.0</v>
      </c>
      <c r="AS197" s="28">
        <v>0.0</v>
      </c>
      <c r="AT197" s="28">
        <v>332564.05094130675</v>
      </c>
      <c r="AU197" s="28">
        <v>293332.73775</v>
      </c>
      <c r="AV197" s="28">
        <v>0.0</v>
      </c>
      <c r="AW197" s="28">
        <v>0.0</v>
      </c>
      <c r="AX197" s="5"/>
      <c r="AY197" s="5" t="str">
        <f t="array" ref="AY197">IFERROR(_xlfn.XLOOKUP($E197,'FW27'!$C$3:$C$1102,'FW27'!$AM$3:$AM$1102),"")</f>
        <v>Essentials</v>
      </c>
      <c r="AZ197" s="5" t="str">
        <f t="array" ref="AZ197">IFERROR(_xlfn.XLOOKUP($E197,'FW27'!$C$3:$C$1102,'FW27'!$AN$3:$AN$1102),"")</f>
        <v>Active Essentials</v>
      </c>
      <c r="BB197" s="5" t="str">
        <f t="array" ref="BB197">IFERROR(_xlfn.XLOOKUP($E197,'FW27'!$C$3:$C$1102,'FW27'!$AS$3:$AS$1102),"")</f>
        <v>Baselayer</v>
      </c>
      <c r="BC197" s="5" t="str">
        <f t="array" ref="BC197">IFERROR(_xlfn.XLOOKUP($E197,'FW27'!$C$3:$C$1102,'FW27'!$AT$3:$AT$1102),"")</f>
        <v>Pullover</v>
      </c>
      <c r="BD197" s="5" t="str">
        <f t="array" ref="BD197">IFERROR(_xlfn.XLOOKUP($E197,'FW27'!$C$3:$C$1102,'FW27'!$AU$3:$AU$1102),"")</f>
        <v>Merino Wool</v>
      </c>
      <c r="BE197" s="5" t="str">
        <f t="array" ref="BE197">IFERROR(_xlfn.XLOOKUP($E197,'FW27'!$C$3:$C$1102,'FW27'!$AV$3:$AV$1102),"")</f>
        <v>N</v>
      </c>
    </row>
    <row r="198" ht="16.5" hidden="1" customHeight="1">
      <c r="A198" s="5" t="s">
        <v>155</v>
      </c>
      <c r="B198" s="5" t="s">
        <v>137</v>
      </c>
      <c r="C198" s="5" t="b">
        <v>1</v>
      </c>
      <c r="D198" s="43" t="s">
        <v>1164</v>
      </c>
      <c r="E198" s="43" t="s">
        <v>1166</v>
      </c>
      <c r="F198" s="43"/>
      <c r="G198" s="43" t="s">
        <v>65</v>
      </c>
      <c r="H198" s="43" t="s">
        <v>76</v>
      </c>
      <c r="I198" s="43" t="s">
        <v>82</v>
      </c>
      <c r="J198" s="44" t="s">
        <v>1854</v>
      </c>
      <c r="K198" s="25"/>
      <c r="L198" s="25"/>
      <c r="M198" s="5" t="s">
        <v>220</v>
      </c>
      <c r="N198" s="5" t="s">
        <v>942</v>
      </c>
      <c r="O198" s="5" t="s">
        <v>69</v>
      </c>
      <c r="P198" s="5" t="s">
        <v>107</v>
      </c>
      <c r="Q198" s="5" t="b">
        <v>1</v>
      </c>
      <c r="R198" s="5" t="b">
        <v>0</v>
      </c>
      <c r="S198" s="5"/>
      <c r="T198" s="5">
        <v>1300.0</v>
      </c>
      <c r="U198" s="26">
        <v>2.1</v>
      </c>
      <c r="V198" s="5">
        <v>619.0</v>
      </c>
      <c r="W198" s="27">
        <v>0.0</v>
      </c>
      <c r="X198" s="28">
        <v>619.0</v>
      </c>
      <c r="Y198" s="27">
        <v>1.0</v>
      </c>
      <c r="Z198" s="5" t="s">
        <v>117</v>
      </c>
      <c r="AA198" s="5">
        <v>0.58</v>
      </c>
      <c r="AB198" s="5"/>
      <c r="AC198" s="5" t="s">
        <v>81</v>
      </c>
      <c r="AD198" s="5" t="s">
        <v>81</v>
      </c>
      <c r="AE198" s="5">
        <v>1.0</v>
      </c>
      <c r="AF198" s="5">
        <v>1.0</v>
      </c>
      <c r="AG198" s="5" t="s">
        <v>1360</v>
      </c>
      <c r="AH198" s="5" t="s">
        <v>0</v>
      </c>
      <c r="AI198" s="42"/>
      <c r="AJ198" s="28">
        <v>511.0</v>
      </c>
      <c r="AK198" s="28">
        <v>456.0</v>
      </c>
      <c r="AL198" s="28">
        <v>0.0</v>
      </c>
      <c r="AM198" s="28">
        <v>0.0</v>
      </c>
      <c r="AN198" s="28">
        <v>0.0</v>
      </c>
      <c r="AO198" s="28">
        <v>316334.55</v>
      </c>
      <c r="AP198" s="28">
        <v>282264.0</v>
      </c>
      <c r="AQ198" s="28">
        <v>0.0</v>
      </c>
      <c r="AR198" s="28">
        <v>0.0</v>
      </c>
      <c r="AS198" s="28">
        <v>0.0</v>
      </c>
      <c r="AT198" s="28">
        <v>268175.78161683277</v>
      </c>
      <c r="AU198" s="28">
        <v>242928.72195</v>
      </c>
      <c r="AV198" s="28">
        <v>0.0</v>
      </c>
      <c r="AW198" s="28">
        <v>0.0</v>
      </c>
      <c r="AX198" s="5"/>
      <c r="AY198" s="5" t="str">
        <f t="array" ref="AY198">IFERROR(_xlfn.XLOOKUP($E198,'FW27'!$C$3:$C$1102,'FW27'!$AM$3:$AM$1102),"")</f>
        <v>Essentials</v>
      </c>
      <c r="AZ198" s="5" t="str">
        <f t="array" ref="AZ198">IFERROR(_xlfn.XLOOKUP($E198,'FW27'!$C$3:$C$1102,'FW27'!$AN$3:$AN$1102),"")</f>
        <v>Active Essentials</v>
      </c>
      <c r="BB198" s="5" t="str">
        <f t="array" ref="BB198">IFERROR(_xlfn.XLOOKUP($E198,'FW27'!$C$3:$C$1102,'FW27'!$AS$3:$AS$1102),"")</f>
        <v>Baselayer</v>
      </c>
      <c r="BC198" s="5" t="str">
        <f t="array" ref="BC198">IFERROR(_xlfn.XLOOKUP($E198,'FW27'!$C$3:$C$1102,'FW27'!$AT$3:$AT$1102),"")</f>
        <v>Pullover</v>
      </c>
      <c r="BD198" s="5" t="str">
        <f t="array" ref="BD198">IFERROR(_xlfn.XLOOKUP($E198,'FW27'!$C$3:$C$1102,'FW27'!$AU$3:$AU$1102),"")</f>
        <v>Merino Wool</v>
      </c>
      <c r="BE198" s="5" t="str">
        <f t="array" ref="BE198">IFERROR(_xlfn.XLOOKUP($E198,'FW27'!$C$3:$C$1102,'FW27'!$AV$3:$AV$1102),"")</f>
        <v>N</v>
      </c>
    </row>
    <row r="199" ht="16.5" hidden="1" customHeight="1">
      <c r="A199" s="5" t="s">
        <v>155</v>
      </c>
      <c r="B199" s="5" t="s">
        <v>137</v>
      </c>
      <c r="C199" s="5" t="b">
        <v>1</v>
      </c>
      <c r="D199" s="43" t="s">
        <v>1179</v>
      </c>
      <c r="E199" s="43" t="s">
        <v>1180</v>
      </c>
      <c r="F199" s="43"/>
      <c r="G199" s="43" t="s">
        <v>65</v>
      </c>
      <c r="H199" s="43" t="s">
        <v>76</v>
      </c>
      <c r="I199" s="43" t="s">
        <v>82</v>
      </c>
      <c r="J199" s="44" t="s">
        <v>1854</v>
      </c>
      <c r="K199" s="25"/>
      <c r="L199" s="25"/>
      <c r="M199" s="5" t="s">
        <v>220</v>
      </c>
      <c r="N199" s="5" t="s">
        <v>942</v>
      </c>
      <c r="O199" s="5" t="s">
        <v>69</v>
      </c>
      <c r="P199" s="5" t="s">
        <v>70</v>
      </c>
      <c r="Q199" s="5" t="b">
        <v>1</v>
      </c>
      <c r="R199" s="5" t="b">
        <v>0</v>
      </c>
      <c r="S199" s="5"/>
      <c r="T199" s="5">
        <v>1000.0</v>
      </c>
      <c r="U199" s="26">
        <v>2.1</v>
      </c>
      <c r="V199" s="5">
        <v>476.0</v>
      </c>
      <c r="W199" s="27">
        <v>0.0</v>
      </c>
      <c r="X199" s="28">
        <v>476.0</v>
      </c>
      <c r="Y199" s="27">
        <v>1.0</v>
      </c>
      <c r="Z199" s="5" t="s">
        <v>117</v>
      </c>
      <c r="AA199" s="5">
        <v>0.6</v>
      </c>
      <c r="AB199" s="5"/>
      <c r="AC199" s="5" t="s">
        <v>81</v>
      </c>
      <c r="AD199" s="5" t="s">
        <v>81</v>
      </c>
      <c r="AE199" s="5">
        <v>1.0</v>
      </c>
      <c r="AF199" s="5">
        <v>1.0</v>
      </c>
      <c r="AG199" s="5" t="s">
        <v>1360</v>
      </c>
      <c r="AH199" s="5" t="s">
        <v>0</v>
      </c>
      <c r="AI199" s="42"/>
      <c r="AJ199" s="28">
        <v>497.0</v>
      </c>
      <c r="AK199" s="28">
        <v>440.0</v>
      </c>
      <c r="AL199" s="28">
        <v>0.0</v>
      </c>
      <c r="AM199" s="28">
        <v>0.0</v>
      </c>
      <c r="AN199" s="28">
        <v>0.0</v>
      </c>
      <c r="AO199" s="28">
        <v>236666.43</v>
      </c>
      <c r="AP199" s="28">
        <v>209440.0</v>
      </c>
      <c r="AQ199" s="28">
        <v>0.0</v>
      </c>
      <c r="AR199" s="28">
        <v>0.0</v>
      </c>
      <c r="AS199" s="28">
        <v>0.0</v>
      </c>
      <c r="AT199" s="28">
        <v>216749.20321151716</v>
      </c>
      <c r="AU199" s="28">
        <v>193148.40039999998</v>
      </c>
      <c r="AV199" s="28">
        <v>0.0</v>
      </c>
      <c r="AW199" s="28">
        <v>0.0</v>
      </c>
      <c r="AX199" s="5"/>
      <c r="AY199" s="5" t="str">
        <f t="array" ref="AY199">IFERROR(_xlfn.XLOOKUP($E199,'FW27'!$C$3:$C$1102,'FW27'!$AM$3:$AM$1102),"")</f>
        <v>Essentials</v>
      </c>
      <c r="AZ199" s="5" t="str">
        <f t="array" ref="AZ199">IFERROR(_xlfn.XLOOKUP($E199,'FW27'!$C$3:$C$1102,'FW27'!$AN$3:$AN$1102),"")</f>
        <v>Active Essentials</v>
      </c>
      <c r="BB199" s="5" t="str">
        <f t="array" ref="BB199">IFERROR(_xlfn.XLOOKUP($E199,'FW27'!$C$3:$C$1102,'FW27'!$AS$3:$AS$1102),"")</f>
        <v>Baselayer</v>
      </c>
      <c r="BC199" s="5" t="str">
        <f t="array" ref="BC199">IFERROR(_xlfn.XLOOKUP($E199,'FW27'!$C$3:$C$1102,'FW27'!$AT$3:$AT$1102),"")</f>
        <v>Pant</v>
      </c>
      <c r="BD199" s="5" t="str">
        <f t="array" ref="BD199">IFERROR(_xlfn.XLOOKUP($E199,'FW27'!$C$3:$C$1102,'FW27'!$AU$3:$AU$1102),"")</f>
        <v>Merino Wool</v>
      </c>
      <c r="BE199" s="5" t="str">
        <f t="array" ref="BE199">IFERROR(_xlfn.XLOOKUP($E199,'FW27'!$C$3:$C$1102,'FW27'!$AV$3:$AV$1102),"")</f>
        <v>N</v>
      </c>
    </row>
    <row r="200" ht="16.5" hidden="1" customHeight="1">
      <c r="A200" s="5" t="s">
        <v>155</v>
      </c>
      <c r="B200" s="5" t="s">
        <v>137</v>
      </c>
      <c r="C200" s="5" t="b">
        <v>1</v>
      </c>
      <c r="D200" s="43" t="s">
        <v>1388</v>
      </c>
      <c r="E200" s="43" t="s">
        <v>1389</v>
      </c>
      <c r="F200" s="43"/>
      <c r="G200" s="43" t="s">
        <v>65</v>
      </c>
      <c r="H200" s="43" t="s">
        <v>76</v>
      </c>
      <c r="I200" s="43" t="s">
        <v>82</v>
      </c>
      <c r="J200" s="44" t="s">
        <v>1854</v>
      </c>
      <c r="K200" s="25"/>
      <c r="L200" s="25"/>
      <c r="M200" s="5" t="s">
        <v>220</v>
      </c>
      <c r="N200" s="5" t="s">
        <v>942</v>
      </c>
      <c r="O200" s="5" t="s">
        <v>69</v>
      </c>
      <c r="P200" s="5" t="s">
        <v>107</v>
      </c>
      <c r="Q200" s="5" t="b">
        <v>1</v>
      </c>
      <c r="R200" s="5" t="b">
        <v>0</v>
      </c>
      <c r="S200" s="5"/>
      <c r="T200" s="5">
        <v>1000.0</v>
      </c>
      <c r="U200" s="26">
        <v>2.1</v>
      </c>
      <c r="V200" s="5">
        <v>476.0</v>
      </c>
      <c r="W200" s="27">
        <v>0.0</v>
      </c>
      <c r="X200" s="28">
        <v>476.0</v>
      </c>
      <c r="Y200" s="27">
        <v>1.0</v>
      </c>
      <c r="Z200" s="5" t="s">
        <v>117</v>
      </c>
      <c r="AA200" s="5">
        <v>0.61</v>
      </c>
      <c r="AB200" s="5"/>
      <c r="AC200" s="5" t="s">
        <v>81</v>
      </c>
      <c r="AD200" s="5" t="s">
        <v>81</v>
      </c>
      <c r="AE200" s="5">
        <v>1.0</v>
      </c>
      <c r="AF200" s="5">
        <v>1.0</v>
      </c>
      <c r="AG200" s="5" t="s">
        <v>1360</v>
      </c>
      <c r="AH200" s="5" t="s">
        <v>0</v>
      </c>
      <c r="AI200" s="42"/>
      <c r="AJ200" s="28">
        <v>432.0</v>
      </c>
      <c r="AK200" s="28">
        <v>377.0</v>
      </c>
      <c r="AL200" s="28">
        <v>0.0</v>
      </c>
      <c r="AM200" s="28">
        <v>0.0</v>
      </c>
      <c r="AN200" s="28">
        <v>0.0</v>
      </c>
      <c r="AO200" s="28">
        <v>205714.08</v>
      </c>
      <c r="AP200" s="28">
        <v>179452.0</v>
      </c>
      <c r="AQ200" s="28">
        <v>0.0</v>
      </c>
      <c r="AR200" s="28">
        <v>0.0</v>
      </c>
      <c r="AS200" s="28">
        <v>0.0</v>
      </c>
      <c r="AT200" s="28">
        <v>189786.35437430785</v>
      </c>
      <c r="AU200" s="28">
        <v>168150.1712</v>
      </c>
      <c r="AV200" s="28">
        <v>0.0</v>
      </c>
      <c r="AW200" s="28">
        <v>0.0</v>
      </c>
      <c r="AX200" s="5"/>
      <c r="AY200" s="5" t="str">
        <f t="array" ref="AY200">IFERROR(_xlfn.XLOOKUP($E200,'FW27'!$C$3:$C$1102,'FW27'!$AM$3:$AM$1102),"")</f>
        <v>Essentials</v>
      </c>
      <c r="AZ200" s="5" t="str">
        <f t="array" ref="AZ200">IFERROR(_xlfn.XLOOKUP($E200,'FW27'!$C$3:$C$1102,'FW27'!$AN$3:$AN$1102),"")</f>
        <v>Active Essentials</v>
      </c>
      <c r="BB200" s="5" t="str">
        <f t="array" ref="BB200">IFERROR(_xlfn.XLOOKUP($E200,'FW27'!$C$3:$C$1102,'FW27'!$AS$3:$AS$1102),"")</f>
        <v>Baselayer</v>
      </c>
      <c r="BC200" s="5" t="str">
        <f t="array" ref="BC200">IFERROR(_xlfn.XLOOKUP($E200,'FW27'!$C$3:$C$1102,'FW27'!$AT$3:$AT$1102),"")</f>
        <v>Pant</v>
      </c>
      <c r="BD200" s="5" t="str">
        <f t="array" ref="BD200">IFERROR(_xlfn.XLOOKUP($E200,'FW27'!$C$3:$C$1102,'FW27'!$AU$3:$AU$1102),"")</f>
        <v>Merino Wool</v>
      </c>
      <c r="BE200" s="5" t="str">
        <f t="array" ref="BE200">IFERROR(_xlfn.XLOOKUP($E200,'FW27'!$C$3:$C$1102,'FW27'!$AV$3:$AV$1102),"")</f>
        <v>N</v>
      </c>
    </row>
    <row r="201" ht="16.5" hidden="1" customHeight="1">
      <c r="A201" s="5" t="s">
        <v>155</v>
      </c>
      <c r="B201" s="5" t="s">
        <v>137</v>
      </c>
      <c r="C201" s="5" t="b">
        <v>1</v>
      </c>
      <c r="D201" s="5" t="s">
        <v>621</v>
      </c>
      <c r="E201" s="5" t="s">
        <v>622</v>
      </c>
      <c r="F201" s="5"/>
      <c r="G201" s="5" t="s">
        <v>65</v>
      </c>
      <c r="H201" s="5" t="s">
        <v>84</v>
      </c>
      <c r="I201" s="5" t="s">
        <v>82</v>
      </c>
      <c r="J201" s="25"/>
      <c r="K201" s="25"/>
      <c r="L201" s="25"/>
      <c r="M201" s="5" t="s">
        <v>247</v>
      </c>
      <c r="N201" s="5" t="s">
        <v>113</v>
      </c>
      <c r="O201" s="5" t="s">
        <v>69</v>
      </c>
      <c r="P201" s="5" t="s">
        <v>70</v>
      </c>
      <c r="Q201" s="5" t="b">
        <v>1</v>
      </c>
      <c r="R201" s="5" t="b">
        <v>0</v>
      </c>
      <c r="S201" s="5"/>
      <c r="T201" s="5">
        <v>1500.0</v>
      </c>
      <c r="U201" s="26">
        <v>2.1</v>
      </c>
      <c r="V201" s="5">
        <v>714.0</v>
      </c>
      <c r="W201" s="27">
        <v>0.0</v>
      </c>
      <c r="X201" s="28">
        <v>714.0</v>
      </c>
      <c r="Y201" s="27">
        <v>1.0</v>
      </c>
      <c r="Z201" s="5" t="s">
        <v>242</v>
      </c>
      <c r="AA201" s="5">
        <v>0.61</v>
      </c>
      <c r="AB201" s="5"/>
      <c r="AC201" s="5" t="s">
        <v>81</v>
      </c>
      <c r="AD201" s="5" t="s">
        <v>81</v>
      </c>
      <c r="AE201" s="5">
        <v>2.0</v>
      </c>
      <c r="AF201" s="5">
        <v>2.0</v>
      </c>
      <c r="AG201" s="5" t="s">
        <v>0</v>
      </c>
      <c r="AH201" s="5" t="s">
        <v>0</v>
      </c>
      <c r="AI201" s="42"/>
      <c r="AJ201" s="28">
        <v>844.0</v>
      </c>
      <c r="AK201" s="28">
        <v>1107.0</v>
      </c>
      <c r="AL201" s="28">
        <v>0.0</v>
      </c>
      <c r="AM201" s="28">
        <v>1477.0</v>
      </c>
      <c r="AN201" s="28">
        <v>0.0</v>
      </c>
      <c r="AO201" s="28">
        <v>602860.76</v>
      </c>
      <c r="AP201" s="28">
        <v>790398.0</v>
      </c>
      <c r="AQ201" s="28">
        <v>0.0</v>
      </c>
      <c r="AR201" s="28">
        <v>1055006.33</v>
      </c>
      <c r="AS201" s="28">
        <v>0.0</v>
      </c>
      <c r="AT201" s="28">
        <v>383877.04274640087</v>
      </c>
      <c r="AU201" s="28">
        <v>484303.19985000003</v>
      </c>
      <c r="AV201" s="28">
        <v>0.0</v>
      </c>
      <c r="AW201" s="28">
        <v>796004.8336655592</v>
      </c>
      <c r="AX201" s="5"/>
      <c r="AY201" s="5" t="str">
        <f t="array" ref="AY201">IFERROR(_xlfn.XLOOKUP($E201,'FW27'!$C$3:$C$1102,'FW27'!$AM$3:$AM$1102),"")</f>
        <v>Essentials</v>
      </c>
      <c r="AZ201" s="5" t="str">
        <f t="array" ref="AZ201">IFERROR(_xlfn.XLOOKUP($E201,'FW27'!$C$3:$C$1102,'FW27'!$AN$3:$AN$1102),"")</f>
        <v>Active Essentials</v>
      </c>
      <c r="BA201" s="5" t="s">
        <v>237</v>
      </c>
      <c r="BB201" s="5" t="str">
        <f t="array" ref="BB201">IFERROR(_xlfn.XLOOKUP($E201,'FW27'!$C$3:$C$1102,'FW27'!$AS$3:$AS$1102),"")</f>
        <v>Softshell</v>
      </c>
      <c r="BC201" s="5" t="str">
        <f t="array" ref="BC201">IFERROR(_xlfn.XLOOKUP($E201,'FW27'!$C$3:$C$1102,'FW27'!$AT$3:$AT$1102),"")</f>
        <v>Pant</v>
      </c>
      <c r="BD201" s="5" t="str">
        <f t="array" ref="BD201">IFERROR(_xlfn.XLOOKUP($E201,'FW27'!$C$3:$C$1102,'FW27'!$AU$3:$AU$1102),"")</f>
        <v>Classic Softshell</v>
      </c>
      <c r="BE201" s="5" t="str">
        <f t="array" ref="BE201">IFERROR(_xlfn.XLOOKUP($E201,'FW27'!$C$3:$C$1102,'FW27'!$AV$3:$AV$1102),"")</f>
        <v>N</v>
      </c>
    </row>
    <row r="202" ht="16.5" hidden="1" customHeight="1">
      <c r="A202" s="5" t="s">
        <v>155</v>
      </c>
      <c r="B202" s="5" t="s">
        <v>137</v>
      </c>
      <c r="C202" s="5" t="b">
        <v>1</v>
      </c>
      <c r="D202" s="5" t="s">
        <v>624</v>
      </c>
      <c r="E202" s="5" t="s">
        <v>625</v>
      </c>
      <c r="F202" s="5"/>
      <c r="G202" s="5" t="s">
        <v>65</v>
      </c>
      <c r="H202" s="5" t="s">
        <v>84</v>
      </c>
      <c r="I202" s="5" t="s">
        <v>82</v>
      </c>
      <c r="J202" s="25"/>
      <c r="K202" s="25"/>
      <c r="L202" s="25"/>
      <c r="M202" s="5" t="s">
        <v>247</v>
      </c>
      <c r="N202" s="5" t="s">
        <v>113</v>
      </c>
      <c r="O202" s="5" t="s">
        <v>69</v>
      </c>
      <c r="P202" s="5" t="s">
        <v>107</v>
      </c>
      <c r="Q202" s="5" t="b">
        <v>1</v>
      </c>
      <c r="R202" s="5" t="b">
        <v>0</v>
      </c>
      <c r="S202" s="5"/>
      <c r="T202" s="5">
        <v>1500.0</v>
      </c>
      <c r="U202" s="26">
        <v>2.1</v>
      </c>
      <c r="V202" s="5">
        <v>714.0</v>
      </c>
      <c r="W202" s="27">
        <v>0.0</v>
      </c>
      <c r="X202" s="28">
        <v>714.0</v>
      </c>
      <c r="Y202" s="27">
        <v>1.0</v>
      </c>
      <c r="Z202" s="5" t="s">
        <v>242</v>
      </c>
      <c r="AA202" s="5">
        <v>0.63</v>
      </c>
      <c r="AB202" s="5"/>
      <c r="AC202" s="5" t="s">
        <v>81</v>
      </c>
      <c r="AD202" s="5" t="s">
        <v>81</v>
      </c>
      <c r="AE202" s="5">
        <v>2.0</v>
      </c>
      <c r="AF202" s="5">
        <v>2.0</v>
      </c>
      <c r="AG202" s="5" t="s">
        <v>0</v>
      </c>
      <c r="AH202" s="5" t="s">
        <v>0</v>
      </c>
      <c r="AI202" s="42"/>
      <c r="AJ202" s="28">
        <v>474.0</v>
      </c>
      <c r="AK202" s="28">
        <v>766.0</v>
      </c>
      <c r="AL202" s="28">
        <v>0.0</v>
      </c>
      <c r="AM202" s="28">
        <v>918.0</v>
      </c>
      <c r="AN202" s="28">
        <v>0.0</v>
      </c>
      <c r="AO202" s="28">
        <v>338573.45999999996</v>
      </c>
      <c r="AP202" s="28">
        <v>546924.0</v>
      </c>
      <c r="AQ202" s="28">
        <v>0.0</v>
      </c>
      <c r="AR202" s="28">
        <v>655718.2200000001</v>
      </c>
      <c r="AS202" s="28">
        <v>0.0</v>
      </c>
      <c r="AT202" s="28">
        <v>227649.90697674415</v>
      </c>
      <c r="AU202" s="28">
        <v>371500.70788000006</v>
      </c>
      <c r="AV202" s="28">
        <v>0.0</v>
      </c>
      <c r="AW202" s="28">
        <v>498188.3140642302</v>
      </c>
      <c r="AX202" s="5"/>
      <c r="AY202" s="5" t="str">
        <f t="array" ref="AY202">IFERROR(_xlfn.XLOOKUP($E202,'FW27'!$C$3:$C$1102,'FW27'!$AM$3:$AM$1102),"")</f>
        <v>Essentials</v>
      </c>
      <c r="AZ202" s="5" t="str">
        <f t="array" ref="AZ202">IFERROR(_xlfn.XLOOKUP($E202,'FW27'!$C$3:$C$1102,'FW27'!$AN$3:$AN$1102),"")</f>
        <v>Active Essentials</v>
      </c>
      <c r="BA202" s="5" t="s">
        <v>237</v>
      </c>
      <c r="BB202" s="5" t="str">
        <f t="array" ref="BB202">IFERROR(_xlfn.XLOOKUP($E202,'FW27'!$C$3:$C$1102,'FW27'!$AS$3:$AS$1102),"")</f>
        <v>Softshell</v>
      </c>
      <c r="BC202" s="5" t="str">
        <f t="array" ref="BC202">IFERROR(_xlfn.XLOOKUP($E202,'FW27'!$C$3:$C$1102,'FW27'!$AT$3:$AT$1102),"")</f>
        <v>Pant</v>
      </c>
      <c r="BD202" s="5" t="str">
        <f t="array" ref="BD202">IFERROR(_xlfn.XLOOKUP($E202,'FW27'!$C$3:$C$1102,'FW27'!$AU$3:$AU$1102),"")</f>
        <v>Classic Softshell</v>
      </c>
      <c r="BE202" s="5" t="str">
        <f t="array" ref="BE202">IFERROR(_xlfn.XLOOKUP($E202,'FW27'!$C$3:$C$1102,'FW27'!$AV$3:$AV$1102),"")</f>
        <v>N</v>
      </c>
    </row>
    <row r="203" ht="16.5" hidden="1" customHeight="1">
      <c r="A203" s="5" t="s">
        <v>155</v>
      </c>
      <c r="B203" s="5" t="s">
        <v>200</v>
      </c>
      <c r="C203" s="5" t="b">
        <v>0</v>
      </c>
      <c r="D203" s="5" t="s">
        <v>630</v>
      </c>
      <c r="E203" s="5" t="s">
        <v>631</v>
      </c>
      <c r="F203" s="5"/>
      <c r="G203" s="5" t="s">
        <v>65</v>
      </c>
      <c r="H203" s="5" t="s">
        <v>84</v>
      </c>
      <c r="I203" s="5" t="s">
        <v>106</v>
      </c>
      <c r="J203" s="25" t="s">
        <v>413</v>
      </c>
      <c r="K203" s="25"/>
      <c r="L203" s="25"/>
      <c r="M203" s="5" t="s">
        <v>247</v>
      </c>
      <c r="N203" s="5" t="s">
        <v>113</v>
      </c>
      <c r="O203" s="5" t="s">
        <v>69</v>
      </c>
      <c r="P203" s="5" t="s">
        <v>70</v>
      </c>
      <c r="Q203" s="5" t="b">
        <v>1</v>
      </c>
      <c r="R203" s="5" t="b">
        <v>0</v>
      </c>
      <c r="S203" s="5"/>
      <c r="T203" s="5">
        <v>1200.0</v>
      </c>
      <c r="U203" s="26">
        <v>2.1</v>
      </c>
      <c r="V203" s="5">
        <v>571.0</v>
      </c>
      <c r="W203" s="27">
        <v>0.0</v>
      </c>
      <c r="X203" s="28">
        <v>571.0</v>
      </c>
      <c r="Y203" s="27">
        <v>1.0</v>
      </c>
      <c r="Z203" s="5" t="s">
        <v>242</v>
      </c>
      <c r="AA203" s="5">
        <v>0.61</v>
      </c>
      <c r="AB203" s="5"/>
      <c r="AC203" s="5" t="s">
        <v>81</v>
      </c>
      <c r="AD203" s="5" t="s">
        <v>81</v>
      </c>
      <c r="AE203" s="5">
        <v>3.0</v>
      </c>
      <c r="AF203" s="5">
        <v>3.0</v>
      </c>
      <c r="AG203" s="5" t="s">
        <v>0</v>
      </c>
      <c r="AH203" s="5" t="s">
        <v>0</v>
      </c>
      <c r="AI203" s="42"/>
      <c r="AJ203" s="28">
        <v>0.0</v>
      </c>
      <c r="AK203" s="28">
        <v>0.0</v>
      </c>
      <c r="AL203" s="28">
        <v>0.0</v>
      </c>
      <c r="AM203" s="28">
        <v>1724.0</v>
      </c>
      <c r="AN203" s="28">
        <v>0.0</v>
      </c>
      <c r="AO203" s="28">
        <v>0.0</v>
      </c>
      <c r="AP203" s="28">
        <v>0.0</v>
      </c>
      <c r="AQ203" s="28">
        <v>0.0</v>
      </c>
      <c r="AR203" s="28">
        <v>985145.3199999998</v>
      </c>
      <c r="AS203" s="28">
        <v>0.0</v>
      </c>
      <c r="AT203" s="28">
        <v>0.0</v>
      </c>
      <c r="AU203" s="28">
        <v>0.0</v>
      </c>
      <c r="AV203" s="28">
        <v>0.0</v>
      </c>
      <c r="AW203" s="28">
        <v>754002.0910299004</v>
      </c>
      <c r="AX203" s="5"/>
      <c r="AY203" s="5" t="s">
        <v>125</v>
      </c>
      <c r="AZ203" s="5" t="s">
        <v>174</v>
      </c>
      <c r="BA203" s="5" t="s">
        <v>237</v>
      </c>
      <c r="BB203" s="5" t="s">
        <v>126</v>
      </c>
      <c r="BC203" s="5" t="s">
        <v>147</v>
      </c>
      <c r="BD203" s="5" t="s">
        <v>130</v>
      </c>
      <c r="BE203" s="5" t="s">
        <v>131</v>
      </c>
      <c r="BF203" s="5" t="s">
        <v>910</v>
      </c>
    </row>
    <row r="204" ht="16.5" hidden="1" customHeight="1">
      <c r="A204" s="5" t="s">
        <v>155</v>
      </c>
      <c r="B204" s="5" t="s">
        <v>200</v>
      </c>
      <c r="C204" s="5" t="b">
        <v>0</v>
      </c>
      <c r="D204" s="5" t="s">
        <v>633</v>
      </c>
      <c r="E204" s="5" t="s">
        <v>634</v>
      </c>
      <c r="F204" s="5"/>
      <c r="G204" s="5" t="s">
        <v>65</v>
      </c>
      <c r="H204" s="5" t="s">
        <v>84</v>
      </c>
      <c r="I204" s="5" t="s">
        <v>106</v>
      </c>
      <c r="J204" s="25" t="s">
        <v>413</v>
      </c>
      <c r="K204" s="25"/>
      <c r="L204" s="25"/>
      <c r="M204" s="5" t="s">
        <v>247</v>
      </c>
      <c r="N204" s="5" t="s">
        <v>113</v>
      </c>
      <c r="O204" s="5" t="s">
        <v>69</v>
      </c>
      <c r="P204" s="5" t="s">
        <v>107</v>
      </c>
      <c r="Q204" s="5" t="b">
        <v>1</v>
      </c>
      <c r="R204" s="5" t="b">
        <v>0</v>
      </c>
      <c r="S204" s="5"/>
      <c r="T204" s="5">
        <v>1200.0</v>
      </c>
      <c r="U204" s="26">
        <v>2.1</v>
      </c>
      <c r="V204" s="5">
        <v>571.0</v>
      </c>
      <c r="W204" s="27">
        <v>0.0</v>
      </c>
      <c r="X204" s="28">
        <v>571.0</v>
      </c>
      <c r="Y204" s="27">
        <v>1.0</v>
      </c>
      <c r="Z204" s="5" t="s">
        <v>242</v>
      </c>
      <c r="AA204" s="5">
        <v>0.62</v>
      </c>
      <c r="AB204" s="5"/>
      <c r="AC204" s="5" t="s">
        <v>81</v>
      </c>
      <c r="AD204" s="5" t="s">
        <v>81</v>
      </c>
      <c r="AE204" s="5">
        <v>3.0</v>
      </c>
      <c r="AF204" s="5">
        <v>3.0</v>
      </c>
      <c r="AG204" s="5" t="s">
        <v>0</v>
      </c>
      <c r="AH204" s="5" t="s">
        <v>0</v>
      </c>
      <c r="AI204" s="42"/>
      <c r="AJ204" s="28">
        <v>0.0</v>
      </c>
      <c r="AK204" s="28">
        <v>0.0</v>
      </c>
      <c r="AL204" s="28">
        <v>0.0</v>
      </c>
      <c r="AM204" s="28">
        <v>1292.0</v>
      </c>
      <c r="AN204" s="28">
        <v>0.0</v>
      </c>
      <c r="AO204" s="28">
        <v>0.0</v>
      </c>
      <c r="AP204" s="28">
        <v>0.0</v>
      </c>
      <c r="AQ204" s="28">
        <v>0.0</v>
      </c>
      <c r="AR204" s="28">
        <v>738287.5599999999</v>
      </c>
      <c r="AS204" s="28">
        <v>0.0</v>
      </c>
      <c r="AT204" s="28">
        <v>0.0</v>
      </c>
      <c r="AU204" s="28">
        <v>0.0</v>
      </c>
      <c r="AV204" s="28">
        <v>0.0</v>
      </c>
      <c r="AW204" s="28">
        <v>575402.3957918052</v>
      </c>
      <c r="AX204" s="5"/>
      <c r="AY204" s="5" t="s">
        <v>125</v>
      </c>
      <c r="AZ204" s="5" t="s">
        <v>174</v>
      </c>
      <c r="BA204" s="5" t="s">
        <v>237</v>
      </c>
      <c r="BB204" s="5" t="s">
        <v>126</v>
      </c>
      <c r="BC204" s="5" t="s">
        <v>147</v>
      </c>
      <c r="BD204" s="5" t="s">
        <v>130</v>
      </c>
      <c r="BE204" s="5" t="s">
        <v>131</v>
      </c>
      <c r="BF204" s="5" t="s">
        <v>910</v>
      </c>
    </row>
    <row r="205" ht="16.5" hidden="1" customHeight="1">
      <c r="A205" s="5" t="s">
        <v>155</v>
      </c>
      <c r="B205" s="5" t="s">
        <v>200</v>
      </c>
      <c r="C205" s="5" t="b">
        <v>0</v>
      </c>
      <c r="D205" s="5" t="s">
        <v>635</v>
      </c>
      <c r="E205" s="5" t="s">
        <v>636</v>
      </c>
      <c r="F205" s="5"/>
      <c r="G205" s="5" t="s">
        <v>65</v>
      </c>
      <c r="H205" s="5" t="s">
        <v>74</v>
      </c>
      <c r="I205" s="5" t="s">
        <v>106</v>
      </c>
      <c r="J205" s="25" t="s">
        <v>164</v>
      </c>
      <c r="K205" s="25"/>
      <c r="L205" s="25"/>
      <c r="M205" s="5" t="s">
        <v>247</v>
      </c>
      <c r="N205" s="5" t="s">
        <v>334</v>
      </c>
      <c r="O205" s="5" t="s">
        <v>69</v>
      </c>
      <c r="P205" s="5" t="s">
        <v>107</v>
      </c>
      <c r="Q205" s="5" t="b">
        <v>1</v>
      </c>
      <c r="R205" s="5" t="b">
        <v>0</v>
      </c>
      <c r="S205" s="5"/>
      <c r="T205" s="5">
        <v>550.0</v>
      </c>
      <c r="U205" s="26">
        <v>2.1</v>
      </c>
      <c r="V205" s="5">
        <v>262.0</v>
      </c>
      <c r="W205" s="27">
        <v>0.0</v>
      </c>
      <c r="X205" s="28">
        <v>262.0</v>
      </c>
      <c r="Y205" s="27">
        <v>1.0</v>
      </c>
      <c r="Z205" s="5" t="s">
        <v>117</v>
      </c>
      <c r="AA205" s="27">
        <v>0.62</v>
      </c>
      <c r="AB205" s="5"/>
      <c r="AC205" s="5" t="s">
        <v>81</v>
      </c>
      <c r="AD205" s="5" t="s">
        <v>81</v>
      </c>
      <c r="AE205" s="5">
        <v>2.0</v>
      </c>
      <c r="AF205" s="5">
        <v>3.0</v>
      </c>
      <c r="AG205" s="5" t="s">
        <v>1416</v>
      </c>
      <c r="AH205" s="5" t="s">
        <v>0</v>
      </c>
      <c r="AI205" s="56"/>
      <c r="AJ205" s="28">
        <v>0.0</v>
      </c>
      <c r="AK205" s="28">
        <v>0.0</v>
      </c>
      <c r="AL205" s="28">
        <v>0.0</v>
      </c>
      <c r="AM205" s="28">
        <v>1067.0</v>
      </c>
      <c r="AN205" s="28">
        <v>0.0</v>
      </c>
      <c r="AO205" s="28">
        <v>0.0</v>
      </c>
      <c r="AP205" s="28">
        <v>0.0</v>
      </c>
      <c r="AQ205" s="28">
        <v>0.0</v>
      </c>
      <c r="AR205" s="28">
        <v>279447.3</v>
      </c>
      <c r="AS205" s="28">
        <v>0.0</v>
      </c>
      <c r="AT205" s="28">
        <v>0.0</v>
      </c>
      <c r="AU205" s="28">
        <v>0.0</v>
      </c>
      <c r="AV205" s="28">
        <v>0.0</v>
      </c>
      <c r="AW205" s="28">
        <v>231910.05537098562</v>
      </c>
      <c r="AX205" s="5"/>
      <c r="AY205" s="5" t="s">
        <v>125</v>
      </c>
      <c r="AZ205" s="5" t="s">
        <v>174</v>
      </c>
      <c r="BB205" s="5" t="s">
        <v>334</v>
      </c>
      <c r="BC205" s="5" t="s">
        <v>348</v>
      </c>
      <c r="BD205" s="5" t="s">
        <v>338</v>
      </c>
      <c r="BE205" s="5" t="s">
        <v>131</v>
      </c>
      <c r="BF205" s="5" t="s">
        <v>1830</v>
      </c>
    </row>
    <row r="206" ht="16.5" hidden="1" customHeight="1">
      <c r="A206" s="5" t="s">
        <v>155</v>
      </c>
      <c r="B206" s="5" t="s">
        <v>200</v>
      </c>
      <c r="C206" s="5" t="b">
        <v>0</v>
      </c>
      <c r="D206" s="5" t="s">
        <v>639</v>
      </c>
      <c r="E206" s="5" t="s">
        <v>640</v>
      </c>
      <c r="F206" s="5"/>
      <c r="G206" s="5" t="s">
        <v>65</v>
      </c>
      <c r="H206" s="5" t="s">
        <v>84</v>
      </c>
      <c r="I206" s="5" t="s">
        <v>106</v>
      </c>
      <c r="J206" s="25" t="s">
        <v>413</v>
      </c>
      <c r="K206" s="25"/>
      <c r="L206" s="25"/>
      <c r="M206" s="5" t="s">
        <v>66</v>
      </c>
      <c r="N206" s="5" t="s">
        <v>113</v>
      </c>
      <c r="O206" s="5" t="s">
        <v>69</v>
      </c>
      <c r="P206" s="5" t="s">
        <v>70</v>
      </c>
      <c r="Q206" s="5" t="b">
        <v>1</v>
      </c>
      <c r="R206" s="5" t="b">
        <v>0</v>
      </c>
      <c r="S206" s="5"/>
      <c r="T206" s="5">
        <v>1500.0</v>
      </c>
      <c r="U206" s="26">
        <v>2.1</v>
      </c>
      <c r="V206" s="5">
        <v>714.0</v>
      </c>
      <c r="W206" s="27">
        <v>0.0</v>
      </c>
      <c r="X206" s="28">
        <v>714.0</v>
      </c>
      <c r="Y206" s="27">
        <v>1.0</v>
      </c>
      <c r="Z206" s="5" t="s">
        <v>117</v>
      </c>
      <c r="AA206" s="5">
        <v>0.595</v>
      </c>
      <c r="AB206" s="5"/>
      <c r="AC206" s="5" t="s">
        <v>81</v>
      </c>
      <c r="AD206" s="5" t="s">
        <v>81</v>
      </c>
      <c r="AE206" s="24">
        <v>0.0</v>
      </c>
      <c r="AF206" s="5">
        <v>3.0</v>
      </c>
      <c r="AG206" s="5" t="s">
        <v>0</v>
      </c>
      <c r="AH206" s="5" t="s">
        <v>156</v>
      </c>
      <c r="AI206" s="42"/>
      <c r="AJ206" s="28">
        <v>0.0</v>
      </c>
      <c r="AK206" s="28">
        <v>291.0</v>
      </c>
      <c r="AL206" s="28">
        <v>0.0</v>
      </c>
      <c r="AM206" s="28">
        <v>2997.0</v>
      </c>
      <c r="AN206" s="28">
        <v>0.0</v>
      </c>
      <c r="AO206" s="28">
        <v>0.0</v>
      </c>
      <c r="AP206" s="28">
        <v>194097.0</v>
      </c>
      <c r="AQ206" s="28">
        <v>0.0</v>
      </c>
      <c r="AR206" s="28">
        <v>2140727.13</v>
      </c>
      <c r="AS206" s="28">
        <v>0.0</v>
      </c>
      <c r="AT206" s="28">
        <v>0.0</v>
      </c>
      <c r="AU206" s="28">
        <v>159985.98</v>
      </c>
      <c r="AV206" s="28">
        <v>0.0</v>
      </c>
      <c r="AW206" s="28">
        <v>1760189.9554263563</v>
      </c>
      <c r="AX206" s="5"/>
      <c r="AY206" s="5" t="s">
        <v>125</v>
      </c>
      <c r="AZ206" s="5" t="s">
        <v>127</v>
      </c>
      <c r="BB206" s="5" t="s">
        <v>126</v>
      </c>
      <c r="BC206" s="5" t="s">
        <v>128</v>
      </c>
      <c r="BD206" s="5" t="s">
        <v>130</v>
      </c>
      <c r="BE206" s="5" t="s">
        <v>131</v>
      </c>
      <c r="BF206" s="5" t="s">
        <v>910</v>
      </c>
    </row>
    <row r="207" ht="16.5" hidden="1" customHeight="1">
      <c r="A207" s="5" t="s">
        <v>155</v>
      </c>
      <c r="B207" s="5" t="s">
        <v>200</v>
      </c>
      <c r="C207" s="5" t="b">
        <v>0</v>
      </c>
      <c r="D207" s="5" t="s">
        <v>642</v>
      </c>
      <c r="E207" s="5" t="s">
        <v>643</v>
      </c>
      <c r="F207" s="5"/>
      <c r="G207" s="5" t="s">
        <v>65</v>
      </c>
      <c r="H207" s="5" t="s">
        <v>84</v>
      </c>
      <c r="I207" s="5" t="s">
        <v>106</v>
      </c>
      <c r="J207" s="25" t="s">
        <v>413</v>
      </c>
      <c r="K207" s="25"/>
      <c r="L207" s="25"/>
      <c r="M207" s="5" t="s">
        <v>66</v>
      </c>
      <c r="N207" s="5" t="s">
        <v>113</v>
      </c>
      <c r="O207" s="5" t="s">
        <v>69</v>
      </c>
      <c r="P207" s="5" t="s">
        <v>107</v>
      </c>
      <c r="Q207" s="5" t="b">
        <v>1</v>
      </c>
      <c r="R207" s="5" t="b">
        <v>0</v>
      </c>
      <c r="S207" s="5"/>
      <c r="T207" s="5">
        <v>1500.0</v>
      </c>
      <c r="U207" s="26">
        <v>2.1</v>
      </c>
      <c r="V207" s="5">
        <v>714.0</v>
      </c>
      <c r="W207" s="27">
        <v>0.0</v>
      </c>
      <c r="X207" s="28">
        <v>714.0</v>
      </c>
      <c r="Y207" s="27">
        <v>1.0</v>
      </c>
      <c r="Z207" s="5" t="s">
        <v>117</v>
      </c>
      <c r="AA207" s="5">
        <v>0.68</v>
      </c>
      <c r="AB207" s="5"/>
      <c r="AC207" s="5" t="s">
        <v>81</v>
      </c>
      <c r="AD207" s="5" t="s">
        <v>81</v>
      </c>
      <c r="AE207" s="24">
        <v>0.0</v>
      </c>
      <c r="AF207" s="5">
        <v>3.0</v>
      </c>
      <c r="AG207" s="5" t="s">
        <v>0</v>
      </c>
      <c r="AH207" s="5" t="s">
        <v>156</v>
      </c>
      <c r="AI207" s="42"/>
      <c r="AJ207" s="28">
        <v>0.0</v>
      </c>
      <c r="AK207" s="28">
        <v>222.0</v>
      </c>
      <c r="AL207" s="28">
        <v>0.0</v>
      </c>
      <c r="AM207" s="28">
        <v>2582.0</v>
      </c>
      <c r="AN207" s="28">
        <v>0.0</v>
      </c>
      <c r="AO207" s="28">
        <v>0.0</v>
      </c>
      <c r="AP207" s="28">
        <v>148074.0</v>
      </c>
      <c r="AQ207" s="28">
        <v>0.0</v>
      </c>
      <c r="AR207" s="28">
        <v>1844296.78</v>
      </c>
      <c r="AS207" s="28">
        <v>0.0</v>
      </c>
      <c r="AT207" s="28">
        <v>0.0</v>
      </c>
      <c r="AU207" s="28">
        <v>122051.16</v>
      </c>
      <c r="AV207" s="28">
        <v>0.0</v>
      </c>
      <c r="AW207" s="28">
        <v>1507278.340808416</v>
      </c>
      <c r="AX207" s="5"/>
      <c r="AY207" s="5" t="s">
        <v>125</v>
      </c>
      <c r="AZ207" s="5" t="s">
        <v>127</v>
      </c>
      <c r="BB207" s="5" t="s">
        <v>126</v>
      </c>
      <c r="BC207" s="5" t="s">
        <v>128</v>
      </c>
      <c r="BD207" s="5" t="s">
        <v>130</v>
      </c>
      <c r="BE207" s="5" t="s">
        <v>131</v>
      </c>
      <c r="BF207" s="5" t="s">
        <v>910</v>
      </c>
    </row>
    <row r="208" ht="16.5" hidden="1" customHeight="1">
      <c r="A208" s="5" t="s">
        <v>155</v>
      </c>
      <c r="B208" s="5" t="s">
        <v>200</v>
      </c>
      <c r="C208" s="5" t="b">
        <v>0</v>
      </c>
      <c r="D208" s="5" t="s">
        <v>645</v>
      </c>
      <c r="E208" s="5" t="s">
        <v>646</v>
      </c>
      <c r="F208" s="5"/>
      <c r="G208" s="5" t="s">
        <v>65</v>
      </c>
      <c r="H208" s="5" t="s">
        <v>84</v>
      </c>
      <c r="I208" s="5" t="s">
        <v>106</v>
      </c>
      <c r="J208" s="25" t="s">
        <v>413</v>
      </c>
      <c r="K208" s="25"/>
      <c r="L208" s="25"/>
      <c r="M208" s="5" t="s">
        <v>500</v>
      </c>
      <c r="N208" s="5" t="s">
        <v>113</v>
      </c>
      <c r="O208" s="5" t="s">
        <v>69</v>
      </c>
      <c r="P208" s="5" t="s">
        <v>70</v>
      </c>
      <c r="Q208" s="5" t="b">
        <v>1</v>
      </c>
      <c r="R208" s="5" t="b">
        <v>0</v>
      </c>
      <c r="S208" s="5"/>
      <c r="T208" s="5">
        <v>1300.0</v>
      </c>
      <c r="U208" s="26">
        <v>2.1</v>
      </c>
      <c r="V208" s="5">
        <v>619.0</v>
      </c>
      <c r="W208" s="27">
        <v>0.0</v>
      </c>
      <c r="X208" s="28">
        <v>619.0</v>
      </c>
      <c r="Y208" s="27">
        <v>1.0</v>
      </c>
      <c r="Z208" s="5" t="s">
        <v>117</v>
      </c>
      <c r="AA208" s="5">
        <v>0.63</v>
      </c>
      <c r="AB208" s="5"/>
      <c r="AC208" s="5" t="s">
        <v>647</v>
      </c>
      <c r="AD208" s="5" t="s">
        <v>81</v>
      </c>
      <c r="AE208" s="5">
        <v>3.0</v>
      </c>
      <c r="AF208" s="5">
        <v>3.0</v>
      </c>
      <c r="AG208" s="5" t="s">
        <v>0</v>
      </c>
      <c r="AH208" s="5" t="s">
        <v>156</v>
      </c>
      <c r="AI208" s="42"/>
      <c r="AJ208" s="28">
        <v>0.0</v>
      </c>
      <c r="AK208" s="28">
        <v>0.0</v>
      </c>
      <c r="AL208" s="28">
        <v>0.0</v>
      </c>
      <c r="AM208" s="28">
        <v>1500.0</v>
      </c>
      <c r="AN208" s="28">
        <v>0.0</v>
      </c>
      <c r="AO208" s="28">
        <v>0.0</v>
      </c>
      <c r="AP208" s="28">
        <v>0.0</v>
      </c>
      <c r="AQ208" s="28">
        <v>0.0</v>
      </c>
      <c r="AR208" s="28">
        <v>928575.0</v>
      </c>
      <c r="AS208" s="28">
        <v>0.0</v>
      </c>
      <c r="AT208" s="28">
        <v>0.0</v>
      </c>
      <c r="AU208" s="28">
        <v>0.0</v>
      </c>
      <c r="AV208" s="28">
        <v>0.0</v>
      </c>
      <c r="AW208" s="28">
        <v>809188.8857696566</v>
      </c>
      <c r="AX208" s="5"/>
      <c r="AY208" s="5" t="s">
        <v>125</v>
      </c>
      <c r="AZ208" s="5" t="s">
        <v>127</v>
      </c>
      <c r="BA208" s="32" t="s">
        <v>454</v>
      </c>
      <c r="BB208" s="5" t="s">
        <v>126</v>
      </c>
      <c r="BC208" s="5" t="s">
        <v>147</v>
      </c>
      <c r="BD208" s="5" t="s">
        <v>130</v>
      </c>
      <c r="BE208" s="5" t="s">
        <v>131</v>
      </c>
      <c r="BF208" s="5" t="s">
        <v>910</v>
      </c>
    </row>
    <row r="209" ht="16.5" hidden="1" customHeight="1">
      <c r="A209" s="5" t="s">
        <v>155</v>
      </c>
      <c r="B209" s="5" t="s">
        <v>200</v>
      </c>
      <c r="C209" s="5" t="b">
        <v>0</v>
      </c>
      <c r="D209" s="5" t="s">
        <v>652</v>
      </c>
      <c r="E209" s="5" t="s">
        <v>653</v>
      </c>
      <c r="F209" s="5"/>
      <c r="G209" s="5" t="s">
        <v>65</v>
      </c>
      <c r="H209" s="5" t="s">
        <v>84</v>
      </c>
      <c r="I209" s="5" t="s">
        <v>106</v>
      </c>
      <c r="J209" s="25" t="s">
        <v>413</v>
      </c>
      <c r="K209" s="25"/>
      <c r="L209" s="25"/>
      <c r="M209" s="5" t="s">
        <v>500</v>
      </c>
      <c r="N209" s="5" t="s">
        <v>113</v>
      </c>
      <c r="O209" s="5" t="s">
        <v>69</v>
      </c>
      <c r="P209" s="5" t="s">
        <v>107</v>
      </c>
      <c r="Q209" s="5" t="b">
        <v>1</v>
      </c>
      <c r="R209" s="5" t="b">
        <v>0</v>
      </c>
      <c r="S209" s="5"/>
      <c r="T209" s="5">
        <v>1300.0</v>
      </c>
      <c r="U209" s="26">
        <v>2.1</v>
      </c>
      <c r="V209" s="5">
        <v>619.0</v>
      </c>
      <c r="W209" s="27">
        <v>0.0</v>
      </c>
      <c r="X209" s="28">
        <v>619.0</v>
      </c>
      <c r="Y209" s="27">
        <v>1.0</v>
      </c>
      <c r="Z209" s="5" t="s">
        <v>117</v>
      </c>
      <c r="AA209" s="5">
        <v>0.65</v>
      </c>
      <c r="AB209" s="5"/>
      <c r="AC209" s="5" t="s">
        <v>647</v>
      </c>
      <c r="AD209" s="5" t="s">
        <v>81</v>
      </c>
      <c r="AE209" s="5">
        <v>3.0</v>
      </c>
      <c r="AF209" s="5">
        <v>3.0</v>
      </c>
      <c r="AG209" s="5" t="s">
        <v>0</v>
      </c>
      <c r="AH209" s="5" t="s">
        <v>156</v>
      </c>
      <c r="AI209" s="42"/>
      <c r="AJ209" s="28">
        <v>0.0</v>
      </c>
      <c r="AK209" s="28">
        <v>0.0</v>
      </c>
      <c r="AL209" s="28">
        <v>0.0</v>
      </c>
      <c r="AM209" s="28">
        <v>1210.0</v>
      </c>
      <c r="AN209" s="28">
        <v>0.0</v>
      </c>
      <c r="AO209" s="28">
        <v>0.0</v>
      </c>
      <c r="AP209" s="28">
        <v>0.0</v>
      </c>
      <c r="AQ209" s="28">
        <v>0.0</v>
      </c>
      <c r="AR209" s="28">
        <v>749050.5</v>
      </c>
      <c r="AS209" s="28">
        <v>0.0</v>
      </c>
      <c r="AT209" s="28">
        <v>0.0</v>
      </c>
      <c r="AU209" s="28">
        <v>0.0</v>
      </c>
      <c r="AV209" s="28">
        <v>0.0</v>
      </c>
      <c r="AW209" s="28">
        <v>660778.6750276854</v>
      </c>
      <c r="AX209" s="5"/>
      <c r="AY209" s="5" t="s">
        <v>125</v>
      </c>
      <c r="AZ209" s="5" t="s">
        <v>127</v>
      </c>
      <c r="BA209" s="32" t="s">
        <v>454</v>
      </c>
      <c r="BB209" s="5" t="s">
        <v>126</v>
      </c>
      <c r="BC209" s="5" t="s">
        <v>147</v>
      </c>
      <c r="BD209" s="5" t="s">
        <v>130</v>
      </c>
      <c r="BE209" s="5" t="s">
        <v>131</v>
      </c>
      <c r="BF209" s="5" t="s">
        <v>910</v>
      </c>
    </row>
    <row r="210" ht="16.5" hidden="1" customHeight="1">
      <c r="A210" s="5" t="s">
        <v>155</v>
      </c>
      <c r="B210" s="5" t="s">
        <v>137</v>
      </c>
      <c r="C210" s="5" t="b">
        <v>1</v>
      </c>
      <c r="D210" s="5" t="s">
        <v>656</v>
      </c>
      <c r="E210" s="5" t="s">
        <v>657</v>
      </c>
      <c r="F210" s="5"/>
      <c r="G210" s="5" t="s">
        <v>65</v>
      </c>
      <c r="H210" s="5" t="s">
        <v>84</v>
      </c>
      <c r="I210" s="5" t="s">
        <v>82</v>
      </c>
      <c r="J210" s="25"/>
      <c r="K210" s="25"/>
      <c r="L210" s="25" t="s">
        <v>110</v>
      </c>
      <c r="M210" s="5" t="s">
        <v>247</v>
      </c>
      <c r="N210" s="5" t="s">
        <v>68</v>
      </c>
      <c r="O210" s="5" t="s">
        <v>69</v>
      </c>
      <c r="P210" s="5" t="s">
        <v>70</v>
      </c>
      <c r="Q210" s="5" t="b">
        <v>1</v>
      </c>
      <c r="R210" s="5" t="b">
        <v>0</v>
      </c>
      <c r="S210" s="5"/>
      <c r="T210" s="5">
        <v>3000.0</v>
      </c>
      <c r="U210" s="26">
        <v>2.1</v>
      </c>
      <c r="V210" s="5">
        <v>1429.0</v>
      </c>
      <c r="W210" s="27">
        <v>0.0</v>
      </c>
      <c r="X210" s="28">
        <v>1429.0</v>
      </c>
      <c r="Y210" s="27">
        <v>1.0</v>
      </c>
      <c r="Z210" s="5" t="s">
        <v>117</v>
      </c>
      <c r="AA210" s="5">
        <v>0.58</v>
      </c>
      <c r="AB210" s="5"/>
      <c r="AC210" s="5" t="s">
        <v>166</v>
      </c>
      <c r="AD210" s="5" t="s">
        <v>81</v>
      </c>
      <c r="AE210" s="5">
        <v>2.0</v>
      </c>
      <c r="AF210" s="5">
        <v>2.0</v>
      </c>
      <c r="AG210" s="5" t="s">
        <v>0</v>
      </c>
      <c r="AH210" s="5" t="s">
        <v>0</v>
      </c>
      <c r="AI210" s="42"/>
      <c r="AJ210" s="28">
        <v>495.0</v>
      </c>
      <c r="AK210" s="28">
        <v>0.0</v>
      </c>
      <c r="AL210" s="28">
        <v>0.0</v>
      </c>
      <c r="AM210" s="28">
        <v>1007.0</v>
      </c>
      <c r="AN210" s="28">
        <v>0.0</v>
      </c>
      <c r="AO210" s="28">
        <v>707142.15</v>
      </c>
      <c r="AP210" s="28">
        <v>0.0</v>
      </c>
      <c r="AQ210" s="28">
        <v>0.0</v>
      </c>
      <c r="AR210" s="28">
        <v>1438569.9900000002</v>
      </c>
      <c r="AS210" s="28">
        <v>0.0</v>
      </c>
      <c r="AT210" s="28">
        <v>663151.4285714285</v>
      </c>
      <c r="AU210" s="28">
        <v>0.0</v>
      </c>
      <c r="AV210" s="28">
        <v>0.0</v>
      </c>
      <c r="AW210" s="28">
        <v>1060164.2796234775</v>
      </c>
      <c r="AX210" s="5"/>
      <c r="AY210" s="5" t="str">
        <f t="array" ref="AY210">IFERROR(_xlfn.XLOOKUP($E210,'FW27'!$C$3:$C$1102,'FW27'!$AM$3:$AM$1102),"")</f>
        <v>Essentials</v>
      </c>
      <c r="AZ210" s="5" t="str">
        <f t="array" ref="AZ210">IFERROR(_xlfn.XLOOKUP($E210,'FW27'!$C$3:$C$1102,'FW27'!$AN$3:$AN$1102),"")</f>
        <v>Daily Essentials</v>
      </c>
      <c r="BA210" s="5" t="s">
        <v>237</v>
      </c>
      <c r="BB210" s="5" t="str">
        <f t="array" ref="BB210">IFERROR(_xlfn.XLOOKUP($E210,'FW27'!$C$3:$C$1102,'FW27'!$AS$3:$AS$1102),"")</f>
        <v>Shell</v>
      </c>
      <c r="BC210" s="5" t="str">
        <f t="array" ref="BC210">IFERROR(_xlfn.XLOOKUP($E210,'FW27'!$C$3:$C$1102,'FW27'!$AT$3:$AT$1102),"")</f>
        <v>Parka</v>
      </c>
      <c r="BD210" s="5" t="str">
        <f t="array" ref="BD210">IFERROR(_xlfn.XLOOKUP($E210,'FW27'!$C$3:$C$1102,'FW27'!$AU$3:$AU$1102),"")</f>
        <v>2.5L</v>
      </c>
      <c r="BE210" s="5" t="str">
        <f t="array" ref="BE210">IFERROR(_xlfn.XLOOKUP($E210,'FW27'!$C$3:$C$1102,'FW27'!$AV$3:$AV$1102),"")</f>
        <v>Y</v>
      </c>
    </row>
    <row r="211" ht="16.5" hidden="1" customHeight="1">
      <c r="A211" s="5" t="s">
        <v>155</v>
      </c>
      <c r="B211" s="5" t="s">
        <v>137</v>
      </c>
      <c r="C211" s="5" t="b">
        <v>1</v>
      </c>
      <c r="D211" s="5" t="s">
        <v>661</v>
      </c>
      <c r="E211" s="5" t="s">
        <v>662</v>
      </c>
      <c r="F211" s="5"/>
      <c r="G211" s="5" t="s">
        <v>65</v>
      </c>
      <c r="H211" s="5" t="s">
        <v>84</v>
      </c>
      <c r="I211" s="5" t="s">
        <v>82</v>
      </c>
      <c r="J211" s="25"/>
      <c r="K211" s="25"/>
      <c r="L211" s="25" t="s">
        <v>110</v>
      </c>
      <c r="M211" s="5" t="s">
        <v>247</v>
      </c>
      <c r="N211" s="5" t="s">
        <v>68</v>
      </c>
      <c r="O211" s="5" t="s">
        <v>69</v>
      </c>
      <c r="P211" s="5" t="s">
        <v>107</v>
      </c>
      <c r="Q211" s="5" t="b">
        <v>1</v>
      </c>
      <c r="R211" s="5" t="b">
        <v>0</v>
      </c>
      <c r="S211" s="5"/>
      <c r="T211" s="5">
        <v>3000.0</v>
      </c>
      <c r="U211" s="26">
        <v>2.1</v>
      </c>
      <c r="V211" s="5">
        <v>1429.0</v>
      </c>
      <c r="W211" s="27">
        <v>0.0</v>
      </c>
      <c r="X211" s="28">
        <v>1429.0</v>
      </c>
      <c r="Y211" s="27">
        <v>1.0</v>
      </c>
      <c r="Z211" s="5" t="s">
        <v>117</v>
      </c>
      <c r="AA211" s="5">
        <v>0.59</v>
      </c>
      <c r="AB211" s="5"/>
      <c r="AC211" s="5" t="s">
        <v>166</v>
      </c>
      <c r="AD211" s="5" t="s">
        <v>81</v>
      </c>
      <c r="AE211" s="5">
        <v>2.0</v>
      </c>
      <c r="AF211" s="5">
        <v>2.0</v>
      </c>
      <c r="AG211" s="5" t="s">
        <v>0</v>
      </c>
      <c r="AH211" s="5" t="s">
        <v>0</v>
      </c>
      <c r="AI211" s="42"/>
      <c r="AJ211" s="28">
        <v>450.0</v>
      </c>
      <c r="AK211" s="28">
        <v>0.0</v>
      </c>
      <c r="AL211" s="28">
        <v>0.0</v>
      </c>
      <c r="AM211" s="28">
        <v>1001.0</v>
      </c>
      <c r="AN211" s="28">
        <v>0.0</v>
      </c>
      <c r="AO211" s="28">
        <v>642856.5</v>
      </c>
      <c r="AP211" s="28">
        <v>0.0</v>
      </c>
      <c r="AQ211" s="28">
        <v>0.0</v>
      </c>
      <c r="AR211" s="28">
        <v>1429998.57</v>
      </c>
      <c r="AS211" s="28">
        <v>0.0</v>
      </c>
      <c r="AT211" s="28">
        <v>596839.4285714285</v>
      </c>
      <c r="AU211" s="28">
        <v>0.0</v>
      </c>
      <c r="AV211" s="28">
        <v>0.0</v>
      </c>
      <c r="AW211" s="28">
        <v>1180611.9140642304</v>
      </c>
      <c r="AX211" s="5"/>
      <c r="AY211" s="5" t="str">
        <f t="array" ref="AY211">IFERROR(_xlfn.XLOOKUP($E211,'FW27'!$C$3:$C$1102,'FW27'!$AM$3:$AM$1102),"")</f>
        <v>Essentials</v>
      </c>
      <c r="AZ211" s="5" t="str">
        <f t="array" ref="AZ211">IFERROR(_xlfn.XLOOKUP($E211,'FW27'!$C$3:$C$1102,'FW27'!$AN$3:$AN$1102),"")</f>
        <v>Daily Essentials</v>
      </c>
      <c r="BA211" s="5" t="s">
        <v>237</v>
      </c>
      <c r="BB211" s="5" t="str">
        <f t="array" ref="BB211">IFERROR(_xlfn.XLOOKUP($E211,'FW27'!$C$3:$C$1102,'FW27'!$AS$3:$AS$1102),"")</f>
        <v>Shell</v>
      </c>
      <c r="BC211" s="5" t="str">
        <f t="array" ref="BC211">IFERROR(_xlfn.XLOOKUP($E211,'FW27'!$C$3:$C$1102,'FW27'!$AT$3:$AT$1102),"")</f>
        <v>Parka</v>
      </c>
      <c r="BD211" s="5" t="str">
        <f t="array" ref="BD211">IFERROR(_xlfn.XLOOKUP($E211,'FW27'!$C$3:$C$1102,'FW27'!$AU$3:$AU$1102),"")</f>
        <v>2.5L</v>
      </c>
      <c r="BE211" s="5" t="str">
        <f t="array" ref="BE211">IFERROR(_xlfn.XLOOKUP($E211,'FW27'!$C$3:$C$1102,'FW27'!$AV$3:$AV$1102),"")</f>
        <v>Y</v>
      </c>
    </row>
    <row r="212" ht="16.5" hidden="1" customHeight="1">
      <c r="A212" s="5" t="s">
        <v>155</v>
      </c>
      <c r="B212" s="5" t="s">
        <v>215</v>
      </c>
      <c r="C212" s="5" t="b">
        <v>1</v>
      </c>
      <c r="D212" s="5" t="s">
        <v>1428</v>
      </c>
      <c r="E212" s="5" t="s">
        <v>1429</v>
      </c>
      <c r="F212" s="5"/>
      <c r="G212" s="5" t="s">
        <v>65</v>
      </c>
      <c r="H212" s="5" t="s">
        <v>76</v>
      </c>
      <c r="I212" s="5" t="s">
        <v>82</v>
      </c>
      <c r="J212" s="25"/>
      <c r="K212" s="25"/>
      <c r="L212" s="25" t="s">
        <v>110</v>
      </c>
      <c r="M212" s="5" t="s">
        <v>247</v>
      </c>
      <c r="N212" s="5" t="s">
        <v>355</v>
      </c>
      <c r="O212" s="5" t="s">
        <v>69</v>
      </c>
      <c r="P212" s="5" t="s">
        <v>107</v>
      </c>
      <c r="Q212" s="5" t="b">
        <v>1</v>
      </c>
      <c r="R212" s="5" t="b">
        <v>0</v>
      </c>
      <c r="S212" s="5"/>
      <c r="T212" s="5">
        <v>4200.0</v>
      </c>
      <c r="U212" s="26">
        <v>2.1</v>
      </c>
      <c r="V212" s="5">
        <v>2000.0</v>
      </c>
      <c r="W212" s="27">
        <v>0.0</v>
      </c>
      <c r="X212" s="28">
        <v>2000.0</v>
      </c>
      <c r="Y212" s="27">
        <v>1.0</v>
      </c>
      <c r="Z212" s="5" t="s">
        <v>117</v>
      </c>
      <c r="AA212" s="5">
        <v>0.654</v>
      </c>
      <c r="AB212" s="5"/>
      <c r="AC212" s="5" t="s">
        <v>359</v>
      </c>
      <c r="AD212" s="5" t="s">
        <v>81</v>
      </c>
      <c r="AE212" s="5">
        <v>3.0</v>
      </c>
      <c r="AF212" s="5">
        <v>3.0</v>
      </c>
      <c r="AG212" s="5" t="s">
        <v>1430</v>
      </c>
      <c r="AH212" s="5" t="s">
        <v>0</v>
      </c>
      <c r="AI212" s="42"/>
      <c r="AJ212" s="28">
        <v>3315.0</v>
      </c>
      <c r="AK212" s="28">
        <v>3307.0</v>
      </c>
      <c r="AL212" s="28">
        <v>0.0</v>
      </c>
      <c r="AM212" s="28">
        <v>0.0</v>
      </c>
      <c r="AN212" s="28">
        <v>0.0</v>
      </c>
      <c r="AO212" s="28">
        <v>6630000.0</v>
      </c>
      <c r="AP212" s="28">
        <v>6614000.0</v>
      </c>
      <c r="AQ212" s="28">
        <v>0.0</v>
      </c>
      <c r="AR212" s="28">
        <v>0.0</v>
      </c>
      <c r="AS212" s="28">
        <v>0.0</v>
      </c>
      <c r="AT212" s="28">
        <v>5460753.775415283</v>
      </c>
      <c r="AU212" s="28">
        <v>5589268.822985</v>
      </c>
      <c r="AV212" s="28">
        <v>0.0</v>
      </c>
      <c r="AW212" s="28">
        <v>0.0</v>
      </c>
      <c r="AX212" s="5"/>
      <c r="AY212" s="5" t="str">
        <f t="array" ref="AY212">IFERROR(_xlfn.XLOOKUP($E212,'FW27'!$C$3:$C$1102,'FW27'!$AM$3:$AM$1102),"")</f>
        <v>Essentials</v>
      </c>
      <c r="AZ212" s="5" t="str">
        <f t="array" ref="AZ212">IFERROR(_xlfn.XLOOKUP($E212,'FW27'!$C$3:$C$1102,'FW27'!$AN$3:$AN$1102),"")</f>
        <v>Daily Essentials</v>
      </c>
      <c r="BA212" s="5" t="s">
        <v>237</v>
      </c>
      <c r="BB212" s="5" t="str">
        <f t="array" ref="BB212">IFERROR(_xlfn.XLOOKUP($E212,'FW27'!$C$3:$C$1102,'FW27'!$AS$3:$AS$1102),"")</f>
        <v>Insulation</v>
      </c>
      <c r="BC212" s="5" t="str">
        <f t="array" ref="BC212">IFERROR(_xlfn.XLOOKUP($E212,'FW27'!$C$3:$C$1102,'FW27'!$AT$3:$AT$1102),"")</f>
        <v>Parka</v>
      </c>
      <c r="BD212" s="5" t="str">
        <f t="array" ref="BD212">IFERROR(_xlfn.XLOOKUP($E212,'FW27'!$C$3:$C$1102,'FW27'!$AU$3:$AU$1102),"")</f>
        <v>Hi-loft Down</v>
      </c>
      <c r="BE212" s="5" t="str">
        <f t="array" ref="BE212">IFERROR(_xlfn.XLOOKUP($E212,'FW27'!$C$3:$C$1102,'FW27'!$AV$3:$AV$1102),"")</f>
        <v>N</v>
      </c>
    </row>
    <row r="213" ht="16.5" hidden="1" customHeight="1">
      <c r="A213" s="5" t="s">
        <v>155</v>
      </c>
      <c r="B213" s="5" t="s">
        <v>215</v>
      </c>
      <c r="C213" s="5" t="b">
        <v>1</v>
      </c>
      <c r="D213" s="5" t="s">
        <v>1433</v>
      </c>
      <c r="E213" s="5" t="s">
        <v>1434</v>
      </c>
      <c r="F213" s="5"/>
      <c r="G213" s="5" t="s">
        <v>65</v>
      </c>
      <c r="H213" s="5" t="s">
        <v>76</v>
      </c>
      <c r="I213" s="5" t="s">
        <v>82</v>
      </c>
      <c r="J213" s="25"/>
      <c r="K213" s="25"/>
      <c r="L213" s="25" t="s">
        <v>110</v>
      </c>
      <c r="M213" s="5" t="s">
        <v>66</v>
      </c>
      <c r="N213" s="5" t="s">
        <v>355</v>
      </c>
      <c r="O213" s="5" t="s">
        <v>69</v>
      </c>
      <c r="P213" s="5" t="s">
        <v>107</v>
      </c>
      <c r="Q213" s="5" t="b">
        <v>1</v>
      </c>
      <c r="R213" s="5" t="b">
        <v>0</v>
      </c>
      <c r="S213" s="5"/>
      <c r="T213" s="5">
        <v>3200.0</v>
      </c>
      <c r="U213" s="26">
        <v>2.1</v>
      </c>
      <c r="V213" s="5">
        <v>1524.0</v>
      </c>
      <c r="W213" s="27">
        <v>0.0</v>
      </c>
      <c r="X213" s="28">
        <v>1524.0</v>
      </c>
      <c r="Y213" s="27">
        <v>1.0</v>
      </c>
      <c r="Z213" s="5" t="s">
        <v>117</v>
      </c>
      <c r="AA213" s="5">
        <v>0.654</v>
      </c>
      <c r="AB213" s="5"/>
      <c r="AC213" s="5" t="s">
        <v>198</v>
      </c>
      <c r="AD213" s="5" t="s">
        <v>81</v>
      </c>
      <c r="AE213" s="5">
        <v>3.0</v>
      </c>
      <c r="AF213" s="5">
        <v>3.0</v>
      </c>
      <c r="AG213" s="5" t="s">
        <v>1435</v>
      </c>
      <c r="AH213" s="5" t="s">
        <v>146</v>
      </c>
      <c r="AI213" s="42"/>
      <c r="AJ213" s="28">
        <v>3176.0</v>
      </c>
      <c r="AK213" s="28">
        <v>3973.0</v>
      </c>
      <c r="AL213" s="28">
        <v>0.0</v>
      </c>
      <c r="AM213" s="28">
        <v>0.0</v>
      </c>
      <c r="AN213" s="28">
        <v>0.0</v>
      </c>
      <c r="AO213" s="28">
        <v>4839620.5600000005</v>
      </c>
      <c r="AP213" s="28">
        <v>6054852.0</v>
      </c>
      <c r="AQ213" s="28">
        <v>0.0</v>
      </c>
      <c r="AR213" s="28">
        <v>0.0</v>
      </c>
      <c r="AS213" s="28">
        <v>0.0</v>
      </c>
      <c r="AT213" s="28">
        <v>3838990.775193799</v>
      </c>
      <c r="AU213" s="28">
        <v>4344747.549749999</v>
      </c>
      <c r="AV213" s="28">
        <v>0.0</v>
      </c>
      <c r="AW213" s="28">
        <v>0.0</v>
      </c>
      <c r="AX213" s="5"/>
      <c r="AY213" s="5" t="str">
        <f t="array" ref="AY213">IFERROR(_xlfn.XLOOKUP($E213,'FW27'!$C$3:$C$1102,'FW27'!$AM$3:$AM$1102),"")</f>
        <v>Essentials</v>
      </c>
      <c r="AZ213" s="5" t="str">
        <f t="array" ref="AZ213">IFERROR(_xlfn.XLOOKUP($E213,'FW27'!$C$3:$C$1102,'FW27'!$AN$3:$AN$1102),"")</f>
        <v>Daily Essentials</v>
      </c>
      <c r="BB213" s="5" t="str">
        <f t="array" ref="BB213">IFERROR(_xlfn.XLOOKUP($E213,'FW27'!$C$3:$C$1102,'FW27'!$AS$3:$AS$1102),"")</f>
        <v>Insulation</v>
      </c>
      <c r="BC213" s="5" t="str">
        <f t="array" ref="BC213">IFERROR(_xlfn.XLOOKUP($E213,'FW27'!$C$3:$C$1102,'FW27'!$AT$3:$AT$1102),"")</f>
        <v>Parka</v>
      </c>
      <c r="BD213" s="5" t="str">
        <f t="array" ref="BD213">IFERROR(_xlfn.XLOOKUP($E213,'FW27'!$C$3:$C$1102,'FW27'!$AU$3:$AU$1102),"")</f>
        <v>Hi-loft Synthetic</v>
      </c>
      <c r="BE213" s="5" t="str">
        <f t="array" ref="BE213">IFERROR(_xlfn.XLOOKUP($E213,'FW27'!$C$3:$C$1102,'FW27'!$AV$3:$AV$1102),"")</f>
        <v>N</v>
      </c>
    </row>
    <row r="214" ht="16.5" hidden="1" customHeight="1">
      <c r="A214" s="5" t="s">
        <v>155</v>
      </c>
      <c r="B214" s="5" t="s">
        <v>137</v>
      </c>
      <c r="C214" s="5" t="b">
        <v>1</v>
      </c>
      <c r="D214" s="5" t="s">
        <v>1439</v>
      </c>
      <c r="E214" s="5" t="s">
        <v>1440</v>
      </c>
      <c r="F214" s="5"/>
      <c r="G214" s="5" t="s">
        <v>65</v>
      </c>
      <c r="H214" s="5" t="s">
        <v>84</v>
      </c>
      <c r="I214" s="5" t="s">
        <v>82</v>
      </c>
      <c r="J214" s="25"/>
      <c r="K214" s="25"/>
      <c r="L214" s="25" t="s">
        <v>110</v>
      </c>
      <c r="M214" s="5" t="s">
        <v>247</v>
      </c>
      <c r="N214" s="5" t="s">
        <v>355</v>
      </c>
      <c r="O214" s="5" t="s">
        <v>69</v>
      </c>
      <c r="P214" s="5" t="s">
        <v>70</v>
      </c>
      <c r="Q214" s="5" t="b">
        <v>1</v>
      </c>
      <c r="R214" s="5" t="b">
        <v>0</v>
      </c>
      <c r="S214" s="5"/>
      <c r="T214" s="5">
        <v>2500.0</v>
      </c>
      <c r="U214" s="26">
        <v>2.1</v>
      </c>
      <c r="V214" s="5">
        <v>1190.0</v>
      </c>
      <c r="W214" s="27">
        <v>0.0</v>
      </c>
      <c r="X214" s="28">
        <v>1190.0</v>
      </c>
      <c r="Y214" s="27">
        <v>1.0</v>
      </c>
      <c r="Z214" s="5" t="s">
        <v>242</v>
      </c>
      <c r="AA214" s="5">
        <v>0.6</v>
      </c>
      <c r="AB214" s="5"/>
      <c r="AC214" s="5" t="s">
        <v>647</v>
      </c>
      <c r="AD214" s="5" t="s">
        <v>81</v>
      </c>
      <c r="AE214" s="5">
        <v>2.0</v>
      </c>
      <c r="AF214" s="5">
        <v>2.0</v>
      </c>
      <c r="AG214" s="5" t="s">
        <v>0</v>
      </c>
      <c r="AH214" s="5" t="s">
        <v>0</v>
      </c>
      <c r="AI214" s="42"/>
      <c r="AJ214" s="28">
        <v>589.0</v>
      </c>
      <c r="AK214" s="28">
        <v>0.0</v>
      </c>
      <c r="AL214" s="28">
        <v>0.0</v>
      </c>
      <c r="AM214" s="28">
        <v>0.0</v>
      </c>
      <c r="AN214" s="28">
        <v>0.0</v>
      </c>
      <c r="AO214" s="28">
        <v>701192.72</v>
      </c>
      <c r="AP214" s="28">
        <v>0.0</v>
      </c>
      <c r="AQ214" s="28">
        <v>0.0</v>
      </c>
      <c r="AR214" s="28">
        <v>0.0</v>
      </c>
      <c r="AS214" s="28">
        <v>0.0</v>
      </c>
      <c r="AT214" s="28">
        <v>619754.9678848283</v>
      </c>
      <c r="AU214" s="28">
        <v>0.0</v>
      </c>
      <c r="AV214" s="28">
        <v>0.0</v>
      </c>
      <c r="AW214" s="28">
        <v>0.0</v>
      </c>
      <c r="AX214" s="5"/>
      <c r="AY214" s="5" t="str">
        <f t="array" ref="AY214">IFERROR(_xlfn.XLOOKUP($E214,'FW27'!$C$3:$C$1102,'FW27'!$AM$3:$AM$1102),"")</f>
        <v>Essentials</v>
      </c>
      <c r="AZ214" s="5" t="str">
        <f t="array" ref="AZ214">IFERROR(_xlfn.XLOOKUP($E214,'FW27'!$C$3:$C$1102,'FW27'!$AN$3:$AN$1102),"")</f>
        <v>Daily Essentials</v>
      </c>
      <c r="BA214" s="5" t="s">
        <v>237</v>
      </c>
      <c r="BB214" s="5" t="str">
        <f t="array" ref="BB214">IFERROR(_xlfn.XLOOKUP($E214,'FW27'!$C$3:$C$1102,'FW27'!$AS$3:$AS$1102),"")</f>
        <v>Softshell</v>
      </c>
      <c r="BC214" s="5" t="str">
        <f t="array" ref="BC214">IFERROR(_xlfn.XLOOKUP($E214,'FW27'!$C$3:$C$1102,'FW27'!$AT$3:$AT$1102),"")</f>
        <v>Overshirt</v>
      </c>
      <c r="BD214" s="5" t="str">
        <f t="array" ref="BD214">IFERROR(_xlfn.XLOOKUP($E214,'FW27'!$C$3:$C$1102,'FW27'!$AU$3:$AU$1102),"")</f>
        <v>Classic Softshell</v>
      </c>
      <c r="BE214" s="5" t="str">
        <f t="array" ref="BE214">IFERROR(_xlfn.XLOOKUP($E214,'FW27'!$C$3:$C$1102,'FW27'!$AV$3:$AV$1102),"")</f>
        <v>N</v>
      </c>
    </row>
    <row r="215" ht="16.5" hidden="1" customHeight="1">
      <c r="A215" s="5" t="s">
        <v>155</v>
      </c>
      <c r="B215" s="5" t="s">
        <v>137</v>
      </c>
      <c r="C215" s="5" t="b">
        <v>1</v>
      </c>
      <c r="D215" s="5" t="s">
        <v>1448</v>
      </c>
      <c r="E215" s="5" t="s">
        <v>1449</v>
      </c>
      <c r="F215" s="5"/>
      <c r="G215" s="5" t="s">
        <v>65</v>
      </c>
      <c r="H215" s="5" t="s">
        <v>84</v>
      </c>
      <c r="I215" s="5" t="s">
        <v>82</v>
      </c>
      <c r="J215" s="25"/>
      <c r="K215" s="25"/>
      <c r="L215" s="25" t="s">
        <v>110</v>
      </c>
      <c r="M215" s="5" t="s">
        <v>247</v>
      </c>
      <c r="N215" s="5" t="s">
        <v>355</v>
      </c>
      <c r="O215" s="5" t="s">
        <v>69</v>
      </c>
      <c r="P215" s="5" t="s">
        <v>107</v>
      </c>
      <c r="Q215" s="5" t="b">
        <v>1</v>
      </c>
      <c r="R215" s="5" t="b">
        <v>0</v>
      </c>
      <c r="S215" s="5"/>
      <c r="T215" s="5">
        <v>2500.0</v>
      </c>
      <c r="U215" s="26">
        <v>2.1</v>
      </c>
      <c r="V215" s="5">
        <v>1190.0</v>
      </c>
      <c r="W215" s="27">
        <v>0.0</v>
      </c>
      <c r="X215" s="28">
        <v>1190.0</v>
      </c>
      <c r="Y215" s="27">
        <v>1.0</v>
      </c>
      <c r="Z215" s="5" t="s">
        <v>242</v>
      </c>
      <c r="AA215" s="5">
        <v>0.6</v>
      </c>
      <c r="AB215" s="5"/>
      <c r="AC215" s="5" t="s">
        <v>647</v>
      </c>
      <c r="AD215" s="5" t="s">
        <v>81</v>
      </c>
      <c r="AE215" s="5">
        <v>2.0</v>
      </c>
      <c r="AF215" s="5">
        <v>2.0</v>
      </c>
      <c r="AG215" s="5" t="s">
        <v>0</v>
      </c>
      <c r="AH215" s="5" t="s">
        <v>0</v>
      </c>
      <c r="AI215" s="42"/>
      <c r="AJ215" s="28">
        <v>477.0</v>
      </c>
      <c r="AK215" s="28">
        <v>0.0</v>
      </c>
      <c r="AL215" s="28">
        <v>0.0</v>
      </c>
      <c r="AM215" s="28">
        <v>0.0</v>
      </c>
      <c r="AN215" s="28">
        <v>0.0</v>
      </c>
      <c r="AO215" s="28">
        <v>567858.96</v>
      </c>
      <c r="AP215" s="28">
        <v>0.0</v>
      </c>
      <c r="AQ215" s="28">
        <v>0.0</v>
      </c>
      <c r="AR215" s="28">
        <v>0.0</v>
      </c>
      <c r="AS215" s="28">
        <v>0.0</v>
      </c>
      <c r="AT215" s="28">
        <v>498157.6912513842</v>
      </c>
      <c r="AU215" s="28">
        <v>0.0</v>
      </c>
      <c r="AV215" s="28">
        <v>0.0</v>
      </c>
      <c r="AW215" s="28">
        <v>0.0</v>
      </c>
      <c r="AX215" s="5"/>
      <c r="AY215" s="5" t="str">
        <f t="array" ref="AY215">IFERROR(_xlfn.XLOOKUP($E215,'FW27'!$C$3:$C$1102,'FW27'!$AM$3:$AM$1102),"")</f>
        <v>Essentials</v>
      </c>
      <c r="AZ215" s="5" t="str">
        <f t="array" ref="AZ215">IFERROR(_xlfn.XLOOKUP($E215,'FW27'!$C$3:$C$1102,'FW27'!$AN$3:$AN$1102),"")</f>
        <v>Daily Essentials</v>
      </c>
      <c r="BA215" s="5" t="s">
        <v>237</v>
      </c>
      <c r="BB215" s="5" t="str">
        <f t="array" ref="BB215">IFERROR(_xlfn.XLOOKUP($E215,'FW27'!$C$3:$C$1102,'FW27'!$AS$3:$AS$1102),"")</f>
        <v>Softshell</v>
      </c>
      <c r="BC215" s="5" t="str">
        <f t="array" ref="BC215">IFERROR(_xlfn.XLOOKUP($E215,'FW27'!$C$3:$C$1102,'FW27'!$AT$3:$AT$1102),"")</f>
        <v>Overshirt</v>
      </c>
      <c r="BD215" s="5" t="str">
        <f t="array" ref="BD215">IFERROR(_xlfn.XLOOKUP($E215,'FW27'!$C$3:$C$1102,'FW27'!$AU$3:$AU$1102),"")</f>
        <v>Classic Softshell</v>
      </c>
      <c r="BE215" s="5" t="str">
        <f t="array" ref="BE215">IFERROR(_xlfn.XLOOKUP($E215,'FW27'!$C$3:$C$1102,'FW27'!$AV$3:$AV$1102),"")</f>
        <v>N</v>
      </c>
    </row>
    <row r="216" ht="16.5" hidden="1" customHeight="1">
      <c r="A216" s="5" t="s">
        <v>155</v>
      </c>
      <c r="B216" s="5" t="s">
        <v>137</v>
      </c>
      <c r="C216" s="5" t="b">
        <v>0</v>
      </c>
      <c r="D216" s="5" t="s">
        <v>667</v>
      </c>
      <c r="E216" s="5" t="s">
        <v>668</v>
      </c>
      <c r="F216" s="5"/>
      <c r="G216" s="5" t="s">
        <v>65</v>
      </c>
      <c r="H216" s="5" t="s">
        <v>74</v>
      </c>
      <c r="I216" s="5" t="s">
        <v>106</v>
      </c>
      <c r="J216" s="25" t="s">
        <v>1902</v>
      </c>
      <c r="K216" s="25"/>
      <c r="L216" s="25"/>
      <c r="M216" s="5" t="s">
        <v>66</v>
      </c>
      <c r="N216" s="5" t="s">
        <v>270</v>
      </c>
      <c r="O216" s="5" t="s">
        <v>69</v>
      </c>
      <c r="P216" s="5" t="s">
        <v>70</v>
      </c>
      <c r="Q216" s="5" t="b">
        <v>1</v>
      </c>
      <c r="R216" s="5" t="b">
        <v>0</v>
      </c>
      <c r="S216" s="5"/>
      <c r="T216" s="5">
        <v>1800.0</v>
      </c>
      <c r="U216" s="26">
        <v>2.1</v>
      </c>
      <c r="V216" s="5">
        <v>857.0</v>
      </c>
      <c r="W216" s="27">
        <v>0.0</v>
      </c>
      <c r="X216" s="28">
        <v>857.0</v>
      </c>
      <c r="Y216" s="27">
        <v>1.0</v>
      </c>
      <c r="Z216" s="5" t="s">
        <v>242</v>
      </c>
      <c r="AA216" s="27">
        <v>0.6</v>
      </c>
      <c r="AB216" s="5"/>
      <c r="AC216" s="5" t="s">
        <v>273</v>
      </c>
      <c r="AD216" s="5" t="s">
        <v>81</v>
      </c>
      <c r="AE216" s="5">
        <v>5.0</v>
      </c>
      <c r="AF216" s="5">
        <v>3.0</v>
      </c>
      <c r="AG216" s="5" t="s">
        <v>0</v>
      </c>
      <c r="AH216" s="5" t="s">
        <v>0</v>
      </c>
      <c r="AI216" s="56"/>
      <c r="AJ216" s="28">
        <v>0.0</v>
      </c>
      <c r="AK216" s="28">
        <v>1067.0</v>
      </c>
      <c r="AL216" s="28">
        <v>0.0</v>
      </c>
      <c r="AM216" s="28">
        <v>695.0</v>
      </c>
      <c r="AN216" s="28">
        <v>0.0</v>
      </c>
      <c r="AO216" s="28">
        <v>0.0</v>
      </c>
      <c r="AP216" s="28">
        <v>914419.0</v>
      </c>
      <c r="AQ216" s="28">
        <v>0.0</v>
      </c>
      <c r="AR216" s="28">
        <v>595712.3</v>
      </c>
      <c r="AS216" s="28">
        <v>0.0</v>
      </c>
      <c r="AT216" s="28">
        <v>0.0</v>
      </c>
      <c r="AU216" s="28">
        <v>664449.2483000001</v>
      </c>
      <c r="AV216" s="28">
        <v>0.0</v>
      </c>
      <c r="AW216" s="28">
        <v>472521.85769656714</v>
      </c>
      <c r="AX216" s="5"/>
      <c r="AY216" s="5" t="s">
        <v>125</v>
      </c>
      <c r="AZ216" s="5" t="s">
        <v>127</v>
      </c>
      <c r="BB216" s="5" t="s">
        <v>276</v>
      </c>
      <c r="BC216" s="5" t="s">
        <v>161</v>
      </c>
      <c r="BD216" s="5" t="s">
        <v>539</v>
      </c>
      <c r="BE216" s="5" t="s">
        <v>131</v>
      </c>
      <c r="BF216" s="5" t="s">
        <v>1639</v>
      </c>
    </row>
    <row r="217" ht="16.5" hidden="1" customHeight="1">
      <c r="A217" s="5" t="s">
        <v>155</v>
      </c>
      <c r="B217" s="5" t="s">
        <v>137</v>
      </c>
      <c r="C217" s="5" t="b">
        <v>0</v>
      </c>
      <c r="D217" s="5" t="s">
        <v>669</v>
      </c>
      <c r="E217" s="5" t="s">
        <v>670</v>
      </c>
      <c r="F217" s="5"/>
      <c r="G217" s="5" t="s">
        <v>65</v>
      </c>
      <c r="H217" s="5" t="s">
        <v>74</v>
      </c>
      <c r="I217" s="5" t="s">
        <v>106</v>
      </c>
      <c r="J217" s="25" t="s">
        <v>1902</v>
      </c>
      <c r="K217" s="25"/>
      <c r="L217" s="25"/>
      <c r="M217" s="5" t="s">
        <v>66</v>
      </c>
      <c r="N217" s="5" t="s">
        <v>270</v>
      </c>
      <c r="O217" s="5" t="s">
        <v>69</v>
      </c>
      <c r="P217" s="5" t="s">
        <v>107</v>
      </c>
      <c r="Q217" s="5" t="b">
        <v>1</v>
      </c>
      <c r="R217" s="5" t="b">
        <v>0</v>
      </c>
      <c r="S217" s="5"/>
      <c r="T217" s="5">
        <v>1800.0</v>
      </c>
      <c r="U217" s="26">
        <v>2.1</v>
      </c>
      <c r="V217" s="5">
        <v>857.0</v>
      </c>
      <c r="W217" s="27">
        <v>0.0</v>
      </c>
      <c r="X217" s="28">
        <v>857.0</v>
      </c>
      <c r="Y217" s="27">
        <v>1.0</v>
      </c>
      <c r="Z217" s="5" t="s">
        <v>117</v>
      </c>
      <c r="AA217" s="27">
        <v>0.6</v>
      </c>
      <c r="AB217" s="5"/>
      <c r="AC217" s="5" t="s">
        <v>273</v>
      </c>
      <c r="AD217" s="5" t="s">
        <v>81</v>
      </c>
      <c r="AE217" s="5">
        <v>5.0</v>
      </c>
      <c r="AF217" s="5">
        <v>3.0</v>
      </c>
      <c r="AG217" s="5" t="s">
        <v>0</v>
      </c>
      <c r="AH217" s="5" t="s">
        <v>0</v>
      </c>
      <c r="AI217" s="56"/>
      <c r="AJ217" s="28">
        <v>0.0</v>
      </c>
      <c r="AK217" s="28">
        <v>1230.0</v>
      </c>
      <c r="AL217" s="28">
        <v>0.0</v>
      </c>
      <c r="AM217" s="28">
        <v>521.0</v>
      </c>
      <c r="AN217" s="28">
        <v>0.0</v>
      </c>
      <c r="AO217" s="28">
        <v>0.0</v>
      </c>
      <c r="AP217" s="28">
        <v>1054110.0</v>
      </c>
      <c r="AQ217" s="28">
        <v>0.0</v>
      </c>
      <c r="AR217" s="28">
        <v>446569.94</v>
      </c>
      <c r="AS217" s="28">
        <v>0.0</v>
      </c>
      <c r="AT217" s="28">
        <v>0.0</v>
      </c>
      <c r="AU217" s="28">
        <v>781736.48837</v>
      </c>
      <c r="AV217" s="28">
        <v>0.0</v>
      </c>
      <c r="AW217" s="28">
        <v>365951.131229236</v>
      </c>
      <c r="AX217" s="5"/>
      <c r="AY217" s="5" t="s">
        <v>125</v>
      </c>
      <c r="AZ217" s="5" t="s">
        <v>127</v>
      </c>
      <c r="BB217" s="5" t="s">
        <v>276</v>
      </c>
      <c r="BC217" s="5" t="s">
        <v>161</v>
      </c>
      <c r="BD217" s="5" t="s">
        <v>539</v>
      </c>
      <c r="BE217" s="5" t="s">
        <v>131</v>
      </c>
      <c r="BF217" s="5" t="s">
        <v>1639</v>
      </c>
    </row>
    <row r="218" ht="16.5" hidden="1" customHeight="1">
      <c r="A218" s="5" t="s">
        <v>155</v>
      </c>
      <c r="B218" s="5" t="s">
        <v>137</v>
      </c>
      <c r="C218" s="5" t="b">
        <v>1</v>
      </c>
      <c r="D218" s="5" t="s">
        <v>674</v>
      </c>
      <c r="E218" s="5" t="s">
        <v>675</v>
      </c>
      <c r="F218" s="5"/>
      <c r="G218" s="5" t="s">
        <v>65</v>
      </c>
      <c r="H218" s="5" t="s">
        <v>84</v>
      </c>
      <c r="I218" s="5" t="s">
        <v>82</v>
      </c>
      <c r="J218" s="25"/>
      <c r="K218" s="25"/>
      <c r="L218" s="25"/>
      <c r="M218" s="5" t="s">
        <v>66</v>
      </c>
      <c r="N218" s="5" t="s">
        <v>113</v>
      </c>
      <c r="O218" s="5" t="s">
        <v>69</v>
      </c>
      <c r="P218" s="5" t="s">
        <v>70</v>
      </c>
      <c r="Q218" s="5" t="b">
        <v>1</v>
      </c>
      <c r="R218" s="5" t="b">
        <v>0</v>
      </c>
      <c r="S218" s="5"/>
      <c r="T218" s="5">
        <v>2000.0</v>
      </c>
      <c r="U218" s="26">
        <v>2.1</v>
      </c>
      <c r="V218" s="5">
        <v>952.0</v>
      </c>
      <c r="W218" s="27">
        <v>0.0</v>
      </c>
      <c r="X218" s="28">
        <v>952.0</v>
      </c>
      <c r="Y218" s="27">
        <v>1.0</v>
      </c>
      <c r="Z218" s="5" t="s">
        <v>242</v>
      </c>
      <c r="AA218" s="5">
        <v>0.62</v>
      </c>
      <c r="AB218" s="5"/>
      <c r="AC218" s="5" t="s">
        <v>81</v>
      </c>
      <c r="AD218" s="5" t="s">
        <v>81</v>
      </c>
      <c r="AE218" s="5">
        <v>3.0</v>
      </c>
      <c r="AF218" s="5">
        <v>2.0</v>
      </c>
      <c r="AG218" s="5" t="s">
        <v>1905</v>
      </c>
      <c r="AH218" s="5" t="s">
        <v>0</v>
      </c>
      <c r="AI218" s="42"/>
      <c r="AJ218" s="28">
        <v>1317.0</v>
      </c>
      <c r="AK218" s="28">
        <v>1042.0</v>
      </c>
      <c r="AL218" s="28">
        <v>0.0</v>
      </c>
      <c r="AM218" s="28">
        <v>2019.0</v>
      </c>
      <c r="AN218" s="28">
        <v>0.0</v>
      </c>
      <c r="AO218" s="28">
        <v>1254284.46</v>
      </c>
      <c r="AP218" s="28">
        <v>991984.0</v>
      </c>
      <c r="AQ218" s="28">
        <v>0.0</v>
      </c>
      <c r="AR218" s="28">
        <v>1922855.2200000002</v>
      </c>
      <c r="AS218" s="28">
        <v>0.0</v>
      </c>
      <c r="AT218" s="28">
        <v>1065643.1295681063</v>
      </c>
      <c r="AU218" s="28">
        <v>868369.77964</v>
      </c>
      <c r="AV218" s="28">
        <v>0.0</v>
      </c>
      <c r="AW218" s="28">
        <v>1593141.7528239202</v>
      </c>
      <c r="AX218" s="5"/>
      <c r="AY218" s="5" t="str">
        <f t="array" ref="AY218">IFERROR(_xlfn.XLOOKUP($E218,'FW27'!$C$3:$C$1102,'FW27'!$AM$3:$AM$1102),"")</f>
        <v>Outdoor</v>
      </c>
      <c r="AZ218" s="5" t="str">
        <f t="array" ref="AZ218">IFERROR(_xlfn.XLOOKUP($E218,'FW27'!$C$3:$C$1102,'FW27'!$AN$3:$AN$1102),"")</f>
        <v>Trekking</v>
      </c>
      <c r="BA218" s="32" t="s">
        <v>678</v>
      </c>
      <c r="BB218" s="5" t="str">
        <f t="array" ref="BB218">IFERROR(_xlfn.XLOOKUP($E218,'FW27'!$C$3:$C$1102,'FW27'!$AS$3:$AS$1102),"")</f>
        <v>Softshell</v>
      </c>
      <c r="BC218" s="5" t="str">
        <f t="array" ref="BC218">IFERROR(_xlfn.XLOOKUP($E218,'FW27'!$C$3:$C$1102,'FW27'!$AT$3:$AT$1102),"")</f>
        <v>Pant</v>
      </c>
      <c r="BD218" s="5" t="str">
        <f t="array" ref="BD218">IFERROR(_xlfn.XLOOKUP($E218,'FW27'!$C$3:$C$1102,'FW27'!$AU$3:$AU$1102),"")</f>
        <v>Classic Softshell</v>
      </c>
      <c r="BE218" s="5" t="str">
        <f t="array" ref="BE218">IFERROR(_xlfn.XLOOKUP($E218,'FW27'!$C$3:$C$1102,'FW27'!$AV$3:$AV$1102),"")</f>
        <v>N</v>
      </c>
    </row>
    <row r="219" ht="16.5" hidden="1" customHeight="1">
      <c r="A219" s="5" t="s">
        <v>155</v>
      </c>
      <c r="B219" s="5" t="s">
        <v>137</v>
      </c>
      <c r="C219" s="5" t="b">
        <v>1</v>
      </c>
      <c r="D219" s="5" t="s">
        <v>679</v>
      </c>
      <c r="E219" s="5" t="s">
        <v>680</v>
      </c>
      <c r="F219" s="5"/>
      <c r="G219" s="5" t="s">
        <v>65</v>
      </c>
      <c r="H219" s="5" t="s">
        <v>84</v>
      </c>
      <c r="I219" s="5" t="s">
        <v>82</v>
      </c>
      <c r="J219" s="25"/>
      <c r="K219" s="25"/>
      <c r="L219" s="25"/>
      <c r="M219" s="5" t="s">
        <v>66</v>
      </c>
      <c r="N219" s="5" t="s">
        <v>113</v>
      </c>
      <c r="O219" s="5" t="s">
        <v>69</v>
      </c>
      <c r="P219" s="5" t="s">
        <v>107</v>
      </c>
      <c r="Q219" s="5" t="b">
        <v>1</v>
      </c>
      <c r="R219" s="5" t="b">
        <v>0</v>
      </c>
      <c r="S219" s="5"/>
      <c r="T219" s="5">
        <v>2000.0</v>
      </c>
      <c r="U219" s="26">
        <v>2.1</v>
      </c>
      <c r="V219" s="5">
        <v>952.0</v>
      </c>
      <c r="W219" s="27">
        <v>0.0</v>
      </c>
      <c r="X219" s="28">
        <v>952.0</v>
      </c>
      <c r="Y219" s="27">
        <v>1.0</v>
      </c>
      <c r="Z219" s="5" t="s">
        <v>242</v>
      </c>
      <c r="AA219" s="5">
        <v>0.63</v>
      </c>
      <c r="AB219" s="5"/>
      <c r="AC219" s="5" t="s">
        <v>81</v>
      </c>
      <c r="AD219" s="5" t="s">
        <v>81</v>
      </c>
      <c r="AE219" s="5">
        <v>2.0</v>
      </c>
      <c r="AF219" s="5">
        <v>2.0</v>
      </c>
      <c r="AG219" s="5" t="s">
        <v>0</v>
      </c>
      <c r="AH219" s="5" t="s">
        <v>0</v>
      </c>
      <c r="AI219" s="42"/>
      <c r="AJ219" s="28">
        <v>989.0</v>
      </c>
      <c r="AK219" s="28">
        <v>779.0</v>
      </c>
      <c r="AL219" s="28">
        <v>0.0</v>
      </c>
      <c r="AM219" s="28">
        <v>1190.0</v>
      </c>
      <c r="AN219" s="28">
        <v>0.0</v>
      </c>
      <c r="AO219" s="28">
        <v>941903.8199999998</v>
      </c>
      <c r="AP219" s="28">
        <v>741608.0</v>
      </c>
      <c r="AQ219" s="28">
        <v>0.0</v>
      </c>
      <c r="AR219" s="28">
        <v>1133332.2</v>
      </c>
      <c r="AS219" s="28">
        <v>0.0</v>
      </c>
      <c r="AT219" s="28">
        <v>800305.084163898</v>
      </c>
      <c r="AU219" s="28">
        <v>646223.480825</v>
      </c>
      <c r="AV219" s="28">
        <v>0.0</v>
      </c>
      <c r="AW219" s="28">
        <v>916633.1718715392</v>
      </c>
      <c r="AX219" s="5"/>
      <c r="AY219" s="5" t="str">
        <f t="array" ref="AY219">IFERROR(_xlfn.XLOOKUP($E219,'FW27'!$C$3:$C$1102,'FW27'!$AM$3:$AM$1102),"")</f>
        <v>Outdoor</v>
      </c>
      <c r="AZ219" s="5" t="str">
        <f t="array" ref="AZ219">IFERROR(_xlfn.XLOOKUP($E219,'FW27'!$C$3:$C$1102,'FW27'!$AN$3:$AN$1102),"")</f>
        <v>Trekking</v>
      </c>
      <c r="BA219" s="32" t="s">
        <v>678</v>
      </c>
      <c r="BB219" s="5" t="str">
        <f t="array" ref="BB219">IFERROR(_xlfn.XLOOKUP($E219,'FW27'!$C$3:$C$1102,'FW27'!$AS$3:$AS$1102),"")</f>
        <v>Softshell</v>
      </c>
      <c r="BC219" s="5" t="str">
        <f t="array" ref="BC219">IFERROR(_xlfn.XLOOKUP($E219,'FW27'!$C$3:$C$1102,'FW27'!$AT$3:$AT$1102),"")</f>
        <v>Pant</v>
      </c>
      <c r="BD219" s="5" t="str">
        <f t="array" ref="BD219">IFERROR(_xlfn.XLOOKUP($E219,'FW27'!$C$3:$C$1102,'FW27'!$AU$3:$AU$1102),"")</f>
        <v>Classic Softshell</v>
      </c>
      <c r="BE219" s="5" t="str">
        <f t="array" ref="BE219">IFERROR(_xlfn.XLOOKUP($E219,'FW27'!$C$3:$C$1102,'FW27'!$AV$3:$AV$1102),"")</f>
        <v>N</v>
      </c>
    </row>
    <row r="220" ht="16.5" hidden="1" customHeight="1">
      <c r="A220" s="5" t="s">
        <v>155</v>
      </c>
      <c r="B220" s="24" t="s">
        <v>0</v>
      </c>
      <c r="C220" s="5" t="b">
        <v>0</v>
      </c>
      <c r="D220" s="5" t="s">
        <v>787</v>
      </c>
      <c r="E220" s="5" t="s">
        <v>788</v>
      </c>
      <c r="F220" s="5"/>
      <c r="G220" s="5" t="s">
        <v>65</v>
      </c>
      <c r="H220" s="5" t="s">
        <v>76</v>
      </c>
      <c r="I220" s="5" t="s">
        <v>106</v>
      </c>
      <c r="J220" s="25" t="s">
        <v>271</v>
      </c>
      <c r="K220" s="25" t="s">
        <v>272</v>
      </c>
      <c r="L220" s="25"/>
      <c r="M220" s="5" t="s">
        <v>66</v>
      </c>
      <c r="N220" s="5" t="s">
        <v>113</v>
      </c>
      <c r="O220" s="5" t="s">
        <v>96</v>
      </c>
      <c r="P220" s="5" t="s">
        <v>70</v>
      </c>
      <c r="Q220" s="5" t="b">
        <v>1</v>
      </c>
      <c r="R220" s="5" t="b">
        <v>0</v>
      </c>
      <c r="S220" s="5"/>
      <c r="T220" s="24">
        <v>0.0</v>
      </c>
      <c r="U220" s="26">
        <v>2.1</v>
      </c>
      <c r="V220" s="5">
        <v>0.0</v>
      </c>
      <c r="W220" s="27">
        <v>0.0</v>
      </c>
      <c r="X220" s="28">
        <v>0.0</v>
      </c>
      <c r="Y220" s="27">
        <v>0.0</v>
      </c>
      <c r="Z220" s="24" t="s">
        <v>0</v>
      </c>
      <c r="AA220" s="5">
        <v>0.65</v>
      </c>
      <c r="AB220" s="5"/>
      <c r="AC220" s="24" t="s">
        <v>0</v>
      </c>
      <c r="AD220" s="24" t="s">
        <v>0</v>
      </c>
      <c r="AE220" s="24">
        <v>0.0</v>
      </c>
      <c r="AF220" s="5">
        <v>1.0</v>
      </c>
      <c r="AG220" s="5" t="s">
        <v>0</v>
      </c>
      <c r="AH220" s="5" t="s">
        <v>116</v>
      </c>
      <c r="AI220" s="42"/>
      <c r="AJ220" s="28">
        <v>0.0</v>
      </c>
      <c r="AK220" s="28">
        <v>0.0</v>
      </c>
      <c r="AL220" s="28">
        <v>0.0</v>
      </c>
      <c r="AM220" s="28">
        <v>0.0</v>
      </c>
      <c r="AN220" s="28">
        <v>0.0</v>
      </c>
      <c r="AO220" s="28">
        <v>0.0</v>
      </c>
      <c r="AP220" s="28">
        <v>0.0</v>
      </c>
      <c r="AQ220" s="28">
        <v>0.0</v>
      </c>
      <c r="AR220" s="28">
        <v>0.0</v>
      </c>
      <c r="AS220" s="28">
        <v>0.0</v>
      </c>
      <c r="AT220" s="28">
        <v>0.0</v>
      </c>
      <c r="AU220" s="28">
        <v>0.0</v>
      </c>
      <c r="AV220" s="28">
        <v>0.0</v>
      </c>
      <c r="AW220" s="28">
        <v>0.0</v>
      </c>
      <c r="AX220" s="5"/>
      <c r="AY220" s="5" t="str">
        <f t="array" ref="AY220">IFERROR(_xlfn.XLOOKUP($E220,'FW27'!$C$3:$C$1102,'FW27'!$AM$3:$AM$1102),"")</f>
        <v>Outdoor</v>
      </c>
      <c r="AZ220" s="5" t="str">
        <f t="array" ref="AZ220">IFERROR(_xlfn.XLOOKUP($E220,'FW27'!$C$3:$C$1102,'FW27'!$AN$3:$AN$1102),"")</f>
        <v>Trekking</v>
      </c>
      <c r="BA220" s="32" t="s">
        <v>678</v>
      </c>
      <c r="BB220" s="5" t="str">
        <f t="array" ref="BB220">IFERROR(_xlfn.XLOOKUP($E220,'FW27'!$C$3:$C$1102,'FW27'!$AS$3:$AS$1102),"")</f>
        <v>Softshell</v>
      </c>
      <c r="BC220" s="5" t="str">
        <f t="array" ref="BC220">IFERROR(_xlfn.XLOOKUP($E220,'FW27'!$C$3:$C$1102,'FW27'!$AT$3:$AT$1102),"")</f>
        <v>Pant</v>
      </c>
      <c r="BD220" s="5" t="str">
        <f t="array" ref="BD220">IFERROR(_xlfn.XLOOKUP($E220,'FW27'!$C$3:$C$1102,'FW27'!$AU$3:$AU$1102),"")</f>
        <v>Classic Softshell</v>
      </c>
      <c r="BE220" s="5" t="str">
        <f t="array" ref="BE220">IFERROR(_xlfn.XLOOKUP($E220,'FW27'!$C$3:$C$1102,'FW27'!$AV$3:$AV$1102),"")</f>
        <v>N</v>
      </c>
    </row>
    <row r="221" ht="16.5" hidden="1" customHeight="1">
      <c r="A221" s="5" t="s">
        <v>155</v>
      </c>
      <c r="B221" s="5" t="s">
        <v>137</v>
      </c>
      <c r="C221" s="5" t="b">
        <v>1</v>
      </c>
      <c r="D221" s="71" t="s">
        <v>681</v>
      </c>
      <c r="E221" s="71" t="s">
        <v>682</v>
      </c>
      <c r="F221" s="71"/>
      <c r="G221" s="71" t="s">
        <v>65</v>
      </c>
      <c r="H221" s="71" t="s">
        <v>76</v>
      </c>
      <c r="I221" s="71" t="s">
        <v>82</v>
      </c>
      <c r="J221" s="72" t="s">
        <v>1919</v>
      </c>
      <c r="K221" s="25" t="s">
        <v>150</v>
      </c>
      <c r="L221" s="25"/>
      <c r="M221" s="5" t="s">
        <v>66</v>
      </c>
      <c r="N221" s="5" t="s">
        <v>113</v>
      </c>
      <c r="O221" s="5" t="s">
        <v>96</v>
      </c>
      <c r="P221" s="5" t="s">
        <v>70</v>
      </c>
      <c r="Q221" s="5" t="b">
        <v>1</v>
      </c>
      <c r="R221" s="5" t="b">
        <v>0</v>
      </c>
      <c r="S221" s="5"/>
      <c r="T221" s="5">
        <v>1300.0</v>
      </c>
      <c r="U221" s="26">
        <v>2.1</v>
      </c>
      <c r="V221" s="5">
        <v>619.0</v>
      </c>
      <c r="W221" s="27">
        <v>0.0</v>
      </c>
      <c r="X221" s="28">
        <v>619.0</v>
      </c>
      <c r="Y221" s="27">
        <v>1.0</v>
      </c>
      <c r="Z221" s="5" t="s">
        <v>117</v>
      </c>
      <c r="AA221" s="5">
        <v>0.645</v>
      </c>
      <c r="AB221" s="5"/>
      <c r="AC221" s="5" t="s">
        <v>81</v>
      </c>
      <c r="AD221" s="5" t="s">
        <v>81</v>
      </c>
      <c r="AE221" s="5">
        <v>5.0</v>
      </c>
      <c r="AF221" s="5">
        <v>5.0</v>
      </c>
      <c r="AG221" s="5" t="s">
        <v>1478</v>
      </c>
      <c r="AH221" s="5" t="s">
        <v>97</v>
      </c>
      <c r="AI221" s="42"/>
      <c r="AJ221" s="28">
        <v>0.0</v>
      </c>
      <c r="AK221" s="28">
        <v>1255.0</v>
      </c>
      <c r="AL221" s="28">
        <v>0.0</v>
      </c>
      <c r="AM221" s="28">
        <v>0.0</v>
      </c>
      <c r="AN221" s="28">
        <v>0.0</v>
      </c>
      <c r="AO221" s="28">
        <v>0.0</v>
      </c>
      <c r="AP221" s="28">
        <v>837085.0</v>
      </c>
      <c r="AQ221" s="28">
        <v>0.0</v>
      </c>
      <c r="AR221" s="28">
        <v>0.0</v>
      </c>
      <c r="AS221" s="28">
        <v>0.0</v>
      </c>
      <c r="AT221" s="28">
        <v>0.0</v>
      </c>
      <c r="AU221" s="28">
        <v>521528.2875</v>
      </c>
      <c r="AV221" s="28">
        <v>0.0</v>
      </c>
      <c r="AW221" s="28">
        <v>0.0</v>
      </c>
      <c r="AX221" s="5"/>
      <c r="AY221" s="5" t="str">
        <f t="array" ref="AY221">IFERROR(_xlfn.XLOOKUP($E221,'FW27'!$C$3:$C$1102,'FW27'!$AM$3:$AM$1102),"")</f>
        <v>Outdoor</v>
      </c>
      <c r="AZ221" s="5" t="str">
        <f t="array" ref="AZ221">IFERROR(_xlfn.XLOOKUP($E221,'FW27'!$C$3:$C$1102,'FW27'!$AN$3:$AN$1102),"")</f>
        <v>Day Hiking</v>
      </c>
      <c r="BA221" s="32" t="s">
        <v>122</v>
      </c>
      <c r="BB221" s="5" t="str">
        <f t="array" ref="BB221">IFERROR(_xlfn.XLOOKUP($E221,'FW27'!$C$3:$C$1102,'FW27'!$AS$3:$AS$1102),"")</f>
        <v>Softshell</v>
      </c>
      <c r="BC221" s="5" t="str">
        <f t="array" ref="BC221">IFERROR(_xlfn.XLOOKUP($E221,'FW27'!$C$3:$C$1102,'FW27'!$AT$3:$AT$1102),"")</f>
        <v>Pant</v>
      </c>
      <c r="BD221" s="5" t="str">
        <f t="array" ref="BD221">IFERROR(_xlfn.XLOOKUP($E221,'FW27'!$C$3:$C$1102,'FW27'!$AU$3:$AU$1102),"")</f>
        <v>Classic Softshell</v>
      </c>
      <c r="BE221" s="5" t="str">
        <f t="array" ref="BE221">IFERROR(_xlfn.XLOOKUP($E221,'FW27'!$C$3:$C$1102,'FW27'!$AV$3:$AV$1102),"")</f>
        <v>N</v>
      </c>
    </row>
    <row r="222" ht="16.5" hidden="1" customHeight="1">
      <c r="A222" s="5" t="s">
        <v>155</v>
      </c>
      <c r="B222" s="5" t="s">
        <v>137</v>
      </c>
      <c r="C222" s="5" t="b">
        <v>1</v>
      </c>
      <c r="D222" s="71" t="s">
        <v>684</v>
      </c>
      <c r="E222" s="71" t="s">
        <v>685</v>
      </c>
      <c r="F222" s="71"/>
      <c r="G222" s="71" t="s">
        <v>65</v>
      </c>
      <c r="H222" s="71" t="s">
        <v>76</v>
      </c>
      <c r="I222" s="71" t="s">
        <v>82</v>
      </c>
      <c r="J222" s="72" t="s">
        <v>1919</v>
      </c>
      <c r="K222" s="25" t="s">
        <v>150</v>
      </c>
      <c r="L222" s="25"/>
      <c r="M222" s="5" t="s">
        <v>66</v>
      </c>
      <c r="N222" s="5" t="s">
        <v>113</v>
      </c>
      <c r="O222" s="5" t="s">
        <v>96</v>
      </c>
      <c r="P222" s="5" t="s">
        <v>107</v>
      </c>
      <c r="Q222" s="5" t="b">
        <v>1</v>
      </c>
      <c r="R222" s="5" t="b">
        <v>0</v>
      </c>
      <c r="S222" s="5"/>
      <c r="T222" s="5">
        <v>1300.0</v>
      </c>
      <c r="U222" s="26">
        <v>2.1</v>
      </c>
      <c r="V222" s="5">
        <v>619.0</v>
      </c>
      <c r="W222" s="27">
        <v>0.0</v>
      </c>
      <c r="X222" s="28">
        <v>619.0</v>
      </c>
      <c r="Y222" s="27">
        <v>1.0</v>
      </c>
      <c r="Z222" s="5" t="s">
        <v>117</v>
      </c>
      <c r="AA222" s="5">
        <v>0.7</v>
      </c>
      <c r="AB222" s="5"/>
      <c r="AC222" s="5" t="s">
        <v>546</v>
      </c>
      <c r="AD222" s="5" t="s">
        <v>81</v>
      </c>
      <c r="AE222" s="5">
        <v>5.0</v>
      </c>
      <c r="AF222" s="5">
        <v>3.0</v>
      </c>
      <c r="AG222" s="5" t="s">
        <v>1482</v>
      </c>
      <c r="AH222" s="5" t="s">
        <v>97</v>
      </c>
      <c r="AI222" s="42"/>
      <c r="AJ222" s="28">
        <v>0.0</v>
      </c>
      <c r="AK222" s="28">
        <v>1265.0</v>
      </c>
      <c r="AL222" s="28">
        <v>0.0</v>
      </c>
      <c r="AM222" s="28">
        <v>0.0</v>
      </c>
      <c r="AN222" s="28">
        <v>0.0</v>
      </c>
      <c r="AO222" s="28">
        <v>0.0</v>
      </c>
      <c r="AP222" s="28">
        <v>843755.0</v>
      </c>
      <c r="AQ222" s="28">
        <v>0.0</v>
      </c>
      <c r="AR222" s="28">
        <v>0.0</v>
      </c>
      <c r="AS222" s="28">
        <v>0.0</v>
      </c>
      <c r="AT222" s="28">
        <v>0.0</v>
      </c>
      <c r="AU222" s="28">
        <v>525064.0725</v>
      </c>
      <c r="AV222" s="28">
        <v>0.0</v>
      </c>
      <c r="AW222" s="28">
        <v>0.0</v>
      </c>
      <c r="AX222" s="5"/>
      <c r="AY222" s="5" t="str">
        <f t="array" ref="AY222">IFERROR(_xlfn.XLOOKUP($E222,'FW27'!$C$3:$C$1102,'FW27'!$AM$3:$AM$1102),"")</f>
        <v>Outdoor</v>
      </c>
      <c r="AZ222" s="5" t="str">
        <f t="array" ref="AZ222">IFERROR(_xlfn.XLOOKUP($E222,'FW27'!$C$3:$C$1102,'FW27'!$AN$3:$AN$1102),"")</f>
        <v>Day Hiking</v>
      </c>
      <c r="BA222" s="32" t="s">
        <v>122</v>
      </c>
      <c r="BB222" s="5" t="str">
        <f t="array" ref="BB222">IFERROR(_xlfn.XLOOKUP($E222,'FW27'!$C$3:$C$1102,'FW27'!$AS$3:$AS$1102),"")</f>
        <v>Softshell</v>
      </c>
      <c r="BC222" s="5" t="str">
        <f t="array" ref="BC222">IFERROR(_xlfn.XLOOKUP($E222,'FW27'!$C$3:$C$1102,'FW27'!$AT$3:$AT$1102),"")</f>
        <v>Pant</v>
      </c>
      <c r="BD222" s="5" t="str">
        <f t="array" ref="BD222">IFERROR(_xlfn.XLOOKUP($E222,'FW27'!$C$3:$C$1102,'FW27'!$AU$3:$AU$1102),"")</f>
        <v>Classic Softshell</v>
      </c>
      <c r="BE222" s="5" t="str">
        <f t="array" ref="BE222">IFERROR(_xlfn.XLOOKUP($E222,'FW27'!$C$3:$C$1102,'FW27'!$AV$3:$AV$1102),"")</f>
        <v>N</v>
      </c>
    </row>
    <row r="223" ht="16.5" hidden="1" customHeight="1">
      <c r="A223" s="5" t="s">
        <v>155</v>
      </c>
      <c r="B223" s="5" t="s">
        <v>200</v>
      </c>
      <c r="C223" s="5" t="b">
        <v>0</v>
      </c>
      <c r="D223" s="5" t="s">
        <v>691</v>
      </c>
      <c r="E223" s="5" t="s">
        <v>692</v>
      </c>
      <c r="F223" s="5"/>
      <c r="G223" s="5" t="s">
        <v>65</v>
      </c>
      <c r="H223" s="5" t="s">
        <v>74</v>
      </c>
      <c r="I223" s="5" t="s">
        <v>106</v>
      </c>
      <c r="J223" s="25" t="s">
        <v>1925</v>
      </c>
      <c r="K223" s="25" t="s">
        <v>386</v>
      </c>
      <c r="L223" s="25"/>
      <c r="M223" s="5" t="s">
        <v>109</v>
      </c>
      <c r="N223" s="5" t="s">
        <v>334</v>
      </c>
      <c r="O223" s="5" t="s">
        <v>96</v>
      </c>
      <c r="P223" s="5" t="s">
        <v>107</v>
      </c>
      <c r="Q223" s="5" t="b">
        <v>1</v>
      </c>
      <c r="R223" s="5" t="b">
        <v>0</v>
      </c>
      <c r="S223" s="5"/>
      <c r="T223" s="5">
        <v>450.0</v>
      </c>
      <c r="U223" s="26">
        <v>2.1</v>
      </c>
      <c r="V223" s="5">
        <v>214.0</v>
      </c>
      <c r="W223" s="27">
        <v>0.0</v>
      </c>
      <c r="X223" s="28">
        <v>214.0</v>
      </c>
      <c r="Y223" s="27">
        <v>1.0</v>
      </c>
      <c r="Z223" s="5" t="s">
        <v>117</v>
      </c>
      <c r="AA223" s="27">
        <v>0.6</v>
      </c>
      <c r="AB223" s="5"/>
      <c r="AC223" s="5" t="s">
        <v>81</v>
      </c>
      <c r="AD223" s="5" t="s">
        <v>81</v>
      </c>
      <c r="AE223" s="24">
        <v>0.0</v>
      </c>
      <c r="AF223" s="5">
        <v>1.0</v>
      </c>
      <c r="AG223" s="5" t="s">
        <v>693</v>
      </c>
      <c r="AH223" s="5" t="s">
        <v>386</v>
      </c>
      <c r="AI223" s="56"/>
      <c r="AJ223" s="28">
        <v>0.0</v>
      </c>
      <c r="AK223" s="28">
        <v>0.0</v>
      </c>
      <c r="AL223" s="28">
        <v>0.0</v>
      </c>
      <c r="AM223" s="28">
        <v>166.0</v>
      </c>
      <c r="AN223" s="28">
        <v>0.0</v>
      </c>
      <c r="AO223" s="28">
        <v>0.0</v>
      </c>
      <c r="AP223" s="28">
        <v>0.0</v>
      </c>
      <c r="AQ223" s="28">
        <v>0.0</v>
      </c>
      <c r="AR223" s="28">
        <v>35572.14</v>
      </c>
      <c r="AS223" s="28">
        <v>0.0</v>
      </c>
      <c r="AT223" s="28">
        <v>0.0</v>
      </c>
      <c r="AU223" s="28">
        <v>0.0</v>
      </c>
      <c r="AV223" s="28">
        <v>0.0</v>
      </c>
      <c r="AW223" s="28">
        <v>35571.42857142857</v>
      </c>
      <c r="AX223" s="5"/>
      <c r="AY223" s="5" t="s">
        <v>86</v>
      </c>
      <c r="AZ223" s="5" t="s">
        <v>512</v>
      </c>
      <c r="BB223" s="5" t="s">
        <v>334</v>
      </c>
      <c r="BD223" s="5" t="s">
        <v>539</v>
      </c>
      <c r="BE223" s="5" t="s">
        <v>131</v>
      </c>
      <c r="BF223" s="5" t="s">
        <v>1639</v>
      </c>
    </row>
    <row r="224" ht="16.5" hidden="1" customHeight="1">
      <c r="A224" s="5" t="s">
        <v>155</v>
      </c>
      <c r="B224" s="5" t="s">
        <v>200</v>
      </c>
      <c r="C224" s="5" t="b">
        <v>0</v>
      </c>
      <c r="D224" s="5" t="s">
        <v>694</v>
      </c>
      <c r="E224" s="5" t="s">
        <v>695</v>
      </c>
      <c r="F224" s="5"/>
      <c r="G224" s="5" t="s">
        <v>65</v>
      </c>
      <c r="H224" s="5" t="s">
        <v>74</v>
      </c>
      <c r="I224" s="5" t="s">
        <v>106</v>
      </c>
      <c r="J224" s="25" t="s">
        <v>1925</v>
      </c>
      <c r="K224" s="25" t="s">
        <v>386</v>
      </c>
      <c r="L224" s="25"/>
      <c r="M224" s="5" t="s">
        <v>109</v>
      </c>
      <c r="N224" s="5" t="s">
        <v>334</v>
      </c>
      <c r="O224" s="5" t="s">
        <v>96</v>
      </c>
      <c r="P224" s="5" t="s">
        <v>70</v>
      </c>
      <c r="Q224" s="5" t="b">
        <v>1</v>
      </c>
      <c r="R224" s="5" t="b">
        <v>0</v>
      </c>
      <c r="S224" s="5"/>
      <c r="T224" s="5">
        <v>500.0</v>
      </c>
      <c r="U224" s="26">
        <v>2.1</v>
      </c>
      <c r="V224" s="5">
        <v>238.0</v>
      </c>
      <c r="W224" s="27">
        <v>0.0</v>
      </c>
      <c r="X224" s="28">
        <v>238.0</v>
      </c>
      <c r="Y224" s="27">
        <v>1.0</v>
      </c>
      <c r="Z224" s="5" t="s">
        <v>117</v>
      </c>
      <c r="AA224" s="27">
        <v>0.61</v>
      </c>
      <c r="AB224" s="5"/>
      <c r="AC224" s="5" t="s">
        <v>81</v>
      </c>
      <c r="AD224" s="5" t="s">
        <v>81</v>
      </c>
      <c r="AE224" s="24">
        <v>0.0</v>
      </c>
      <c r="AF224" s="5">
        <v>1.0</v>
      </c>
      <c r="AG224" s="5" t="s">
        <v>693</v>
      </c>
      <c r="AH224" s="5" t="s">
        <v>386</v>
      </c>
      <c r="AI224" s="56"/>
      <c r="AJ224" s="28">
        <v>0.0</v>
      </c>
      <c r="AK224" s="28">
        <v>0.0</v>
      </c>
      <c r="AL224" s="28">
        <v>0.0</v>
      </c>
      <c r="AM224" s="28">
        <v>166.0</v>
      </c>
      <c r="AN224" s="28">
        <v>0.0</v>
      </c>
      <c r="AO224" s="28">
        <v>0.0</v>
      </c>
      <c r="AP224" s="28">
        <v>0.0</v>
      </c>
      <c r="AQ224" s="28">
        <v>0.0</v>
      </c>
      <c r="AR224" s="28">
        <v>39524.6</v>
      </c>
      <c r="AS224" s="28">
        <v>0.0</v>
      </c>
      <c r="AT224" s="28">
        <v>0.0</v>
      </c>
      <c r="AU224" s="28">
        <v>0.0</v>
      </c>
      <c r="AV224" s="28">
        <v>0.0</v>
      </c>
      <c r="AW224" s="28">
        <v>39523.80952380952</v>
      </c>
      <c r="AX224" s="5"/>
      <c r="AY224" s="5" t="s">
        <v>86</v>
      </c>
      <c r="AZ224" s="5" t="s">
        <v>512</v>
      </c>
      <c r="BB224" s="5" t="s">
        <v>334</v>
      </c>
      <c r="BC224" s="5" t="s">
        <v>348</v>
      </c>
      <c r="BD224" s="5" t="s">
        <v>539</v>
      </c>
      <c r="BE224" s="5" t="s">
        <v>131</v>
      </c>
      <c r="BF224" s="5" t="s">
        <v>1639</v>
      </c>
    </row>
    <row r="225" ht="16.5" hidden="1" customHeight="1">
      <c r="A225" s="5" t="s">
        <v>155</v>
      </c>
      <c r="B225" s="5" t="s">
        <v>200</v>
      </c>
      <c r="C225" s="5" t="b">
        <v>0</v>
      </c>
      <c r="D225" s="5" t="s">
        <v>700</v>
      </c>
      <c r="E225" s="5" t="s">
        <v>701</v>
      </c>
      <c r="F225" s="5"/>
      <c r="G225" s="5" t="s">
        <v>65</v>
      </c>
      <c r="H225" s="5" t="s">
        <v>74</v>
      </c>
      <c r="I225" s="5" t="s">
        <v>106</v>
      </c>
      <c r="J225" s="25" t="s">
        <v>1925</v>
      </c>
      <c r="K225" s="25" t="s">
        <v>386</v>
      </c>
      <c r="L225" s="25"/>
      <c r="M225" s="5" t="s">
        <v>109</v>
      </c>
      <c r="N225" s="5" t="s">
        <v>334</v>
      </c>
      <c r="O225" s="5" t="s">
        <v>96</v>
      </c>
      <c r="P225" s="5" t="s">
        <v>107</v>
      </c>
      <c r="Q225" s="5" t="b">
        <v>1</v>
      </c>
      <c r="R225" s="5" t="b">
        <v>0</v>
      </c>
      <c r="S225" s="5"/>
      <c r="T225" s="5">
        <v>500.0</v>
      </c>
      <c r="U225" s="26">
        <v>2.1</v>
      </c>
      <c r="V225" s="5">
        <v>238.0</v>
      </c>
      <c r="W225" s="27">
        <v>0.0</v>
      </c>
      <c r="X225" s="28">
        <v>238.0</v>
      </c>
      <c r="Y225" s="27">
        <v>1.0</v>
      </c>
      <c r="Z225" s="5" t="s">
        <v>117</v>
      </c>
      <c r="AA225" s="27">
        <v>0.61</v>
      </c>
      <c r="AB225" s="5"/>
      <c r="AC225" s="5" t="s">
        <v>81</v>
      </c>
      <c r="AD225" s="5" t="s">
        <v>81</v>
      </c>
      <c r="AE225" s="24">
        <v>0.0</v>
      </c>
      <c r="AF225" s="5">
        <v>1.0</v>
      </c>
      <c r="AG225" s="5" t="s">
        <v>693</v>
      </c>
      <c r="AH225" s="5" t="s">
        <v>386</v>
      </c>
      <c r="AI225" s="56"/>
      <c r="AJ225" s="28">
        <v>0.0</v>
      </c>
      <c r="AK225" s="28">
        <v>0.0</v>
      </c>
      <c r="AL225" s="28">
        <v>0.0</v>
      </c>
      <c r="AM225" s="28">
        <v>156.0</v>
      </c>
      <c r="AN225" s="28">
        <v>0.0</v>
      </c>
      <c r="AO225" s="28">
        <v>0.0</v>
      </c>
      <c r="AP225" s="28">
        <v>0.0</v>
      </c>
      <c r="AQ225" s="28">
        <v>0.0</v>
      </c>
      <c r="AR225" s="28">
        <v>37143.6</v>
      </c>
      <c r="AS225" s="28">
        <v>0.0</v>
      </c>
      <c r="AT225" s="28">
        <v>0.0</v>
      </c>
      <c r="AU225" s="28">
        <v>0.0</v>
      </c>
      <c r="AV225" s="28">
        <v>0.0</v>
      </c>
      <c r="AW225" s="28">
        <v>37142.85714285714</v>
      </c>
      <c r="AX225" s="5"/>
      <c r="AY225" s="5" t="s">
        <v>86</v>
      </c>
      <c r="AZ225" s="5" t="s">
        <v>512</v>
      </c>
      <c r="BB225" s="5" t="s">
        <v>334</v>
      </c>
      <c r="BC225" s="5" t="s">
        <v>348</v>
      </c>
      <c r="BD225" s="5" t="s">
        <v>539</v>
      </c>
      <c r="BE225" s="5" t="s">
        <v>131</v>
      </c>
      <c r="BF225" s="5" t="s">
        <v>1639</v>
      </c>
    </row>
    <row r="226" ht="16.5" hidden="1" customHeight="1">
      <c r="A226" s="5" t="s">
        <v>155</v>
      </c>
      <c r="B226" s="5" t="s">
        <v>200</v>
      </c>
      <c r="C226" s="5" t="b">
        <v>0</v>
      </c>
      <c r="D226" s="5" t="s">
        <v>702</v>
      </c>
      <c r="E226" s="5" t="s">
        <v>703</v>
      </c>
      <c r="F226" s="5"/>
      <c r="G226" s="5" t="s">
        <v>65</v>
      </c>
      <c r="H226" s="5" t="s">
        <v>74</v>
      </c>
      <c r="I226" s="5" t="s">
        <v>106</v>
      </c>
      <c r="J226" s="25" t="s">
        <v>1925</v>
      </c>
      <c r="K226" s="25" t="s">
        <v>386</v>
      </c>
      <c r="L226" s="25"/>
      <c r="M226" s="5" t="s">
        <v>109</v>
      </c>
      <c r="N226" s="5" t="s">
        <v>334</v>
      </c>
      <c r="O226" s="5" t="s">
        <v>96</v>
      </c>
      <c r="P226" s="5" t="s">
        <v>70</v>
      </c>
      <c r="Q226" s="5" t="b">
        <v>1</v>
      </c>
      <c r="R226" s="5" t="b">
        <v>0</v>
      </c>
      <c r="S226" s="5"/>
      <c r="T226" s="5">
        <v>1500.0</v>
      </c>
      <c r="U226" s="26">
        <v>2.1</v>
      </c>
      <c r="V226" s="5">
        <v>714.0</v>
      </c>
      <c r="W226" s="27">
        <v>0.0</v>
      </c>
      <c r="X226" s="28">
        <v>714.0</v>
      </c>
      <c r="Y226" s="27">
        <v>1.0</v>
      </c>
      <c r="Z226" s="5" t="s">
        <v>117</v>
      </c>
      <c r="AA226" s="27">
        <v>0.58</v>
      </c>
      <c r="AB226" s="5"/>
      <c r="AC226" s="5" t="s">
        <v>81</v>
      </c>
      <c r="AD226" s="5" t="s">
        <v>81</v>
      </c>
      <c r="AE226" s="24">
        <v>0.0</v>
      </c>
      <c r="AF226" s="5">
        <v>1.0</v>
      </c>
      <c r="AG226" s="5" t="s">
        <v>693</v>
      </c>
      <c r="AH226" s="5" t="s">
        <v>386</v>
      </c>
      <c r="AI226" s="56"/>
      <c r="AJ226" s="28">
        <v>0.0</v>
      </c>
      <c r="AK226" s="28">
        <v>0.0</v>
      </c>
      <c r="AL226" s="28">
        <v>0.0</v>
      </c>
      <c r="AM226" s="28">
        <v>190.0</v>
      </c>
      <c r="AN226" s="28">
        <v>0.0</v>
      </c>
      <c r="AO226" s="28">
        <v>0.0</v>
      </c>
      <c r="AP226" s="28">
        <v>0.0</v>
      </c>
      <c r="AQ226" s="28">
        <v>0.0</v>
      </c>
      <c r="AR226" s="28">
        <v>135715.1</v>
      </c>
      <c r="AS226" s="28">
        <v>0.0</v>
      </c>
      <c r="AT226" s="28">
        <v>0.0</v>
      </c>
      <c r="AU226" s="28">
        <v>0.0</v>
      </c>
      <c r="AV226" s="28">
        <v>0.0</v>
      </c>
      <c r="AW226" s="28">
        <v>135714.2857142857</v>
      </c>
      <c r="AX226" s="5"/>
      <c r="AY226" s="5" t="s">
        <v>86</v>
      </c>
      <c r="AZ226" s="5" t="s">
        <v>512</v>
      </c>
      <c r="BB226" s="5" t="s">
        <v>334</v>
      </c>
      <c r="BC226" s="5" t="s">
        <v>161</v>
      </c>
      <c r="BD226" s="5" t="s">
        <v>616</v>
      </c>
      <c r="BE226" s="5" t="s">
        <v>131</v>
      </c>
      <c r="BF226" s="5" t="s">
        <v>1932</v>
      </c>
    </row>
    <row r="227" ht="16.5" hidden="1" customHeight="1">
      <c r="A227" s="5" t="s">
        <v>155</v>
      </c>
      <c r="B227" s="5" t="s">
        <v>200</v>
      </c>
      <c r="C227" s="5" t="b">
        <v>0</v>
      </c>
      <c r="D227" s="5" t="s">
        <v>708</v>
      </c>
      <c r="E227" s="5" t="s">
        <v>710</v>
      </c>
      <c r="F227" s="5"/>
      <c r="G227" s="5" t="s">
        <v>65</v>
      </c>
      <c r="H227" s="5" t="s">
        <v>74</v>
      </c>
      <c r="I227" s="5" t="s">
        <v>106</v>
      </c>
      <c r="J227" s="25" t="s">
        <v>1925</v>
      </c>
      <c r="K227" s="25" t="s">
        <v>386</v>
      </c>
      <c r="L227" s="25"/>
      <c r="M227" s="5" t="s">
        <v>109</v>
      </c>
      <c r="N227" s="5" t="s">
        <v>334</v>
      </c>
      <c r="O227" s="5" t="s">
        <v>96</v>
      </c>
      <c r="P227" s="5" t="s">
        <v>107</v>
      </c>
      <c r="Q227" s="5" t="b">
        <v>1</v>
      </c>
      <c r="R227" s="5" t="b">
        <v>0</v>
      </c>
      <c r="S227" s="5"/>
      <c r="T227" s="5">
        <v>1500.0</v>
      </c>
      <c r="U227" s="26">
        <v>2.1</v>
      </c>
      <c r="V227" s="5">
        <v>714.0</v>
      </c>
      <c r="W227" s="27">
        <v>0.0</v>
      </c>
      <c r="X227" s="28">
        <v>714.0</v>
      </c>
      <c r="Y227" s="27">
        <v>1.0</v>
      </c>
      <c r="Z227" s="5" t="s">
        <v>117</v>
      </c>
      <c r="AA227" s="27">
        <v>0.59</v>
      </c>
      <c r="AB227" s="5"/>
      <c r="AC227" s="5" t="s">
        <v>81</v>
      </c>
      <c r="AD227" s="5" t="s">
        <v>81</v>
      </c>
      <c r="AE227" s="24">
        <v>0.0</v>
      </c>
      <c r="AF227" s="5">
        <v>1.0</v>
      </c>
      <c r="AG227" s="5" t="s">
        <v>693</v>
      </c>
      <c r="AH227" s="5" t="s">
        <v>386</v>
      </c>
      <c r="AI227" s="56"/>
      <c r="AJ227" s="28">
        <v>0.0</v>
      </c>
      <c r="AK227" s="28">
        <v>0.0</v>
      </c>
      <c r="AL227" s="28">
        <v>0.0</v>
      </c>
      <c r="AM227" s="28">
        <v>166.0</v>
      </c>
      <c r="AN227" s="28">
        <v>0.0</v>
      </c>
      <c r="AO227" s="28">
        <v>0.0</v>
      </c>
      <c r="AP227" s="28">
        <v>0.0</v>
      </c>
      <c r="AQ227" s="28">
        <v>0.0</v>
      </c>
      <c r="AR227" s="28">
        <v>118572.14</v>
      </c>
      <c r="AS227" s="28">
        <v>0.0</v>
      </c>
      <c r="AT227" s="28">
        <v>0.0</v>
      </c>
      <c r="AU227" s="28">
        <v>0.0</v>
      </c>
      <c r="AV227" s="28">
        <v>0.0</v>
      </c>
      <c r="AW227" s="28">
        <v>118571.42857142857</v>
      </c>
      <c r="AX227" s="5"/>
      <c r="AY227" s="5" t="s">
        <v>86</v>
      </c>
      <c r="AZ227" s="5" t="s">
        <v>512</v>
      </c>
      <c r="BB227" s="5" t="s">
        <v>334</v>
      </c>
      <c r="BC227" s="5" t="s">
        <v>161</v>
      </c>
      <c r="BD227" s="5" t="s">
        <v>616</v>
      </c>
      <c r="BE227" s="5" t="s">
        <v>131</v>
      </c>
      <c r="BF227" s="5" t="s">
        <v>1932</v>
      </c>
    </row>
    <row r="228" ht="16.5" hidden="1" customHeight="1">
      <c r="A228" s="5" t="s">
        <v>155</v>
      </c>
      <c r="B228" s="5" t="s">
        <v>137</v>
      </c>
      <c r="C228" s="5" t="b">
        <v>1</v>
      </c>
      <c r="D228" s="5" t="s">
        <v>1487</v>
      </c>
      <c r="E228" s="5" t="s">
        <v>1488</v>
      </c>
      <c r="F228" s="5"/>
      <c r="G228" s="5" t="s">
        <v>65</v>
      </c>
      <c r="H228" s="5" t="s">
        <v>84</v>
      </c>
      <c r="I228" s="5" t="s">
        <v>82</v>
      </c>
      <c r="J228" s="25"/>
      <c r="K228" s="25"/>
      <c r="L228" s="25" t="s">
        <v>110</v>
      </c>
      <c r="M228" s="5" t="s">
        <v>66</v>
      </c>
      <c r="N228" s="5" t="s">
        <v>355</v>
      </c>
      <c r="O228" s="5" t="s">
        <v>69</v>
      </c>
      <c r="P228" s="5" t="s">
        <v>70</v>
      </c>
      <c r="Q228" s="5" t="b">
        <v>1</v>
      </c>
      <c r="R228" s="5" t="b">
        <v>0</v>
      </c>
      <c r="S228" s="5"/>
      <c r="T228" s="5">
        <v>2500.0</v>
      </c>
      <c r="U228" s="26">
        <v>2.1</v>
      </c>
      <c r="V228" s="5">
        <v>1190.0</v>
      </c>
      <c r="W228" s="27">
        <v>0.0</v>
      </c>
      <c r="X228" s="28">
        <v>1190.0</v>
      </c>
      <c r="Y228" s="27">
        <v>1.0</v>
      </c>
      <c r="Z228" s="5" t="s">
        <v>117</v>
      </c>
      <c r="AA228" s="5">
        <v>0.63</v>
      </c>
      <c r="AB228" s="5"/>
      <c r="AC228" s="5" t="s">
        <v>198</v>
      </c>
      <c r="AD228" s="5" t="s">
        <v>81</v>
      </c>
      <c r="AE228" s="5">
        <v>4.0</v>
      </c>
      <c r="AF228" s="5">
        <v>3.0</v>
      </c>
      <c r="AG228" s="5" t="s">
        <v>1936</v>
      </c>
      <c r="AH228" s="5" t="s">
        <v>0</v>
      </c>
      <c r="AI228" s="42"/>
      <c r="AJ228" s="28">
        <v>2813.0</v>
      </c>
      <c r="AK228" s="28">
        <v>0.0</v>
      </c>
      <c r="AL228" s="28">
        <v>0.0</v>
      </c>
      <c r="AM228" s="28">
        <v>0.0</v>
      </c>
      <c r="AN228" s="28">
        <v>0.0</v>
      </c>
      <c r="AO228" s="28">
        <v>3348820.24</v>
      </c>
      <c r="AP228" s="28">
        <v>0.0</v>
      </c>
      <c r="AQ228" s="28">
        <v>0.0</v>
      </c>
      <c r="AR228" s="28">
        <v>0.0</v>
      </c>
      <c r="AS228" s="28">
        <v>0.0</v>
      </c>
      <c r="AT228" s="28">
        <v>2303239.144296788</v>
      </c>
      <c r="AU228" s="28">
        <v>0.0</v>
      </c>
      <c r="AV228" s="28">
        <v>0.0</v>
      </c>
      <c r="AW228" s="28">
        <v>0.0</v>
      </c>
      <c r="AX228" s="5"/>
      <c r="AY228" s="5" t="str">
        <f t="array" ref="AY228">IFERROR(_xlfn.XLOOKUP($E228,'FW27'!$C$3:$C$1102,'FW27'!$AM$3:$AM$1102),"")</f>
        <v>Essentials</v>
      </c>
      <c r="AZ228" s="5" t="str">
        <f t="array" ref="AZ228">IFERROR(_xlfn.XLOOKUP($E228,'FW27'!$C$3:$C$1102,'FW27'!$AN$3:$AN$1102),"")</f>
        <v>Active Essentials</v>
      </c>
      <c r="BA228" s="5" t="s">
        <v>237</v>
      </c>
      <c r="BB228" s="5" t="str">
        <f t="array" ref="BB228">IFERROR(_xlfn.XLOOKUP($E228,'FW27'!$C$3:$C$1102,'FW27'!$AS$3:$AS$1102),"")</f>
        <v>Insulation</v>
      </c>
      <c r="BC228" s="5" t="str">
        <f t="array" ref="BC228">IFERROR(_xlfn.XLOOKUP($E228,'FW27'!$C$3:$C$1102,'FW27'!$AT$3:$AT$1102),"")</f>
        <v>Hooded Jacket</v>
      </c>
      <c r="BD228" s="5" t="str">
        <f t="array" ref="BD228">IFERROR(_xlfn.XLOOKUP($E228,'FW27'!$C$3:$C$1102,'FW27'!$AU$3:$AU$1102),"")</f>
        <v>Midweight Synthetic</v>
      </c>
      <c r="BE228" s="5" t="str">
        <f t="array" ref="BE228">IFERROR(_xlfn.XLOOKUP($E228,'FW27'!$C$3:$C$1102,'FW27'!$AV$3:$AV$1102),"")</f>
        <v>N</v>
      </c>
    </row>
    <row r="229" ht="16.5" hidden="1" customHeight="1">
      <c r="A229" s="5" t="s">
        <v>155</v>
      </c>
      <c r="B229" s="5" t="s">
        <v>137</v>
      </c>
      <c r="C229" s="5" t="b">
        <v>1</v>
      </c>
      <c r="D229" s="5" t="s">
        <v>1492</v>
      </c>
      <c r="E229" s="5" t="s">
        <v>1493</v>
      </c>
      <c r="F229" s="5"/>
      <c r="G229" s="5" t="s">
        <v>65</v>
      </c>
      <c r="H229" s="5" t="s">
        <v>84</v>
      </c>
      <c r="I229" s="5" t="s">
        <v>82</v>
      </c>
      <c r="J229" s="25"/>
      <c r="K229" s="25"/>
      <c r="L229" s="25" t="s">
        <v>110</v>
      </c>
      <c r="M229" s="5" t="s">
        <v>66</v>
      </c>
      <c r="N229" s="5" t="s">
        <v>355</v>
      </c>
      <c r="O229" s="5" t="s">
        <v>69</v>
      </c>
      <c r="P229" s="5" t="s">
        <v>107</v>
      </c>
      <c r="Q229" s="5" t="b">
        <v>1</v>
      </c>
      <c r="R229" s="5" t="b">
        <v>0</v>
      </c>
      <c r="S229" s="5"/>
      <c r="T229" s="5">
        <v>2500.0</v>
      </c>
      <c r="U229" s="26">
        <v>2.1</v>
      </c>
      <c r="V229" s="5">
        <v>1190.0</v>
      </c>
      <c r="W229" s="27">
        <v>0.0</v>
      </c>
      <c r="X229" s="28">
        <v>1190.0</v>
      </c>
      <c r="Y229" s="27">
        <v>1.0</v>
      </c>
      <c r="Z229" s="5" t="s">
        <v>117</v>
      </c>
      <c r="AA229" s="5">
        <v>0.64</v>
      </c>
      <c r="AB229" s="5"/>
      <c r="AC229" s="5" t="s">
        <v>198</v>
      </c>
      <c r="AD229" s="5" t="s">
        <v>81</v>
      </c>
      <c r="AE229" s="5">
        <v>4.0</v>
      </c>
      <c r="AF229" s="5">
        <v>3.0</v>
      </c>
      <c r="AG229" s="5" t="s">
        <v>1938</v>
      </c>
      <c r="AH229" s="5" t="s">
        <v>0</v>
      </c>
      <c r="AI229" s="42"/>
      <c r="AJ229" s="28">
        <v>1749.0</v>
      </c>
      <c r="AK229" s="28">
        <v>0.0</v>
      </c>
      <c r="AL229" s="28">
        <v>0.0</v>
      </c>
      <c r="AM229" s="28">
        <v>0.0</v>
      </c>
      <c r="AN229" s="28">
        <v>0.0</v>
      </c>
      <c r="AO229" s="28">
        <v>2082149.5199999996</v>
      </c>
      <c r="AP229" s="28">
        <v>0.0</v>
      </c>
      <c r="AQ229" s="28">
        <v>0.0</v>
      </c>
      <c r="AR229" s="28">
        <v>0.0</v>
      </c>
      <c r="AS229" s="28">
        <v>0.0</v>
      </c>
      <c r="AT229" s="28">
        <v>1517500.9613510522</v>
      </c>
      <c r="AU229" s="28">
        <v>0.0</v>
      </c>
      <c r="AV229" s="28">
        <v>0.0</v>
      </c>
      <c r="AW229" s="28">
        <v>0.0</v>
      </c>
      <c r="AX229" s="5"/>
      <c r="AY229" s="5" t="str">
        <f t="array" ref="AY229">IFERROR(_xlfn.XLOOKUP($E229,'FW27'!$C$3:$C$1102,'FW27'!$AM$3:$AM$1102),"")</f>
        <v>Essentials</v>
      </c>
      <c r="AZ229" s="5" t="str">
        <f t="array" ref="AZ229">IFERROR(_xlfn.XLOOKUP($E229,'FW27'!$C$3:$C$1102,'FW27'!$AN$3:$AN$1102),"")</f>
        <v>Active Essentials</v>
      </c>
      <c r="BA229" s="5" t="s">
        <v>237</v>
      </c>
      <c r="BB229" s="5" t="str">
        <f t="array" ref="BB229">IFERROR(_xlfn.XLOOKUP($E229,'FW27'!$C$3:$C$1102,'FW27'!$AS$3:$AS$1102),"")</f>
        <v>Insulation</v>
      </c>
      <c r="BC229" s="5" t="str">
        <f t="array" ref="BC229">IFERROR(_xlfn.XLOOKUP($E229,'FW27'!$C$3:$C$1102,'FW27'!$AT$3:$AT$1102),"")</f>
        <v>Hooded Jacket</v>
      </c>
      <c r="BD229" s="5" t="str">
        <f t="array" ref="BD229">IFERROR(_xlfn.XLOOKUP($E229,'FW27'!$C$3:$C$1102,'FW27'!$AU$3:$AU$1102),"")</f>
        <v>Midweight Synthetic</v>
      </c>
      <c r="BE229" s="5" t="str">
        <f t="array" ref="BE229">IFERROR(_xlfn.XLOOKUP($E229,'FW27'!$C$3:$C$1102,'FW27'!$AV$3:$AV$1102),"")</f>
        <v>N</v>
      </c>
    </row>
    <row r="230" ht="16.5" hidden="1" customHeight="1">
      <c r="A230" s="5" t="s">
        <v>155</v>
      </c>
      <c r="B230" s="5" t="s">
        <v>137</v>
      </c>
      <c r="C230" s="5" t="b">
        <v>1</v>
      </c>
      <c r="D230" s="5" t="s">
        <v>1494</v>
      </c>
      <c r="E230" s="5" t="s">
        <v>1495</v>
      </c>
      <c r="F230" s="5"/>
      <c r="G230" s="5" t="s">
        <v>65</v>
      </c>
      <c r="H230" s="5" t="s">
        <v>84</v>
      </c>
      <c r="I230" s="5" t="s">
        <v>82</v>
      </c>
      <c r="J230" s="25"/>
      <c r="K230" s="25"/>
      <c r="L230" s="25" t="s">
        <v>110</v>
      </c>
      <c r="M230" s="5" t="s">
        <v>66</v>
      </c>
      <c r="N230" s="5" t="s">
        <v>355</v>
      </c>
      <c r="O230" s="5" t="s">
        <v>69</v>
      </c>
      <c r="P230" s="5" t="s">
        <v>70</v>
      </c>
      <c r="Q230" s="5" t="b">
        <v>1</v>
      </c>
      <c r="R230" s="5" t="b">
        <v>0</v>
      </c>
      <c r="S230" s="5"/>
      <c r="T230" s="5">
        <v>2200.0</v>
      </c>
      <c r="U230" s="26">
        <v>2.1</v>
      </c>
      <c r="V230" s="5">
        <v>1048.0</v>
      </c>
      <c r="W230" s="27">
        <v>0.0</v>
      </c>
      <c r="X230" s="28">
        <v>1048.0</v>
      </c>
      <c r="Y230" s="27">
        <v>1.0</v>
      </c>
      <c r="Z230" s="5" t="s">
        <v>117</v>
      </c>
      <c r="AA230" s="5">
        <v>0.62</v>
      </c>
      <c r="AB230" s="5"/>
      <c r="AC230" s="5" t="s">
        <v>198</v>
      </c>
      <c r="AD230" s="5" t="s">
        <v>81</v>
      </c>
      <c r="AE230" s="5">
        <v>3.0</v>
      </c>
      <c r="AF230" s="5">
        <v>2.0</v>
      </c>
      <c r="AG230" s="5" t="s">
        <v>1938</v>
      </c>
      <c r="AH230" s="5" t="s">
        <v>0</v>
      </c>
      <c r="AI230" s="42"/>
      <c r="AJ230" s="28">
        <v>2085.0</v>
      </c>
      <c r="AK230" s="28">
        <v>0.0</v>
      </c>
      <c r="AL230" s="28">
        <v>0.0</v>
      </c>
      <c r="AM230" s="28">
        <v>0.0</v>
      </c>
      <c r="AN230" s="28">
        <v>0.0</v>
      </c>
      <c r="AO230" s="28">
        <v>2184287.6999999997</v>
      </c>
      <c r="AP230" s="28">
        <v>0.0</v>
      </c>
      <c r="AQ230" s="28">
        <v>0.0</v>
      </c>
      <c r="AR230" s="28">
        <v>0.0</v>
      </c>
      <c r="AS230" s="28">
        <v>0.0</v>
      </c>
      <c r="AT230" s="28">
        <v>1568001.1483942412</v>
      </c>
      <c r="AU230" s="28">
        <v>0.0</v>
      </c>
      <c r="AV230" s="28">
        <v>0.0</v>
      </c>
      <c r="AW230" s="28">
        <v>0.0</v>
      </c>
      <c r="AX230" s="5"/>
      <c r="AY230" s="5" t="str">
        <f t="array" ref="AY230">IFERROR(_xlfn.XLOOKUP($E230,'FW27'!$C$3:$C$1102,'FW27'!$AM$3:$AM$1102),"")</f>
        <v>Essentials</v>
      </c>
      <c r="AZ230" s="5" t="str">
        <f t="array" ref="AZ230">IFERROR(_xlfn.XLOOKUP($E230,'FW27'!$C$3:$C$1102,'FW27'!$AN$3:$AN$1102),"")</f>
        <v>Active Essentials</v>
      </c>
      <c r="BA230" s="5" t="s">
        <v>237</v>
      </c>
      <c r="BB230" s="5" t="str">
        <f t="array" ref="BB230">IFERROR(_xlfn.XLOOKUP($E230,'FW27'!$C$3:$C$1102,'FW27'!$AS$3:$AS$1102),"")</f>
        <v>Insulation</v>
      </c>
      <c r="BC230" s="5" t="str">
        <f t="array" ref="BC230">IFERROR(_xlfn.XLOOKUP($E230,'FW27'!$C$3:$C$1102,'FW27'!$AT$3:$AT$1102),"")</f>
        <v>Jacket</v>
      </c>
      <c r="BD230" s="5" t="str">
        <f t="array" ref="BD230">IFERROR(_xlfn.XLOOKUP($E230,'FW27'!$C$3:$C$1102,'FW27'!$AU$3:$AU$1102),"")</f>
        <v>Midweight Synthetic</v>
      </c>
      <c r="BE230" s="5" t="str">
        <f t="array" ref="BE230">IFERROR(_xlfn.XLOOKUP($E230,'FW27'!$C$3:$C$1102,'FW27'!$AV$3:$AV$1102),"")</f>
        <v>N</v>
      </c>
    </row>
    <row r="231" ht="16.5" hidden="1" customHeight="1">
      <c r="A231" s="5" t="s">
        <v>155</v>
      </c>
      <c r="B231" s="5" t="s">
        <v>137</v>
      </c>
      <c r="C231" s="5" t="b">
        <v>1</v>
      </c>
      <c r="D231" s="5" t="s">
        <v>1497</v>
      </c>
      <c r="E231" s="5" t="s">
        <v>1498</v>
      </c>
      <c r="F231" s="5"/>
      <c r="G231" s="5" t="s">
        <v>65</v>
      </c>
      <c r="H231" s="5" t="s">
        <v>84</v>
      </c>
      <c r="I231" s="5" t="s">
        <v>82</v>
      </c>
      <c r="J231" s="25"/>
      <c r="K231" s="25"/>
      <c r="L231" s="25" t="s">
        <v>110</v>
      </c>
      <c r="M231" s="5" t="s">
        <v>66</v>
      </c>
      <c r="N231" s="5" t="s">
        <v>355</v>
      </c>
      <c r="O231" s="5" t="s">
        <v>69</v>
      </c>
      <c r="P231" s="5" t="s">
        <v>107</v>
      </c>
      <c r="Q231" s="5" t="b">
        <v>1</v>
      </c>
      <c r="R231" s="5" t="b">
        <v>0</v>
      </c>
      <c r="S231" s="5"/>
      <c r="T231" s="5">
        <v>2200.0</v>
      </c>
      <c r="U231" s="26">
        <v>2.1</v>
      </c>
      <c r="V231" s="5">
        <v>1048.0</v>
      </c>
      <c r="W231" s="27">
        <v>0.0</v>
      </c>
      <c r="X231" s="28">
        <v>1048.0</v>
      </c>
      <c r="Y231" s="27">
        <v>1.0</v>
      </c>
      <c r="Z231" s="5" t="s">
        <v>117</v>
      </c>
      <c r="AA231" s="5">
        <v>0.63</v>
      </c>
      <c r="AB231" s="5"/>
      <c r="AC231" s="5" t="s">
        <v>198</v>
      </c>
      <c r="AD231" s="5" t="s">
        <v>81</v>
      </c>
      <c r="AE231" s="5">
        <v>3.0</v>
      </c>
      <c r="AF231" s="5">
        <v>3.0</v>
      </c>
      <c r="AG231" s="5" t="s">
        <v>0</v>
      </c>
      <c r="AH231" s="5" t="s">
        <v>0</v>
      </c>
      <c r="AI231" s="42"/>
      <c r="AJ231" s="28">
        <v>830.0</v>
      </c>
      <c r="AK231" s="28">
        <v>0.0</v>
      </c>
      <c r="AL231" s="28">
        <v>0.0</v>
      </c>
      <c r="AM231" s="28">
        <v>0.0</v>
      </c>
      <c r="AN231" s="28">
        <v>0.0</v>
      </c>
      <c r="AO231" s="28">
        <v>869524.5999999999</v>
      </c>
      <c r="AP231" s="28">
        <v>0.0</v>
      </c>
      <c r="AQ231" s="28">
        <v>0.0</v>
      </c>
      <c r="AR231" s="28">
        <v>0.0</v>
      </c>
      <c r="AS231" s="28">
        <v>0.0</v>
      </c>
      <c r="AT231" s="28">
        <v>737395.5620155039</v>
      </c>
      <c r="AU231" s="28">
        <v>0.0</v>
      </c>
      <c r="AV231" s="28">
        <v>0.0</v>
      </c>
      <c r="AW231" s="28">
        <v>0.0</v>
      </c>
      <c r="AX231" s="5"/>
      <c r="AY231" s="5" t="str">
        <f t="array" ref="AY231">IFERROR(_xlfn.XLOOKUP($E231,'FW27'!$C$3:$C$1102,'FW27'!$AM$3:$AM$1102),"")</f>
        <v>Essentials</v>
      </c>
      <c r="AZ231" s="5" t="str">
        <f t="array" ref="AZ231">IFERROR(_xlfn.XLOOKUP($E231,'FW27'!$C$3:$C$1102,'FW27'!$AN$3:$AN$1102),"")</f>
        <v>Active Essentials</v>
      </c>
      <c r="BA231" s="5" t="s">
        <v>237</v>
      </c>
      <c r="BB231" s="5" t="str">
        <f t="array" ref="BB231">IFERROR(_xlfn.XLOOKUP($E231,'FW27'!$C$3:$C$1102,'FW27'!$AS$3:$AS$1102),"")</f>
        <v>Insulation</v>
      </c>
      <c r="BC231" s="5" t="str">
        <f t="array" ref="BC231">IFERROR(_xlfn.XLOOKUP($E231,'FW27'!$C$3:$C$1102,'FW27'!$AT$3:$AT$1102),"")</f>
        <v>Jacket</v>
      </c>
      <c r="BD231" s="5" t="str">
        <f t="array" ref="BD231">IFERROR(_xlfn.XLOOKUP($E231,'FW27'!$C$3:$C$1102,'FW27'!$AU$3:$AU$1102),"")</f>
        <v>Midweight Synthetic</v>
      </c>
      <c r="BE231" s="5" t="str">
        <f t="array" ref="BE231">IFERROR(_xlfn.XLOOKUP($E231,'FW27'!$C$3:$C$1102,'FW27'!$AV$3:$AV$1102),"")</f>
        <v>N</v>
      </c>
    </row>
    <row r="232" ht="16.5" hidden="1" customHeight="1">
      <c r="A232" s="5" t="s">
        <v>155</v>
      </c>
      <c r="B232" s="5" t="s">
        <v>137</v>
      </c>
      <c r="C232" s="5" t="b">
        <v>0</v>
      </c>
      <c r="D232" s="5" t="s">
        <v>715</v>
      </c>
      <c r="E232" s="5" t="s">
        <v>716</v>
      </c>
      <c r="F232" s="5"/>
      <c r="G232" s="5" t="s">
        <v>65</v>
      </c>
      <c r="H232" s="5" t="s">
        <v>74</v>
      </c>
      <c r="I232" s="5" t="s">
        <v>106</v>
      </c>
      <c r="J232" s="25" t="s">
        <v>1943</v>
      </c>
      <c r="K232" s="25"/>
      <c r="L232" s="25"/>
      <c r="M232" s="5" t="s">
        <v>66</v>
      </c>
      <c r="N232" s="5" t="s">
        <v>355</v>
      </c>
      <c r="O232" s="5" t="s">
        <v>69</v>
      </c>
      <c r="P232" s="5" t="s">
        <v>70</v>
      </c>
      <c r="Q232" s="5" t="b">
        <v>1</v>
      </c>
      <c r="R232" s="5" t="b">
        <v>0</v>
      </c>
      <c r="S232" s="5"/>
      <c r="T232" s="5">
        <v>2500.0</v>
      </c>
      <c r="U232" s="26">
        <v>2.1</v>
      </c>
      <c r="V232" s="5">
        <v>1190.0</v>
      </c>
      <c r="W232" s="27">
        <v>0.0</v>
      </c>
      <c r="X232" s="28">
        <v>1190.0</v>
      </c>
      <c r="Y232" s="27">
        <v>1.0</v>
      </c>
      <c r="Z232" s="5" t="s">
        <v>117</v>
      </c>
      <c r="AA232" s="27">
        <v>0.64</v>
      </c>
      <c r="AB232" s="5"/>
      <c r="AC232" s="5" t="s">
        <v>198</v>
      </c>
      <c r="AD232" s="5" t="s">
        <v>81</v>
      </c>
      <c r="AE232" s="5">
        <v>4.0</v>
      </c>
      <c r="AF232" s="5">
        <v>4.0</v>
      </c>
      <c r="AG232" s="5" t="s">
        <v>0</v>
      </c>
      <c r="AH232" s="5" t="s">
        <v>0</v>
      </c>
      <c r="AI232" s="56"/>
      <c r="AJ232" s="28">
        <v>0.0</v>
      </c>
      <c r="AK232" s="28">
        <v>2880.0</v>
      </c>
      <c r="AL232" s="28">
        <v>0.0</v>
      </c>
      <c r="AM232" s="28">
        <v>250.0</v>
      </c>
      <c r="AN232" s="28">
        <v>0.0</v>
      </c>
      <c r="AO232" s="28">
        <v>0.0</v>
      </c>
      <c r="AP232" s="28">
        <v>3427200.0</v>
      </c>
      <c r="AQ232" s="28">
        <v>0.0</v>
      </c>
      <c r="AR232" s="28">
        <v>297620.0</v>
      </c>
      <c r="AS232" s="28">
        <v>0.0</v>
      </c>
      <c r="AT232" s="28">
        <v>0.0</v>
      </c>
      <c r="AU232" s="28">
        <v>2536339.976834</v>
      </c>
      <c r="AV232" s="28">
        <v>0.0</v>
      </c>
      <c r="AW232" s="28">
        <v>238914.09053156147</v>
      </c>
      <c r="AX232" s="5"/>
      <c r="AY232" s="5" t="s">
        <v>125</v>
      </c>
      <c r="AZ232" s="5" t="s">
        <v>127</v>
      </c>
      <c r="BA232" s="5" t="s">
        <v>237</v>
      </c>
      <c r="BB232" s="5" t="s">
        <v>355</v>
      </c>
      <c r="BC232" s="5" t="s">
        <v>161</v>
      </c>
      <c r="BD232" s="5" t="s">
        <v>367</v>
      </c>
      <c r="BE232" s="5" t="s">
        <v>131</v>
      </c>
      <c r="BF232" s="5" t="s">
        <v>910</v>
      </c>
    </row>
    <row r="233" ht="16.5" hidden="1" customHeight="1">
      <c r="A233" s="5" t="s">
        <v>155</v>
      </c>
      <c r="B233" s="5" t="s">
        <v>137</v>
      </c>
      <c r="C233" s="5" t="b">
        <v>0</v>
      </c>
      <c r="D233" s="5" t="s">
        <v>724</v>
      </c>
      <c r="E233" s="5" t="s">
        <v>725</v>
      </c>
      <c r="F233" s="5"/>
      <c r="G233" s="5" t="s">
        <v>65</v>
      </c>
      <c r="H233" s="5" t="s">
        <v>74</v>
      </c>
      <c r="I233" s="5" t="s">
        <v>106</v>
      </c>
      <c r="J233" s="25" t="s">
        <v>1943</v>
      </c>
      <c r="K233" s="25"/>
      <c r="L233" s="25"/>
      <c r="M233" s="5" t="s">
        <v>66</v>
      </c>
      <c r="N233" s="5" t="s">
        <v>355</v>
      </c>
      <c r="O233" s="5" t="s">
        <v>69</v>
      </c>
      <c r="P233" s="5" t="s">
        <v>107</v>
      </c>
      <c r="Q233" s="5" t="b">
        <v>1</v>
      </c>
      <c r="R233" s="5" t="b">
        <v>0</v>
      </c>
      <c r="S233" s="5"/>
      <c r="T233" s="5">
        <v>2500.0</v>
      </c>
      <c r="U233" s="26">
        <v>2.1</v>
      </c>
      <c r="V233" s="5">
        <v>1190.0</v>
      </c>
      <c r="W233" s="27">
        <v>0.0</v>
      </c>
      <c r="X233" s="28">
        <v>1190.0</v>
      </c>
      <c r="Y233" s="27">
        <v>1.0</v>
      </c>
      <c r="Z233" s="5" t="s">
        <v>117</v>
      </c>
      <c r="AA233" s="27">
        <v>0.64</v>
      </c>
      <c r="AB233" s="5"/>
      <c r="AC233" s="5" t="s">
        <v>198</v>
      </c>
      <c r="AD233" s="5" t="s">
        <v>81</v>
      </c>
      <c r="AE233" s="5">
        <v>4.0</v>
      </c>
      <c r="AF233" s="5">
        <v>4.0</v>
      </c>
      <c r="AG233" s="5" t="s">
        <v>0</v>
      </c>
      <c r="AH233" s="5" t="s">
        <v>0</v>
      </c>
      <c r="AI233" s="56"/>
      <c r="AJ233" s="28">
        <v>0.0</v>
      </c>
      <c r="AK233" s="28">
        <v>2102.0</v>
      </c>
      <c r="AL233" s="28">
        <v>0.0</v>
      </c>
      <c r="AM233" s="28">
        <v>155.0</v>
      </c>
      <c r="AN233" s="28">
        <v>0.0</v>
      </c>
      <c r="AO233" s="28">
        <v>0.0</v>
      </c>
      <c r="AP233" s="28">
        <v>2501380.0</v>
      </c>
      <c r="AQ233" s="28">
        <v>0.0</v>
      </c>
      <c r="AR233" s="28">
        <v>184524.4</v>
      </c>
      <c r="AS233" s="28">
        <v>0.0</v>
      </c>
      <c r="AT233" s="28">
        <v>0.0</v>
      </c>
      <c r="AU233" s="28">
        <v>2077712.279433</v>
      </c>
      <c r="AV233" s="28">
        <v>0.0</v>
      </c>
      <c r="AW233" s="28">
        <v>144461.9476744186</v>
      </c>
      <c r="AX233" s="5"/>
      <c r="AY233" s="5" t="s">
        <v>125</v>
      </c>
      <c r="AZ233" s="5" t="s">
        <v>127</v>
      </c>
      <c r="BA233" s="5" t="s">
        <v>237</v>
      </c>
      <c r="BB233" s="5" t="s">
        <v>355</v>
      </c>
      <c r="BC233" s="5" t="s">
        <v>161</v>
      </c>
      <c r="BD233" s="5" t="s">
        <v>367</v>
      </c>
      <c r="BE233" s="5" t="s">
        <v>131</v>
      </c>
      <c r="BF233" s="5" t="s">
        <v>910</v>
      </c>
    </row>
    <row r="234" ht="16.5" hidden="1" customHeight="1">
      <c r="A234" s="5" t="s">
        <v>155</v>
      </c>
      <c r="B234" s="5" t="s">
        <v>215</v>
      </c>
      <c r="C234" s="5" t="b">
        <v>1</v>
      </c>
      <c r="D234" s="5" t="s">
        <v>1502</v>
      </c>
      <c r="E234" s="5" t="s">
        <v>1503</v>
      </c>
      <c r="F234" s="5"/>
      <c r="G234" s="5" t="s">
        <v>65</v>
      </c>
      <c r="H234" s="5" t="s">
        <v>76</v>
      </c>
      <c r="I234" s="5" t="s">
        <v>82</v>
      </c>
      <c r="J234" s="25" t="s">
        <v>1945</v>
      </c>
      <c r="K234" s="25"/>
      <c r="L234" s="25" t="s">
        <v>181</v>
      </c>
      <c r="M234" s="5" t="s">
        <v>66</v>
      </c>
      <c r="N234" s="71" t="s">
        <v>355</v>
      </c>
      <c r="O234" s="5" t="s">
        <v>69</v>
      </c>
      <c r="P234" s="5" t="s">
        <v>70</v>
      </c>
      <c r="Q234" s="5" t="b">
        <v>1</v>
      </c>
      <c r="R234" s="5" t="b">
        <v>0</v>
      </c>
      <c r="S234" s="5"/>
      <c r="T234" s="5">
        <v>1800.0</v>
      </c>
      <c r="U234" s="26">
        <v>2.1</v>
      </c>
      <c r="V234" s="5">
        <v>857.0</v>
      </c>
      <c r="W234" s="27">
        <v>0.0</v>
      </c>
      <c r="X234" s="28">
        <v>857.0</v>
      </c>
      <c r="Y234" s="27">
        <v>1.0</v>
      </c>
      <c r="Z234" s="5" t="s">
        <v>78</v>
      </c>
      <c r="AA234" s="5">
        <v>0.65</v>
      </c>
      <c r="AB234" s="5"/>
      <c r="AC234" s="5" t="s">
        <v>198</v>
      </c>
      <c r="AD234" s="5" t="s">
        <v>81</v>
      </c>
      <c r="AE234" s="24">
        <v>0.0</v>
      </c>
      <c r="AF234" s="5">
        <v>1.0</v>
      </c>
      <c r="AG234" s="5" t="s">
        <v>0</v>
      </c>
      <c r="AH234" s="5" t="s">
        <v>0</v>
      </c>
      <c r="AI234" s="42"/>
      <c r="AJ234" s="28">
        <v>0.0</v>
      </c>
      <c r="AK234" s="28">
        <v>0.0</v>
      </c>
      <c r="AL234" s="28">
        <v>0.0</v>
      </c>
      <c r="AM234" s="28">
        <v>0.0</v>
      </c>
      <c r="AN234" s="28">
        <v>0.0</v>
      </c>
      <c r="AO234" s="28">
        <v>0.0</v>
      </c>
      <c r="AP234" s="28">
        <v>0.0</v>
      </c>
      <c r="AQ234" s="28">
        <v>0.0</v>
      </c>
      <c r="AR234" s="28">
        <v>0.0</v>
      </c>
      <c r="AS234" s="28">
        <v>0.0</v>
      </c>
      <c r="AT234" s="28">
        <v>0.0</v>
      </c>
      <c r="AU234" s="28">
        <v>0.0</v>
      </c>
      <c r="AV234" s="28">
        <v>0.0</v>
      </c>
      <c r="AW234" s="28">
        <v>0.0</v>
      </c>
      <c r="AX234" s="5"/>
      <c r="AY234" s="5" t="str">
        <f t="array" ref="AY234">IFERROR(_xlfn.XLOOKUP($E234,'FW27'!$C$3:$C$1102,'FW27'!$AM$3:$AM$1102),"")</f>
        <v>Essentials</v>
      </c>
      <c r="AZ234" s="5" t="str">
        <f t="array" ref="AZ234">IFERROR(_xlfn.XLOOKUP($E234,'FW27'!$C$3:$C$1102,'FW27'!$AN$3:$AN$1102),"")</f>
        <v>Active Essentials</v>
      </c>
      <c r="BB234" s="5" t="str">
        <f t="array" ref="BB234">IFERROR(_xlfn.XLOOKUP($E234,'FW27'!$C$3:$C$1102,'FW27'!$AS$3:$AS$1102),"")</f>
        <v>Insulation</v>
      </c>
      <c r="BC234" s="5" t="str">
        <f t="array" ref="BC234">IFERROR(_xlfn.XLOOKUP($E234,'FW27'!$C$3:$C$1102,'FW27'!$AT$3:$AT$1102),"")</f>
        <v>Pant</v>
      </c>
      <c r="BD234" s="5" t="str">
        <f t="array" ref="BD234">IFERROR(_xlfn.XLOOKUP($E234,'FW27'!$C$3:$C$1102,'FW27'!$AU$3:$AU$1102),"")</f>
        <v>Midweight Synthetic</v>
      </c>
      <c r="BE234" s="5" t="str">
        <f t="array" ref="BE234">IFERROR(_xlfn.XLOOKUP($E234,'FW27'!$C$3:$C$1102,'FW27'!$AV$3:$AV$1102),"")</f>
        <v>N</v>
      </c>
    </row>
    <row r="235" ht="16.5" hidden="1" customHeight="1">
      <c r="A235" s="5" t="s">
        <v>155</v>
      </c>
      <c r="B235" s="5" t="s">
        <v>215</v>
      </c>
      <c r="C235" s="5" t="b">
        <v>1</v>
      </c>
      <c r="D235" s="5" t="s">
        <v>1504</v>
      </c>
      <c r="E235" s="5" t="s">
        <v>1505</v>
      </c>
      <c r="F235" s="5"/>
      <c r="G235" s="5" t="s">
        <v>65</v>
      </c>
      <c r="H235" s="5" t="s">
        <v>76</v>
      </c>
      <c r="I235" s="5" t="s">
        <v>82</v>
      </c>
      <c r="J235" s="25" t="s">
        <v>1945</v>
      </c>
      <c r="K235" s="25"/>
      <c r="L235" s="25" t="s">
        <v>181</v>
      </c>
      <c r="M235" s="5" t="s">
        <v>66</v>
      </c>
      <c r="N235" s="71" t="s">
        <v>355</v>
      </c>
      <c r="O235" s="5" t="s">
        <v>69</v>
      </c>
      <c r="P235" s="5" t="s">
        <v>107</v>
      </c>
      <c r="Q235" s="5" t="b">
        <v>1</v>
      </c>
      <c r="R235" s="5" t="b">
        <v>0</v>
      </c>
      <c r="S235" s="5"/>
      <c r="T235" s="5">
        <v>1800.0</v>
      </c>
      <c r="U235" s="26">
        <v>2.1</v>
      </c>
      <c r="V235" s="5">
        <v>857.0</v>
      </c>
      <c r="W235" s="27">
        <v>0.0</v>
      </c>
      <c r="X235" s="28">
        <v>857.0</v>
      </c>
      <c r="Y235" s="27">
        <v>1.0</v>
      </c>
      <c r="Z235" s="5" t="s">
        <v>78</v>
      </c>
      <c r="AA235" s="5">
        <v>0.66</v>
      </c>
      <c r="AB235" s="5"/>
      <c r="AC235" s="5" t="s">
        <v>198</v>
      </c>
      <c r="AD235" s="5" t="s">
        <v>81</v>
      </c>
      <c r="AE235" s="24">
        <v>0.0</v>
      </c>
      <c r="AF235" s="5">
        <v>1.0</v>
      </c>
      <c r="AG235" s="5" t="s">
        <v>0</v>
      </c>
      <c r="AH235" s="5" t="s">
        <v>0</v>
      </c>
      <c r="AI235" s="42"/>
      <c r="AJ235" s="28">
        <v>0.0</v>
      </c>
      <c r="AK235" s="28">
        <v>0.0</v>
      </c>
      <c r="AL235" s="28">
        <v>0.0</v>
      </c>
      <c r="AM235" s="28">
        <v>0.0</v>
      </c>
      <c r="AN235" s="28">
        <v>0.0</v>
      </c>
      <c r="AO235" s="28">
        <v>0.0</v>
      </c>
      <c r="AP235" s="28">
        <v>0.0</v>
      </c>
      <c r="AQ235" s="28">
        <v>0.0</v>
      </c>
      <c r="AR235" s="28">
        <v>0.0</v>
      </c>
      <c r="AS235" s="28">
        <v>0.0</v>
      </c>
      <c r="AT235" s="28">
        <v>0.0</v>
      </c>
      <c r="AU235" s="28">
        <v>0.0</v>
      </c>
      <c r="AV235" s="28">
        <v>0.0</v>
      </c>
      <c r="AW235" s="28">
        <v>0.0</v>
      </c>
      <c r="AX235" s="5"/>
      <c r="AY235" s="5" t="str">
        <f t="array" ref="AY235">IFERROR(_xlfn.XLOOKUP($E235,'FW27'!$C$3:$C$1102,'FW27'!$AM$3:$AM$1102),"")</f>
        <v>Essentials</v>
      </c>
      <c r="AZ235" s="5" t="str">
        <f t="array" ref="AZ235">IFERROR(_xlfn.XLOOKUP($E235,'FW27'!$C$3:$C$1102,'FW27'!$AN$3:$AN$1102),"")</f>
        <v>Active Essentials</v>
      </c>
      <c r="BB235" s="5" t="str">
        <f t="array" ref="BB235">IFERROR(_xlfn.XLOOKUP($E235,'FW27'!$C$3:$C$1102,'FW27'!$AS$3:$AS$1102),"")</f>
        <v>Insulation</v>
      </c>
      <c r="BC235" s="5" t="str">
        <f t="array" ref="BC235">IFERROR(_xlfn.XLOOKUP($E235,'FW27'!$C$3:$C$1102,'FW27'!$AT$3:$AT$1102),"")</f>
        <v>Pant</v>
      </c>
      <c r="BD235" s="5" t="str">
        <f t="array" ref="BD235">IFERROR(_xlfn.XLOOKUP($E235,'FW27'!$C$3:$C$1102,'FW27'!$AU$3:$AU$1102),"")</f>
        <v>Midweight Synthetic</v>
      </c>
      <c r="BE235" s="5" t="str">
        <f t="array" ref="BE235">IFERROR(_xlfn.XLOOKUP($E235,'FW27'!$C$3:$C$1102,'FW27'!$AV$3:$AV$1102),"")</f>
        <v>N</v>
      </c>
    </row>
    <row r="236" ht="16.5" hidden="1" customHeight="1">
      <c r="A236" s="5" t="s">
        <v>155</v>
      </c>
      <c r="B236" s="5" t="s">
        <v>215</v>
      </c>
      <c r="C236" s="5" t="b">
        <v>1</v>
      </c>
      <c r="D236" s="5" t="s">
        <v>1507</v>
      </c>
      <c r="E236" s="5" t="s">
        <v>1508</v>
      </c>
      <c r="F236" s="5"/>
      <c r="G236" s="5" t="s">
        <v>65</v>
      </c>
      <c r="H236" s="5" t="s">
        <v>76</v>
      </c>
      <c r="I236" s="5" t="s">
        <v>82</v>
      </c>
      <c r="J236" s="25"/>
      <c r="K236" s="25"/>
      <c r="L236" s="25"/>
      <c r="M236" s="5" t="s">
        <v>220</v>
      </c>
      <c r="N236" s="5" t="s">
        <v>248</v>
      </c>
      <c r="O236" s="5" t="s">
        <v>69</v>
      </c>
      <c r="P236" s="5" t="s">
        <v>249</v>
      </c>
      <c r="Q236" s="5" t="b">
        <v>1</v>
      </c>
      <c r="R236" s="5" t="b">
        <v>0</v>
      </c>
      <c r="S236" s="5"/>
      <c r="T236" s="5">
        <v>500.0</v>
      </c>
      <c r="U236" s="26">
        <v>2.1</v>
      </c>
      <c r="V236" s="5">
        <v>238.0</v>
      </c>
      <c r="W236" s="27">
        <v>0.0</v>
      </c>
      <c r="X236" s="28">
        <v>238.0</v>
      </c>
      <c r="Y236" s="27">
        <v>1.0</v>
      </c>
      <c r="Z236" s="5" t="s">
        <v>117</v>
      </c>
      <c r="AA236" s="5">
        <v>0.61</v>
      </c>
      <c r="AB236" s="5"/>
      <c r="AC236" s="5" t="s">
        <v>81</v>
      </c>
      <c r="AD236" s="5" t="s">
        <v>81</v>
      </c>
      <c r="AE236" s="5">
        <v>5.0</v>
      </c>
      <c r="AF236" s="5">
        <v>5.0</v>
      </c>
      <c r="AG236" s="5" t="s">
        <v>1510</v>
      </c>
      <c r="AH236" s="5" t="s">
        <v>0</v>
      </c>
      <c r="AI236" s="42"/>
      <c r="AJ236" s="28">
        <v>3423.0</v>
      </c>
      <c r="AK236" s="28">
        <v>3406.0</v>
      </c>
      <c r="AL236" s="28">
        <v>0.0</v>
      </c>
      <c r="AM236" s="28">
        <v>0.0</v>
      </c>
      <c r="AN236" s="28">
        <v>0.0</v>
      </c>
      <c r="AO236" s="28">
        <v>815016.3</v>
      </c>
      <c r="AP236" s="28">
        <v>810628.0</v>
      </c>
      <c r="AQ236" s="28">
        <v>0.0</v>
      </c>
      <c r="AR236" s="28">
        <v>0.0</v>
      </c>
      <c r="AS236" s="28">
        <v>0.0</v>
      </c>
      <c r="AT236" s="28">
        <v>716295.8917497231</v>
      </c>
      <c r="AU236" s="28">
        <v>709851.6815749999</v>
      </c>
      <c r="AV236" s="28">
        <v>0.0</v>
      </c>
      <c r="AW236" s="28">
        <v>0.0</v>
      </c>
      <c r="AX236" s="5"/>
      <c r="AY236" s="5" t="str">
        <f t="array" ref="AY236">IFERROR(_xlfn.XLOOKUP($E236,'FW27'!$C$3:$C$1102,'FW27'!$AM$3:$AM$1102),"")</f>
        <v>Skiing/Snowboarding</v>
      </c>
      <c r="AZ236" s="5" t="str">
        <f t="array" ref="AZ236">IFERROR(_xlfn.XLOOKUP($E236,'FW27'!$C$3:$C$1102,'FW27'!$AN$3:$AN$1102),"")</f>
        <v>All Mountain</v>
      </c>
      <c r="BB236" s="5" t="str">
        <f t="array" ref="BB236">IFERROR(_xlfn.XLOOKUP($E236,'FW27'!$C$3:$C$1102,'FW27'!$AS$3:$AS$1102),"")</f>
        <v>Accessories</v>
      </c>
      <c r="BC236" s="5" t="str">
        <f t="array" ref="BC236">IFERROR(_xlfn.XLOOKUP($E236,'FW27'!$C$3:$C$1102,'FW27'!$AT$3:$AT$1102),"")</f>
        <v>Headwear</v>
      </c>
      <c r="BD236" s="5" t="str">
        <f t="array" ref="BD236">IFERROR(_xlfn.XLOOKUP($E236,'FW27'!$C$3:$C$1102,'FW27'!$AU$3:$AU$1102),"")</f>
        <v>Cap</v>
      </c>
      <c r="BE236" s="5" t="str">
        <f t="array" ref="BE236">IFERROR(_xlfn.XLOOKUP($E236,'FW27'!$C$3:$C$1102,'FW27'!$AV$3:$AV$1102),"")</f>
        <v>N</v>
      </c>
    </row>
    <row r="237" ht="16.5" hidden="1" customHeight="1">
      <c r="A237" s="5" t="s">
        <v>155</v>
      </c>
      <c r="B237" s="5" t="s">
        <v>215</v>
      </c>
      <c r="C237" s="5" t="b">
        <v>1</v>
      </c>
      <c r="D237" s="5" t="s">
        <v>1511</v>
      </c>
      <c r="E237" s="5" t="s">
        <v>1512</v>
      </c>
      <c r="F237" s="5"/>
      <c r="G237" s="5" t="s">
        <v>65</v>
      </c>
      <c r="H237" s="5" t="s">
        <v>76</v>
      </c>
      <c r="I237" s="5" t="s">
        <v>82</v>
      </c>
      <c r="J237" s="25"/>
      <c r="K237" s="25"/>
      <c r="L237" s="25" t="s">
        <v>110</v>
      </c>
      <c r="M237" s="5" t="s">
        <v>220</v>
      </c>
      <c r="N237" s="5" t="s">
        <v>355</v>
      </c>
      <c r="O237" s="5" t="s">
        <v>69</v>
      </c>
      <c r="P237" s="5" t="s">
        <v>70</v>
      </c>
      <c r="Q237" s="5" t="b">
        <v>1</v>
      </c>
      <c r="R237" s="5" t="b">
        <v>0</v>
      </c>
      <c r="S237" s="5"/>
      <c r="T237" s="5">
        <v>6500.0</v>
      </c>
      <c r="U237" s="26">
        <v>2.1</v>
      </c>
      <c r="V237" s="5">
        <v>3095.0</v>
      </c>
      <c r="W237" s="27">
        <v>0.0</v>
      </c>
      <c r="X237" s="28">
        <v>3095.0</v>
      </c>
      <c r="Y237" s="27">
        <v>1.0</v>
      </c>
      <c r="Z237" s="5" t="s">
        <v>117</v>
      </c>
      <c r="AA237" s="5">
        <v>0.55</v>
      </c>
      <c r="AB237" s="5"/>
      <c r="AC237" s="5" t="s">
        <v>359</v>
      </c>
      <c r="AD237" s="5" t="s">
        <v>511</v>
      </c>
      <c r="AE237" s="5">
        <v>2.0</v>
      </c>
      <c r="AF237" s="5">
        <v>2.0</v>
      </c>
      <c r="AG237" s="5" t="s">
        <v>1514</v>
      </c>
      <c r="AH237" s="5" t="s">
        <v>0</v>
      </c>
      <c r="AI237" s="42"/>
      <c r="AJ237" s="28">
        <v>601.0</v>
      </c>
      <c r="AK237" s="28">
        <v>1324.0</v>
      </c>
      <c r="AL237" s="28">
        <v>0.0</v>
      </c>
      <c r="AM237" s="28">
        <v>0.0</v>
      </c>
      <c r="AN237" s="28">
        <v>0.0</v>
      </c>
      <c r="AO237" s="28">
        <v>1860239.24</v>
      </c>
      <c r="AP237" s="28">
        <v>4097780.0</v>
      </c>
      <c r="AQ237" s="28">
        <v>0.0</v>
      </c>
      <c r="AR237" s="28">
        <v>0.0</v>
      </c>
      <c r="AS237" s="28">
        <v>0.0</v>
      </c>
      <c r="AT237" s="28">
        <v>1683825.207641196</v>
      </c>
      <c r="AU237" s="28">
        <v>2718665.9260650002</v>
      </c>
      <c r="AV237" s="28">
        <v>0.0</v>
      </c>
      <c r="AW237" s="28">
        <v>0.0</v>
      </c>
      <c r="AX237" s="5"/>
      <c r="AY237" s="5" t="str">
        <f t="array" ref="AY237">IFERROR(_xlfn.XLOOKUP($E237,'FW27'!$C$3:$C$1102,'FW27'!$AM$3:$AM$1102),"")</f>
        <v>Skiing/Snowboarding</v>
      </c>
      <c r="AZ237" s="5" t="str">
        <f t="array" ref="AZ237">IFERROR(_xlfn.XLOOKUP($E237,'FW27'!$C$3:$C$1102,'FW27'!$AN$3:$AN$1102),"")</f>
        <v>Ski Touring</v>
      </c>
      <c r="BA237" s="32" t="s">
        <v>1515</v>
      </c>
      <c r="BB237" s="5" t="str">
        <f t="array" ref="BB237">IFERROR(_xlfn.XLOOKUP($E237,'FW27'!$C$3:$C$1102,'FW27'!$AS$3:$AS$1102),"")</f>
        <v>Insulation</v>
      </c>
      <c r="BC237" s="5" t="str">
        <f t="array" ref="BC237">IFERROR(_xlfn.XLOOKUP($E237,'FW27'!$C$3:$C$1102,'FW27'!$AT$3:$AT$1102),"")</f>
        <v>Hooded Jacket</v>
      </c>
      <c r="BD237" s="5" t="str">
        <f t="array" ref="BD237">IFERROR(_xlfn.XLOOKUP($E237,'FW27'!$C$3:$C$1102,'FW27'!$AU$3:$AU$1102),"")</f>
        <v>Midweight Down</v>
      </c>
      <c r="BE237" s="5" t="str">
        <f t="array" ref="BE237">IFERROR(_xlfn.XLOOKUP($E237,'FW27'!$C$3:$C$1102,'FW27'!$AV$3:$AV$1102),"")</f>
        <v>N</v>
      </c>
    </row>
    <row r="238" ht="16.5" hidden="1" customHeight="1">
      <c r="A238" s="5" t="s">
        <v>155</v>
      </c>
      <c r="B238" s="5" t="s">
        <v>215</v>
      </c>
      <c r="C238" s="5" t="b">
        <v>1</v>
      </c>
      <c r="D238" s="5" t="s">
        <v>1516</v>
      </c>
      <c r="E238" s="5" t="s">
        <v>1517</v>
      </c>
      <c r="F238" s="5"/>
      <c r="G238" s="5" t="s">
        <v>65</v>
      </c>
      <c r="H238" s="5" t="s">
        <v>76</v>
      </c>
      <c r="I238" s="5" t="s">
        <v>82</v>
      </c>
      <c r="J238" s="25"/>
      <c r="K238" s="25"/>
      <c r="L238" s="25" t="s">
        <v>110</v>
      </c>
      <c r="M238" s="5" t="s">
        <v>220</v>
      </c>
      <c r="N238" s="5" t="s">
        <v>355</v>
      </c>
      <c r="O238" s="5" t="s">
        <v>69</v>
      </c>
      <c r="P238" s="5" t="s">
        <v>107</v>
      </c>
      <c r="Q238" s="5" t="b">
        <v>1</v>
      </c>
      <c r="R238" s="5" t="b">
        <v>0</v>
      </c>
      <c r="S238" s="5"/>
      <c r="T238" s="5">
        <v>6500.0</v>
      </c>
      <c r="U238" s="26">
        <v>2.1</v>
      </c>
      <c r="V238" s="5">
        <v>3095.0</v>
      </c>
      <c r="W238" s="27">
        <v>0.0</v>
      </c>
      <c r="X238" s="28">
        <v>3095.0</v>
      </c>
      <c r="Y238" s="27">
        <v>1.0</v>
      </c>
      <c r="Z238" s="5" t="s">
        <v>117</v>
      </c>
      <c r="AA238" s="5">
        <v>0.57</v>
      </c>
      <c r="AB238" s="5"/>
      <c r="AC238" s="5" t="s">
        <v>359</v>
      </c>
      <c r="AD238" s="5" t="s">
        <v>511</v>
      </c>
      <c r="AE238" s="5">
        <v>2.0</v>
      </c>
      <c r="AF238" s="5">
        <v>2.0</v>
      </c>
      <c r="AG238" s="5" t="s">
        <v>1518</v>
      </c>
      <c r="AH238" s="5" t="s">
        <v>0</v>
      </c>
      <c r="AI238" s="42"/>
      <c r="AJ238" s="28">
        <v>532.0</v>
      </c>
      <c r="AK238" s="28">
        <v>911.0</v>
      </c>
      <c r="AL238" s="28">
        <v>0.0</v>
      </c>
      <c r="AM238" s="28">
        <v>0.0</v>
      </c>
      <c r="AN238" s="28">
        <v>0.0</v>
      </c>
      <c r="AO238" s="28">
        <v>1646667.6799999997</v>
      </c>
      <c r="AP238" s="28">
        <v>2819545.0</v>
      </c>
      <c r="AQ238" s="28">
        <v>0.0</v>
      </c>
      <c r="AR238" s="28">
        <v>0.0</v>
      </c>
      <c r="AS238" s="28">
        <v>0.0</v>
      </c>
      <c r="AT238" s="28">
        <v>1527093.4172203764</v>
      </c>
      <c r="AU238" s="28">
        <v>1966613.6106000002</v>
      </c>
      <c r="AV238" s="28">
        <v>0.0</v>
      </c>
      <c r="AW238" s="28">
        <v>0.0</v>
      </c>
      <c r="AX238" s="5"/>
      <c r="AY238" s="5" t="str">
        <f t="array" ref="AY238">IFERROR(_xlfn.XLOOKUP($E238,'FW27'!$C$3:$C$1102,'FW27'!$AM$3:$AM$1102),"")</f>
        <v>Skiing/Snowboarding</v>
      </c>
      <c r="AZ238" s="5" t="str">
        <f t="array" ref="AZ238">IFERROR(_xlfn.XLOOKUP($E238,'FW27'!$C$3:$C$1102,'FW27'!$AN$3:$AN$1102),"")</f>
        <v>Ski Touring</v>
      </c>
      <c r="BA238" s="32" t="s">
        <v>1515</v>
      </c>
      <c r="BB238" s="5" t="str">
        <f t="array" ref="BB238">IFERROR(_xlfn.XLOOKUP($E238,'FW27'!$C$3:$C$1102,'FW27'!$AS$3:$AS$1102),"")</f>
        <v>Insulation</v>
      </c>
      <c r="BC238" s="5" t="str">
        <f t="array" ref="BC238">IFERROR(_xlfn.XLOOKUP($E238,'FW27'!$C$3:$C$1102,'FW27'!$AT$3:$AT$1102),"")</f>
        <v>Hooded Jacket</v>
      </c>
      <c r="BD238" s="5" t="str">
        <f t="array" ref="BD238">IFERROR(_xlfn.XLOOKUP($E238,'FW27'!$C$3:$C$1102,'FW27'!$AU$3:$AU$1102),"")</f>
        <v>Midweight Down</v>
      </c>
      <c r="BE238" s="5" t="str">
        <f t="array" ref="BE238">IFERROR(_xlfn.XLOOKUP($E238,'FW27'!$C$3:$C$1102,'FW27'!$AV$3:$AV$1102),"")</f>
        <v>N</v>
      </c>
    </row>
    <row r="239" ht="16.5" hidden="1" customHeight="1">
      <c r="A239" s="5" t="s">
        <v>155</v>
      </c>
      <c r="B239" s="5" t="s">
        <v>215</v>
      </c>
      <c r="C239" s="5" t="b">
        <v>1</v>
      </c>
      <c r="D239" s="5" t="s">
        <v>1520</v>
      </c>
      <c r="E239" s="5" t="s">
        <v>1521</v>
      </c>
      <c r="F239" s="5"/>
      <c r="G239" s="5" t="s">
        <v>65</v>
      </c>
      <c r="H239" s="5" t="s">
        <v>76</v>
      </c>
      <c r="I239" s="5" t="s">
        <v>82</v>
      </c>
      <c r="J239" s="25"/>
      <c r="K239" s="25"/>
      <c r="L239" s="25" t="s">
        <v>110</v>
      </c>
      <c r="M239" s="5" t="s">
        <v>220</v>
      </c>
      <c r="N239" s="5" t="s">
        <v>68</v>
      </c>
      <c r="O239" s="5" t="s">
        <v>69</v>
      </c>
      <c r="P239" s="5" t="s">
        <v>70</v>
      </c>
      <c r="Q239" s="5" t="b">
        <v>1</v>
      </c>
      <c r="R239" s="5" t="b">
        <v>0</v>
      </c>
      <c r="S239" s="5"/>
      <c r="T239" s="5">
        <v>7000.0</v>
      </c>
      <c r="U239" s="26">
        <v>2.1</v>
      </c>
      <c r="V239" s="5">
        <v>3333.0</v>
      </c>
      <c r="W239" s="27">
        <v>0.0</v>
      </c>
      <c r="X239" s="28">
        <v>3333.0</v>
      </c>
      <c r="Y239" s="27">
        <v>1.0</v>
      </c>
      <c r="Z239" s="5" t="s">
        <v>117</v>
      </c>
      <c r="AA239" s="5">
        <v>0.55</v>
      </c>
      <c r="AB239" s="5"/>
      <c r="AC239" s="5" t="s">
        <v>80</v>
      </c>
      <c r="AD239" s="5" t="s">
        <v>81</v>
      </c>
      <c r="AE239" s="5">
        <v>2.0</v>
      </c>
      <c r="AF239" s="5">
        <v>2.0</v>
      </c>
      <c r="AG239" s="5" t="s">
        <v>1522</v>
      </c>
      <c r="AH239" s="5" t="s">
        <v>0</v>
      </c>
      <c r="AI239" s="42"/>
      <c r="AJ239" s="28">
        <v>1138.0</v>
      </c>
      <c r="AK239" s="28">
        <v>1658.0</v>
      </c>
      <c r="AL239" s="28">
        <v>0.0</v>
      </c>
      <c r="AM239" s="28">
        <v>0.0</v>
      </c>
      <c r="AN239" s="28">
        <v>0.0</v>
      </c>
      <c r="AO239" s="28">
        <v>3793329.54</v>
      </c>
      <c r="AP239" s="28">
        <v>5526114.0</v>
      </c>
      <c r="AQ239" s="28">
        <v>0.0</v>
      </c>
      <c r="AR239" s="28">
        <v>0.0</v>
      </c>
      <c r="AS239" s="28">
        <v>0.0</v>
      </c>
      <c r="AT239" s="28">
        <v>3035641.82026578</v>
      </c>
      <c r="AU239" s="28">
        <v>3838965.6960659996</v>
      </c>
      <c r="AV239" s="28">
        <v>0.0</v>
      </c>
      <c r="AW239" s="28">
        <v>0.0</v>
      </c>
      <c r="AX239" s="5"/>
      <c r="AY239" s="5" t="str">
        <f t="array" ref="AY239">IFERROR(_xlfn.XLOOKUP($E239,'FW27'!$C$3:$C$1102,'FW27'!$AM$3:$AM$1102),"")</f>
        <v>Skiing/Snowboarding</v>
      </c>
      <c r="AZ239" s="5" t="str">
        <f t="array" ref="AZ239">IFERROR(_xlfn.XLOOKUP($E239,'FW27'!$C$3:$C$1102,'FW27'!$AN$3:$AN$1102),"")</f>
        <v>Ski Touring</v>
      </c>
      <c r="BA239" s="5" t="s">
        <v>730</v>
      </c>
      <c r="BB239" s="5" t="str">
        <f t="array" ref="BB239">IFERROR(_xlfn.XLOOKUP($E239,'FW27'!$C$3:$C$1102,'FW27'!$AS$3:$AS$1102),"")</f>
        <v>Shell</v>
      </c>
      <c r="BC239" s="5" t="str">
        <f t="array" ref="BC239">IFERROR(_xlfn.XLOOKUP($E239,'FW27'!$C$3:$C$1102,'FW27'!$AT$3:$AT$1102),"")</f>
        <v>Jacket</v>
      </c>
      <c r="BD239" s="5" t="str">
        <f t="array" ref="BD239">IFERROR(_xlfn.XLOOKUP($E239,'FW27'!$C$3:$C$1102,'FW27'!$AU$3:$AU$1102),"")</f>
        <v>3L</v>
      </c>
      <c r="BE239" s="5" t="str">
        <f t="array" ref="BE239">IFERROR(_xlfn.XLOOKUP($E239,'FW27'!$C$3:$C$1102,'FW27'!$AV$3:$AV$1102),"")</f>
        <v>Y</v>
      </c>
    </row>
    <row r="240" ht="16.5" hidden="1" customHeight="1">
      <c r="A240" s="5" t="s">
        <v>155</v>
      </c>
      <c r="B240" s="5" t="s">
        <v>215</v>
      </c>
      <c r="C240" s="5" t="b">
        <v>1</v>
      </c>
      <c r="D240" s="5" t="s">
        <v>1524</v>
      </c>
      <c r="E240" s="5" t="s">
        <v>1525</v>
      </c>
      <c r="F240" s="5"/>
      <c r="G240" s="5" t="s">
        <v>65</v>
      </c>
      <c r="H240" s="5" t="s">
        <v>76</v>
      </c>
      <c r="I240" s="5" t="s">
        <v>82</v>
      </c>
      <c r="J240" s="25"/>
      <c r="K240" s="25"/>
      <c r="L240" s="25" t="s">
        <v>110</v>
      </c>
      <c r="M240" s="5" t="s">
        <v>220</v>
      </c>
      <c r="N240" s="5" t="s">
        <v>68</v>
      </c>
      <c r="O240" s="5" t="s">
        <v>69</v>
      </c>
      <c r="P240" s="5" t="s">
        <v>107</v>
      </c>
      <c r="Q240" s="5" t="b">
        <v>1</v>
      </c>
      <c r="R240" s="5" t="b">
        <v>0</v>
      </c>
      <c r="S240" s="5"/>
      <c r="T240" s="5">
        <v>7000.0</v>
      </c>
      <c r="U240" s="26">
        <v>2.1</v>
      </c>
      <c r="V240" s="5">
        <v>3333.0</v>
      </c>
      <c r="W240" s="27">
        <v>0.0</v>
      </c>
      <c r="X240" s="28">
        <v>3333.0</v>
      </c>
      <c r="Y240" s="27">
        <v>1.0</v>
      </c>
      <c r="Z240" s="5" t="s">
        <v>117</v>
      </c>
      <c r="AA240" s="5">
        <v>0.57</v>
      </c>
      <c r="AB240" s="5"/>
      <c r="AC240" s="5" t="s">
        <v>80</v>
      </c>
      <c r="AD240" s="5" t="s">
        <v>81</v>
      </c>
      <c r="AE240" s="5">
        <v>2.0</v>
      </c>
      <c r="AF240" s="5">
        <v>2.0</v>
      </c>
      <c r="AG240" s="5" t="s">
        <v>1522</v>
      </c>
      <c r="AH240" s="5" t="s">
        <v>0</v>
      </c>
      <c r="AI240" s="42"/>
      <c r="AJ240" s="28">
        <v>846.0</v>
      </c>
      <c r="AK240" s="28">
        <v>1152.0</v>
      </c>
      <c r="AL240" s="28">
        <v>0.0</v>
      </c>
      <c r="AM240" s="28">
        <v>0.0</v>
      </c>
      <c r="AN240" s="28">
        <v>0.0</v>
      </c>
      <c r="AO240" s="28">
        <v>2819997.18</v>
      </c>
      <c r="AP240" s="28">
        <v>3839616.0</v>
      </c>
      <c r="AQ240" s="28">
        <v>0.0</v>
      </c>
      <c r="AR240" s="28">
        <v>0.0</v>
      </c>
      <c r="AS240" s="28">
        <v>0.0</v>
      </c>
      <c r="AT240" s="28">
        <v>2342017.763898117</v>
      </c>
      <c r="AU240" s="28">
        <v>2793118.1899680006</v>
      </c>
      <c r="AV240" s="28">
        <v>0.0</v>
      </c>
      <c r="AW240" s="28">
        <v>0.0</v>
      </c>
      <c r="AX240" s="5"/>
      <c r="AY240" s="5" t="str">
        <f t="array" ref="AY240">IFERROR(_xlfn.XLOOKUP($E240,'FW27'!$C$3:$C$1102,'FW27'!$AM$3:$AM$1102),"")</f>
        <v>Skiing/Snowboarding</v>
      </c>
      <c r="AZ240" s="5" t="str">
        <f t="array" ref="AZ240">IFERROR(_xlfn.XLOOKUP($E240,'FW27'!$C$3:$C$1102,'FW27'!$AN$3:$AN$1102),"")</f>
        <v>Ski Touring</v>
      </c>
      <c r="BA240" s="5" t="s">
        <v>730</v>
      </c>
      <c r="BB240" s="5" t="str">
        <f t="array" ref="BB240">IFERROR(_xlfn.XLOOKUP($E240,'FW27'!$C$3:$C$1102,'FW27'!$AS$3:$AS$1102),"")</f>
        <v>Shell</v>
      </c>
      <c r="BC240" s="5" t="str">
        <f t="array" ref="BC240">IFERROR(_xlfn.XLOOKUP($E240,'FW27'!$C$3:$C$1102,'FW27'!$AT$3:$AT$1102),"")</f>
        <v>Jacket</v>
      </c>
      <c r="BD240" s="5" t="str">
        <f t="array" ref="BD240">IFERROR(_xlfn.XLOOKUP($E240,'FW27'!$C$3:$C$1102,'FW27'!$AU$3:$AU$1102),"")</f>
        <v>3L</v>
      </c>
      <c r="BE240" s="5" t="str">
        <f t="array" ref="BE240">IFERROR(_xlfn.XLOOKUP($E240,'FW27'!$C$3:$C$1102,'FW27'!$AV$3:$AV$1102),"")</f>
        <v>Y</v>
      </c>
    </row>
    <row r="241" ht="16.5" hidden="1" customHeight="1">
      <c r="A241" s="5" t="s">
        <v>155</v>
      </c>
      <c r="B241" s="5" t="s">
        <v>215</v>
      </c>
      <c r="C241" s="5" t="b">
        <v>1</v>
      </c>
      <c r="D241" s="5" t="s">
        <v>1526</v>
      </c>
      <c r="E241" s="5" t="s">
        <v>1527</v>
      </c>
      <c r="F241" s="5"/>
      <c r="G241" s="5" t="s">
        <v>65</v>
      </c>
      <c r="H241" s="5" t="s">
        <v>76</v>
      </c>
      <c r="I241" s="5" t="s">
        <v>82</v>
      </c>
      <c r="J241" s="25"/>
      <c r="K241" s="25"/>
      <c r="L241" s="25" t="s">
        <v>181</v>
      </c>
      <c r="M241" s="5" t="s">
        <v>220</v>
      </c>
      <c r="N241" s="5" t="s">
        <v>68</v>
      </c>
      <c r="O241" s="5" t="s">
        <v>69</v>
      </c>
      <c r="P241" s="5" t="s">
        <v>70</v>
      </c>
      <c r="Q241" s="5" t="b">
        <v>1</v>
      </c>
      <c r="R241" s="5" t="b">
        <v>0</v>
      </c>
      <c r="S241" s="5"/>
      <c r="T241" s="5">
        <v>6000.0</v>
      </c>
      <c r="U241" s="26">
        <v>2.1</v>
      </c>
      <c r="V241" s="5">
        <v>2857.0</v>
      </c>
      <c r="W241" s="27">
        <v>0.0</v>
      </c>
      <c r="X241" s="28">
        <v>2857.0</v>
      </c>
      <c r="Y241" s="27">
        <v>1.0</v>
      </c>
      <c r="Z241" s="5" t="s">
        <v>117</v>
      </c>
      <c r="AA241" s="5">
        <v>0.55</v>
      </c>
      <c r="AB241" s="5"/>
      <c r="AC241" s="5" t="s">
        <v>80</v>
      </c>
      <c r="AD241" s="5" t="s">
        <v>81</v>
      </c>
      <c r="AE241" s="5">
        <v>3.0</v>
      </c>
      <c r="AF241" s="5">
        <v>3.0</v>
      </c>
      <c r="AG241" s="5" t="s">
        <v>1522</v>
      </c>
      <c r="AH241" s="5" t="s">
        <v>0</v>
      </c>
      <c r="AI241" s="42"/>
      <c r="AJ241" s="28">
        <v>917.0</v>
      </c>
      <c r="AK241" s="28">
        <v>1216.0</v>
      </c>
      <c r="AL241" s="28">
        <v>0.0</v>
      </c>
      <c r="AM241" s="28">
        <v>0.0</v>
      </c>
      <c r="AN241" s="28">
        <v>0.0</v>
      </c>
      <c r="AO241" s="28">
        <v>2619997.38</v>
      </c>
      <c r="AP241" s="28">
        <v>3474112.0</v>
      </c>
      <c r="AQ241" s="28">
        <v>0.0</v>
      </c>
      <c r="AR241" s="28">
        <v>0.0</v>
      </c>
      <c r="AS241" s="28">
        <v>0.0</v>
      </c>
      <c r="AT241" s="28">
        <v>2312064.894795127</v>
      </c>
      <c r="AU241" s="28">
        <v>2694745.600892</v>
      </c>
      <c r="AV241" s="28">
        <v>0.0</v>
      </c>
      <c r="AW241" s="28">
        <v>0.0</v>
      </c>
      <c r="AX241" s="5"/>
      <c r="AY241" s="5" t="str">
        <f t="array" ref="AY241">IFERROR(_xlfn.XLOOKUP($E241,'FW27'!$C$3:$C$1102,'FW27'!$AM$3:$AM$1102),"")</f>
        <v>Skiing/Snowboarding</v>
      </c>
      <c r="AZ241" s="5" t="str">
        <f t="array" ref="AZ241">IFERROR(_xlfn.XLOOKUP($E241,'FW27'!$C$3:$C$1102,'FW27'!$AN$3:$AN$1102),"")</f>
        <v>Ski Touring</v>
      </c>
      <c r="BA241" s="5" t="s">
        <v>730</v>
      </c>
      <c r="BB241" s="5" t="str">
        <f t="array" ref="BB241">IFERROR(_xlfn.XLOOKUP($E241,'FW27'!$C$3:$C$1102,'FW27'!$AS$3:$AS$1102),"")</f>
        <v>Shell</v>
      </c>
      <c r="BC241" s="5" t="str">
        <f t="array" ref="BC241">IFERROR(_xlfn.XLOOKUP($E241,'FW27'!$C$3:$C$1102,'FW27'!$AT$3:$AT$1102),"")</f>
        <v>Pant</v>
      </c>
      <c r="BD241" s="5" t="str">
        <f t="array" ref="BD241">IFERROR(_xlfn.XLOOKUP($E241,'FW27'!$C$3:$C$1102,'FW27'!$AU$3:$AU$1102),"")</f>
        <v>3L</v>
      </c>
      <c r="BE241" s="5" t="str">
        <f t="array" ref="BE241">IFERROR(_xlfn.XLOOKUP($E241,'FW27'!$C$3:$C$1102,'FW27'!$AV$3:$AV$1102),"")</f>
        <v>Y</v>
      </c>
    </row>
    <row r="242" ht="16.5" hidden="1" customHeight="1">
      <c r="A242" s="5" t="s">
        <v>155</v>
      </c>
      <c r="B242" s="5" t="s">
        <v>215</v>
      </c>
      <c r="C242" s="5" t="b">
        <v>1</v>
      </c>
      <c r="D242" s="5" t="s">
        <v>1529</v>
      </c>
      <c r="E242" s="5" t="s">
        <v>1530</v>
      </c>
      <c r="F242" s="5"/>
      <c r="G242" s="5" t="s">
        <v>65</v>
      </c>
      <c r="H242" s="5" t="s">
        <v>76</v>
      </c>
      <c r="I242" s="5" t="s">
        <v>82</v>
      </c>
      <c r="J242" s="25"/>
      <c r="K242" s="25"/>
      <c r="L242" s="25" t="s">
        <v>181</v>
      </c>
      <c r="M242" s="5" t="s">
        <v>220</v>
      </c>
      <c r="N242" s="5" t="s">
        <v>68</v>
      </c>
      <c r="O242" s="5" t="s">
        <v>69</v>
      </c>
      <c r="P242" s="5" t="s">
        <v>107</v>
      </c>
      <c r="Q242" s="5" t="b">
        <v>1</v>
      </c>
      <c r="R242" s="5" t="b">
        <v>0</v>
      </c>
      <c r="S242" s="5"/>
      <c r="T242" s="5">
        <v>6000.0</v>
      </c>
      <c r="U242" s="26">
        <v>2.1</v>
      </c>
      <c r="V242" s="5">
        <v>2857.0</v>
      </c>
      <c r="W242" s="27">
        <v>0.0</v>
      </c>
      <c r="X242" s="28">
        <v>2857.0</v>
      </c>
      <c r="Y242" s="27">
        <v>1.0</v>
      </c>
      <c r="Z242" s="5" t="s">
        <v>117</v>
      </c>
      <c r="AA242" s="5">
        <v>0.57</v>
      </c>
      <c r="AB242" s="5"/>
      <c r="AC242" s="5" t="s">
        <v>80</v>
      </c>
      <c r="AD242" s="5" t="s">
        <v>81</v>
      </c>
      <c r="AE242" s="5">
        <v>3.0</v>
      </c>
      <c r="AF242" s="5">
        <v>3.0</v>
      </c>
      <c r="AG242" s="5" t="s">
        <v>1522</v>
      </c>
      <c r="AH242" s="5" t="s">
        <v>0</v>
      </c>
      <c r="AI242" s="42"/>
      <c r="AJ242" s="28">
        <v>740.0</v>
      </c>
      <c r="AK242" s="28">
        <v>1032.0</v>
      </c>
      <c r="AL242" s="28">
        <v>0.0</v>
      </c>
      <c r="AM242" s="28">
        <v>0.0</v>
      </c>
      <c r="AN242" s="28">
        <v>0.0</v>
      </c>
      <c r="AO242" s="28">
        <v>2114283.6</v>
      </c>
      <c r="AP242" s="28">
        <v>2948424.0</v>
      </c>
      <c r="AQ242" s="28">
        <v>0.0</v>
      </c>
      <c r="AR242" s="28">
        <v>0.0</v>
      </c>
      <c r="AS242" s="28">
        <v>0.0</v>
      </c>
      <c r="AT242" s="28">
        <v>1900128.208194906</v>
      </c>
      <c r="AU242" s="28">
        <v>2259314.888417</v>
      </c>
      <c r="AV242" s="28">
        <v>0.0</v>
      </c>
      <c r="AW242" s="28">
        <v>0.0</v>
      </c>
      <c r="AX242" s="5"/>
      <c r="AY242" s="5" t="str">
        <f t="array" ref="AY242">IFERROR(_xlfn.XLOOKUP($E242,'FW27'!$C$3:$C$1102,'FW27'!$AM$3:$AM$1102),"")</f>
        <v>Skiing/Snowboarding</v>
      </c>
      <c r="AZ242" s="5" t="str">
        <f t="array" ref="AZ242">IFERROR(_xlfn.XLOOKUP($E242,'FW27'!$C$3:$C$1102,'FW27'!$AN$3:$AN$1102),"")</f>
        <v>Ski Touring</v>
      </c>
      <c r="BA242" s="5" t="s">
        <v>730</v>
      </c>
      <c r="BB242" s="5" t="str">
        <f t="array" ref="BB242">IFERROR(_xlfn.XLOOKUP($E242,'FW27'!$C$3:$C$1102,'FW27'!$AS$3:$AS$1102),"")</f>
        <v>Shell</v>
      </c>
      <c r="BC242" s="5" t="str">
        <f t="array" ref="BC242">IFERROR(_xlfn.XLOOKUP($E242,'FW27'!$C$3:$C$1102,'FW27'!$AT$3:$AT$1102),"")</f>
        <v>Pant</v>
      </c>
      <c r="BD242" s="5" t="str">
        <f t="array" ref="BD242">IFERROR(_xlfn.XLOOKUP($E242,'FW27'!$C$3:$C$1102,'FW27'!$AU$3:$AU$1102),"")</f>
        <v>3L</v>
      </c>
      <c r="BE242" s="5" t="str">
        <f t="array" ref="BE242">IFERROR(_xlfn.XLOOKUP($E242,'FW27'!$C$3:$C$1102,'FW27'!$AV$3:$AV$1102),"")</f>
        <v>Y</v>
      </c>
    </row>
    <row r="243" ht="16.5" hidden="1" customHeight="1">
      <c r="A243" s="5" t="s">
        <v>155</v>
      </c>
      <c r="B243" s="5" t="s">
        <v>137</v>
      </c>
      <c r="C243" s="5" t="b">
        <v>1</v>
      </c>
      <c r="D243" s="5" t="s">
        <v>726</v>
      </c>
      <c r="E243" s="5" t="s">
        <v>727</v>
      </c>
      <c r="F243" s="5"/>
      <c r="G243" s="5" t="s">
        <v>65</v>
      </c>
      <c r="H243" s="5" t="s">
        <v>84</v>
      </c>
      <c r="I243" s="5" t="s">
        <v>82</v>
      </c>
      <c r="J243" s="25"/>
      <c r="K243" s="25"/>
      <c r="L243" s="25"/>
      <c r="M243" s="5" t="s">
        <v>220</v>
      </c>
      <c r="N243" s="5" t="s">
        <v>270</v>
      </c>
      <c r="O243" s="5" t="s">
        <v>69</v>
      </c>
      <c r="P243" s="5" t="s">
        <v>70</v>
      </c>
      <c r="Q243" s="5" t="b">
        <v>1</v>
      </c>
      <c r="R243" s="5" t="b">
        <v>0</v>
      </c>
      <c r="S243" s="5"/>
      <c r="T243" s="5">
        <v>2200.0</v>
      </c>
      <c r="U243" s="26">
        <v>2.1</v>
      </c>
      <c r="V243" s="5">
        <v>1048.0</v>
      </c>
      <c r="W243" s="27">
        <v>0.0</v>
      </c>
      <c r="X243" s="28">
        <v>1048.0</v>
      </c>
      <c r="Y243" s="27">
        <v>1.0</v>
      </c>
      <c r="Z243" s="5" t="s">
        <v>117</v>
      </c>
      <c r="AA243" s="5">
        <v>0.6</v>
      </c>
      <c r="AB243" s="5"/>
      <c r="AC243" s="5" t="s">
        <v>81</v>
      </c>
      <c r="AD243" s="5" t="s">
        <v>81</v>
      </c>
      <c r="AE243" s="5">
        <v>2.0</v>
      </c>
      <c r="AF243" s="5">
        <v>2.0</v>
      </c>
      <c r="AG243" s="5" t="s">
        <v>1963</v>
      </c>
      <c r="AH243" s="5" t="s">
        <v>0</v>
      </c>
      <c r="AI243" s="42"/>
      <c r="AJ243" s="28">
        <v>1897.0</v>
      </c>
      <c r="AK243" s="28">
        <v>2560.0</v>
      </c>
      <c r="AL243" s="28">
        <v>0.0</v>
      </c>
      <c r="AM243" s="28">
        <v>345.0</v>
      </c>
      <c r="AN243" s="28">
        <v>0.0</v>
      </c>
      <c r="AO243" s="28">
        <v>1987335.1399999997</v>
      </c>
      <c r="AP243" s="28">
        <v>2682880.0</v>
      </c>
      <c r="AQ243" s="28">
        <v>0.0</v>
      </c>
      <c r="AR243" s="28">
        <v>361428.9</v>
      </c>
      <c r="AS243" s="28">
        <v>0.0</v>
      </c>
      <c r="AT243" s="28">
        <v>1486886.9542635658</v>
      </c>
      <c r="AU243" s="28">
        <v>1792068.6458600007</v>
      </c>
      <c r="AV243" s="28">
        <v>0.0</v>
      </c>
      <c r="AW243" s="28">
        <v>297713.16943521594</v>
      </c>
      <c r="AX243" s="5"/>
      <c r="AY243" s="5" t="str">
        <f t="array" ref="AY243">IFERROR(_xlfn.XLOOKUP($E243,'FW27'!$C$3:$C$1102,'FW27'!$AM$3:$AM$1102),"")</f>
        <v>Skiing/Snowboarding</v>
      </c>
      <c r="AZ243" s="5" t="str">
        <f t="array" ref="AZ243">IFERROR(_xlfn.XLOOKUP($E243,'FW27'!$C$3:$C$1102,'FW27'!$AN$3:$AN$1102),"")</f>
        <v>Ski Touring</v>
      </c>
      <c r="BA243" s="5" t="s">
        <v>730</v>
      </c>
      <c r="BB243" s="5" t="str">
        <f t="array" ref="BB243">IFERROR(_xlfn.XLOOKUP($E243,'FW27'!$C$3:$C$1102,'FW27'!$AS$3:$AS$1102),"")</f>
        <v>Fleece/Midlayer</v>
      </c>
      <c r="BC243" s="5" t="str">
        <f t="array" ref="BC243">IFERROR(_xlfn.XLOOKUP($E243,'FW27'!$C$3:$C$1102,'FW27'!$AT$3:$AT$1102),"")</f>
        <v>Jacket</v>
      </c>
      <c r="BD243" s="5" t="str">
        <f t="array" ref="BD243">IFERROR(_xlfn.XLOOKUP($E243,'FW27'!$C$3:$C$1102,'FW27'!$AU$3:$AU$1102),"")</f>
        <v>Lightweight</v>
      </c>
      <c r="BE243" s="5" t="str">
        <f t="array" ref="BE243">IFERROR(_xlfn.XLOOKUP($E243,'FW27'!$C$3:$C$1102,'FW27'!$AV$3:$AV$1102),"")</f>
        <v>N</v>
      </c>
    </row>
    <row r="244" ht="16.5" hidden="1" customHeight="1">
      <c r="A244" s="5" t="s">
        <v>155</v>
      </c>
      <c r="B244" s="5" t="s">
        <v>137</v>
      </c>
      <c r="C244" s="5" t="b">
        <v>1</v>
      </c>
      <c r="D244" s="5" t="s">
        <v>732</v>
      </c>
      <c r="E244" s="5" t="s">
        <v>733</v>
      </c>
      <c r="F244" s="5"/>
      <c r="G244" s="5" t="s">
        <v>65</v>
      </c>
      <c r="H244" s="5" t="s">
        <v>84</v>
      </c>
      <c r="I244" s="5" t="s">
        <v>82</v>
      </c>
      <c r="J244" s="25"/>
      <c r="K244" s="25"/>
      <c r="L244" s="25"/>
      <c r="M244" s="5" t="s">
        <v>220</v>
      </c>
      <c r="N244" s="5" t="s">
        <v>270</v>
      </c>
      <c r="O244" s="5" t="s">
        <v>69</v>
      </c>
      <c r="P244" s="5" t="s">
        <v>107</v>
      </c>
      <c r="Q244" s="5" t="b">
        <v>1</v>
      </c>
      <c r="R244" s="5" t="b">
        <v>0</v>
      </c>
      <c r="S244" s="5"/>
      <c r="T244" s="5">
        <v>2200.0</v>
      </c>
      <c r="U244" s="26">
        <v>2.1</v>
      </c>
      <c r="V244" s="5">
        <v>1048.0</v>
      </c>
      <c r="W244" s="27">
        <v>0.0</v>
      </c>
      <c r="X244" s="28">
        <v>1048.0</v>
      </c>
      <c r="Y244" s="27">
        <v>1.0</v>
      </c>
      <c r="Z244" s="5" t="s">
        <v>117</v>
      </c>
      <c r="AA244" s="5">
        <v>0.62</v>
      </c>
      <c r="AB244" s="5"/>
      <c r="AC244" s="5" t="s">
        <v>81</v>
      </c>
      <c r="AD244" s="5" t="s">
        <v>81</v>
      </c>
      <c r="AE244" s="5">
        <v>2.0</v>
      </c>
      <c r="AF244" s="5">
        <v>2.0</v>
      </c>
      <c r="AG244" s="5" t="s">
        <v>1963</v>
      </c>
      <c r="AH244" s="5" t="s">
        <v>0</v>
      </c>
      <c r="AI244" s="42"/>
      <c r="AJ244" s="28">
        <v>1388.0</v>
      </c>
      <c r="AK244" s="28">
        <v>1574.0</v>
      </c>
      <c r="AL244" s="28">
        <v>0.0</v>
      </c>
      <c r="AM244" s="28">
        <v>266.0</v>
      </c>
      <c r="AN244" s="28">
        <v>0.0</v>
      </c>
      <c r="AO244" s="28">
        <v>1454096.56</v>
      </c>
      <c r="AP244" s="28">
        <v>1649552.0</v>
      </c>
      <c r="AQ244" s="28">
        <v>0.0</v>
      </c>
      <c r="AR244" s="28">
        <v>278666.92</v>
      </c>
      <c r="AS244" s="28">
        <v>0.0</v>
      </c>
      <c r="AT244" s="28">
        <v>1088549.5016611295</v>
      </c>
      <c r="AU244" s="28">
        <v>1186106.339085</v>
      </c>
      <c r="AV244" s="28">
        <v>0.0</v>
      </c>
      <c r="AW244" s="28">
        <v>227042.69324473978</v>
      </c>
      <c r="AX244" s="5"/>
      <c r="AY244" s="5" t="str">
        <f t="array" ref="AY244">IFERROR(_xlfn.XLOOKUP($E244,'FW27'!$C$3:$C$1102,'FW27'!$AM$3:$AM$1102),"")</f>
        <v>Skiing/Snowboarding</v>
      </c>
      <c r="AZ244" s="5" t="str">
        <f t="array" ref="AZ244">IFERROR(_xlfn.XLOOKUP($E244,'FW27'!$C$3:$C$1102,'FW27'!$AN$3:$AN$1102),"")</f>
        <v>Ski Touring</v>
      </c>
      <c r="BA244" s="5" t="s">
        <v>730</v>
      </c>
      <c r="BB244" s="5" t="str">
        <f t="array" ref="BB244">IFERROR(_xlfn.XLOOKUP($E244,'FW27'!$C$3:$C$1102,'FW27'!$AS$3:$AS$1102),"")</f>
        <v>Fleece/Midlayer</v>
      </c>
      <c r="BC244" s="5" t="str">
        <f t="array" ref="BC244">IFERROR(_xlfn.XLOOKUP($E244,'FW27'!$C$3:$C$1102,'FW27'!$AT$3:$AT$1102),"")</f>
        <v>Jacket</v>
      </c>
      <c r="BD244" s="5" t="str">
        <f t="array" ref="BD244">IFERROR(_xlfn.XLOOKUP($E244,'FW27'!$C$3:$C$1102,'FW27'!$AU$3:$AU$1102),"")</f>
        <v>Lightweight</v>
      </c>
      <c r="BE244" s="5" t="str">
        <f t="array" ref="BE244">IFERROR(_xlfn.XLOOKUP($E244,'FW27'!$C$3:$C$1102,'FW27'!$AV$3:$AV$1102),"")</f>
        <v>N</v>
      </c>
    </row>
    <row r="245" ht="16.5" hidden="1" customHeight="1">
      <c r="A245" s="5" t="s">
        <v>155</v>
      </c>
      <c r="B245" s="24" t="s">
        <v>0</v>
      </c>
      <c r="C245" s="5" t="b">
        <v>1</v>
      </c>
      <c r="D245" s="5" t="s">
        <v>1972</v>
      </c>
      <c r="E245" s="5" t="s">
        <v>1973</v>
      </c>
      <c r="F245" s="5"/>
      <c r="G245" s="5" t="s">
        <v>65</v>
      </c>
      <c r="H245" s="5" t="s">
        <v>84</v>
      </c>
      <c r="I245" s="5" t="s">
        <v>82</v>
      </c>
      <c r="J245" s="25" t="s">
        <v>164</v>
      </c>
      <c r="K245" s="25"/>
      <c r="L245" s="25"/>
      <c r="M245" s="5" t="s">
        <v>66</v>
      </c>
      <c r="N245" s="5" t="s">
        <v>248</v>
      </c>
      <c r="O245" s="24" t="s">
        <v>69</v>
      </c>
      <c r="P245" s="5" t="s">
        <v>249</v>
      </c>
      <c r="Q245" s="5" t="b">
        <v>1</v>
      </c>
      <c r="R245" s="5" t="b">
        <v>0</v>
      </c>
      <c r="S245" s="5"/>
      <c r="T245" s="5">
        <v>300.0</v>
      </c>
      <c r="U245" s="26">
        <v>2.1</v>
      </c>
      <c r="V245" s="5">
        <v>143.0</v>
      </c>
      <c r="W245" s="27">
        <v>0.0</v>
      </c>
      <c r="X245" s="28">
        <v>143.0</v>
      </c>
      <c r="Y245" s="27">
        <v>1.0</v>
      </c>
      <c r="Z245" s="24" t="s">
        <v>0</v>
      </c>
      <c r="AA245" s="5">
        <v>0.0</v>
      </c>
      <c r="AB245" s="5"/>
      <c r="AC245" s="24" t="s">
        <v>0</v>
      </c>
      <c r="AD245" s="24" t="s">
        <v>0</v>
      </c>
      <c r="AE245" s="5">
        <v>3.0</v>
      </c>
      <c r="AF245" s="5">
        <v>0.0</v>
      </c>
      <c r="AG245" s="5" t="s">
        <v>0</v>
      </c>
      <c r="AH245" s="5" t="s">
        <v>0</v>
      </c>
      <c r="AI245" s="42"/>
      <c r="AJ245" s="28">
        <v>0.0</v>
      </c>
      <c r="AK245" s="28">
        <v>0.0</v>
      </c>
      <c r="AL245" s="28">
        <v>0.0</v>
      </c>
      <c r="AM245" s="28">
        <v>0.0</v>
      </c>
      <c r="AN245" s="28">
        <v>0.0</v>
      </c>
      <c r="AO245" s="28">
        <v>0.0</v>
      </c>
      <c r="AP245" s="28">
        <v>0.0</v>
      </c>
      <c r="AQ245" s="28">
        <v>0.0</v>
      </c>
      <c r="AR245" s="28">
        <v>0.0</v>
      </c>
      <c r="AS245" s="28">
        <v>0.0</v>
      </c>
      <c r="AT245" s="28">
        <v>0.0</v>
      </c>
      <c r="AU245" s="28">
        <v>0.0</v>
      </c>
      <c r="AV245" s="28">
        <v>0.0</v>
      </c>
      <c r="AW245" s="28">
        <v>0.0</v>
      </c>
      <c r="AX245" s="5"/>
      <c r="AY245" s="5" t="s">
        <v>125</v>
      </c>
      <c r="AZ245" s="5" t="s">
        <v>127</v>
      </c>
      <c r="BB245" s="5" t="s">
        <v>248</v>
      </c>
      <c r="BC245" s="5" t="s">
        <v>1976</v>
      </c>
      <c r="BE245" s="5" t="s">
        <v>131</v>
      </c>
    </row>
    <row r="246" ht="16.5" hidden="1" customHeight="1">
      <c r="A246" s="5" t="s">
        <v>155</v>
      </c>
      <c r="B246" s="5" t="s">
        <v>137</v>
      </c>
      <c r="C246" s="5" t="b">
        <v>1</v>
      </c>
      <c r="D246" s="5" t="s">
        <v>736</v>
      </c>
      <c r="E246" s="5" t="s">
        <v>737</v>
      </c>
      <c r="F246" s="5"/>
      <c r="G246" s="5" t="s">
        <v>65</v>
      </c>
      <c r="H246" s="5" t="s">
        <v>84</v>
      </c>
      <c r="I246" s="5" t="s">
        <v>82</v>
      </c>
      <c r="J246" s="25"/>
      <c r="K246" s="25"/>
      <c r="L246" s="25" t="s">
        <v>110</v>
      </c>
      <c r="M246" s="5" t="s">
        <v>66</v>
      </c>
      <c r="N246" s="5" t="s">
        <v>68</v>
      </c>
      <c r="O246" s="5" t="s">
        <v>69</v>
      </c>
      <c r="P246" s="5" t="s">
        <v>70</v>
      </c>
      <c r="Q246" s="5" t="b">
        <v>1</v>
      </c>
      <c r="R246" s="5" t="b">
        <v>0</v>
      </c>
      <c r="S246" s="5"/>
      <c r="T246" s="5">
        <v>1300.0</v>
      </c>
      <c r="U246" s="26">
        <v>2.1</v>
      </c>
      <c r="V246" s="5">
        <v>619.0</v>
      </c>
      <c r="W246" s="27">
        <v>0.0</v>
      </c>
      <c r="X246" s="28">
        <v>619.0</v>
      </c>
      <c r="Y246" s="27">
        <v>1.0</v>
      </c>
      <c r="Z246" s="5" t="s">
        <v>117</v>
      </c>
      <c r="AA246" s="5">
        <v>0.6</v>
      </c>
      <c r="AB246" s="5"/>
      <c r="AC246" s="5" t="s">
        <v>81</v>
      </c>
      <c r="AD246" s="5" t="s">
        <v>81</v>
      </c>
      <c r="AE246" s="5">
        <v>4.0</v>
      </c>
      <c r="AF246" s="5">
        <v>3.0</v>
      </c>
      <c r="AG246" s="5" t="s">
        <v>1938</v>
      </c>
      <c r="AH246" s="5" t="s">
        <v>0</v>
      </c>
      <c r="AI246" s="42"/>
      <c r="AJ246" s="28">
        <v>664.0</v>
      </c>
      <c r="AK246" s="28">
        <v>0.0</v>
      </c>
      <c r="AL246" s="28">
        <v>0.0</v>
      </c>
      <c r="AM246" s="28">
        <v>3656.0</v>
      </c>
      <c r="AN246" s="28">
        <v>0.0</v>
      </c>
      <c r="AO246" s="28">
        <v>411049.19999999995</v>
      </c>
      <c r="AP246" s="28">
        <v>0.0</v>
      </c>
      <c r="AQ246" s="28">
        <v>0.0</v>
      </c>
      <c r="AR246" s="28">
        <v>2263246.8</v>
      </c>
      <c r="AS246" s="28">
        <v>0.0</v>
      </c>
      <c r="AT246" s="28">
        <v>337684.71428571426</v>
      </c>
      <c r="AU246" s="28">
        <v>0.0</v>
      </c>
      <c r="AV246" s="28">
        <v>0.0</v>
      </c>
      <c r="AW246" s="28">
        <v>1536111.0780730897</v>
      </c>
      <c r="AX246" s="5"/>
      <c r="AY246" s="5" t="str">
        <f t="array" ref="AY246">IFERROR(_xlfn.XLOOKUP($E246,'FW27'!$C$3:$C$1102,'FW27'!$AM$3:$AM$1102),"")</f>
        <v>Outdoor</v>
      </c>
      <c r="AZ246" s="5" t="str">
        <f t="array" ref="AZ246">IFERROR(_xlfn.XLOOKUP($E246,'FW27'!$C$3:$C$1102,'FW27'!$AN$3:$AN$1102),"")</f>
        <v>Day Hiking</v>
      </c>
      <c r="BA246" s="32" t="s">
        <v>379</v>
      </c>
      <c r="BB246" s="5" t="str">
        <f t="array" ref="BB246">IFERROR(_xlfn.XLOOKUP($E246,'FW27'!$C$3:$C$1102,'FW27'!$AS$3:$AS$1102),"")</f>
        <v>Softshell</v>
      </c>
      <c r="BC246" s="5" t="str">
        <f t="array" ref="BC246">IFERROR(_xlfn.XLOOKUP($E246,'FW27'!$C$3:$C$1102,'FW27'!$AT$3:$AT$1102),"")</f>
        <v>Hooded Jacket</v>
      </c>
      <c r="BD246" s="5" t="str">
        <f t="array" ref="BD246">IFERROR(_xlfn.XLOOKUP($E246,'FW27'!$C$3:$C$1102,'FW27'!$AU$3:$AU$1102),"")</f>
        <v>Windbreaker</v>
      </c>
      <c r="BE246" s="5" t="str">
        <f t="array" ref="BE246">IFERROR(_xlfn.XLOOKUP($E246,'FW27'!$C$3:$C$1102,'FW27'!$AV$3:$AV$1102),"")</f>
        <v>N</v>
      </c>
    </row>
    <row r="247" ht="16.5" hidden="1" customHeight="1">
      <c r="A247" s="5" t="s">
        <v>155</v>
      </c>
      <c r="B247" s="5" t="s">
        <v>137</v>
      </c>
      <c r="C247" s="5" t="b">
        <v>1</v>
      </c>
      <c r="D247" s="47" t="s">
        <v>1453</v>
      </c>
      <c r="E247" s="47" t="s">
        <v>1454</v>
      </c>
      <c r="F247" s="47"/>
      <c r="G247" s="47" t="s">
        <v>65</v>
      </c>
      <c r="H247" s="47" t="s">
        <v>74</v>
      </c>
      <c r="I247" s="47" t="s">
        <v>82</v>
      </c>
      <c r="J247" s="48" t="s">
        <v>322</v>
      </c>
      <c r="K247" s="25" t="s">
        <v>150</v>
      </c>
      <c r="L247" s="25" t="s">
        <v>110</v>
      </c>
      <c r="M247" s="5" t="s">
        <v>66</v>
      </c>
      <c r="N247" s="5" t="s">
        <v>68</v>
      </c>
      <c r="O247" s="5" t="s">
        <v>96</v>
      </c>
      <c r="P247" s="5" t="s">
        <v>70</v>
      </c>
      <c r="Q247" s="5" t="b">
        <v>1</v>
      </c>
      <c r="R247" s="5" t="b">
        <v>0</v>
      </c>
      <c r="S247" s="5"/>
      <c r="T247" s="5">
        <v>1300.0</v>
      </c>
      <c r="U247" s="26">
        <v>2.1</v>
      </c>
      <c r="V247" s="5">
        <v>619.0</v>
      </c>
      <c r="W247" s="27">
        <v>0.0</v>
      </c>
      <c r="X247" s="28">
        <v>619.0</v>
      </c>
      <c r="Y247" s="27">
        <v>1.0</v>
      </c>
      <c r="Z247" s="5" t="s">
        <v>117</v>
      </c>
      <c r="AA247" s="27">
        <v>0.6</v>
      </c>
      <c r="AB247" s="5"/>
      <c r="AC247" s="5" t="s">
        <v>81</v>
      </c>
      <c r="AD247" s="5" t="s">
        <v>81</v>
      </c>
      <c r="AE247" s="24">
        <v>0.0</v>
      </c>
      <c r="AF247" s="5">
        <v>4.0</v>
      </c>
      <c r="AG247" s="5" t="s">
        <v>0</v>
      </c>
      <c r="AH247" s="5" t="s">
        <v>471</v>
      </c>
      <c r="AI247" s="56"/>
      <c r="AJ247" s="28">
        <v>0.0</v>
      </c>
      <c r="AK247" s="28">
        <v>0.0</v>
      </c>
      <c r="AL247" s="28">
        <v>0.0</v>
      </c>
      <c r="AM247" s="28">
        <v>0.0</v>
      </c>
      <c r="AN247" s="28">
        <v>0.0</v>
      </c>
      <c r="AO247" s="28">
        <v>0.0</v>
      </c>
      <c r="AP247" s="28">
        <v>0.0</v>
      </c>
      <c r="AQ247" s="28">
        <v>0.0</v>
      </c>
      <c r="AR247" s="28">
        <v>0.0</v>
      </c>
      <c r="AS247" s="28">
        <v>0.0</v>
      </c>
      <c r="AT247" s="28">
        <v>0.0</v>
      </c>
      <c r="AU247" s="28">
        <v>0.0</v>
      </c>
      <c r="AV247" s="28">
        <v>0.0</v>
      </c>
      <c r="AW247" s="28">
        <v>0.0</v>
      </c>
      <c r="AX247" s="5"/>
      <c r="AY247" s="5" t="s">
        <v>86</v>
      </c>
      <c r="AZ247" s="5" t="s">
        <v>87</v>
      </c>
      <c r="BA247" s="32" t="s">
        <v>379</v>
      </c>
      <c r="BB247" s="5" t="s">
        <v>126</v>
      </c>
      <c r="BC247" s="5" t="s">
        <v>161</v>
      </c>
      <c r="BD247" s="5" t="s">
        <v>616</v>
      </c>
      <c r="BE247" s="5" t="s">
        <v>131</v>
      </c>
    </row>
    <row r="248" ht="16.5" hidden="1" customHeight="1">
      <c r="A248" s="5" t="s">
        <v>155</v>
      </c>
      <c r="B248" s="5" t="s">
        <v>137</v>
      </c>
      <c r="C248" s="5" t="b">
        <v>1</v>
      </c>
      <c r="D248" s="5" t="s">
        <v>739</v>
      </c>
      <c r="E248" s="5" t="s">
        <v>740</v>
      </c>
      <c r="F248" s="5"/>
      <c r="G248" s="5" t="s">
        <v>65</v>
      </c>
      <c r="H248" s="5" t="s">
        <v>84</v>
      </c>
      <c r="I248" s="5" t="s">
        <v>82</v>
      </c>
      <c r="J248" s="25"/>
      <c r="K248" s="25"/>
      <c r="L248" s="25" t="s">
        <v>110</v>
      </c>
      <c r="M248" s="5" t="s">
        <v>66</v>
      </c>
      <c r="N248" s="5" t="s">
        <v>68</v>
      </c>
      <c r="O248" s="5" t="s">
        <v>69</v>
      </c>
      <c r="P248" s="5" t="s">
        <v>107</v>
      </c>
      <c r="Q248" s="5" t="b">
        <v>1</v>
      </c>
      <c r="R248" s="5" t="b">
        <v>0</v>
      </c>
      <c r="S248" s="5"/>
      <c r="T248" s="5">
        <v>1300.0</v>
      </c>
      <c r="U248" s="26">
        <v>2.1</v>
      </c>
      <c r="V248" s="5">
        <v>619.0</v>
      </c>
      <c r="W248" s="27">
        <v>0.0</v>
      </c>
      <c r="X248" s="28">
        <v>619.0</v>
      </c>
      <c r="Y248" s="27">
        <v>1.0</v>
      </c>
      <c r="Z248" s="5" t="s">
        <v>117</v>
      </c>
      <c r="AA248" s="5">
        <v>0.6</v>
      </c>
      <c r="AB248" s="5"/>
      <c r="AC248" s="5" t="s">
        <v>81</v>
      </c>
      <c r="AD248" s="5" t="s">
        <v>81</v>
      </c>
      <c r="AE248" s="5">
        <v>4.0</v>
      </c>
      <c r="AF248" s="5">
        <v>3.0</v>
      </c>
      <c r="AG248" s="5" t="s">
        <v>1938</v>
      </c>
      <c r="AH248" s="5" t="s">
        <v>0</v>
      </c>
      <c r="AI248" s="42"/>
      <c r="AJ248" s="28">
        <v>376.0</v>
      </c>
      <c r="AK248" s="28">
        <v>0.0</v>
      </c>
      <c r="AL248" s="28">
        <v>0.0</v>
      </c>
      <c r="AM248" s="28">
        <v>2801.0</v>
      </c>
      <c r="AN248" s="28">
        <v>0.0</v>
      </c>
      <c r="AO248" s="28">
        <v>232762.8</v>
      </c>
      <c r="AP248" s="28">
        <v>0.0</v>
      </c>
      <c r="AQ248" s="28">
        <v>0.0</v>
      </c>
      <c r="AR248" s="28">
        <v>1733959.0499999998</v>
      </c>
      <c r="AS248" s="28">
        <v>0.0</v>
      </c>
      <c r="AT248" s="28">
        <v>204333.2380952381</v>
      </c>
      <c r="AU248" s="28">
        <v>0.0</v>
      </c>
      <c r="AV248" s="28">
        <v>0.0</v>
      </c>
      <c r="AW248" s="28">
        <v>1222887.6486157249</v>
      </c>
      <c r="AX248" s="5"/>
      <c r="AY248" s="5" t="str">
        <f t="array" ref="AY248">IFERROR(_xlfn.XLOOKUP($E248,'FW27'!$C$3:$C$1102,'FW27'!$AM$3:$AM$1102),"")</f>
        <v>Outdoor</v>
      </c>
      <c r="AZ248" s="5" t="str">
        <f t="array" ref="AZ248">IFERROR(_xlfn.XLOOKUP($E248,'FW27'!$C$3:$C$1102,'FW27'!$AN$3:$AN$1102),"")</f>
        <v>Day Hiking</v>
      </c>
      <c r="BA248" s="32" t="s">
        <v>379</v>
      </c>
      <c r="BB248" s="5" t="str">
        <f t="array" ref="BB248">IFERROR(_xlfn.XLOOKUP($E248,'FW27'!$C$3:$C$1102,'FW27'!$AS$3:$AS$1102),"")</f>
        <v>Softshell</v>
      </c>
      <c r="BC248" s="5" t="str">
        <f t="array" ref="BC248">IFERROR(_xlfn.XLOOKUP($E248,'FW27'!$C$3:$C$1102,'FW27'!$AT$3:$AT$1102),"")</f>
        <v>Hooded Jacket</v>
      </c>
      <c r="BD248" s="5" t="str">
        <f t="array" ref="BD248">IFERROR(_xlfn.XLOOKUP($E248,'FW27'!$C$3:$C$1102,'FW27'!$AU$3:$AU$1102),"")</f>
        <v>Windbreaker</v>
      </c>
      <c r="BE248" s="5" t="str">
        <f t="array" ref="BE248">IFERROR(_xlfn.XLOOKUP($E248,'FW27'!$C$3:$C$1102,'FW27'!$AV$3:$AV$1102),"")</f>
        <v>N</v>
      </c>
    </row>
    <row r="249" ht="16.5" hidden="1" customHeight="1">
      <c r="A249" s="5" t="s">
        <v>155</v>
      </c>
      <c r="B249" s="5" t="s">
        <v>137</v>
      </c>
      <c r="C249" s="5" t="b">
        <v>1</v>
      </c>
      <c r="D249" s="82" t="s">
        <v>1457</v>
      </c>
      <c r="E249" s="47" t="s">
        <v>1458</v>
      </c>
      <c r="F249" s="47"/>
      <c r="G249" s="47" t="s">
        <v>65</v>
      </c>
      <c r="H249" s="47" t="s">
        <v>74</v>
      </c>
      <c r="I249" s="47" t="s">
        <v>82</v>
      </c>
      <c r="J249" s="48" t="s">
        <v>322</v>
      </c>
      <c r="K249" s="25" t="s">
        <v>150</v>
      </c>
      <c r="L249" s="25" t="s">
        <v>110</v>
      </c>
      <c r="M249" s="5" t="s">
        <v>66</v>
      </c>
      <c r="N249" s="5" t="s">
        <v>68</v>
      </c>
      <c r="O249" s="5" t="s">
        <v>96</v>
      </c>
      <c r="P249" s="5" t="s">
        <v>107</v>
      </c>
      <c r="Q249" s="5" t="b">
        <v>1</v>
      </c>
      <c r="R249" s="5" t="b">
        <v>0</v>
      </c>
      <c r="S249" s="5"/>
      <c r="T249" s="5">
        <v>1300.0</v>
      </c>
      <c r="U249" s="26">
        <v>2.1</v>
      </c>
      <c r="V249" s="5">
        <v>619.0</v>
      </c>
      <c r="W249" s="27">
        <v>0.0</v>
      </c>
      <c r="X249" s="28">
        <v>619.0</v>
      </c>
      <c r="Y249" s="27">
        <v>1.0</v>
      </c>
      <c r="Z249" s="5" t="s">
        <v>117</v>
      </c>
      <c r="AA249" s="27">
        <v>0.6</v>
      </c>
      <c r="AB249" s="5"/>
      <c r="AC249" s="5" t="s">
        <v>81</v>
      </c>
      <c r="AD249" s="5" t="s">
        <v>81</v>
      </c>
      <c r="AE249" s="24">
        <v>0.0</v>
      </c>
      <c r="AF249" s="5">
        <v>4.0</v>
      </c>
      <c r="AG249" s="5" t="s">
        <v>0</v>
      </c>
      <c r="AH249" s="5" t="s">
        <v>471</v>
      </c>
      <c r="AI249" s="56"/>
      <c r="AJ249" s="28">
        <v>0.0</v>
      </c>
      <c r="AK249" s="28">
        <v>0.0</v>
      </c>
      <c r="AL249" s="28">
        <v>0.0</v>
      </c>
      <c r="AM249" s="28">
        <v>0.0</v>
      </c>
      <c r="AN249" s="28">
        <v>0.0</v>
      </c>
      <c r="AO249" s="28">
        <v>0.0</v>
      </c>
      <c r="AP249" s="28">
        <v>0.0</v>
      </c>
      <c r="AQ249" s="28">
        <v>0.0</v>
      </c>
      <c r="AR249" s="28">
        <v>0.0</v>
      </c>
      <c r="AS249" s="28">
        <v>0.0</v>
      </c>
      <c r="AT249" s="28">
        <v>0.0</v>
      </c>
      <c r="AU249" s="28">
        <v>0.0</v>
      </c>
      <c r="AV249" s="28">
        <v>0.0</v>
      </c>
      <c r="AW249" s="28">
        <v>0.0</v>
      </c>
      <c r="AX249" s="5"/>
      <c r="AY249" s="5" t="s">
        <v>86</v>
      </c>
      <c r="AZ249" s="5" t="s">
        <v>87</v>
      </c>
      <c r="BA249" s="32" t="s">
        <v>379</v>
      </c>
      <c r="BB249" s="5" t="s">
        <v>126</v>
      </c>
      <c r="BC249" s="5" t="s">
        <v>161</v>
      </c>
      <c r="BD249" s="5" t="s">
        <v>616</v>
      </c>
      <c r="BE249" s="5" t="s">
        <v>131</v>
      </c>
    </row>
    <row r="250" ht="16.5" hidden="1" customHeight="1">
      <c r="A250" s="5" t="s">
        <v>155</v>
      </c>
      <c r="B250" s="5" t="s">
        <v>137</v>
      </c>
      <c r="C250" s="5" t="b">
        <v>1</v>
      </c>
      <c r="D250" s="5" t="s">
        <v>1539</v>
      </c>
      <c r="E250" s="5" t="s">
        <v>1541</v>
      </c>
      <c r="F250" s="5"/>
      <c r="G250" s="5" t="s">
        <v>65</v>
      </c>
      <c r="H250" s="5" t="s">
        <v>76</v>
      </c>
      <c r="I250" s="5" t="s">
        <v>82</v>
      </c>
      <c r="J250" s="25"/>
      <c r="K250" s="25"/>
      <c r="L250" s="25"/>
      <c r="M250" s="5" t="s">
        <v>66</v>
      </c>
      <c r="N250" s="5" t="s">
        <v>248</v>
      </c>
      <c r="O250" s="5" t="s">
        <v>69</v>
      </c>
      <c r="P250" s="5" t="s">
        <v>249</v>
      </c>
      <c r="Q250" s="5" t="b">
        <v>1</v>
      </c>
      <c r="R250" s="5" t="b">
        <v>0</v>
      </c>
      <c r="S250" s="5"/>
      <c r="T250" s="5">
        <v>400.0</v>
      </c>
      <c r="U250" s="26">
        <v>2.1</v>
      </c>
      <c r="V250" s="5">
        <v>190.0</v>
      </c>
      <c r="W250" s="27">
        <v>0.0</v>
      </c>
      <c r="X250" s="28">
        <v>190.0</v>
      </c>
      <c r="Y250" s="27">
        <v>1.0</v>
      </c>
      <c r="Z250" s="5" t="s">
        <v>78</v>
      </c>
      <c r="AA250" s="5">
        <v>0.64</v>
      </c>
      <c r="AB250" s="5"/>
      <c r="AC250" s="5" t="s">
        <v>81</v>
      </c>
      <c r="AD250" s="5" t="s">
        <v>81</v>
      </c>
      <c r="AE250" s="5">
        <v>6.0</v>
      </c>
      <c r="AF250" s="5">
        <v>6.0</v>
      </c>
      <c r="AG250" s="5" t="s">
        <v>1543</v>
      </c>
      <c r="AH250" s="5" t="s">
        <v>0</v>
      </c>
      <c r="AI250" s="42"/>
      <c r="AJ250" s="28">
        <v>5808.0</v>
      </c>
      <c r="AK250" s="28">
        <v>5316.0</v>
      </c>
      <c r="AL250" s="28">
        <v>0.0</v>
      </c>
      <c r="AM250" s="28">
        <v>0.0</v>
      </c>
      <c r="AN250" s="28">
        <v>0.0</v>
      </c>
      <c r="AO250" s="28">
        <v>1106307.84</v>
      </c>
      <c r="AP250" s="28">
        <v>1010040.0</v>
      </c>
      <c r="AQ250" s="28">
        <v>0.0</v>
      </c>
      <c r="AR250" s="28">
        <v>0.0</v>
      </c>
      <c r="AS250" s="28">
        <v>0.0</v>
      </c>
      <c r="AT250" s="28">
        <v>930780.0024363234</v>
      </c>
      <c r="AU250" s="28">
        <v>851087.4940750002</v>
      </c>
      <c r="AV250" s="28">
        <v>0.0</v>
      </c>
      <c r="AW250" s="28">
        <v>0.0</v>
      </c>
      <c r="AX250" s="5"/>
      <c r="AY250" s="5" t="str">
        <f t="array" ref="AY250">IFERROR(_xlfn.XLOOKUP($E250,'FW27'!$C$3:$C$1102,'FW27'!$AM$3:$AM$1102),"")</f>
        <v>Essentials</v>
      </c>
      <c r="AZ250" s="5" t="str">
        <f t="array" ref="AZ250">IFERROR(_xlfn.XLOOKUP($E250,'FW27'!$C$3:$C$1102,'FW27'!$AN$3:$AN$1102),"")</f>
        <v>Active Essentials</v>
      </c>
      <c r="BB250" s="5" t="str">
        <f t="array" ref="BB250">IFERROR(_xlfn.XLOOKUP($E250,'FW27'!$C$3:$C$1102,'FW27'!$AS$3:$AS$1102),"")</f>
        <v>Accessories</v>
      </c>
      <c r="BC250" s="5" t="str">
        <f t="array" ref="BC250">IFERROR(_xlfn.XLOOKUP($E250,'FW27'!$C$3:$C$1102,'FW27'!$AT$3:$AT$1102),"")</f>
        <v>Headwear</v>
      </c>
      <c r="BD250" s="5" t="str">
        <f t="array" ref="BD250">IFERROR(_xlfn.XLOOKUP($E250,'FW27'!$C$3:$C$1102,'FW27'!$AU$3:$AU$1102),"")</f>
        <v>Beanie</v>
      </c>
      <c r="BE250" s="5" t="str">
        <f t="array" ref="BE250">IFERROR(_xlfn.XLOOKUP($E250,'FW27'!$C$3:$C$1102,'FW27'!$AV$3:$AV$1102),"")</f>
        <v>N</v>
      </c>
    </row>
    <row r="251" ht="16.5" hidden="1" customHeight="1">
      <c r="A251" s="5" t="s">
        <v>155</v>
      </c>
      <c r="B251" s="5" t="s">
        <v>137</v>
      </c>
      <c r="C251" s="5" t="b">
        <v>1</v>
      </c>
      <c r="D251" s="5" t="s">
        <v>745</v>
      </c>
      <c r="E251" s="5" t="s">
        <v>747</v>
      </c>
      <c r="F251" s="5"/>
      <c r="G251" s="5" t="s">
        <v>65</v>
      </c>
      <c r="H251" s="5" t="s">
        <v>84</v>
      </c>
      <c r="I251" s="5" t="s">
        <v>82</v>
      </c>
      <c r="J251" s="25"/>
      <c r="K251" s="25"/>
      <c r="L251" s="25"/>
      <c r="M251" s="5" t="s">
        <v>66</v>
      </c>
      <c r="N251" s="5" t="s">
        <v>334</v>
      </c>
      <c r="O251" s="5" t="s">
        <v>69</v>
      </c>
      <c r="P251" s="5" t="s">
        <v>70</v>
      </c>
      <c r="Q251" s="5" t="b">
        <v>1</v>
      </c>
      <c r="R251" s="5" t="b">
        <v>0</v>
      </c>
      <c r="S251" s="5"/>
      <c r="T251" s="5">
        <v>450.0</v>
      </c>
      <c r="U251" s="26">
        <v>2.1</v>
      </c>
      <c r="V251" s="5">
        <v>214.0</v>
      </c>
      <c r="W251" s="27">
        <v>0.0</v>
      </c>
      <c r="X251" s="28">
        <v>214.0</v>
      </c>
      <c r="Y251" s="27">
        <v>1.0</v>
      </c>
      <c r="Z251" s="5" t="s">
        <v>117</v>
      </c>
      <c r="AA251" s="5">
        <v>0.62</v>
      </c>
      <c r="AB251" s="5"/>
      <c r="AC251" s="5" t="s">
        <v>81</v>
      </c>
      <c r="AD251" s="5" t="s">
        <v>81</v>
      </c>
      <c r="AE251" s="5">
        <v>5.0</v>
      </c>
      <c r="AF251" s="5">
        <v>2.0</v>
      </c>
      <c r="AG251" s="5" t="s">
        <v>0</v>
      </c>
      <c r="AH251" s="5" t="s">
        <v>0</v>
      </c>
      <c r="AI251" s="42"/>
      <c r="AJ251" s="28">
        <v>1118.0</v>
      </c>
      <c r="AK251" s="28">
        <v>1130.0</v>
      </c>
      <c r="AL251" s="28">
        <v>0.0</v>
      </c>
      <c r="AM251" s="28">
        <v>4801.0</v>
      </c>
      <c r="AN251" s="28">
        <v>0.0</v>
      </c>
      <c r="AO251" s="28">
        <v>239576.22</v>
      </c>
      <c r="AP251" s="28">
        <v>241820.0</v>
      </c>
      <c r="AQ251" s="28">
        <v>0.0</v>
      </c>
      <c r="AR251" s="28">
        <v>1028806.2900000002</v>
      </c>
      <c r="AS251" s="28">
        <v>0.0</v>
      </c>
      <c r="AT251" s="28">
        <v>202085.16367663344</v>
      </c>
      <c r="AU251" s="28">
        <v>209987.55329999997</v>
      </c>
      <c r="AV251" s="28">
        <v>0.0</v>
      </c>
      <c r="AW251" s="28">
        <v>715124.6934108521</v>
      </c>
      <c r="AX251" s="5"/>
      <c r="AY251" s="5" t="str">
        <f t="array" ref="AY251">IFERROR(_xlfn.XLOOKUP($E251,'FW27'!$C$3:$C$1102,'FW27'!$AM$3:$AM$1102),"")</f>
        <v>Essentials</v>
      </c>
      <c r="AZ251" s="5" t="str">
        <f t="array" ref="AZ251">IFERROR(_xlfn.XLOOKUP($E251,'FW27'!$C$3:$C$1102,'FW27'!$AN$3:$AN$1102),"")</f>
        <v>Daily Essentials</v>
      </c>
      <c r="BA251" s="5" t="s">
        <v>237</v>
      </c>
      <c r="BB251" s="5" t="str">
        <f t="array" ref="BB251">IFERROR(_xlfn.XLOOKUP($E251,'FW27'!$C$3:$C$1102,'FW27'!$AS$3:$AS$1102),"")</f>
        <v>Tops</v>
      </c>
      <c r="BC251" s="5" t="str">
        <f t="array" ref="BC251">IFERROR(_xlfn.XLOOKUP($E251,'FW27'!$C$3:$C$1102,'FW27'!$AT$3:$AT$1102),"")</f>
        <v>Tee</v>
      </c>
      <c r="BD251" s="5" t="str">
        <f t="array" ref="BD251">IFERROR(_xlfn.XLOOKUP($E251,'FW27'!$C$3:$C$1102,'FW27'!$AU$3:$AU$1102),"")</f>
        <v>Cotton/Graphic Tee</v>
      </c>
      <c r="BE251" s="5" t="str">
        <f t="array" ref="BE251">IFERROR(_xlfn.XLOOKUP($E251,'FW27'!$C$3:$C$1102,'FW27'!$AV$3:$AV$1102),"")</f>
        <v>N</v>
      </c>
    </row>
    <row r="252" ht="16.5" hidden="1" customHeight="1">
      <c r="A252" s="5" t="s">
        <v>155</v>
      </c>
      <c r="B252" s="5" t="s">
        <v>137</v>
      </c>
      <c r="C252" s="5" t="b">
        <v>1</v>
      </c>
      <c r="D252" s="5" t="s">
        <v>748</v>
      </c>
      <c r="E252" s="5" t="s">
        <v>749</v>
      </c>
      <c r="F252" s="5"/>
      <c r="G252" s="5" t="s">
        <v>65</v>
      </c>
      <c r="H252" s="5" t="s">
        <v>84</v>
      </c>
      <c r="I252" s="5" t="s">
        <v>82</v>
      </c>
      <c r="J252" s="25"/>
      <c r="K252" s="25"/>
      <c r="L252" s="25"/>
      <c r="M252" s="5" t="s">
        <v>66</v>
      </c>
      <c r="N252" s="5" t="s">
        <v>334</v>
      </c>
      <c r="O252" s="5" t="s">
        <v>69</v>
      </c>
      <c r="P252" s="5" t="s">
        <v>107</v>
      </c>
      <c r="Q252" s="5" t="b">
        <v>1</v>
      </c>
      <c r="R252" s="5" t="b">
        <v>0</v>
      </c>
      <c r="S252" s="5"/>
      <c r="T252" s="5">
        <v>450.0</v>
      </c>
      <c r="U252" s="26">
        <v>2.1</v>
      </c>
      <c r="V252" s="5">
        <v>214.0</v>
      </c>
      <c r="W252" s="27">
        <v>0.0</v>
      </c>
      <c r="X252" s="28">
        <v>214.0</v>
      </c>
      <c r="Y252" s="27">
        <v>1.0</v>
      </c>
      <c r="Z252" s="5" t="s">
        <v>117</v>
      </c>
      <c r="AA252" s="5">
        <v>0.64</v>
      </c>
      <c r="AB252" s="5"/>
      <c r="AC252" s="5" t="s">
        <v>81</v>
      </c>
      <c r="AD252" s="5" t="s">
        <v>81</v>
      </c>
      <c r="AE252" s="5">
        <v>5.0</v>
      </c>
      <c r="AF252" s="5">
        <v>0.0</v>
      </c>
      <c r="AG252" s="5" t="s">
        <v>0</v>
      </c>
      <c r="AH252" s="5" t="s">
        <v>0</v>
      </c>
      <c r="AI252" s="42"/>
      <c r="AJ252" s="28">
        <v>777.0</v>
      </c>
      <c r="AK252" s="28">
        <v>695.0</v>
      </c>
      <c r="AL252" s="28">
        <v>0.0</v>
      </c>
      <c r="AM252" s="28">
        <v>2428.0</v>
      </c>
      <c r="AN252" s="28">
        <v>0.0</v>
      </c>
      <c r="AO252" s="28">
        <v>166503.33000000002</v>
      </c>
      <c r="AP252" s="28">
        <v>148730.0</v>
      </c>
      <c r="AQ252" s="28">
        <v>0.0</v>
      </c>
      <c r="AR252" s="28">
        <v>520296.1200000001</v>
      </c>
      <c r="AS252" s="28">
        <v>0.0</v>
      </c>
      <c r="AT252" s="28">
        <v>151325.64208194904</v>
      </c>
      <c r="AU252" s="28">
        <v>138990.36750000002</v>
      </c>
      <c r="AV252" s="28">
        <v>0.0</v>
      </c>
      <c r="AW252" s="28">
        <v>372629.72774086375</v>
      </c>
      <c r="AX252" s="5"/>
      <c r="AY252" s="5" t="str">
        <f t="array" ref="AY252">IFERROR(_xlfn.XLOOKUP($E252,'FW27'!$C$3:$C$1102,'FW27'!$AM$3:$AM$1102),"")</f>
        <v>Essentials</v>
      </c>
      <c r="AZ252" s="5" t="str">
        <f t="array" ref="AZ252">IFERROR(_xlfn.XLOOKUP($E252,'FW27'!$C$3:$C$1102,'FW27'!$AN$3:$AN$1102),"")</f>
        <v>Daily Essentials</v>
      </c>
      <c r="BA252" s="5" t="s">
        <v>237</v>
      </c>
      <c r="BB252" s="5" t="str">
        <f t="array" ref="BB252">IFERROR(_xlfn.XLOOKUP($E252,'FW27'!$C$3:$C$1102,'FW27'!$AS$3:$AS$1102),"")</f>
        <v>Tops</v>
      </c>
      <c r="BC252" s="5" t="str">
        <f t="array" ref="BC252">IFERROR(_xlfn.XLOOKUP($E252,'FW27'!$C$3:$C$1102,'FW27'!$AT$3:$AT$1102),"")</f>
        <v>Tee</v>
      </c>
      <c r="BD252" s="5" t="str">
        <f t="array" ref="BD252">IFERROR(_xlfn.XLOOKUP($E252,'FW27'!$C$3:$C$1102,'FW27'!$AU$3:$AU$1102),"")</f>
        <v>Cotton/Graphic Tee</v>
      </c>
      <c r="BE252" s="5" t="str">
        <f t="array" ref="BE252">IFERROR(_xlfn.XLOOKUP($E252,'FW27'!$C$3:$C$1102,'FW27'!$AV$3:$AV$1102),"")</f>
        <v>N</v>
      </c>
    </row>
    <row r="253" ht="16.5" hidden="1" customHeight="1">
      <c r="A253" s="5" t="s">
        <v>155</v>
      </c>
      <c r="B253" s="5" t="s">
        <v>137</v>
      </c>
      <c r="C253" s="5" t="b">
        <v>1</v>
      </c>
      <c r="D253" s="5" t="s">
        <v>753</v>
      </c>
      <c r="E253" s="5" t="s">
        <v>754</v>
      </c>
      <c r="F253" s="5"/>
      <c r="G253" s="5" t="s">
        <v>65</v>
      </c>
      <c r="H253" s="5" t="s">
        <v>84</v>
      </c>
      <c r="I253" s="5" t="s">
        <v>82</v>
      </c>
      <c r="J253" s="25"/>
      <c r="K253" s="25"/>
      <c r="L253" s="25"/>
      <c r="M253" s="5" t="s">
        <v>66</v>
      </c>
      <c r="N253" s="5" t="s">
        <v>334</v>
      </c>
      <c r="O253" s="5" t="s">
        <v>69</v>
      </c>
      <c r="P253" s="5" t="s">
        <v>70</v>
      </c>
      <c r="Q253" s="5" t="b">
        <v>1</v>
      </c>
      <c r="R253" s="5" t="b">
        <v>0</v>
      </c>
      <c r="S253" s="5"/>
      <c r="T253" s="5">
        <v>400.0</v>
      </c>
      <c r="U253" s="26">
        <v>2.1</v>
      </c>
      <c r="V253" s="5">
        <v>190.0</v>
      </c>
      <c r="W253" s="27">
        <v>0.0</v>
      </c>
      <c r="X253" s="28">
        <v>190.0</v>
      </c>
      <c r="Y253" s="27">
        <v>1.0</v>
      </c>
      <c r="Z253" s="5" t="s">
        <v>78</v>
      </c>
      <c r="AA253" s="5">
        <v>0.611</v>
      </c>
      <c r="AB253" s="5"/>
      <c r="AC253" s="5" t="s">
        <v>81</v>
      </c>
      <c r="AD253" s="5" t="s">
        <v>81</v>
      </c>
      <c r="AE253" s="5">
        <v>5.0</v>
      </c>
      <c r="AF253" s="5">
        <v>4.0</v>
      </c>
      <c r="AG253" s="5" t="s">
        <v>0</v>
      </c>
      <c r="AH253" s="5" t="s">
        <v>0</v>
      </c>
      <c r="AI253" s="42"/>
      <c r="AJ253" s="28">
        <v>924.0</v>
      </c>
      <c r="AK253" s="28">
        <v>1110.0</v>
      </c>
      <c r="AL253" s="28">
        <v>0.0</v>
      </c>
      <c r="AM253" s="28">
        <v>3889.0</v>
      </c>
      <c r="AN253" s="28">
        <v>0.0</v>
      </c>
      <c r="AO253" s="28">
        <v>176003.52000000002</v>
      </c>
      <c r="AP253" s="28">
        <v>210900.0</v>
      </c>
      <c r="AQ253" s="28">
        <v>0.0</v>
      </c>
      <c r="AR253" s="28">
        <v>740776.7199999999</v>
      </c>
      <c r="AS253" s="28">
        <v>0.0</v>
      </c>
      <c r="AT253" s="28">
        <v>154922.07796234774</v>
      </c>
      <c r="AU253" s="28">
        <v>177800.74020000003</v>
      </c>
      <c r="AV253" s="28">
        <v>0.0</v>
      </c>
      <c r="AW253" s="28">
        <v>613956.1390919159</v>
      </c>
      <c r="AX253" s="5"/>
      <c r="AY253" s="5" t="str">
        <f t="array" ref="AY253">IFERROR(_xlfn.XLOOKUP($E253,'FW27'!$C$3:$C$1102,'FW27'!$AM$3:$AM$1102),"")</f>
        <v>Essentials</v>
      </c>
      <c r="AZ253" s="5" t="str">
        <f t="array" ref="AZ253">IFERROR(_xlfn.XLOOKUP($E253,'FW27'!$C$3:$C$1102,'FW27'!$AN$3:$AN$1102),"")</f>
        <v>Daily Essentials</v>
      </c>
      <c r="BA253" s="5" t="s">
        <v>237</v>
      </c>
      <c r="BB253" s="5" t="str">
        <f t="array" ref="BB253">IFERROR(_xlfn.XLOOKUP($E253,'FW27'!$C$3:$C$1102,'FW27'!$AS$3:$AS$1102),"")</f>
        <v>Tops</v>
      </c>
      <c r="BC253" s="5" t="str">
        <f t="array" ref="BC253">IFERROR(_xlfn.XLOOKUP($E253,'FW27'!$C$3:$C$1102,'FW27'!$AT$3:$AT$1102),"")</f>
        <v>Tee</v>
      </c>
      <c r="BD253" s="5" t="str">
        <f t="array" ref="BD253">IFERROR(_xlfn.XLOOKUP($E253,'FW27'!$C$3:$C$1102,'FW27'!$AU$3:$AU$1102),"")</f>
        <v>Cotton/Graphic Tee</v>
      </c>
      <c r="BE253" s="5" t="str">
        <f t="array" ref="BE253">IFERROR(_xlfn.XLOOKUP($E253,'FW27'!$C$3:$C$1102,'FW27'!$AV$3:$AV$1102),"")</f>
        <v>N</v>
      </c>
    </row>
    <row r="254" ht="16.5" hidden="1" customHeight="1">
      <c r="A254" s="5" t="s">
        <v>155</v>
      </c>
      <c r="B254" s="5" t="s">
        <v>137</v>
      </c>
      <c r="C254" s="5" t="b">
        <v>1</v>
      </c>
      <c r="D254" s="5" t="s">
        <v>757</v>
      </c>
      <c r="E254" s="5" t="s">
        <v>758</v>
      </c>
      <c r="F254" s="5"/>
      <c r="G254" s="5" t="s">
        <v>65</v>
      </c>
      <c r="H254" s="5" t="s">
        <v>84</v>
      </c>
      <c r="I254" s="5" t="s">
        <v>82</v>
      </c>
      <c r="J254" s="25"/>
      <c r="K254" s="25"/>
      <c r="L254" s="25"/>
      <c r="M254" s="5" t="s">
        <v>66</v>
      </c>
      <c r="N254" s="5" t="s">
        <v>334</v>
      </c>
      <c r="O254" s="5" t="s">
        <v>69</v>
      </c>
      <c r="P254" s="5" t="s">
        <v>107</v>
      </c>
      <c r="Q254" s="5" t="b">
        <v>1</v>
      </c>
      <c r="R254" s="5" t="b">
        <v>0</v>
      </c>
      <c r="S254" s="5"/>
      <c r="T254" s="5">
        <v>400.0</v>
      </c>
      <c r="U254" s="26">
        <v>2.1</v>
      </c>
      <c r="V254" s="5">
        <v>190.0</v>
      </c>
      <c r="W254" s="27">
        <v>0.0</v>
      </c>
      <c r="X254" s="28">
        <v>190.0</v>
      </c>
      <c r="Y254" s="27">
        <v>1.0</v>
      </c>
      <c r="Z254" s="5" t="s">
        <v>78</v>
      </c>
      <c r="AA254" s="5">
        <v>0.63</v>
      </c>
      <c r="AB254" s="5"/>
      <c r="AC254" s="5" t="s">
        <v>81</v>
      </c>
      <c r="AD254" s="5" t="s">
        <v>81</v>
      </c>
      <c r="AE254" s="5">
        <v>5.0</v>
      </c>
      <c r="AF254" s="5">
        <v>4.0</v>
      </c>
      <c r="AG254" s="5" t="s">
        <v>1989</v>
      </c>
      <c r="AH254" s="5" t="s">
        <v>0</v>
      </c>
      <c r="AI254" s="42"/>
      <c r="AJ254" s="28">
        <v>950.0</v>
      </c>
      <c r="AK254" s="28">
        <v>830.0</v>
      </c>
      <c r="AL254" s="28">
        <v>0.0</v>
      </c>
      <c r="AM254" s="28">
        <v>2819.0</v>
      </c>
      <c r="AN254" s="28">
        <v>0.0</v>
      </c>
      <c r="AO254" s="28">
        <v>180956.0</v>
      </c>
      <c r="AP254" s="28">
        <v>157700.0</v>
      </c>
      <c r="AQ254" s="28">
        <v>0.0</v>
      </c>
      <c r="AR254" s="28">
        <v>536963.1199999999</v>
      </c>
      <c r="AS254" s="28">
        <v>0.0</v>
      </c>
      <c r="AT254" s="28">
        <v>147722.18870431895</v>
      </c>
      <c r="AU254" s="28">
        <v>130805.79140000003</v>
      </c>
      <c r="AV254" s="28">
        <v>0.0</v>
      </c>
      <c r="AW254" s="28">
        <v>459040.293023256</v>
      </c>
      <c r="AX254" s="5"/>
      <c r="AY254" s="5" t="str">
        <f t="array" ref="AY254">IFERROR(_xlfn.XLOOKUP($E254,'FW27'!$C$3:$C$1102,'FW27'!$AM$3:$AM$1102),"")</f>
        <v>Essentials</v>
      </c>
      <c r="AZ254" s="5" t="str">
        <f t="array" ref="AZ254">IFERROR(_xlfn.XLOOKUP($E254,'FW27'!$C$3:$C$1102,'FW27'!$AN$3:$AN$1102),"")</f>
        <v>Daily Essentials</v>
      </c>
      <c r="BA254" s="5" t="s">
        <v>237</v>
      </c>
      <c r="BB254" s="5" t="str">
        <f t="array" ref="BB254">IFERROR(_xlfn.XLOOKUP($E254,'FW27'!$C$3:$C$1102,'FW27'!$AS$3:$AS$1102),"")</f>
        <v>Tops</v>
      </c>
      <c r="BC254" s="5" t="str">
        <f t="array" ref="BC254">IFERROR(_xlfn.XLOOKUP($E254,'FW27'!$C$3:$C$1102,'FW27'!$AT$3:$AT$1102),"")</f>
        <v>Tee</v>
      </c>
      <c r="BD254" s="5" t="str">
        <f t="array" ref="BD254">IFERROR(_xlfn.XLOOKUP($E254,'FW27'!$C$3:$C$1102,'FW27'!$AU$3:$AU$1102),"")</f>
        <v>Cotton/Graphic Tee</v>
      </c>
      <c r="BE254" s="5" t="str">
        <f t="array" ref="BE254">IFERROR(_xlfn.XLOOKUP($E254,'FW27'!$C$3:$C$1102,'FW27'!$AV$3:$AV$1102),"")</f>
        <v>N</v>
      </c>
    </row>
    <row r="255" ht="16.5" hidden="1" customHeight="1">
      <c r="A255" s="5" t="s">
        <v>155</v>
      </c>
      <c r="B255" s="5" t="s">
        <v>137</v>
      </c>
      <c r="C255" s="5" t="b">
        <v>1</v>
      </c>
      <c r="D255" s="5" t="s">
        <v>759</v>
      </c>
      <c r="E255" s="5" t="s">
        <v>760</v>
      </c>
      <c r="F255" s="5"/>
      <c r="G255" s="5" t="s">
        <v>65</v>
      </c>
      <c r="H255" s="5" t="s">
        <v>84</v>
      </c>
      <c r="I255" s="5" t="s">
        <v>82</v>
      </c>
      <c r="J255" s="25"/>
      <c r="K255" s="25"/>
      <c r="L255" s="25" t="s">
        <v>110</v>
      </c>
      <c r="M255" s="5" t="s">
        <v>66</v>
      </c>
      <c r="N255" s="5" t="s">
        <v>68</v>
      </c>
      <c r="O255" s="5" t="s">
        <v>69</v>
      </c>
      <c r="P255" s="5" t="s">
        <v>70</v>
      </c>
      <c r="Q255" s="5" t="b">
        <v>1</v>
      </c>
      <c r="R255" s="5" t="b">
        <v>0</v>
      </c>
      <c r="S255" s="5"/>
      <c r="T255" s="5">
        <v>3000.0</v>
      </c>
      <c r="U255" s="26">
        <v>2.1</v>
      </c>
      <c r="V255" s="5">
        <v>1429.0</v>
      </c>
      <c r="W255" s="27">
        <v>0.0</v>
      </c>
      <c r="X255" s="28">
        <v>1429.0</v>
      </c>
      <c r="Y255" s="27">
        <v>1.0</v>
      </c>
      <c r="Z255" s="5" t="s">
        <v>117</v>
      </c>
      <c r="AA255" s="5">
        <v>0.57</v>
      </c>
      <c r="AB255" s="5"/>
      <c r="AC255" s="5" t="s">
        <v>166</v>
      </c>
      <c r="AD255" s="5" t="s">
        <v>81</v>
      </c>
      <c r="AE255" s="5">
        <v>4.0</v>
      </c>
      <c r="AF255" s="5">
        <v>3.0</v>
      </c>
      <c r="AG255" s="5" t="s">
        <v>1990</v>
      </c>
      <c r="AH255" s="5" t="s">
        <v>0</v>
      </c>
      <c r="AI255" s="42"/>
      <c r="AJ255" s="28">
        <v>1831.0</v>
      </c>
      <c r="AK255" s="28">
        <v>1485.0</v>
      </c>
      <c r="AL255" s="28">
        <v>0.0</v>
      </c>
      <c r="AM255" s="28">
        <v>1907.0</v>
      </c>
      <c r="AN255" s="28">
        <v>0.0</v>
      </c>
      <c r="AO255" s="28">
        <v>2615711.6700000004</v>
      </c>
      <c r="AP255" s="28">
        <v>2122065.0</v>
      </c>
      <c r="AQ255" s="28">
        <v>0.0</v>
      </c>
      <c r="AR255" s="28">
        <v>2724282.9899999993</v>
      </c>
      <c r="AS255" s="28">
        <v>0.0</v>
      </c>
      <c r="AT255" s="28">
        <v>2253067.238095238</v>
      </c>
      <c r="AU255" s="28">
        <v>1728775.951065</v>
      </c>
      <c r="AV255" s="28">
        <v>0.0</v>
      </c>
      <c r="AW255" s="28">
        <v>2284047.3377630124</v>
      </c>
      <c r="AX255" s="5"/>
      <c r="AY255" s="5" t="str">
        <f t="array" ref="AY255">IFERROR(_xlfn.XLOOKUP($E255,'FW27'!$C$3:$C$1102,'FW27'!$AM$3:$AM$1102),"")</f>
        <v>Outdoor</v>
      </c>
      <c r="AZ255" s="5" t="str">
        <f t="array" ref="AZ255">IFERROR(_xlfn.XLOOKUP($E255,'FW27'!$C$3:$C$1102,'FW27'!$AN$3:$AN$1102),"")</f>
        <v>Hiking</v>
      </c>
      <c r="BA255" s="32" t="s">
        <v>761</v>
      </c>
      <c r="BB255" s="5" t="str">
        <f t="array" ref="BB255">IFERROR(_xlfn.XLOOKUP($E255,'FW27'!$C$3:$C$1102,'FW27'!$AS$3:$AS$1102),"")</f>
        <v>Shell</v>
      </c>
      <c r="BC255" s="5" t="str">
        <f t="array" ref="BC255">IFERROR(_xlfn.XLOOKUP($E255,'FW27'!$C$3:$C$1102,'FW27'!$AT$3:$AT$1102),"")</f>
        <v>Jacket</v>
      </c>
      <c r="BD255" s="5" t="str">
        <f t="array" ref="BD255">IFERROR(_xlfn.XLOOKUP($E255,'FW27'!$C$3:$C$1102,'FW27'!$AU$3:$AU$1102),"")</f>
        <v>2L</v>
      </c>
      <c r="BE255" s="5" t="str">
        <f t="array" ref="BE255">IFERROR(_xlfn.XLOOKUP($E255,'FW27'!$C$3:$C$1102,'FW27'!$AV$3:$AV$1102),"")</f>
        <v>Y</v>
      </c>
    </row>
    <row r="256" ht="16.5" hidden="1" customHeight="1">
      <c r="A256" s="5" t="s">
        <v>155</v>
      </c>
      <c r="B256" s="5" t="s">
        <v>137</v>
      </c>
      <c r="C256" s="5" t="b">
        <v>1</v>
      </c>
      <c r="D256" s="47" t="s">
        <v>762</v>
      </c>
      <c r="E256" s="47" t="s">
        <v>763</v>
      </c>
      <c r="F256" s="47"/>
      <c r="G256" s="47" t="s">
        <v>65</v>
      </c>
      <c r="H256" s="47" t="s">
        <v>76</v>
      </c>
      <c r="I256" s="47" t="s">
        <v>82</v>
      </c>
      <c r="J256" s="48" t="s">
        <v>322</v>
      </c>
      <c r="K256" s="25" t="s">
        <v>150</v>
      </c>
      <c r="L256" s="25" t="s">
        <v>110</v>
      </c>
      <c r="M256" s="5" t="s">
        <v>66</v>
      </c>
      <c r="N256" s="5" t="s">
        <v>68</v>
      </c>
      <c r="O256" s="5" t="s">
        <v>96</v>
      </c>
      <c r="P256" s="5" t="s">
        <v>70</v>
      </c>
      <c r="Q256" s="5" t="b">
        <v>1</v>
      </c>
      <c r="R256" s="5" t="b">
        <v>0</v>
      </c>
      <c r="S256" s="5"/>
      <c r="T256" s="5">
        <v>3000.0</v>
      </c>
      <c r="U256" s="26">
        <v>2.1</v>
      </c>
      <c r="V256" s="5">
        <v>1429.0</v>
      </c>
      <c r="W256" s="27">
        <v>0.0</v>
      </c>
      <c r="X256" s="28">
        <v>1429.0</v>
      </c>
      <c r="Y256" s="27">
        <v>1.0</v>
      </c>
      <c r="Z256" s="5" t="s">
        <v>117</v>
      </c>
      <c r="AA256" s="5">
        <v>0.57</v>
      </c>
      <c r="AB256" s="5"/>
      <c r="AC256" s="5" t="s">
        <v>166</v>
      </c>
      <c r="AD256" s="5" t="s">
        <v>81</v>
      </c>
      <c r="AE256" s="5">
        <v>4.0</v>
      </c>
      <c r="AF256" s="5">
        <v>3.0</v>
      </c>
      <c r="AG256" s="5" t="s">
        <v>1552</v>
      </c>
      <c r="AH256" s="5" t="s">
        <v>97</v>
      </c>
      <c r="AI256" s="42"/>
      <c r="AJ256" s="28">
        <v>0.0</v>
      </c>
      <c r="AK256" s="28">
        <v>0.0</v>
      </c>
      <c r="AL256" s="28">
        <v>0.0</v>
      </c>
      <c r="AM256" s="28">
        <v>0.0</v>
      </c>
      <c r="AN256" s="28">
        <v>0.0</v>
      </c>
      <c r="AO256" s="28">
        <v>0.0</v>
      </c>
      <c r="AP256" s="28">
        <v>0.0</v>
      </c>
      <c r="AQ256" s="28">
        <v>0.0</v>
      </c>
      <c r="AR256" s="28">
        <v>0.0</v>
      </c>
      <c r="AS256" s="28">
        <v>0.0</v>
      </c>
      <c r="AT256" s="28">
        <v>0.0</v>
      </c>
      <c r="AU256" s="28">
        <v>0.0</v>
      </c>
      <c r="AV256" s="28">
        <v>0.0</v>
      </c>
      <c r="AW256" s="28">
        <v>0.0</v>
      </c>
      <c r="AX256" s="5"/>
      <c r="AY256" s="5" t="str">
        <f t="array" ref="AY256">IFERROR(_xlfn.XLOOKUP($E256,'FW27'!$C$3:$C$1102,'FW27'!$AM$3:$AM$1102),"")</f>
        <v>Outdoor</v>
      </c>
      <c r="AZ256" s="5" t="str">
        <f t="array" ref="AZ256">IFERROR(_xlfn.XLOOKUP($E256,'FW27'!$C$3:$C$1102,'FW27'!$AN$3:$AN$1102),"")</f>
        <v>Hiking</v>
      </c>
      <c r="BA256" s="32" t="s">
        <v>761</v>
      </c>
      <c r="BB256" s="5" t="str">
        <f t="array" ref="BB256">IFERROR(_xlfn.XLOOKUP($E256,'FW27'!$C$3:$C$1102,'FW27'!$AS$3:$AS$1102),"")</f>
        <v>Shell</v>
      </c>
      <c r="BC256" s="5" t="str">
        <f t="array" ref="BC256">IFERROR(_xlfn.XLOOKUP($E256,'FW27'!$C$3:$C$1102,'FW27'!$AT$3:$AT$1102),"")</f>
        <v>Jacket</v>
      </c>
      <c r="BD256" s="5" t="str">
        <f t="array" ref="BD256">IFERROR(_xlfn.XLOOKUP($E256,'FW27'!$C$3:$C$1102,'FW27'!$AU$3:$AU$1102),"")</f>
        <v>2L</v>
      </c>
      <c r="BE256" s="5" t="str">
        <f t="array" ref="BE256">IFERROR(_xlfn.XLOOKUP($E256,'FW27'!$C$3:$C$1102,'FW27'!$AV$3:$AV$1102),"")</f>
        <v>Y</v>
      </c>
    </row>
    <row r="257" ht="16.5" hidden="1" customHeight="1">
      <c r="A257" s="5" t="s">
        <v>155</v>
      </c>
      <c r="B257" s="5" t="s">
        <v>137</v>
      </c>
      <c r="C257" s="5" t="b">
        <v>1</v>
      </c>
      <c r="D257" s="5" t="s">
        <v>765</v>
      </c>
      <c r="E257" s="5" t="s">
        <v>766</v>
      </c>
      <c r="F257" s="5"/>
      <c r="G257" s="5" t="s">
        <v>65</v>
      </c>
      <c r="H257" s="5" t="s">
        <v>84</v>
      </c>
      <c r="I257" s="5" t="s">
        <v>82</v>
      </c>
      <c r="J257" s="25"/>
      <c r="K257" s="25"/>
      <c r="L257" s="25" t="s">
        <v>110</v>
      </c>
      <c r="M257" s="5" t="s">
        <v>66</v>
      </c>
      <c r="N257" s="5" t="s">
        <v>68</v>
      </c>
      <c r="O257" s="5" t="s">
        <v>69</v>
      </c>
      <c r="P257" s="5" t="s">
        <v>107</v>
      </c>
      <c r="Q257" s="5" t="b">
        <v>1</v>
      </c>
      <c r="R257" s="5" t="b">
        <v>0</v>
      </c>
      <c r="S257" s="5"/>
      <c r="T257" s="5">
        <v>3000.0</v>
      </c>
      <c r="U257" s="26">
        <v>2.1</v>
      </c>
      <c r="V257" s="5">
        <v>1429.0</v>
      </c>
      <c r="W257" s="27">
        <v>0.0</v>
      </c>
      <c r="X257" s="28">
        <v>1429.0</v>
      </c>
      <c r="Y257" s="27">
        <v>1.0</v>
      </c>
      <c r="Z257" s="5" t="s">
        <v>117</v>
      </c>
      <c r="AA257" s="5">
        <v>0.59</v>
      </c>
      <c r="AB257" s="5"/>
      <c r="AC257" s="5" t="s">
        <v>166</v>
      </c>
      <c r="AD257" s="5" t="s">
        <v>81</v>
      </c>
      <c r="AE257" s="5">
        <v>4.0</v>
      </c>
      <c r="AF257" s="5">
        <v>4.0</v>
      </c>
      <c r="AG257" s="5" t="s">
        <v>0</v>
      </c>
      <c r="AH257" s="5" t="s">
        <v>0</v>
      </c>
      <c r="AI257" s="42"/>
      <c r="AJ257" s="28">
        <v>1494.0</v>
      </c>
      <c r="AK257" s="28">
        <v>1140.0</v>
      </c>
      <c r="AL257" s="28">
        <v>0.0</v>
      </c>
      <c r="AM257" s="28">
        <v>1700.0</v>
      </c>
      <c r="AN257" s="28">
        <v>0.0</v>
      </c>
      <c r="AO257" s="28">
        <v>2134283.58</v>
      </c>
      <c r="AP257" s="28">
        <v>1629060.0</v>
      </c>
      <c r="AQ257" s="28">
        <v>0.0</v>
      </c>
      <c r="AR257" s="28">
        <v>2428569.0</v>
      </c>
      <c r="AS257" s="28">
        <v>0.0</v>
      </c>
      <c r="AT257" s="28">
        <v>1844945.3333333333</v>
      </c>
      <c r="AU257" s="28">
        <v>1337035.8630450002</v>
      </c>
      <c r="AV257" s="28">
        <v>0.0</v>
      </c>
      <c r="AW257" s="28">
        <v>2048589.6234772978</v>
      </c>
      <c r="AX257" s="5"/>
      <c r="AY257" s="5" t="str">
        <f t="array" ref="AY257">IFERROR(_xlfn.XLOOKUP($E257,'FW27'!$C$3:$C$1102,'FW27'!$AM$3:$AM$1102),"")</f>
        <v>Outdoor</v>
      </c>
      <c r="AZ257" s="5" t="str">
        <f t="array" ref="AZ257">IFERROR(_xlfn.XLOOKUP($E257,'FW27'!$C$3:$C$1102,'FW27'!$AN$3:$AN$1102),"")</f>
        <v>Hiking</v>
      </c>
      <c r="BA257" s="32" t="s">
        <v>761</v>
      </c>
      <c r="BB257" s="5" t="str">
        <f t="array" ref="BB257">IFERROR(_xlfn.XLOOKUP($E257,'FW27'!$C$3:$C$1102,'FW27'!$AS$3:$AS$1102),"")</f>
        <v>Shell</v>
      </c>
      <c r="BC257" s="5" t="str">
        <f t="array" ref="BC257">IFERROR(_xlfn.XLOOKUP($E257,'FW27'!$C$3:$C$1102,'FW27'!$AT$3:$AT$1102),"")</f>
        <v>Jacket</v>
      </c>
      <c r="BD257" s="5" t="str">
        <f t="array" ref="BD257">IFERROR(_xlfn.XLOOKUP($E257,'FW27'!$C$3:$C$1102,'FW27'!$AU$3:$AU$1102),"")</f>
        <v>2L</v>
      </c>
      <c r="BE257" s="5" t="str">
        <f t="array" ref="BE257">IFERROR(_xlfn.XLOOKUP($E257,'FW27'!$C$3:$C$1102,'FW27'!$AV$3:$AV$1102),"")</f>
        <v>Y</v>
      </c>
    </row>
    <row r="258" ht="16.5" hidden="1" customHeight="1">
      <c r="A258" s="5" t="s">
        <v>155</v>
      </c>
      <c r="B258" s="5" t="s">
        <v>137</v>
      </c>
      <c r="C258" s="5" t="b">
        <v>1</v>
      </c>
      <c r="D258" s="5" t="s">
        <v>771</v>
      </c>
      <c r="E258" s="5" t="s">
        <v>772</v>
      </c>
      <c r="F258" s="5"/>
      <c r="G258" s="5" t="s">
        <v>65</v>
      </c>
      <c r="H258" s="5" t="s">
        <v>84</v>
      </c>
      <c r="I258" s="5" t="s">
        <v>82</v>
      </c>
      <c r="J258" s="25"/>
      <c r="K258" s="25"/>
      <c r="L258" s="25" t="s">
        <v>181</v>
      </c>
      <c r="M258" s="5" t="s">
        <v>66</v>
      </c>
      <c r="N258" s="5" t="s">
        <v>68</v>
      </c>
      <c r="O258" s="5" t="s">
        <v>69</v>
      </c>
      <c r="P258" s="5" t="s">
        <v>70</v>
      </c>
      <c r="Q258" s="5" t="b">
        <v>1</v>
      </c>
      <c r="R258" s="5" t="b">
        <v>0</v>
      </c>
      <c r="S258" s="5"/>
      <c r="T258" s="5">
        <v>2200.0</v>
      </c>
      <c r="U258" s="26">
        <v>2.1</v>
      </c>
      <c r="V258" s="5">
        <v>1048.0</v>
      </c>
      <c r="W258" s="27">
        <v>0.0</v>
      </c>
      <c r="X258" s="28">
        <v>1048.0</v>
      </c>
      <c r="Y258" s="27">
        <v>1.0</v>
      </c>
      <c r="Z258" s="5" t="s">
        <v>117</v>
      </c>
      <c r="AA258" s="5">
        <v>0.58</v>
      </c>
      <c r="AB258" s="5"/>
      <c r="AC258" s="5" t="s">
        <v>166</v>
      </c>
      <c r="AD258" s="5" t="s">
        <v>81</v>
      </c>
      <c r="AE258" s="5">
        <v>1.0</v>
      </c>
      <c r="AF258" s="5">
        <v>1.0</v>
      </c>
      <c r="AG258" s="5" t="s">
        <v>0</v>
      </c>
      <c r="AH258" s="5" t="s">
        <v>0</v>
      </c>
      <c r="AI258" s="42"/>
      <c r="AJ258" s="28">
        <v>431.0</v>
      </c>
      <c r="AK258" s="28">
        <v>300.0</v>
      </c>
      <c r="AL258" s="28">
        <v>0.0</v>
      </c>
      <c r="AM258" s="28">
        <v>492.0</v>
      </c>
      <c r="AN258" s="28">
        <v>0.0</v>
      </c>
      <c r="AO258" s="28">
        <v>451524.2199999999</v>
      </c>
      <c r="AP258" s="28">
        <v>314400.0</v>
      </c>
      <c r="AQ258" s="28">
        <v>0.0</v>
      </c>
      <c r="AR258" s="28">
        <v>515429.04</v>
      </c>
      <c r="AS258" s="28">
        <v>0.0</v>
      </c>
      <c r="AT258" s="28">
        <v>407038.09523809527</v>
      </c>
      <c r="AU258" s="28">
        <v>295355.49408</v>
      </c>
      <c r="AV258" s="28">
        <v>0.0</v>
      </c>
      <c r="AW258" s="28">
        <v>445450.4761904762</v>
      </c>
      <c r="AX258" s="5"/>
      <c r="AY258" s="5" t="str">
        <f t="array" ref="AY258">IFERROR(_xlfn.XLOOKUP($E258,'FW27'!$C$3:$C$1102,'FW27'!$AM$3:$AM$1102),"")</f>
        <v>Outdoor</v>
      </c>
      <c r="AZ258" s="5" t="str">
        <f t="array" ref="AZ258">IFERROR(_xlfn.XLOOKUP($E258,'FW27'!$C$3:$C$1102,'FW27'!$AN$3:$AN$1102),"")</f>
        <v>Hiking</v>
      </c>
      <c r="BA258" s="32" t="s">
        <v>379</v>
      </c>
      <c r="BB258" s="5" t="str">
        <f t="array" ref="BB258">IFERROR(_xlfn.XLOOKUP($E258,'FW27'!$C$3:$C$1102,'FW27'!$AS$3:$AS$1102),"")</f>
        <v>Shell</v>
      </c>
      <c r="BC258" s="5" t="str">
        <f t="array" ref="BC258">IFERROR(_xlfn.XLOOKUP($E258,'FW27'!$C$3:$C$1102,'FW27'!$AT$3:$AT$1102),"")</f>
        <v>Pant</v>
      </c>
      <c r="BD258" s="5" t="str">
        <f t="array" ref="BD258">IFERROR(_xlfn.XLOOKUP($E258,'FW27'!$C$3:$C$1102,'FW27'!$AU$3:$AU$1102),"")</f>
        <v>2L</v>
      </c>
      <c r="BE258" s="5" t="str">
        <f t="array" ref="BE258">IFERROR(_xlfn.XLOOKUP($E258,'FW27'!$C$3:$C$1102,'FW27'!$AV$3:$AV$1102),"")</f>
        <v>Y</v>
      </c>
    </row>
    <row r="259" ht="16.5" hidden="1" customHeight="1">
      <c r="A259" s="5" t="s">
        <v>155</v>
      </c>
      <c r="B259" s="5" t="s">
        <v>137</v>
      </c>
      <c r="C259" s="5" t="b">
        <v>1</v>
      </c>
      <c r="D259" s="5" t="s">
        <v>774</v>
      </c>
      <c r="E259" s="5" t="s">
        <v>775</v>
      </c>
      <c r="F259" s="5"/>
      <c r="G259" s="5" t="s">
        <v>65</v>
      </c>
      <c r="H259" s="5" t="s">
        <v>84</v>
      </c>
      <c r="I259" s="5" t="s">
        <v>82</v>
      </c>
      <c r="J259" s="25"/>
      <c r="K259" s="25"/>
      <c r="L259" s="25" t="s">
        <v>181</v>
      </c>
      <c r="M259" s="5" t="s">
        <v>66</v>
      </c>
      <c r="N259" s="5" t="s">
        <v>68</v>
      </c>
      <c r="O259" s="5" t="s">
        <v>69</v>
      </c>
      <c r="P259" s="5" t="s">
        <v>107</v>
      </c>
      <c r="Q259" s="5" t="b">
        <v>1</v>
      </c>
      <c r="R259" s="5" t="b">
        <v>0</v>
      </c>
      <c r="S259" s="5"/>
      <c r="T259" s="5">
        <v>2200.0</v>
      </c>
      <c r="U259" s="26">
        <v>2.1</v>
      </c>
      <c r="V259" s="5">
        <v>1048.0</v>
      </c>
      <c r="W259" s="27">
        <v>0.0</v>
      </c>
      <c r="X259" s="28">
        <v>1048.0</v>
      </c>
      <c r="Y259" s="27">
        <v>1.0</v>
      </c>
      <c r="Z259" s="5" t="s">
        <v>117</v>
      </c>
      <c r="AA259" s="5">
        <v>0.575</v>
      </c>
      <c r="AB259" s="5"/>
      <c r="AC259" s="5" t="s">
        <v>166</v>
      </c>
      <c r="AD259" s="5" t="s">
        <v>81</v>
      </c>
      <c r="AE259" s="5">
        <v>1.0</v>
      </c>
      <c r="AF259" s="5">
        <v>1.0</v>
      </c>
      <c r="AG259" s="5" t="s">
        <v>0</v>
      </c>
      <c r="AH259" s="5" t="s">
        <v>0</v>
      </c>
      <c r="AI259" s="42"/>
      <c r="AJ259" s="28">
        <v>399.0</v>
      </c>
      <c r="AK259" s="28">
        <v>267.0</v>
      </c>
      <c r="AL259" s="28">
        <v>0.0</v>
      </c>
      <c r="AM259" s="28">
        <v>460.0</v>
      </c>
      <c r="AN259" s="28">
        <v>0.0</v>
      </c>
      <c r="AO259" s="28">
        <v>418000.37999999995</v>
      </c>
      <c r="AP259" s="28">
        <v>279816.0</v>
      </c>
      <c r="AQ259" s="28">
        <v>0.0</v>
      </c>
      <c r="AR259" s="28">
        <v>481905.19999999995</v>
      </c>
      <c r="AS259" s="28">
        <v>0.0</v>
      </c>
      <c r="AT259" s="28">
        <v>373514.2857142857</v>
      </c>
      <c r="AU259" s="28">
        <v>262197.67704</v>
      </c>
      <c r="AV259" s="28">
        <v>0.0</v>
      </c>
      <c r="AW259" s="28">
        <v>412804.7619047619</v>
      </c>
      <c r="AX259" s="5"/>
      <c r="AY259" s="5" t="str">
        <f t="array" ref="AY259">IFERROR(_xlfn.XLOOKUP($E259,'FW27'!$C$3:$C$1102,'FW27'!$AM$3:$AM$1102),"")</f>
        <v>Outdoor</v>
      </c>
      <c r="AZ259" s="5" t="str">
        <f t="array" ref="AZ259">IFERROR(_xlfn.XLOOKUP($E259,'FW27'!$C$3:$C$1102,'FW27'!$AN$3:$AN$1102),"")</f>
        <v>Hiking</v>
      </c>
      <c r="BA259" s="32" t="s">
        <v>379</v>
      </c>
      <c r="BB259" s="5" t="str">
        <f t="array" ref="BB259">IFERROR(_xlfn.XLOOKUP($E259,'FW27'!$C$3:$C$1102,'FW27'!$AS$3:$AS$1102),"")</f>
        <v>Shell</v>
      </c>
      <c r="BC259" s="5" t="str">
        <f t="array" ref="BC259">IFERROR(_xlfn.XLOOKUP($E259,'FW27'!$C$3:$C$1102,'FW27'!$AT$3:$AT$1102),"")</f>
        <v>Pant</v>
      </c>
      <c r="BD259" s="5" t="str">
        <f t="array" ref="BD259">IFERROR(_xlfn.XLOOKUP($E259,'FW27'!$C$3:$C$1102,'FW27'!$AU$3:$AU$1102),"")</f>
        <v>2L</v>
      </c>
      <c r="BE259" s="5" t="str">
        <f t="array" ref="BE259">IFERROR(_xlfn.XLOOKUP($E259,'FW27'!$C$3:$C$1102,'FW27'!$AV$3:$AV$1102),"")</f>
        <v>Y</v>
      </c>
    </row>
    <row r="260" ht="16.5" hidden="1" customHeight="1">
      <c r="A260" s="5" t="s">
        <v>155</v>
      </c>
      <c r="B260" s="5" t="s">
        <v>215</v>
      </c>
      <c r="C260" s="5" t="b">
        <v>0</v>
      </c>
      <c r="D260" s="71" t="s">
        <v>686</v>
      </c>
      <c r="E260" s="71" t="s">
        <v>688</v>
      </c>
      <c r="F260" s="71"/>
      <c r="G260" s="71" t="s">
        <v>65</v>
      </c>
      <c r="H260" s="71" t="s">
        <v>76</v>
      </c>
      <c r="I260" s="71" t="s">
        <v>106</v>
      </c>
      <c r="J260" s="72" t="s">
        <v>1925</v>
      </c>
      <c r="K260" s="25" t="s">
        <v>386</v>
      </c>
      <c r="L260" s="25"/>
      <c r="M260" s="5" t="s">
        <v>66</v>
      </c>
      <c r="N260" s="5" t="s">
        <v>248</v>
      </c>
      <c r="O260" s="5" t="s">
        <v>96</v>
      </c>
      <c r="P260" s="5" t="s">
        <v>249</v>
      </c>
      <c r="Q260" s="5" t="b">
        <v>1</v>
      </c>
      <c r="R260" s="5" t="b">
        <v>0</v>
      </c>
      <c r="S260" s="5"/>
      <c r="T260" s="5">
        <v>500.0</v>
      </c>
      <c r="U260" s="26">
        <v>2.1</v>
      </c>
      <c r="V260" s="5">
        <v>238.0</v>
      </c>
      <c r="W260" s="27">
        <v>0.0</v>
      </c>
      <c r="X260" s="28">
        <v>238.0</v>
      </c>
      <c r="Y260" s="27">
        <v>1.0</v>
      </c>
      <c r="Z260" s="5" t="s">
        <v>78</v>
      </c>
      <c r="AA260" s="5">
        <v>0.61</v>
      </c>
      <c r="AB260" s="5"/>
      <c r="AC260" s="5" t="s">
        <v>81</v>
      </c>
      <c r="AD260" s="5" t="s">
        <v>81</v>
      </c>
      <c r="AE260" s="5">
        <v>1.0</v>
      </c>
      <c r="AF260" s="5">
        <v>1.0</v>
      </c>
      <c r="AG260" s="5" t="s">
        <v>0</v>
      </c>
      <c r="AH260" s="5" t="s">
        <v>386</v>
      </c>
      <c r="AI260" s="42"/>
      <c r="AJ260" s="28">
        <v>274.0</v>
      </c>
      <c r="AK260" s="28">
        <v>0.0</v>
      </c>
      <c r="AL260" s="28">
        <v>0.0</v>
      </c>
      <c r="AM260" s="28">
        <v>0.0</v>
      </c>
      <c r="AN260" s="28">
        <v>0.0</v>
      </c>
      <c r="AO260" s="28">
        <v>45667.58</v>
      </c>
      <c r="AP260" s="28">
        <v>0.0</v>
      </c>
      <c r="AQ260" s="28">
        <v>0.0</v>
      </c>
      <c r="AR260" s="28">
        <v>0.0</v>
      </c>
      <c r="AS260" s="28">
        <v>0.0</v>
      </c>
      <c r="AT260" s="28">
        <v>45666.666666666664</v>
      </c>
      <c r="AU260" s="28">
        <v>0.0</v>
      </c>
      <c r="AV260" s="28">
        <v>0.0</v>
      </c>
      <c r="AW260" s="28">
        <v>0.0</v>
      </c>
      <c r="AX260" s="5"/>
      <c r="AY260" s="5" t="str">
        <f t="array" ref="AY260">IFERROR(_xlfn.XLOOKUP($E260,'FW27'!$C$3:$C$1102,'FW27'!$AM$3:$AM$1102),"")</f>
        <v>Essentials</v>
      </c>
      <c r="AZ260" s="5" t="str">
        <f t="array" ref="AZ260">IFERROR(_xlfn.XLOOKUP($E260,'FW27'!$C$3:$C$1102,'FW27'!$AN$3:$AN$1102),"")</f>
        <v>Active Essentials</v>
      </c>
      <c r="BB260" s="5" t="str">
        <f t="array" ref="BB260">IFERROR(_xlfn.XLOOKUP($E260,'FW27'!$C$3:$C$1102,'FW27'!$AS$3:$AS$1102),"")</f>
        <v>Accessories</v>
      </c>
      <c r="BC260" s="5" t="str">
        <f t="array" ref="BC260">IFERROR(_xlfn.XLOOKUP($E260,'FW27'!$C$3:$C$1102,'FW27'!$AT$3:$AT$1102),"")</f>
        <v>Headwear</v>
      </c>
      <c r="BD260" s="5" t="str">
        <f t="array" ref="BD260">IFERROR(_xlfn.XLOOKUP($E260,'FW27'!$C$3:$C$1102,'FW27'!$AU$3:$AU$1102),"")</f>
        <v>Beanie</v>
      </c>
      <c r="BE260" s="5" t="str">
        <f t="array" ref="BE260">IFERROR(_xlfn.XLOOKUP($E260,'FW27'!$C$3:$C$1102,'FW27'!$AV$3:$AV$1102),"")</f>
        <v>N</v>
      </c>
    </row>
    <row r="261" ht="16.5" hidden="1" customHeight="1">
      <c r="A261" s="5" t="s">
        <v>155</v>
      </c>
      <c r="B261" s="5" t="s">
        <v>137</v>
      </c>
      <c r="C261" s="5" t="b">
        <v>0</v>
      </c>
      <c r="D261" s="71" t="s">
        <v>818</v>
      </c>
      <c r="E261" s="71" t="s">
        <v>819</v>
      </c>
      <c r="F261" s="71"/>
      <c r="G261" s="71" t="s">
        <v>65</v>
      </c>
      <c r="H261" s="71" t="s">
        <v>76</v>
      </c>
      <c r="I261" s="71" t="s">
        <v>106</v>
      </c>
      <c r="J261" s="72" t="s">
        <v>1925</v>
      </c>
      <c r="K261" s="25" t="s">
        <v>386</v>
      </c>
      <c r="L261" s="25"/>
      <c r="M261" s="5" t="s">
        <v>66</v>
      </c>
      <c r="N261" s="5" t="s">
        <v>334</v>
      </c>
      <c r="O261" s="5" t="s">
        <v>96</v>
      </c>
      <c r="P261" s="5" t="s">
        <v>70</v>
      </c>
      <c r="Q261" s="5" t="b">
        <v>1</v>
      </c>
      <c r="R261" s="5" t="b">
        <v>0</v>
      </c>
      <c r="S261" s="5"/>
      <c r="T261" s="5">
        <v>450.0</v>
      </c>
      <c r="U261" s="26">
        <v>2.1</v>
      </c>
      <c r="V261" s="5">
        <v>214.0</v>
      </c>
      <c r="W261" s="27">
        <v>0.0</v>
      </c>
      <c r="X261" s="28">
        <v>214.0</v>
      </c>
      <c r="Y261" s="27">
        <v>1.0</v>
      </c>
      <c r="Z261" s="5" t="s">
        <v>117</v>
      </c>
      <c r="AA261" s="5">
        <v>0.62</v>
      </c>
      <c r="AB261" s="5"/>
      <c r="AC261" s="5" t="s">
        <v>81</v>
      </c>
      <c r="AD261" s="5" t="s">
        <v>81</v>
      </c>
      <c r="AE261" s="5">
        <v>1.0</v>
      </c>
      <c r="AF261" s="5">
        <v>1.0</v>
      </c>
      <c r="AG261" s="5" t="s">
        <v>0</v>
      </c>
      <c r="AH261" s="5" t="s">
        <v>386</v>
      </c>
      <c r="AI261" s="42"/>
      <c r="AJ261" s="28">
        <v>307.0</v>
      </c>
      <c r="AK261" s="28">
        <v>0.0</v>
      </c>
      <c r="AL261" s="28">
        <v>0.0</v>
      </c>
      <c r="AM261" s="28">
        <v>0.0</v>
      </c>
      <c r="AN261" s="28">
        <v>0.0</v>
      </c>
      <c r="AO261" s="28">
        <v>65787.03</v>
      </c>
      <c r="AP261" s="28">
        <v>0.0</v>
      </c>
      <c r="AQ261" s="28">
        <v>0.0</v>
      </c>
      <c r="AR261" s="28">
        <v>0.0</v>
      </c>
      <c r="AS261" s="28">
        <v>0.0</v>
      </c>
      <c r="AT261" s="28">
        <v>65785.71428571429</v>
      </c>
      <c r="AU261" s="28">
        <v>0.0</v>
      </c>
      <c r="AV261" s="28">
        <v>0.0</v>
      </c>
      <c r="AW261" s="28">
        <v>0.0</v>
      </c>
      <c r="AX261" s="5"/>
      <c r="AY261" s="5" t="str">
        <f t="array" ref="AY261">IFERROR(_xlfn.XLOOKUP($E261,'FW27'!$C$3:$C$1102,'FW27'!$AM$3:$AM$1102),"")</f>
        <v>Essentials</v>
      </c>
      <c r="AZ261" s="5" t="str">
        <f t="array" ref="AZ261">IFERROR(_xlfn.XLOOKUP($E261,'FW27'!$C$3:$C$1102,'FW27'!$AN$3:$AN$1102),"")</f>
        <v>Daily Essentials</v>
      </c>
      <c r="BA261" s="5" t="s">
        <v>237</v>
      </c>
      <c r="BB261" s="5" t="str">
        <f t="array" ref="BB261">IFERROR(_xlfn.XLOOKUP($E261,'FW27'!$C$3:$C$1102,'FW27'!$AS$3:$AS$1102),"")</f>
        <v>Tops</v>
      </c>
      <c r="BC261" s="5" t="str">
        <f t="array" ref="BC261">IFERROR(_xlfn.XLOOKUP($E261,'FW27'!$C$3:$C$1102,'FW27'!$AT$3:$AT$1102),"")</f>
        <v>Tee</v>
      </c>
      <c r="BD261" s="5" t="str">
        <f t="array" ref="BD261">IFERROR(_xlfn.XLOOKUP($E261,'FW27'!$C$3:$C$1102,'FW27'!$AU$3:$AU$1102),"")</f>
        <v>Cotton/Graphic Tee</v>
      </c>
      <c r="BE261" s="5" t="str">
        <f t="array" ref="BE261">IFERROR(_xlfn.XLOOKUP($E261,'FW27'!$C$3:$C$1102,'FW27'!$AV$3:$AV$1102),"")</f>
        <v>N</v>
      </c>
    </row>
    <row r="262" ht="16.5" hidden="1" customHeight="1">
      <c r="A262" s="5" t="s">
        <v>155</v>
      </c>
      <c r="B262" s="5" t="s">
        <v>137</v>
      </c>
      <c r="C262" s="5" t="b">
        <v>0</v>
      </c>
      <c r="D262" s="71" t="s">
        <v>824</v>
      </c>
      <c r="E262" s="71" t="s">
        <v>825</v>
      </c>
      <c r="F262" s="71"/>
      <c r="G262" s="71" t="s">
        <v>65</v>
      </c>
      <c r="H262" s="71" t="s">
        <v>76</v>
      </c>
      <c r="I262" s="71" t="s">
        <v>106</v>
      </c>
      <c r="J262" s="72" t="s">
        <v>1925</v>
      </c>
      <c r="K262" s="25" t="s">
        <v>386</v>
      </c>
      <c r="L262" s="25"/>
      <c r="M262" s="5" t="s">
        <v>66</v>
      </c>
      <c r="N262" s="5" t="s">
        <v>334</v>
      </c>
      <c r="O262" s="5" t="s">
        <v>96</v>
      </c>
      <c r="P262" s="5" t="s">
        <v>107</v>
      </c>
      <c r="Q262" s="5" t="b">
        <v>1</v>
      </c>
      <c r="R262" s="5" t="b">
        <v>0</v>
      </c>
      <c r="S262" s="5"/>
      <c r="T262" s="5">
        <v>450.0</v>
      </c>
      <c r="U262" s="26">
        <v>2.1</v>
      </c>
      <c r="V262" s="5">
        <v>214.0</v>
      </c>
      <c r="W262" s="27">
        <v>0.0</v>
      </c>
      <c r="X262" s="28">
        <v>214.0</v>
      </c>
      <c r="Y262" s="27">
        <v>1.0</v>
      </c>
      <c r="Z262" s="5" t="s">
        <v>117</v>
      </c>
      <c r="AA262" s="5">
        <v>0.64</v>
      </c>
      <c r="AB262" s="5"/>
      <c r="AC262" s="5" t="s">
        <v>81</v>
      </c>
      <c r="AD262" s="5" t="s">
        <v>81</v>
      </c>
      <c r="AE262" s="5">
        <v>1.0</v>
      </c>
      <c r="AF262" s="5">
        <v>1.0</v>
      </c>
      <c r="AG262" s="5" t="s">
        <v>0</v>
      </c>
      <c r="AH262" s="5" t="s">
        <v>386</v>
      </c>
      <c r="AI262" s="42"/>
      <c r="AJ262" s="28">
        <v>262.0</v>
      </c>
      <c r="AK262" s="28">
        <v>0.0</v>
      </c>
      <c r="AL262" s="28">
        <v>0.0</v>
      </c>
      <c r="AM262" s="28">
        <v>0.0</v>
      </c>
      <c r="AN262" s="28">
        <v>0.0</v>
      </c>
      <c r="AO262" s="28">
        <v>56143.979999999996</v>
      </c>
      <c r="AP262" s="28">
        <v>0.0</v>
      </c>
      <c r="AQ262" s="28">
        <v>0.0</v>
      </c>
      <c r="AR262" s="28">
        <v>0.0</v>
      </c>
      <c r="AS262" s="28">
        <v>0.0</v>
      </c>
      <c r="AT262" s="28">
        <v>56142.857142857145</v>
      </c>
      <c r="AU262" s="28">
        <v>0.0</v>
      </c>
      <c r="AV262" s="28">
        <v>0.0</v>
      </c>
      <c r="AW262" s="28">
        <v>0.0</v>
      </c>
      <c r="AX262" s="5"/>
      <c r="AY262" s="5" t="str">
        <f t="array" ref="AY262">IFERROR(_xlfn.XLOOKUP($E262,'FW27'!$C$3:$C$1102,'FW27'!$AM$3:$AM$1102),"")</f>
        <v>Essentials</v>
      </c>
      <c r="AZ262" s="5" t="str">
        <f t="array" ref="AZ262">IFERROR(_xlfn.XLOOKUP($E262,'FW27'!$C$3:$C$1102,'FW27'!$AN$3:$AN$1102),"")</f>
        <v>Daily Essentials</v>
      </c>
      <c r="BA262" s="5" t="s">
        <v>237</v>
      </c>
      <c r="BB262" s="5" t="str">
        <f t="array" ref="BB262">IFERROR(_xlfn.XLOOKUP($E262,'FW27'!$C$3:$C$1102,'FW27'!$AS$3:$AS$1102),"")</f>
        <v>Tops</v>
      </c>
      <c r="BC262" s="5" t="str">
        <f t="array" ref="BC262">IFERROR(_xlfn.XLOOKUP($E262,'FW27'!$C$3:$C$1102,'FW27'!$AT$3:$AT$1102),"")</f>
        <v>Tee</v>
      </c>
      <c r="BD262" s="5" t="str">
        <f t="array" ref="BD262">IFERROR(_xlfn.XLOOKUP($E262,'FW27'!$C$3:$C$1102,'FW27'!$AU$3:$AU$1102),"")</f>
        <v>Cotton/Graphic Tee</v>
      </c>
      <c r="BE262" s="5" t="str">
        <f t="array" ref="BE262">IFERROR(_xlfn.XLOOKUP($E262,'FW27'!$C$3:$C$1102,'FW27'!$AV$3:$AV$1102),"")</f>
        <v>N</v>
      </c>
    </row>
    <row r="263" ht="16.5" hidden="1" customHeight="1">
      <c r="A263" s="5" t="s">
        <v>155</v>
      </c>
      <c r="B263" s="5" t="s">
        <v>215</v>
      </c>
      <c r="C263" s="5" t="b">
        <v>0</v>
      </c>
      <c r="D263" s="71" t="s">
        <v>838</v>
      </c>
      <c r="E263" s="71" t="s">
        <v>840</v>
      </c>
      <c r="F263" s="71"/>
      <c r="G263" s="71" t="s">
        <v>65</v>
      </c>
      <c r="H263" s="71" t="s">
        <v>76</v>
      </c>
      <c r="I263" s="71" t="s">
        <v>106</v>
      </c>
      <c r="J263" s="72" t="s">
        <v>1925</v>
      </c>
      <c r="K263" s="25" t="s">
        <v>386</v>
      </c>
      <c r="L263" s="25" t="s">
        <v>110</v>
      </c>
      <c r="M263" s="5" t="s">
        <v>220</v>
      </c>
      <c r="N263" s="5" t="s">
        <v>68</v>
      </c>
      <c r="O263" s="5" t="s">
        <v>96</v>
      </c>
      <c r="P263" s="5" t="s">
        <v>70</v>
      </c>
      <c r="Q263" s="5" t="b">
        <v>1</v>
      </c>
      <c r="R263" s="5" t="b">
        <v>0</v>
      </c>
      <c r="S263" s="5"/>
      <c r="T263" s="5">
        <v>3500.0</v>
      </c>
      <c r="U263" s="26">
        <v>2.1</v>
      </c>
      <c r="V263" s="5">
        <v>1667.0</v>
      </c>
      <c r="W263" s="27">
        <v>0.0</v>
      </c>
      <c r="X263" s="28">
        <v>1667.0</v>
      </c>
      <c r="Y263" s="27">
        <v>1.0</v>
      </c>
      <c r="Z263" s="5" t="s">
        <v>78</v>
      </c>
      <c r="AA263" s="5">
        <v>0.6</v>
      </c>
      <c r="AB263" s="5"/>
      <c r="AC263" s="5" t="s">
        <v>166</v>
      </c>
      <c r="AD263" s="5" t="s">
        <v>81</v>
      </c>
      <c r="AE263" s="5">
        <v>1.0</v>
      </c>
      <c r="AF263" s="5">
        <v>1.0</v>
      </c>
      <c r="AG263" s="5" t="s">
        <v>0</v>
      </c>
      <c r="AH263" s="5" t="s">
        <v>386</v>
      </c>
      <c r="AI263" s="42"/>
      <c r="AJ263" s="28">
        <v>219.0</v>
      </c>
      <c r="AK263" s="28">
        <v>0.0</v>
      </c>
      <c r="AL263" s="28">
        <v>0.0</v>
      </c>
      <c r="AM263" s="28">
        <v>0.0</v>
      </c>
      <c r="AN263" s="28">
        <v>0.0</v>
      </c>
      <c r="AO263" s="28">
        <v>333714.39</v>
      </c>
      <c r="AP263" s="28">
        <v>0.0</v>
      </c>
      <c r="AQ263" s="28">
        <v>0.0</v>
      </c>
      <c r="AR263" s="28">
        <v>0.0</v>
      </c>
      <c r="AS263" s="28">
        <v>0.0</v>
      </c>
      <c r="AT263" s="28">
        <v>333714.2857142857</v>
      </c>
      <c r="AU263" s="28">
        <v>0.0</v>
      </c>
      <c r="AV263" s="28">
        <v>0.0</v>
      </c>
      <c r="AW263" s="28">
        <v>0.0</v>
      </c>
      <c r="AX263" s="5"/>
      <c r="AY263" s="5" t="str">
        <f t="array" ref="AY263">IFERROR(_xlfn.XLOOKUP($E263,'FW27'!$C$3:$C$1102,'FW27'!$AM$3:$AM$1102),"")</f>
        <v>Skiing/Snowboarding</v>
      </c>
      <c r="AZ263" s="5" t="str">
        <f t="array" ref="AZ263">IFERROR(_xlfn.XLOOKUP($E263,'FW27'!$C$3:$C$1102,'FW27'!$AN$3:$AN$1102),"")</f>
        <v>All Mountain</v>
      </c>
      <c r="BA263" s="5" t="s">
        <v>1558</v>
      </c>
      <c r="BB263" s="5" t="str">
        <f t="array" ref="BB263">IFERROR(_xlfn.XLOOKUP($E263,'FW27'!$C$3:$C$1102,'FW27'!$AS$3:$AS$1102),"")</f>
        <v>Shell</v>
      </c>
      <c r="BC263" s="5" t="str">
        <f t="array" ref="BC263">IFERROR(_xlfn.XLOOKUP($E263,'FW27'!$C$3:$C$1102,'FW27'!$AT$3:$AT$1102),"")</f>
        <v>Jacket</v>
      </c>
      <c r="BD263" s="5" t="str">
        <f t="array" ref="BD263">IFERROR(_xlfn.XLOOKUP($E263,'FW27'!$C$3:$C$1102,'FW27'!$AU$3:$AU$1102),"")</f>
        <v>3L</v>
      </c>
      <c r="BE263" s="5" t="str">
        <f t="array" ref="BE263">IFERROR(_xlfn.XLOOKUP($E263,'FW27'!$C$3:$C$1102,'FW27'!$AV$3:$AV$1102),"")</f>
        <v>Y</v>
      </c>
    </row>
    <row r="264" ht="16.5" hidden="1" customHeight="1">
      <c r="A264" s="5" t="s">
        <v>155</v>
      </c>
      <c r="B264" s="5" t="s">
        <v>215</v>
      </c>
      <c r="C264" s="5" t="b">
        <v>0</v>
      </c>
      <c r="D264" s="71" t="s">
        <v>856</v>
      </c>
      <c r="E264" s="71" t="s">
        <v>857</v>
      </c>
      <c r="F264" s="71"/>
      <c r="G264" s="71" t="s">
        <v>65</v>
      </c>
      <c r="H264" s="71" t="s">
        <v>76</v>
      </c>
      <c r="I264" s="71" t="s">
        <v>106</v>
      </c>
      <c r="J264" s="72" t="s">
        <v>1925</v>
      </c>
      <c r="K264" s="25" t="s">
        <v>386</v>
      </c>
      <c r="L264" s="25" t="s">
        <v>110</v>
      </c>
      <c r="M264" s="5" t="s">
        <v>220</v>
      </c>
      <c r="N264" s="5" t="s">
        <v>68</v>
      </c>
      <c r="O264" s="5" t="s">
        <v>96</v>
      </c>
      <c r="P264" s="5" t="s">
        <v>107</v>
      </c>
      <c r="Q264" s="5" t="b">
        <v>1</v>
      </c>
      <c r="R264" s="5" t="b">
        <v>0</v>
      </c>
      <c r="S264" s="5"/>
      <c r="T264" s="5">
        <v>3500.0</v>
      </c>
      <c r="U264" s="26">
        <v>2.1</v>
      </c>
      <c r="V264" s="5">
        <v>1667.0</v>
      </c>
      <c r="W264" s="27">
        <v>0.0</v>
      </c>
      <c r="X264" s="28">
        <v>1667.0</v>
      </c>
      <c r="Y264" s="27">
        <v>1.0</v>
      </c>
      <c r="Z264" s="5" t="s">
        <v>78</v>
      </c>
      <c r="AA264" s="5">
        <v>0.62</v>
      </c>
      <c r="AB264" s="5"/>
      <c r="AC264" s="5" t="s">
        <v>166</v>
      </c>
      <c r="AD264" s="5" t="s">
        <v>81</v>
      </c>
      <c r="AE264" s="5">
        <v>1.0</v>
      </c>
      <c r="AF264" s="5">
        <v>1.0</v>
      </c>
      <c r="AG264" s="5" t="s">
        <v>0</v>
      </c>
      <c r="AH264" s="5" t="s">
        <v>386</v>
      </c>
      <c r="AI264" s="42"/>
      <c r="AJ264" s="28">
        <v>187.0</v>
      </c>
      <c r="AK264" s="28">
        <v>0.0</v>
      </c>
      <c r="AL264" s="28">
        <v>0.0</v>
      </c>
      <c r="AM264" s="28">
        <v>0.0</v>
      </c>
      <c r="AN264" s="28">
        <v>0.0</v>
      </c>
      <c r="AO264" s="28">
        <v>284952.47</v>
      </c>
      <c r="AP264" s="28">
        <v>0.0</v>
      </c>
      <c r="AQ264" s="28">
        <v>0.0</v>
      </c>
      <c r="AR264" s="28">
        <v>0.0</v>
      </c>
      <c r="AS264" s="28">
        <v>0.0</v>
      </c>
      <c r="AT264" s="28">
        <v>284952.38095238095</v>
      </c>
      <c r="AU264" s="28">
        <v>0.0</v>
      </c>
      <c r="AV264" s="28">
        <v>0.0</v>
      </c>
      <c r="AW264" s="28">
        <v>0.0</v>
      </c>
      <c r="AX264" s="5"/>
      <c r="AY264" s="5" t="str">
        <f t="array" ref="AY264">IFERROR(_xlfn.XLOOKUP($E264,'FW27'!$C$3:$C$1102,'FW27'!$AM$3:$AM$1102),"")</f>
        <v>Skiing/Snowboarding</v>
      </c>
      <c r="AZ264" s="5" t="str">
        <f t="array" ref="AZ264">IFERROR(_xlfn.XLOOKUP($E264,'FW27'!$C$3:$C$1102,'FW27'!$AN$3:$AN$1102),"")</f>
        <v>All Mountain</v>
      </c>
      <c r="BA264" s="5" t="s">
        <v>1558</v>
      </c>
      <c r="BB264" s="5" t="str">
        <f t="array" ref="BB264">IFERROR(_xlfn.XLOOKUP($E264,'FW27'!$C$3:$C$1102,'FW27'!$AS$3:$AS$1102),"")</f>
        <v>Shell</v>
      </c>
      <c r="BC264" s="5" t="str">
        <f t="array" ref="BC264">IFERROR(_xlfn.XLOOKUP($E264,'FW27'!$C$3:$C$1102,'FW27'!$AT$3:$AT$1102),"")</f>
        <v>Jacket</v>
      </c>
      <c r="BD264" s="5" t="str">
        <f t="array" ref="BD264">IFERROR(_xlfn.XLOOKUP($E264,'FW27'!$C$3:$C$1102,'FW27'!$AU$3:$AU$1102),"")</f>
        <v>3L</v>
      </c>
      <c r="BE264" s="5" t="str">
        <f t="array" ref="BE264">IFERROR(_xlfn.XLOOKUP($E264,'FW27'!$C$3:$C$1102,'FW27'!$AV$3:$AV$1102),"")</f>
        <v>Y</v>
      </c>
    </row>
    <row r="265" ht="16.5" hidden="1" customHeight="1">
      <c r="A265" s="5" t="s">
        <v>155</v>
      </c>
      <c r="B265" s="5" t="s">
        <v>215</v>
      </c>
      <c r="C265" s="5" t="b">
        <v>0</v>
      </c>
      <c r="D265" s="71" t="s">
        <v>881</v>
      </c>
      <c r="E265" s="71" t="s">
        <v>882</v>
      </c>
      <c r="F265" s="71"/>
      <c r="G265" s="71" t="s">
        <v>65</v>
      </c>
      <c r="H265" s="71" t="s">
        <v>76</v>
      </c>
      <c r="I265" s="71" t="s">
        <v>106</v>
      </c>
      <c r="J265" s="72" t="s">
        <v>1925</v>
      </c>
      <c r="K265" s="25" t="s">
        <v>386</v>
      </c>
      <c r="L265" s="25" t="s">
        <v>181</v>
      </c>
      <c r="M265" s="5" t="s">
        <v>220</v>
      </c>
      <c r="N265" s="5" t="s">
        <v>68</v>
      </c>
      <c r="O265" s="5" t="s">
        <v>96</v>
      </c>
      <c r="P265" s="5" t="s">
        <v>70</v>
      </c>
      <c r="Q265" s="5" t="b">
        <v>1</v>
      </c>
      <c r="R265" s="5" t="b">
        <v>0</v>
      </c>
      <c r="S265" s="5"/>
      <c r="T265" s="5">
        <v>3100.0</v>
      </c>
      <c r="U265" s="26">
        <v>2.1</v>
      </c>
      <c r="V265" s="5">
        <v>1476.0</v>
      </c>
      <c r="W265" s="27">
        <v>0.0</v>
      </c>
      <c r="X265" s="28">
        <v>1476.0</v>
      </c>
      <c r="Y265" s="27">
        <v>1.0</v>
      </c>
      <c r="Z265" s="5" t="s">
        <v>78</v>
      </c>
      <c r="AA265" s="5">
        <v>0.6</v>
      </c>
      <c r="AB265" s="5"/>
      <c r="AC265" s="5" t="s">
        <v>166</v>
      </c>
      <c r="AD265" s="5" t="s">
        <v>81</v>
      </c>
      <c r="AE265" s="5">
        <v>1.0</v>
      </c>
      <c r="AF265" s="5">
        <v>1.0</v>
      </c>
      <c r="AG265" s="5" t="s">
        <v>0</v>
      </c>
      <c r="AH265" s="5" t="s">
        <v>386</v>
      </c>
      <c r="AI265" s="42"/>
      <c r="AJ265" s="28">
        <v>187.0</v>
      </c>
      <c r="AK265" s="28">
        <v>0.0</v>
      </c>
      <c r="AL265" s="28">
        <v>0.0</v>
      </c>
      <c r="AM265" s="28">
        <v>0.0</v>
      </c>
      <c r="AN265" s="28">
        <v>0.0</v>
      </c>
      <c r="AO265" s="28">
        <v>249332.70999999996</v>
      </c>
      <c r="AP265" s="28">
        <v>0.0</v>
      </c>
      <c r="AQ265" s="28">
        <v>0.0</v>
      </c>
      <c r="AR265" s="28">
        <v>0.0</v>
      </c>
      <c r="AS265" s="28">
        <v>0.0</v>
      </c>
      <c r="AT265" s="28">
        <v>249333.3333333333</v>
      </c>
      <c r="AU265" s="28">
        <v>0.0</v>
      </c>
      <c r="AV265" s="28">
        <v>0.0</v>
      </c>
      <c r="AW265" s="28">
        <v>0.0</v>
      </c>
      <c r="AX265" s="5"/>
      <c r="AY265" s="5" t="str">
        <f t="array" ref="AY265">IFERROR(_xlfn.XLOOKUP($E265,'FW27'!$C$3:$C$1102,'FW27'!$AM$3:$AM$1102),"")</f>
        <v>Skiing/Snowboarding</v>
      </c>
      <c r="AZ265" s="5" t="str">
        <f t="array" ref="AZ265">IFERROR(_xlfn.XLOOKUP($E265,'FW27'!$C$3:$C$1102,'FW27'!$AN$3:$AN$1102),"")</f>
        <v>All Mountain</v>
      </c>
      <c r="BA265" s="5" t="s">
        <v>1558</v>
      </c>
      <c r="BB265" s="5" t="str">
        <f t="array" ref="BB265">IFERROR(_xlfn.XLOOKUP($E265,'FW27'!$C$3:$C$1102,'FW27'!$AS$3:$AS$1102),"")</f>
        <v>Shell</v>
      </c>
      <c r="BC265" s="5" t="str">
        <f t="array" ref="BC265">IFERROR(_xlfn.XLOOKUP($E265,'FW27'!$C$3:$C$1102,'FW27'!$AT$3:$AT$1102),"")</f>
        <v>Pant</v>
      </c>
      <c r="BD265" s="5" t="str">
        <f t="array" ref="BD265">IFERROR(_xlfn.XLOOKUP($E265,'FW27'!$C$3:$C$1102,'FW27'!$AU$3:$AU$1102),"")</f>
        <v>3L</v>
      </c>
      <c r="BE265" s="5" t="str">
        <f t="array" ref="BE265">IFERROR(_xlfn.XLOOKUP($E265,'FW27'!$C$3:$C$1102,'FW27'!$AV$3:$AV$1102),"")</f>
        <v>Y</v>
      </c>
    </row>
    <row r="266" ht="16.5" hidden="1" customHeight="1">
      <c r="A266" s="5" t="s">
        <v>155</v>
      </c>
      <c r="B266" s="5" t="s">
        <v>215</v>
      </c>
      <c r="C266" s="5" t="b">
        <v>0</v>
      </c>
      <c r="D266" s="71" t="s">
        <v>890</v>
      </c>
      <c r="E266" s="71" t="s">
        <v>891</v>
      </c>
      <c r="F266" s="71"/>
      <c r="G266" s="71" t="s">
        <v>65</v>
      </c>
      <c r="H266" s="71" t="s">
        <v>76</v>
      </c>
      <c r="I266" s="71" t="s">
        <v>106</v>
      </c>
      <c r="J266" s="72" t="s">
        <v>1925</v>
      </c>
      <c r="K266" s="25" t="s">
        <v>386</v>
      </c>
      <c r="L266" s="25" t="s">
        <v>181</v>
      </c>
      <c r="M266" s="5" t="s">
        <v>220</v>
      </c>
      <c r="N266" s="5" t="s">
        <v>68</v>
      </c>
      <c r="O266" s="5" t="s">
        <v>96</v>
      </c>
      <c r="P266" s="5" t="s">
        <v>107</v>
      </c>
      <c r="Q266" s="5" t="b">
        <v>1</v>
      </c>
      <c r="R266" s="5" t="b">
        <v>0</v>
      </c>
      <c r="S266" s="5"/>
      <c r="T266" s="5">
        <v>3100.0</v>
      </c>
      <c r="U266" s="26">
        <v>2.1</v>
      </c>
      <c r="V266" s="5">
        <v>1476.0</v>
      </c>
      <c r="W266" s="27">
        <v>0.0</v>
      </c>
      <c r="X266" s="28">
        <v>1476.0</v>
      </c>
      <c r="Y266" s="27">
        <v>1.0</v>
      </c>
      <c r="Z266" s="5" t="s">
        <v>78</v>
      </c>
      <c r="AA266" s="5">
        <v>0.61</v>
      </c>
      <c r="AB266" s="5"/>
      <c r="AC266" s="5" t="s">
        <v>166</v>
      </c>
      <c r="AD266" s="5" t="s">
        <v>81</v>
      </c>
      <c r="AE266" s="5">
        <v>1.0</v>
      </c>
      <c r="AF266" s="5">
        <v>1.0</v>
      </c>
      <c r="AG266" s="5" t="s">
        <v>0</v>
      </c>
      <c r="AH266" s="5" t="s">
        <v>386</v>
      </c>
      <c r="AI266" s="42"/>
      <c r="AJ266" s="28">
        <v>165.0</v>
      </c>
      <c r="AK266" s="28">
        <v>0.0</v>
      </c>
      <c r="AL266" s="28">
        <v>0.0</v>
      </c>
      <c r="AM266" s="28">
        <v>0.0</v>
      </c>
      <c r="AN266" s="28">
        <v>0.0</v>
      </c>
      <c r="AO266" s="28">
        <v>219999.45</v>
      </c>
      <c r="AP266" s="28">
        <v>0.0</v>
      </c>
      <c r="AQ266" s="28">
        <v>0.0</v>
      </c>
      <c r="AR266" s="28">
        <v>0.0</v>
      </c>
      <c r="AS266" s="28">
        <v>0.0</v>
      </c>
      <c r="AT266" s="28">
        <v>220000.0</v>
      </c>
      <c r="AU266" s="28">
        <v>0.0</v>
      </c>
      <c r="AV266" s="28">
        <v>0.0</v>
      </c>
      <c r="AW266" s="28">
        <v>0.0</v>
      </c>
      <c r="AX266" s="5"/>
      <c r="AY266" s="5" t="str">
        <f t="array" ref="AY266">IFERROR(_xlfn.XLOOKUP($E266,'FW27'!$C$3:$C$1102,'FW27'!$AM$3:$AM$1102),"")</f>
        <v>Skiing/Snowboarding</v>
      </c>
      <c r="AZ266" s="5" t="str">
        <f t="array" ref="AZ266">IFERROR(_xlfn.XLOOKUP($E266,'FW27'!$C$3:$C$1102,'FW27'!$AN$3:$AN$1102),"")</f>
        <v>All Mountain</v>
      </c>
      <c r="BA266" s="5" t="s">
        <v>1558</v>
      </c>
      <c r="BB266" s="5" t="str">
        <f t="array" ref="BB266">IFERROR(_xlfn.XLOOKUP($E266,'FW27'!$C$3:$C$1102,'FW27'!$AS$3:$AS$1102),"")</f>
        <v>Shell</v>
      </c>
      <c r="BC266" s="5" t="str">
        <f t="array" ref="BC266">IFERROR(_xlfn.XLOOKUP($E266,'FW27'!$C$3:$C$1102,'FW27'!$AT$3:$AT$1102),"")</f>
        <v>Pant</v>
      </c>
      <c r="BD266" s="5" t="str">
        <f t="array" ref="BD266">IFERROR(_xlfn.XLOOKUP($E266,'FW27'!$C$3:$C$1102,'FW27'!$AU$3:$AU$1102),"")</f>
        <v>3L</v>
      </c>
      <c r="BE266" s="5" t="str">
        <f t="array" ref="BE266">IFERROR(_xlfn.XLOOKUP($E266,'FW27'!$C$3:$C$1102,'FW27'!$AV$3:$AV$1102),"")</f>
        <v>Y</v>
      </c>
    </row>
    <row r="267" ht="16.5" hidden="1" customHeight="1">
      <c r="A267" s="5" t="s">
        <v>155</v>
      </c>
      <c r="B267" s="5" t="s">
        <v>137</v>
      </c>
      <c r="C267" s="5" t="b">
        <v>1</v>
      </c>
      <c r="D267" s="43" t="s">
        <v>488</v>
      </c>
      <c r="E267" s="43" t="s">
        <v>489</v>
      </c>
      <c r="F267" s="43"/>
      <c r="G267" s="43" t="s">
        <v>65</v>
      </c>
      <c r="H267" s="43" t="s">
        <v>76</v>
      </c>
      <c r="I267" s="43" t="s">
        <v>82</v>
      </c>
      <c r="J267" s="44" t="s">
        <v>1999</v>
      </c>
      <c r="K267" s="25"/>
      <c r="L267" s="25"/>
      <c r="M267" s="5" t="s">
        <v>66</v>
      </c>
      <c r="N267" s="5" t="s">
        <v>270</v>
      </c>
      <c r="O267" s="5" t="s">
        <v>141</v>
      </c>
      <c r="P267" s="5" t="s">
        <v>70</v>
      </c>
      <c r="Q267" s="5" t="b">
        <v>1</v>
      </c>
      <c r="R267" s="5" t="b">
        <v>0</v>
      </c>
      <c r="S267" s="5"/>
      <c r="T267" s="5">
        <v>800.0</v>
      </c>
      <c r="U267" s="26">
        <v>2.1</v>
      </c>
      <c r="V267" s="5">
        <v>381.0</v>
      </c>
      <c r="W267" s="27">
        <v>0.0</v>
      </c>
      <c r="X267" s="28">
        <v>381.0</v>
      </c>
      <c r="Y267" s="27">
        <v>1.0</v>
      </c>
      <c r="Z267" s="5" t="s">
        <v>78</v>
      </c>
      <c r="AA267" s="5">
        <v>0.65</v>
      </c>
      <c r="AB267" s="5"/>
      <c r="AC267" s="5" t="s">
        <v>273</v>
      </c>
      <c r="AD267" s="5" t="s">
        <v>81</v>
      </c>
      <c r="AE267" s="5">
        <v>4.0</v>
      </c>
      <c r="AF267" s="5">
        <v>4.0</v>
      </c>
      <c r="AG267" s="5" t="s">
        <v>1564</v>
      </c>
      <c r="AH267" s="5" t="s">
        <v>156</v>
      </c>
      <c r="AI267" s="42"/>
      <c r="AJ267" s="28">
        <v>350.0</v>
      </c>
      <c r="AK267" s="28">
        <v>170.0</v>
      </c>
      <c r="AL267" s="28">
        <v>0.0</v>
      </c>
      <c r="AM267" s="28">
        <v>190.0</v>
      </c>
      <c r="AN267" s="28">
        <v>0.0</v>
      </c>
      <c r="AO267" s="28">
        <v>133332.5</v>
      </c>
      <c r="AP267" s="28">
        <v>72930.0</v>
      </c>
      <c r="AQ267" s="28">
        <v>0.0</v>
      </c>
      <c r="AR267" s="28">
        <v>72380.5</v>
      </c>
      <c r="AS267" s="28">
        <v>0.0</v>
      </c>
      <c r="AT267" s="28">
        <v>110054.2857142857</v>
      </c>
      <c r="AU267" s="28">
        <v>73703.50000000001</v>
      </c>
      <c r="AV267" s="28">
        <v>0.0</v>
      </c>
      <c r="AW267" s="28">
        <v>59374.999999999985</v>
      </c>
      <c r="AX267" s="5"/>
      <c r="AY267" s="5" t="str">
        <f t="array" ref="AY267">IFERROR(_xlfn.XLOOKUP($E267,'FW27'!$C$3:$C$1102,'FW27'!$AM$3:$AM$1102),"")</f>
        <v>Essentials</v>
      </c>
      <c r="AZ267" s="5" t="str">
        <f t="array" ref="AZ267">IFERROR(_xlfn.XLOOKUP($E267,'FW27'!$C$3:$C$1102,'FW27'!$AN$3:$AN$1102),"")</f>
        <v>Active Essentials</v>
      </c>
      <c r="BB267" s="5" t="str">
        <f t="array" ref="BB267">IFERROR(_xlfn.XLOOKUP($E267,'FW27'!$C$3:$C$1102,'FW27'!$AS$3:$AS$1102),"")</f>
        <v>Fleece/Midlayer</v>
      </c>
      <c r="BC267" s="5" t="str">
        <f t="array" ref="BC267">IFERROR(_xlfn.XLOOKUP($E267,'FW27'!$C$3:$C$1102,'FW27'!$AT$3:$AT$1102),"")</f>
        <v>1/2 Zip</v>
      </c>
      <c r="BD267" s="5" t="str">
        <f t="array" ref="BD267">IFERROR(_xlfn.XLOOKUP($E267,'FW27'!$C$3:$C$1102,'FW27'!$AU$3:$AU$1102),"")</f>
        <v>Lightweight</v>
      </c>
      <c r="BE267" s="5" t="str">
        <f t="array" ref="BE267">IFERROR(_xlfn.XLOOKUP($E267,'FW27'!$C$3:$C$1102,'FW27'!$AV$3:$AV$1102),"")</f>
        <v>N</v>
      </c>
    </row>
    <row r="268" ht="16.5" hidden="1" customHeight="1">
      <c r="A268" s="5" t="s">
        <v>155</v>
      </c>
      <c r="B268" s="5" t="s">
        <v>137</v>
      </c>
      <c r="C268" s="5" t="b">
        <v>1</v>
      </c>
      <c r="D268" s="43" t="s">
        <v>503</v>
      </c>
      <c r="E268" s="43" t="s">
        <v>504</v>
      </c>
      <c r="F268" s="43"/>
      <c r="G268" s="43" t="s">
        <v>65</v>
      </c>
      <c r="H268" s="43" t="s">
        <v>76</v>
      </c>
      <c r="I268" s="43" t="s">
        <v>82</v>
      </c>
      <c r="J268" s="44" t="s">
        <v>1999</v>
      </c>
      <c r="K268" s="25"/>
      <c r="L268" s="25"/>
      <c r="M268" s="5" t="s">
        <v>66</v>
      </c>
      <c r="N268" s="5" t="s">
        <v>270</v>
      </c>
      <c r="O268" s="5" t="s">
        <v>141</v>
      </c>
      <c r="P268" s="5" t="s">
        <v>107</v>
      </c>
      <c r="Q268" s="5" t="b">
        <v>1</v>
      </c>
      <c r="R268" s="5" t="b">
        <v>0</v>
      </c>
      <c r="S268" s="5"/>
      <c r="T268" s="5">
        <v>800.0</v>
      </c>
      <c r="U268" s="26">
        <v>2.1</v>
      </c>
      <c r="V268" s="5">
        <v>381.0</v>
      </c>
      <c r="W268" s="27">
        <v>0.0</v>
      </c>
      <c r="X268" s="28">
        <v>381.0</v>
      </c>
      <c r="Y268" s="27">
        <v>1.0</v>
      </c>
      <c r="Z268" s="5" t="s">
        <v>78</v>
      </c>
      <c r="AA268" s="5">
        <v>0.68</v>
      </c>
      <c r="AB268" s="5"/>
      <c r="AC268" s="5" t="s">
        <v>273</v>
      </c>
      <c r="AD268" s="5" t="s">
        <v>81</v>
      </c>
      <c r="AE268" s="5">
        <v>4.0</v>
      </c>
      <c r="AF268" s="5">
        <v>5.0</v>
      </c>
      <c r="AG268" s="5" t="s">
        <v>1564</v>
      </c>
      <c r="AH268" s="5" t="s">
        <v>156</v>
      </c>
      <c r="AI268" s="42"/>
      <c r="AJ268" s="28">
        <v>100.0</v>
      </c>
      <c r="AK268" s="28">
        <v>70.0</v>
      </c>
      <c r="AL268" s="28">
        <v>0.0</v>
      </c>
      <c r="AM268" s="28">
        <v>110.0</v>
      </c>
      <c r="AN268" s="28">
        <v>0.0</v>
      </c>
      <c r="AO268" s="28">
        <v>38095.0</v>
      </c>
      <c r="AP268" s="28">
        <v>30030.0</v>
      </c>
      <c r="AQ268" s="28">
        <v>0.0</v>
      </c>
      <c r="AR268" s="28">
        <v>41904.5</v>
      </c>
      <c r="AS268" s="28">
        <v>0.0</v>
      </c>
      <c r="AT268" s="28">
        <v>31249.999999999993</v>
      </c>
      <c r="AU268" s="28">
        <v>30348.5</v>
      </c>
      <c r="AV268" s="28">
        <v>0.0</v>
      </c>
      <c r="AW268" s="28">
        <v>34374.99999999999</v>
      </c>
      <c r="AX268" s="5"/>
      <c r="AY268" s="5" t="str">
        <f t="array" ref="AY268">IFERROR(_xlfn.XLOOKUP($E268,'FW27'!$C$3:$C$1102,'FW27'!$AM$3:$AM$1102),"")</f>
        <v>Essentials</v>
      </c>
      <c r="AZ268" s="5" t="str">
        <f t="array" ref="AZ268">IFERROR(_xlfn.XLOOKUP($E268,'FW27'!$C$3:$C$1102,'FW27'!$AN$3:$AN$1102),"")</f>
        <v>Active Essentials</v>
      </c>
      <c r="BB268" s="5" t="str">
        <f t="array" ref="BB268">IFERROR(_xlfn.XLOOKUP($E268,'FW27'!$C$3:$C$1102,'FW27'!$AS$3:$AS$1102),"")</f>
        <v>Fleece/Midlayer</v>
      </c>
      <c r="BC268" s="5" t="str">
        <f t="array" ref="BC268">IFERROR(_xlfn.XLOOKUP($E268,'FW27'!$C$3:$C$1102,'FW27'!$AT$3:$AT$1102),"")</f>
        <v>1/2 Zip</v>
      </c>
      <c r="BD268" s="5" t="str">
        <f t="array" ref="BD268">IFERROR(_xlfn.XLOOKUP($E268,'FW27'!$C$3:$C$1102,'FW27'!$AU$3:$AU$1102),"")</f>
        <v>Lightweight</v>
      </c>
      <c r="BE268" s="5" t="str">
        <f t="array" ref="BE268">IFERROR(_xlfn.XLOOKUP($E268,'FW27'!$C$3:$C$1102,'FW27'!$AV$3:$AV$1102),"")</f>
        <v>N</v>
      </c>
    </row>
    <row r="269" ht="16.5" hidden="1" customHeight="1">
      <c r="A269" s="5" t="s">
        <v>155</v>
      </c>
      <c r="B269" s="5" t="s">
        <v>137</v>
      </c>
      <c r="C269" s="5" t="b">
        <v>0</v>
      </c>
      <c r="D269" s="5" t="s">
        <v>789</v>
      </c>
      <c r="E269" s="5" t="s">
        <v>790</v>
      </c>
      <c r="F269" s="5"/>
      <c r="G269" s="5" t="s">
        <v>65</v>
      </c>
      <c r="H269" s="5" t="s">
        <v>76</v>
      </c>
      <c r="I269" s="5" t="s">
        <v>106</v>
      </c>
      <c r="J269" s="25" t="s">
        <v>530</v>
      </c>
      <c r="K269" s="25"/>
      <c r="L269" s="25"/>
      <c r="M269" s="5" t="s">
        <v>66</v>
      </c>
      <c r="N269" s="5" t="s">
        <v>270</v>
      </c>
      <c r="O269" s="5" t="s">
        <v>141</v>
      </c>
      <c r="P269" s="5" t="s">
        <v>70</v>
      </c>
      <c r="Q269" s="5" t="b">
        <v>1</v>
      </c>
      <c r="R269" s="5" t="b">
        <v>0</v>
      </c>
      <c r="S269" s="5"/>
      <c r="T269" s="5">
        <v>950.0</v>
      </c>
      <c r="U269" s="26">
        <v>2.1</v>
      </c>
      <c r="V269" s="5">
        <v>452.0</v>
      </c>
      <c r="W269" s="27">
        <v>0.0</v>
      </c>
      <c r="X269" s="28">
        <v>452.0</v>
      </c>
      <c r="Y269" s="27">
        <v>1.0</v>
      </c>
      <c r="Z269" s="5" t="s">
        <v>78</v>
      </c>
      <c r="AA269" s="5">
        <v>0.65</v>
      </c>
      <c r="AB269" s="5"/>
      <c r="AC269" s="5" t="s">
        <v>273</v>
      </c>
      <c r="AD269" s="5" t="s">
        <v>81</v>
      </c>
      <c r="AE269" s="5">
        <v>2.0</v>
      </c>
      <c r="AF269" s="5">
        <v>2.0</v>
      </c>
      <c r="AG269" s="5" t="s">
        <v>1564</v>
      </c>
      <c r="AH269" s="5" t="s">
        <v>156</v>
      </c>
      <c r="AI269" s="42"/>
      <c r="AJ269" s="28">
        <v>500.0</v>
      </c>
      <c r="AK269" s="28">
        <v>620.0</v>
      </c>
      <c r="AL269" s="28">
        <v>0.0</v>
      </c>
      <c r="AM269" s="28">
        <v>0.0</v>
      </c>
      <c r="AN269" s="28">
        <v>0.0</v>
      </c>
      <c r="AO269" s="28">
        <v>226190.0</v>
      </c>
      <c r="AP269" s="28">
        <v>295120.0</v>
      </c>
      <c r="AQ269" s="28">
        <v>0.0</v>
      </c>
      <c r="AR269" s="28">
        <v>0.0</v>
      </c>
      <c r="AS269" s="28">
        <v>0.0</v>
      </c>
      <c r="AT269" s="28">
        <v>196199.99999999997</v>
      </c>
      <c r="AU269" s="28">
        <v>163619.55000000002</v>
      </c>
      <c r="AV269" s="28">
        <v>0.0</v>
      </c>
      <c r="AW269" s="28">
        <v>0.0</v>
      </c>
      <c r="AX269" s="5"/>
      <c r="AY269" s="5" t="s">
        <v>125</v>
      </c>
      <c r="AZ269" s="5" t="s">
        <v>127</v>
      </c>
      <c r="BB269" s="5" t="s">
        <v>276</v>
      </c>
      <c r="BC269" s="5" t="s">
        <v>89</v>
      </c>
      <c r="BD269" s="5" t="s">
        <v>501</v>
      </c>
      <c r="BE269" s="5" t="s">
        <v>131</v>
      </c>
      <c r="BF269" s="5" t="s">
        <v>281</v>
      </c>
    </row>
    <row r="270" ht="16.5" hidden="1" customHeight="1">
      <c r="A270" s="5" t="s">
        <v>155</v>
      </c>
      <c r="B270" s="5" t="s">
        <v>137</v>
      </c>
      <c r="C270" s="5" t="b">
        <v>0</v>
      </c>
      <c r="D270" s="5" t="s">
        <v>794</v>
      </c>
      <c r="E270" s="5" t="s">
        <v>795</v>
      </c>
      <c r="F270" s="5"/>
      <c r="G270" s="5" t="s">
        <v>65</v>
      </c>
      <c r="H270" s="5" t="s">
        <v>76</v>
      </c>
      <c r="I270" s="5" t="s">
        <v>106</v>
      </c>
      <c r="J270" s="25" t="s">
        <v>530</v>
      </c>
      <c r="K270" s="25"/>
      <c r="L270" s="25"/>
      <c r="M270" s="5" t="s">
        <v>66</v>
      </c>
      <c r="N270" s="5" t="s">
        <v>270</v>
      </c>
      <c r="O270" s="5" t="s">
        <v>141</v>
      </c>
      <c r="P270" s="5" t="s">
        <v>107</v>
      </c>
      <c r="Q270" s="5" t="b">
        <v>1</v>
      </c>
      <c r="R270" s="5" t="b">
        <v>0</v>
      </c>
      <c r="S270" s="5"/>
      <c r="T270" s="5">
        <v>950.0</v>
      </c>
      <c r="U270" s="26">
        <v>2.1</v>
      </c>
      <c r="V270" s="5">
        <v>452.0</v>
      </c>
      <c r="W270" s="27">
        <v>0.0</v>
      </c>
      <c r="X270" s="28">
        <v>452.0</v>
      </c>
      <c r="Y270" s="27">
        <v>1.0</v>
      </c>
      <c r="Z270" s="5" t="s">
        <v>78</v>
      </c>
      <c r="AA270" s="5">
        <v>0.68</v>
      </c>
      <c r="AB270" s="5"/>
      <c r="AC270" s="5" t="s">
        <v>273</v>
      </c>
      <c r="AD270" s="5" t="s">
        <v>81</v>
      </c>
      <c r="AE270" s="5">
        <v>2.0</v>
      </c>
      <c r="AF270" s="5">
        <v>2.0</v>
      </c>
      <c r="AG270" s="5" t="s">
        <v>1564</v>
      </c>
      <c r="AH270" s="5" t="s">
        <v>156</v>
      </c>
      <c r="AI270" s="42"/>
      <c r="AJ270" s="28">
        <v>400.0</v>
      </c>
      <c r="AK270" s="28">
        <v>93.0</v>
      </c>
      <c r="AL270" s="28">
        <v>0.0</v>
      </c>
      <c r="AM270" s="28">
        <v>0.0</v>
      </c>
      <c r="AN270" s="28">
        <v>0.0</v>
      </c>
      <c r="AO270" s="28">
        <v>180952.0</v>
      </c>
      <c r="AP270" s="28">
        <v>44268.0</v>
      </c>
      <c r="AQ270" s="28">
        <v>0.0</v>
      </c>
      <c r="AR270" s="28">
        <v>0.0</v>
      </c>
      <c r="AS270" s="28">
        <v>0.0</v>
      </c>
      <c r="AT270" s="28">
        <v>156959.99999999997</v>
      </c>
      <c r="AU270" s="28">
        <v>24542.9325</v>
      </c>
      <c r="AV270" s="28">
        <v>0.0</v>
      </c>
      <c r="AW270" s="28">
        <v>0.0</v>
      </c>
      <c r="AX270" s="5"/>
      <c r="AY270" s="5" t="s">
        <v>125</v>
      </c>
      <c r="AZ270" s="5" t="s">
        <v>127</v>
      </c>
      <c r="BB270" s="5" t="s">
        <v>276</v>
      </c>
      <c r="BC270" s="5" t="s">
        <v>89</v>
      </c>
      <c r="BD270" s="5" t="s">
        <v>501</v>
      </c>
      <c r="BE270" s="5" t="s">
        <v>131</v>
      </c>
      <c r="BF270" s="5" t="s">
        <v>281</v>
      </c>
    </row>
    <row r="271" ht="16.5" hidden="1" customHeight="1">
      <c r="A271" s="5" t="s">
        <v>155</v>
      </c>
      <c r="B271" s="5" t="s">
        <v>200</v>
      </c>
      <c r="C271" s="5" t="b">
        <v>0</v>
      </c>
      <c r="D271" s="5" t="s">
        <v>797</v>
      </c>
      <c r="E271" s="5" t="s">
        <v>799</v>
      </c>
      <c r="F271" s="5"/>
      <c r="G271" s="5" t="s">
        <v>65</v>
      </c>
      <c r="H271" s="5" t="s">
        <v>84</v>
      </c>
      <c r="I271" s="5" t="s">
        <v>106</v>
      </c>
      <c r="J271" s="25" t="s">
        <v>413</v>
      </c>
      <c r="K271" s="25"/>
      <c r="L271" s="25"/>
      <c r="M271" s="5" t="s">
        <v>66</v>
      </c>
      <c r="N271" s="5" t="s">
        <v>334</v>
      </c>
      <c r="O271" s="5" t="s">
        <v>69</v>
      </c>
      <c r="P271" s="5" t="s">
        <v>107</v>
      </c>
      <c r="Q271" s="5" t="b">
        <v>1</v>
      </c>
      <c r="R271" s="5" t="b">
        <v>0</v>
      </c>
      <c r="S271" s="5"/>
      <c r="T271" s="5">
        <v>600.0</v>
      </c>
      <c r="U271" s="26">
        <v>2.1</v>
      </c>
      <c r="V271" s="5">
        <v>286.0</v>
      </c>
      <c r="W271" s="27">
        <v>0.0</v>
      </c>
      <c r="X271" s="28">
        <v>286.0</v>
      </c>
      <c r="Y271" s="27">
        <v>1.0</v>
      </c>
      <c r="Z271" s="5" t="s">
        <v>117</v>
      </c>
      <c r="AA271" s="5">
        <v>0.6459999999999999</v>
      </c>
      <c r="AB271" s="5"/>
      <c r="AC271" s="5" t="s">
        <v>81</v>
      </c>
      <c r="AD271" s="5" t="s">
        <v>81</v>
      </c>
      <c r="AE271" s="5">
        <v>5.0</v>
      </c>
      <c r="AF271" s="5">
        <v>3.0</v>
      </c>
      <c r="AG271" s="5" t="s">
        <v>2002</v>
      </c>
      <c r="AH271" s="5" t="s">
        <v>0</v>
      </c>
      <c r="AI271" s="42"/>
      <c r="AJ271" s="28">
        <v>0.0</v>
      </c>
      <c r="AK271" s="28">
        <v>0.0</v>
      </c>
      <c r="AL271" s="28">
        <v>0.0</v>
      </c>
      <c r="AM271" s="28">
        <v>3102.0</v>
      </c>
      <c r="AN271" s="28">
        <v>0.0</v>
      </c>
      <c r="AO271" s="28">
        <v>0.0</v>
      </c>
      <c r="AP271" s="28">
        <v>0.0</v>
      </c>
      <c r="AQ271" s="28">
        <v>0.0</v>
      </c>
      <c r="AR271" s="28">
        <v>886272.42</v>
      </c>
      <c r="AS271" s="28">
        <v>0.0</v>
      </c>
      <c r="AT271" s="28">
        <v>0.0</v>
      </c>
      <c r="AU271" s="28">
        <v>0.0</v>
      </c>
      <c r="AV271" s="28">
        <v>0.0</v>
      </c>
      <c r="AW271" s="28">
        <v>601856.114507198</v>
      </c>
      <c r="AX271" s="5"/>
      <c r="AY271" s="5" t="s">
        <v>125</v>
      </c>
      <c r="AZ271" s="5" t="s">
        <v>127</v>
      </c>
      <c r="BB271" s="5" t="s">
        <v>334</v>
      </c>
      <c r="BC271" s="5" t="s">
        <v>348</v>
      </c>
      <c r="BD271" s="5" t="s">
        <v>539</v>
      </c>
      <c r="BE271" s="5" t="s">
        <v>131</v>
      </c>
      <c r="BF271" s="5" t="s">
        <v>1639</v>
      </c>
    </row>
    <row r="272" ht="16.5" hidden="1" customHeight="1">
      <c r="A272" s="5" t="s">
        <v>155</v>
      </c>
      <c r="B272" s="5" t="s">
        <v>137</v>
      </c>
      <c r="C272" s="5" t="b">
        <v>1</v>
      </c>
      <c r="D272" s="5" t="s">
        <v>2003</v>
      </c>
      <c r="E272" s="5" t="s">
        <v>2004</v>
      </c>
      <c r="F272" s="5"/>
      <c r="G272" s="5" t="s">
        <v>65</v>
      </c>
      <c r="H272" s="5" t="s">
        <v>84</v>
      </c>
      <c r="I272" s="5" t="s">
        <v>82</v>
      </c>
      <c r="J272" s="25" t="s">
        <v>164</v>
      </c>
      <c r="K272" s="25"/>
      <c r="L272" s="25"/>
      <c r="M272" s="5" t="s">
        <v>66</v>
      </c>
      <c r="N272" s="5" t="s">
        <v>334</v>
      </c>
      <c r="O272" s="5" t="s">
        <v>69</v>
      </c>
      <c r="P272" s="5" t="s">
        <v>70</v>
      </c>
      <c r="Q272" s="5" t="b">
        <v>1</v>
      </c>
      <c r="R272" s="5" t="b">
        <v>0</v>
      </c>
      <c r="S272" s="5"/>
      <c r="T272" s="5">
        <v>800.0</v>
      </c>
      <c r="U272" s="26">
        <v>2.1</v>
      </c>
      <c r="V272" s="5">
        <v>381.0</v>
      </c>
      <c r="W272" s="27">
        <v>0.0</v>
      </c>
      <c r="X272" s="28">
        <v>381.0</v>
      </c>
      <c r="Y272" s="27">
        <v>1.0</v>
      </c>
      <c r="Z272" s="5" t="s">
        <v>117</v>
      </c>
      <c r="AA272" s="5">
        <v>0.62</v>
      </c>
      <c r="AB272" s="5"/>
      <c r="AC272" s="24" t="s">
        <v>0</v>
      </c>
      <c r="AD272" s="24" t="s">
        <v>0</v>
      </c>
      <c r="AE272" s="5">
        <v>4.0</v>
      </c>
      <c r="AF272" s="5">
        <v>0.0</v>
      </c>
      <c r="AG272" s="5" t="s">
        <v>125</v>
      </c>
      <c r="AH272" s="5" t="s">
        <v>0</v>
      </c>
      <c r="AI272" s="42"/>
      <c r="AJ272" s="28">
        <v>0.0</v>
      </c>
      <c r="AK272" s="28">
        <v>0.0</v>
      </c>
      <c r="AL272" s="28">
        <v>0.0</v>
      </c>
      <c r="AM272" s="28">
        <v>0.0</v>
      </c>
      <c r="AN272" s="28">
        <v>0.0</v>
      </c>
      <c r="AO272" s="28">
        <v>0.0</v>
      </c>
      <c r="AP272" s="28">
        <v>0.0</v>
      </c>
      <c r="AQ272" s="28">
        <v>0.0</v>
      </c>
      <c r="AR272" s="28">
        <v>0.0</v>
      </c>
      <c r="AS272" s="28">
        <v>0.0</v>
      </c>
      <c r="AT272" s="28">
        <v>0.0</v>
      </c>
      <c r="AU272" s="28">
        <v>0.0</v>
      </c>
      <c r="AV272" s="28">
        <v>0.0</v>
      </c>
      <c r="AW272" s="28">
        <v>0.0</v>
      </c>
      <c r="AX272" s="5"/>
      <c r="AY272" s="5" t="s">
        <v>125</v>
      </c>
      <c r="AZ272" s="5" t="s">
        <v>127</v>
      </c>
      <c r="BA272" s="5" t="s">
        <v>237</v>
      </c>
      <c r="BB272" s="5" t="s">
        <v>334</v>
      </c>
      <c r="BC272" s="5" t="s">
        <v>337</v>
      </c>
      <c r="BD272" s="5" t="s">
        <v>539</v>
      </c>
      <c r="BE272" s="5" t="s">
        <v>131</v>
      </c>
    </row>
    <row r="273" ht="16.5" hidden="1" customHeight="1">
      <c r="A273" s="5" t="s">
        <v>155</v>
      </c>
      <c r="B273" s="5" t="s">
        <v>137</v>
      </c>
      <c r="C273" s="5" t="b">
        <v>1</v>
      </c>
      <c r="D273" s="5" t="s">
        <v>2006</v>
      </c>
      <c r="E273" s="5" t="s">
        <v>2007</v>
      </c>
      <c r="F273" s="5"/>
      <c r="G273" s="5" t="s">
        <v>65</v>
      </c>
      <c r="H273" s="5" t="s">
        <v>84</v>
      </c>
      <c r="I273" s="5" t="s">
        <v>82</v>
      </c>
      <c r="J273" s="25" t="s">
        <v>164</v>
      </c>
      <c r="K273" s="25"/>
      <c r="L273" s="25"/>
      <c r="M273" s="5" t="s">
        <v>66</v>
      </c>
      <c r="N273" s="5" t="s">
        <v>334</v>
      </c>
      <c r="O273" s="5" t="s">
        <v>69</v>
      </c>
      <c r="P273" s="5" t="s">
        <v>107</v>
      </c>
      <c r="Q273" s="5" t="b">
        <v>1</v>
      </c>
      <c r="R273" s="5" t="b">
        <v>0</v>
      </c>
      <c r="S273" s="5"/>
      <c r="T273" s="5">
        <v>800.0</v>
      </c>
      <c r="U273" s="26">
        <v>2.1</v>
      </c>
      <c r="V273" s="5">
        <v>381.0</v>
      </c>
      <c r="W273" s="27">
        <v>0.0</v>
      </c>
      <c r="X273" s="28">
        <v>381.0</v>
      </c>
      <c r="Y273" s="27">
        <v>1.0</v>
      </c>
      <c r="Z273" s="5" t="s">
        <v>117</v>
      </c>
      <c r="AA273" s="5">
        <v>0.63</v>
      </c>
      <c r="AB273" s="5"/>
      <c r="AC273" s="24" t="s">
        <v>0</v>
      </c>
      <c r="AD273" s="24" t="s">
        <v>0</v>
      </c>
      <c r="AE273" s="5">
        <v>5.0</v>
      </c>
      <c r="AF273" s="5">
        <v>0.0</v>
      </c>
      <c r="AG273" s="5" t="s">
        <v>125</v>
      </c>
      <c r="AH273" s="5" t="s">
        <v>0</v>
      </c>
      <c r="AI273" s="42"/>
      <c r="AJ273" s="28">
        <v>0.0</v>
      </c>
      <c r="AK273" s="28">
        <v>0.0</v>
      </c>
      <c r="AL273" s="28">
        <v>0.0</v>
      </c>
      <c r="AM273" s="28">
        <v>0.0</v>
      </c>
      <c r="AN273" s="28">
        <v>0.0</v>
      </c>
      <c r="AO273" s="28">
        <v>0.0</v>
      </c>
      <c r="AP273" s="28">
        <v>0.0</v>
      </c>
      <c r="AQ273" s="28">
        <v>0.0</v>
      </c>
      <c r="AR273" s="28">
        <v>0.0</v>
      </c>
      <c r="AS273" s="28">
        <v>0.0</v>
      </c>
      <c r="AT273" s="28">
        <v>0.0</v>
      </c>
      <c r="AU273" s="28">
        <v>0.0</v>
      </c>
      <c r="AV273" s="28">
        <v>0.0</v>
      </c>
      <c r="AW273" s="28">
        <v>0.0</v>
      </c>
      <c r="AX273" s="5"/>
      <c r="AY273" s="5" t="s">
        <v>125</v>
      </c>
      <c r="AZ273" s="5" t="s">
        <v>127</v>
      </c>
      <c r="BA273" s="5" t="s">
        <v>237</v>
      </c>
      <c r="BB273" s="5" t="s">
        <v>334</v>
      </c>
      <c r="BC273" s="5" t="s">
        <v>337</v>
      </c>
      <c r="BD273" s="5" t="s">
        <v>539</v>
      </c>
      <c r="BE273" s="5" t="s">
        <v>131</v>
      </c>
    </row>
    <row r="274" ht="16.5" hidden="1" customHeight="1">
      <c r="A274" s="5" t="s">
        <v>155</v>
      </c>
      <c r="B274" s="5" t="s">
        <v>137</v>
      </c>
      <c r="C274" s="5" t="b">
        <v>1</v>
      </c>
      <c r="D274" s="5" t="s">
        <v>2008</v>
      </c>
      <c r="E274" s="5" t="s">
        <v>2009</v>
      </c>
      <c r="F274" s="5"/>
      <c r="G274" s="5" t="s">
        <v>65</v>
      </c>
      <c r="H274" s="5" t="s">
        <v>84</v>
      </c>
      <c r="I274" s="5" t="s">
        <v>82</v>
      </c>
      <c r="J274" s="25" t="s">
        <v>164</v>
      </c>
      <c r="K274" s="25"/>
      <c r="L274" s="25"/>
      <c r="M274" s="5" t="s">
        <v>66</v>
      </c>
      <c r="N274" s="5" t="s">
        <v>334</v>
      </c>
      <c r="O274" s="5" t="s">
        <v>69</v>
      </c>
      <c r="P274" s="5" t="s">
        <v>70</v>
      </c>
      <c r="Q274" s="5" t="b">
        <v>1</v>
      </c>
      <c r="R274" s="5" t="b">
        <v>0</v>
      </c>
      <c r="S274" s="5"/>
      <c r="T274" s="5">
        <v>700.0</v>
      </c>
      <c r="U274" s="26">
        <v>2.1</v>
      </c>
      <c r="V274" s="5">
        <v>333.0</v>
      </c>
      <c r="W274" s="27">
        <v>0.0</v>
      </c>
      <c r="X274" s="28">
        <v>333.0</v>
      </c>
      <c r="Y274" s="27">
        <v>1.0</v>
      </c>
      <c r="Z274" s="5" t="s">
        <v>117</v>
      </c>
      <c r="AA274" s="5">
        <v>0.62</v>
      </c>
      <c r="AB274" s="5"/>
      <c r="AC274" s="24" t="s">
        <v>0</v>
      </c>
      <c r="AD274" s="24" t="s">
        <v>0</v>
      </c>
      <c r="AE274" s="5">
        <v>5.0</v>
      </c>
      <c r="AF274" s="5">
        <v>0.0</v>
      </c>
      <c r="AG274" s="5" t="s">
        <v>125</v>
      </c>
      <c r="AH274" s="5" t="s">
        <v>0</v>
      </c>
      <c r="AI274" s="42"/>
      <c r="AJ274" s="28">
        <v>0.0</v>
      </c>
      <c r="AK274" s="28">
        <v>0.0</v>
      </c>
      <c r="AL274" s="28">
        <v>0.0</v>
      </c>
      <c r="AM274" s="28">
        <v>0.0</v>
      </c>
      <c r="AN274" s="28">
        <v>0.0</v>
      </c>
      <c r="AO274" s="28">
        <v>0.0</v>
      </c>
      <c r="AP274" s="28">
        <v>0.0</v>
      </c>
      <c r="AQ274" s="28">
        <v>0.0</v>
      </c>
      <c r="AR274" s="28">
        <v>0.0</v>
      </c>
      <c r="AS274" s="28">
        <v>0.0</v>
      </c>
      <c r="AT274" s="28">
        <v>0.0</v>
      </c>
      <c r="AU274" s="28">
        <v>0.0</v>
      </c>
      <c r="AV274" s="28">
        <v>0.0</v>
      </c>
      <c r="AW274" s="28">
        <v>0.0</v>
      </c>
      <c r="AX274" s="5"/>
      <c r="AY274" s="5" t="s">
        <v>125</v>
      </c>
      <c r="AZ274" s="5" t="s">
        <v>127</v>
      </c>
      <c r="BA274" s="5" t="s">
        <v>237</v>
      </c>
      <c r="BB274" s="5" t="s">
        <v>334</v>
      </c>
      <c r="BC274" s="5" t="s">
        <v>348</v>
      </c>
      <c r="BD274" s="5" t="s">
        <v>539</v>
      </c>
      <c r="BE274" s="5" t="s">
        <v>131</v>
      </c>
    </row>
    <row r="275" ht="16.5" hidden="1" customHeight="1">
      <c r="A275" s="5" t="s">
        <v>155</v>
      </c>
      <c r="B275" s="5" t="s">
        <v>137</v>
      </c>
      <c r="C275" s="5" t="b">
        <v>1</v>
      </c>
      <c r="D275" s="5" t="s">
        <v>2011</v>
      </c>
      <c r="E275" s="5" t="s">
        <v>2012</v>
      </c>
      <c r="F275" s="5"/>
      <c r="G275" s="5" t="s">
        <v>65</v>
      </c>
      <c r="H275" s="5" t="s">
        <v>84</v>
      </c>
      <c r="I275" s="5" t="s">
        <v>82</v>
      </c>
      <c r="J275" s="25" t="s">
        <v>164</v>
      </c>
      <c r="K275" s="25"/>
      <c r="L275" s="25"/>
      <c r="M275" s="5" t="s">
        <v>66</v>
      </c>
      <c r="N275" s="5" t="s">
        <v>334</v>
      </c>
      <c r="O275" s="5" t="s">
        <v>69</v>
      </c>
      <c r="P275" s="5" t="s">
        <v>107</v>
      </c>
      <c r="Q275" s="5" t="b">
        <v>1</v>
      </c>
      <c r="R275" s="5" t="b">
        <v>0</v>
      </c>
      <c r="S275" s="5"/>
      <c r="T275" s="5">
        <v>700.0</v>
      </c>
      <c r="U275" s="26">
        <v>2.1</v>
      </c>
      <c r="V275" s="5">
        <v>333.0</v>
      </c>
      <c r="W275" s="27">
        <v>0.0</v>
      </c>
      <c r="X275" s="28">
        <v>333.0</v>
      </c>
      <c r="Y275" s="27">
        <v>1.0</v>
      </c>
      <c r="Z275" s="5" t="s">
        <v>117</v>
      </c>
      <c r="AA275" s="5">
        <v>0.63</v>
      </c>
      <c r="AB275" s="5"/>
      <c r="AC275" s="24" t="s">
        <v>0</v>
      </c>
      <c r="AD275" s="24" t="s">
        <v>0</v>
      </c>
      <c r="AE275" s="5">
        <v>4.0</v>
      </c>
      <c r="AF275" s="5">
        <v>0.0</v>
      </c>
      <c r="AG275" s="5" t="s">
        <v>125</v>
      </c>
      <c r="AH275" s="5" t="s">
        <v>0</v>
      </c>
      <c r="AI275" s="42"/>
      <c r="AJ275" s="28">
        <v>0.0</v>
      </c>
      <c r="AK275" s="28">
        <v>0.0</v>
      </c>
      <c r="AL275" s="28">
        <v>0.0</v>
      </c>
      <c r="AM275" s="28">
        <v>0.0</v>
      </c>
      <c r="AN275" s="28">
        <v>0.0</v>
      </c>
      <c r="AO275" s="28">
        <v>0.0</v>
      </c>
      <c r="AP275" s="28">
        <v>0.0</v>
      </c>
      <c r="AQ275" s="28">
        <v>0.0</v>
      </c>
      <c r="AR275" s="28">
        <v>0.0</v>
      </c>
      <c r="AS275" s="28">
        <v>0.0</v>
      </c>
      <c r="AT275" s="28">
        <v>0.0</v>
      </c>
      <c r="AU275" s="28">
        <v>0.0</v>
      </c>
      <c r="AV275" s="28">
        <v>0.0</v>
      </c>
      <c r="AW275" s="28">
        <v>0.0</v>
      </c>
      <c r="AX275" s="5"/>
      <c r="AY275" s="5" t="s">
        <v>125</v>
      </c>
      <c r="AZ275" s="5" t="s">
        <v>127</v>
      </c>
      <c r="BA275" s="5" t="s">
        <v>237</v>
      </c>
      <c r="BB275" s="5" t="s">
        <v>334</v>
      </c>
      <c r="BC275" s="5" t="s">
        <v>348</v>
      </c>
      <c r="BD275" s="5" t="s">
        <v>539</v>
      </c>
      <c r="BE275" s="5" t="s">
        <v>131</v>
      </c>
    </row>
    <row r="276" ht="16.5" hidden="1" customHeight="1">
      <c r="A276" s="5" t="s">
        <v>155</v>
      </c>
      <c r="B276" s="5" t="s">
        <v>200</v>
      </c>
      <c r="C276" s="5" t="b">
        <v>0</v>
      </c>
      <c r="D276" s="5" t="s">
        <v>801</v>
      </c>
      <c r="E276" s="5" t="s">
        <v>802</v>
      </c>
      <c r="F276" s="5"/>
      <c r="G276" s="5" t="s">
        <v>65</v>
      </c>
      <c r="H276" s="5" t="s">
        <v>74</v>
      </c>
      <c r="I276" s="5" t="s">
        <v>106</v>
      </c>
      <c r="J276" s="25" t="s">
        <v>164</v>
      </c>
      <c r="K276" s="25"/>
      <c r="L276" s="25"/>
      <c r="M276" s="5" t="s">
        <v>66</v>
      </c>
      <c r="N276" s="5" t="s">
        <v>334</v>
      </c>
      <c r="O276" s="5" t="s">
        <v>69</v>
      </c>
      <c r="P276" s="5" t="s">
        <v>70</v>
      </c>
      <c r="Q276" s="5" t="b">
        <v>1</v>
      </c>
      <c r="R276" s="5" t="b">
        <v>0</v>
      </c>
      <c r="S276" s="5"/>
      <c r="T276" s="5">
        <v>650.0</v>
      </c>
      <c r="U276" s="26">
        <v>2.1</v>
      </c>
      <c r="V276" s="5">
        <v>310.0</v>
      </c>
      <c r="W276" s="27">
        <v>0.0</v>
      </c>
      <c r="X276" s="28">
        <v>310.0</v>
      </c>
      <c r="Y276" s="27">
        <v>1.0</v>
      </c>
      <c r="Z276" s="5" t="s">
        <v>117</v>
      </c>
      <c r="AA276" s="27">
        <v>0.611</v>
      </c>
      <c r="AB276" s="5"/>
      <c r="AC276" s="5" t="s">
        <v>81</v>
      </c>
      <c r="AD276" s="5" t="s">
        <v>81</v>
      </c>
      <c r="AE276" s="5">
        <v>6.0</v>
      </c>
      <c r="AF276" s="5">
        <v>6.0</v>
      </c>
      <c r="AG276" s="5" t="s">
        <v>0</v>
      </c>
      <c r="AH276" s="5" t="s">
        <v>0</v>
      </c>
      <c r="AI276" s="56"/>
      <c r="AJ276" s="28">
        <v>0.0</v>
      </c>
      <c r="AK276" s="28">
        <v>0.0</v>
      </c>
      <c r="AL276" s="28">
        <v>0.0</v>
      </c>
      <c r="AM276" s="28">
        <v>4526.0</v>
      </c>
      <c r="AN276" s="28">
        <v>0.0</v>
      </c>
      <c r="AO276" s="28">
        <v>0.0</v>
      </c>
      <c r="AP276" s="28">
        <v>0.0</v>
      </c>
      <c r="AQ276" s="28">
        <v>0.0</v>
      </c>
      <c r="AR276" s="28">
        <v>1400887.5200000005</v>
      </c>
      <c r="AS276" s="28">
        <v>0.0</v>
      </c>
      <c r="AT276" s="28">
        <v>0.0</v>
      </c>
      <c r="AU276" s="28">
        <v>0.0</v>
      </c>
      <c r="AV276" s="28">
        <v>0.0</v>
      </c>
      <c r="AW276" s="28">
        <v>896233.7318936879</v>
      </c>
      <c r="AX276" s="5"/>
      <c r="AY276" s="5" t="s">
        <v>125</v>
      </c>
      <c r="AZ276" s="5" t="s">
        <v>127</v>
      </c>
      <c r="BA276" s="32" t="s">
        <v>264</v>
      </c>
      <c r="BB276" s="5" t="s">
        <v>334</v>
      </c>
      <c r="BC276" s="5" t="s">
        <v>348</v>
      </c>
      <c r="BD276" s="5" t="s">
        <v>539</v>
      </c>
      <c r="BE276" s="5" t="s">
        <v>131</v>
      </c>
      <c r="BF276" s="5" t="s">
        <v>1639</v>
      </c>
    </row>
    <row r="277" ht="16.5" hidden="1" customHeight="1">
      <c r="A277" s="5" t="s">
        <v>155</v>
      </c>
      <c r="B277" s="5" t="s">
        <v>137</v>
      </c>
      <c r="C277" s="5" t="b">
        <v>1</v>
      </c>
      <c r="D277" s="5" t="s">
        <v>806</v>
      </c>
      <c r="E277" s="5" t="s">
        <v>807</v>
      </c>
      <c r="F277" s="5"/>
      <c r="G277" s="5" t="s">
        <v>65</v>
      </c>
      <c r="H277" s="5" t="s">
        <v>84</v>
      </c>
      <c r="I277" s="5" t="s">
        <v>82</v>
      </c>
      <c r="J277" s="25" t="s">
        <v>2013</v>
      </c>
      <c r="K277" s="25"/>
      <c r="L277" s="25" t="s">
        <v>110</v>
      </c>
      <c r="M277" s="5" t="s">
        <v>500</v>
      </c>
      <c r="N277" s="5" t="s">
        <v>355</v>
      </c>
      <c r="O277" s="5" t="s">
        <v>69</v>
      </c>
      <c r="P277" s="5" t="s">
        <v>70</v>
      </c>
      <c r="Q277" s="5" t="b">
        <v>1</v>
      </c>
      <c r="R277" s="5" t="b">
        <v>0</v>
      </c>
      <c r="S277" s="5"/>
      <c r="T277" s="5">
        <v>3000.0</v>
      </c>
      <c r="U277" s="26">
        <v>2.1</v>
      </c>
      <c r="V277" s="5">
        <v>1429.0</v>
      </c>
      <c r="W277" s="27">
        <v>0.0</v>
      </c>
      <c r="X277" s="28">
        <v>1429.0</v>
      </c>
      <c r="Y277" s="27">
        <v>1.0</v>
      </c>
      <c r="Z277" s="5" t="s">
        <v>117</v>
      </c>
      <c r="AA277" s="5">
        <v>0.6</v>
      </c>
      <c r="AB277" s="5"/>
      <c r="AC277" s="5" t="s">
        <v>359</v>
      </c>
      <c r="AD277" s="5" t="s">
        <v>81</v>
      </c>
      <c r="AE277" s="5">
        <v>3.0</v>
      </c>
      <c r="AF277" s="5">
        <v>3.0</v>
      </c>
      <c r="AG277" s="5" t="s">
        <v>2014</v>
      </c>
      <c r="AH277" s="5" t="s">
        <v>0</v>
      </c>
      <c r="AI277" s="42"/>
      <c r="AJ277" s="28">
        <v>5185.0</v>
      </c>
      <c r="AK277" s="28">
        <v>4124.0</v>
      </c>
      <c r="AL277" s="28">
        <v>0.0</v>
      </c>
      <c r="AM277" s="28">
        <v>696.0</v>
      </c>
      <c r="AN277" s="28">
        <v>0.0</v>
      </c>
      <c r="AO277" s="28">
        <v>7407135.449999999</v>
      </c>
      <c r="AP277" s="28">
        <v>6284976.0</v>
      </c>
      <c r="AQ277" s="28">
        <v>0.0</v>
      </c>
      <c r="AR277" s="28">
        <v>994284.7199999997</v>
      </c>
      <c r="AS277" s="28">
        <v>0.0</v>
      </c>
      <c r="AT277" s="28">
        <v>5626209.412624584</v>
      </c>
      <c r="AU277" s="28">
        <v>4764343.130906002</v>
      </c>
      <c r="AV277" s="28">
        <v>0.0</v>
      </c>
      <c r="AW277" s="28">
        <v>896742.1705426357</v>
      </c>
      <c r="AX277" s="5"/>
      <c r="AY277" s="5" t="str">
        <f t="array" ref="AY277">IFERROR(_xlfn.XLOOKUP($E277,'FW27'!$C$3:$C$1102,'FW27'!$AM$3:$AM$1102),"")</f>
        <v>Essentials</v>
      </c>
      <c r="AZ277" s="5" t="str">
        <f t="array" ref="AZ277">IFERROR(_xlfn.XLOOKUP($E277,'FW27'!$C$3:$C$1102,'FW27'!$AN$3:$AN$1102),"")</f>
        <v>Active Essentials</v>
      </c>
      <c r="BA277" s="5" t="s">
        <v>410</v>
      </c>
      <c r="BB277" s="5" t="str">
        <f t="array" ref="BB277">IFERROR(_xlfn.XLOOKUP($E277,'FW27'!$C$3:$C$1102,'FW27'!$AS$3:$AS$1102),"")</f>
        <v>Insulation</v>
      </c>
      <c r="BC277" s="5" t="str">
        <f t="array" ref="BC277">IFERROR(_xlfn.XLOOKUP($E277,'FW27'!$C$3:$C$1102,'FW27'!$AT$3:$AT$1102),"")</f>
        <v>Hooded Jacket</v>
      </c>
      <c r="BD277" s="5" t="str">
        <f t="array" ref="BD277">IFERROR(_xlfn.XLOOKUP($E277,'FW27'!$C$3:$C$1102,'FW27'!$AU$3:$AU$1102),"")</f>
        <v>Midweight Down</v>
      </c>
      <c r="BE277" s="5" t="str">
        <f t="array" ref="BE277">IFERROR(_xlfn.XLOOKUP($E277,'FW27'!$C$3:$C$1102,'FW27'!$AV$3:$AV$1102),"")</f>
        <v>N</v>
      </c>
    </row>
    <row r="278" ht="16.5" hidden="1" customHeight="1">
      <c r="A278" s="5" t="s">
        <v>155</v>
      </c>
      <c r="B278" s="5" t="s">
        <v>137</v>
      </c>
      <c r="C278" s="5" t="b">
        <v>1</v>
      </c>
      <c r="D278" s="5" t="s">
        <v>811</v>
      </c>
      <c r="E278" s="5" t="s">
        <v>812</v>
      </c>
      <c r="F278" s="5"/>
      <c r="G278" s="5" t="s">
        <v>65</v>
      </c>
      <c r="H278" s="5" t="s">
        <v>84</v>
      </c>
      <c r="I278" s="5" t="s">
        <v>82</v>
      </c>
      <c r="J278" s="25" t="s">
        <v>2013</v>
      </c>
      <c r="K278" s="25"/>
      <c r="L278" s="25" t="s">
        <v>110</v>
      </c>
      <c r="M278" s="5" t="s">
        <v>500</v>
      </c>
      <c r="N278" s="5" t="s">
        <v>355</v>
      </c>
      <c r="O278" s="5" t="s">
        <v>69</v>
      </c>
      <c r="P278" s="5" t="s">
        <v>107</v>
      </c>
      <c r="Q278" s="5" t="b">
        <v>1</v>
      </c>
      <c r="R278" s="5" t="b">
        <v>0</v>
      </c>
      <c r="S278" s="5"/>
      <c r="T278" s="5">
        <v>3000.0</v>
      </c>
      <c r="U278" s="26">
        <v>2.1</v>
      </c>
      <c r="V278" s="5">
        <v>1429.0</v>
      </c>
      <c r="W278" s="27">
        <v>0.0</v>
      </c>
      <c r="X278" s="28">
        <v>1429.0</v>
      </c>
      <c r="Y278" s="27">
        <v>1.0</v>
      </c>
      <c r="Z278" s="5" t="s">
        <v>117</v>
      </c>
      <c r="AA278" s="5">
        <v>0.62</v>
      </c>
      <c r="AB278" s="5"/>
      <c r="AC278" s="5" t="s">
        <v>359</v>
      </c>
      <c r="AD278" s="5" t="s">
        <v>81</v>
      </c>
      <c r="AE278" s="5">
        <v>3.0</v>
      </c>
      <c r="AF278" s="5">
        <v>3.0</v>
      </c>
      <c r="AG278" s="5" t="s">
        <v>2002</v>
      </c>
      <c r="AH278" s="5" t="s">
        <v>0</v>
      </c>
      <c r="AI278" s="42"/>
      <c r="AJ278" s="28">
        <v>3488.0</v>
      </c>
      <c r="AK278" s="28">
        <v>3054.0</v>
      </c>
      <c r="AL278" s="28">
        <v>0.0</v>
      </c>
      <c r="AM278" s="28">
        <v>588.0</v>
      </c>
      <c r="AN278" s="28">
        <v>0.0</v>
      </c>
      <c r="AO278" s="28">
        <v>4982852.160000001</v>
      </c>
      <c r="AP278" s="28">
        <v>4654296.0</v>
      </c>
      <c r="AQ278" s="28">
        <v>0.0</v>
      </c>
      <c r="AR278" s="28">
        <v>839999.1599999998</v>
      </c>
      <c r="AS278" s="28">
        <v>0.0</v>
      </c>
      <c r="AT278" s="28">
        <v>4088560.411960133</v>
      </c>
      <c r="AU278" s="28">
        <v>3531326.1649720003</v>
      </c>
      <c r="AV278" s="28">
        <v>0.0</v>
      </c>
      <c r="AW278" s="28">
        <v>774822.5027685491</v>
      </c>
      <c r="AX278" s="5"/>
      <c r="AY278" s="5" t="str">
        <f t="array" ref="AY278">IFERROR(_xlfn.XLOOKUP($E278,'FW27'!$C$3:$C$1102,'FW27'!$AM$3:$AM$1102),"")</f>
        <v>Essentials</v>
      </c>
      <c r="AZ278" s="5" t="str">
        <f t="array" ref="AZ278">IFERROR(_xlfn.XLOOKUP($E278,'FW27'!$C$3:$C$1102,'FW27'!$AN$3:$AN$1102),"")</f>
        <v>Active Essentials</v>
      </c>
      <c r="BA278" s="5" t="s">
        <v>410</v>
      </c>
      <c r="BB278" s="5" t="str">
        <f t="array" ref="BB278">IFERROR(_xlfn.XLOOKUP($E278,'FW27'!$C$3:$C$1102,'FW27'!$AS$3:$AS$1102),"")</f>
        <v>Insulation</v>
      </c>
      <c r="BC278" s="5" t="str">
        <f t="array" ref="BC278">IFERROR(_xlfn.XLOOKUP($E278,'FW27'!$C$3:$C$1102,'FW27'!$AT$3:$AT$1102),"")</f>
        <v>Hooded Jacket</v>
      </c>
      <c r="BD278" s="5" t="str">
        <f t="array" ref="BD278">IFERROR(_xlfn.XLOOKUP($E278,'FW27'!$C$3:$C$1102,'FW27'!$AU$3:$AU$1102),"")</f>
        <v>Midweight Down</v>
      </c>
      <c r="BE278" s="5" t="str">
        <f t="array" ref="BE278">IFERROR(_xlfn.XLOOKUP($E278,'FW27'!$C$3:$C$1102,'FW27'!$AV$3:$AV$1102),"")</f>
        <v>N</v>
      </c>
    </row>
    <row r="279" ht="16.5" hidden="1" customHeight="1">
      <c r="A279" s="5" t="s">
        <v>155</v>
      </c>
      <c r="B279" s="5" t="s">
        <v>137</v>
      </c>
      <c r="C279" s="5" t="b">
        <v>1</v>
      </c>
      <c r="D279" s="5" t="s">
        <v>1572</v>
      </c>
      <c r="E279" s="5" t="s">
        <v>1573</v>
      </c>
      <c r="F279" s="5"/>
      <c r="G279" s="5" t="s">
        <v>65</v>
      </c>
      <c r="H279" s="5" t="s">
        <v>76</v>
      </c>
      <c r="I279" s="5" t="s">
        <v>82</v>
      </c>
      <c r="J279" s="25" t="s">
        <v>2013</v>
      </c>
      <c r="K279" s="25"/>
      <c r="L279" s="25" t="s">
        <v>110</v>
      </c>
      <c r="M279" s="5" t="s">
        <v>500</v>
      </c>
      <c r="N279" s="5" t="s">
        <v>355</v>
      </c>
      <c r="O279" s="5" t="s">
        <v>69</v>
      </c>
      <c r="P279" s="5" t="s">
        <v>70</v>
      </c>
      <c r="Q279" s="5" t="b">
        <v>1</v>
      </c>
      <c r="R279" s="5" t="b">
        <v>0</v>
      </c>
      <c r="S279" s="5"/>
      <c r="T279" s="5">
        <v>2800.0</v>
      </c>
      <c r="U279" s="26">
        <v>2.1</v>
      </c>
      <c r="V279" s="5">
        <v>1333.0</v>
      </c>
      <c r="W279" s="27">
        <v>0.0</v>
      </c>
      <c r="X279" s="28">
        <v>1333.0</v>
      </c>
      <c r="Y279" s="27">
        <v>1.0</v>
      </c>
      <c r="Z279" s="5" t="s">
        <v>117</v>
      </c>
      <c r="AA279" s="5">
        <v>0.6</v>
      </c>
      <c r="AB279" s="5"/>
      <c r="AC279" s="5" t="s">
        <v>359</v>
      </c>
      <c r="AD279" s="5" t="s">
        <v>81</v>
      </c>
      <c r="AE279" s="5">
        <v>4.0</v>
      </c>
      <c r="AF279" s="5">
        <v>4.0</v>
      </c>
      <c r="AG279" s="5" t="s">
        <v>1575</v>
      </c>
      <c r="AH279" s="5" t="s">
        <v>0</v>
      </c>
      <c r="AI279" s="42"/>
      <c r="AJ279" s="28">
        <v>2782.0</v>
      </c>
      <c r="AK279" s="28">
        <v>1870.0</v>
      </c>
      <c r="AL279" s="28">
        <v>0.0</v>
      </c>
      <c r="AM279" s="28">
        <v>0.0</v>
      </c>
      <c r="AN279" s="28">
        <v>0.0</v>
      </c>
      <c r="AO279" s="28">
        <v>3444394.1999999997</v>
      </c>
      <c r="AP279" s="28">
        <v>2492710.0</v>
      </c>
      <c r="AQ279" s="28">
        <v>0.0</v>
      </c>
      <c r="AR279" s="28">
        <v>0.0</v>
      </c>
      <c r="AS279" s="28">
        <v>0.0</v>
      </c>
      <c r="AT279" s="28">
        <v>2495033.565337763</v>
      </c>
      <c r="AU279" s="28">
        <v>1977834.27473</v>
      </c>
      <c r="AV279" s="28">
        <v>0.0</v>
      </c>
      <c r="AW279" s="28">
        <v>0.0</v>
      </c>
      <c r="AX279" s="5"/>
      <c r="AY279" s="5" t="str">
        <f t="array" ref="AY279">IFERROR(_xlfn.XLOOKUP($E279,'FW27'!$C$3:$C$1102,'FW27'!$AM$3:$AM$1102),"")</f>
        <v>Essentials</v>
      </c>
      <c r="AZ279" s="5" t="str">
        <f t="array" ref="AZ279">IFERROR(_xlfn.XLOOKUP($E279,'FW27'!$C$3:$C$1102,'FW27'!$AN$3:$AN$1102),"")</f>
        <v>Active Essentials</v>
      </c>
      <c r="BA279" s="5" t="s">
        <v>237</v>
      </c>
      <c r="BB279" s="5" t="str">
        <f t="array" ref="BB279">IFERROR(_xlfn.XLOOKUP($E279,'FW27'!$C$3:$C$1102,'FW27'!$AS$3:$AS$1102),"")</f>
        <v>Insulation</v>
      </c>
      <c r="BC279" s="5" t="str">
        <f t="array" ref="BC279">IFERROR(_xlfn.XLOOKUP($E279,'FW27'!$C$3:$C$1102,'FW27'!$AT$3:$AT$1102),"")</f>
        <v>Jacket</v>
      </c>
      <c r="BD279" s="5" t="str">
        <f t="array" ref="BD279">IFERROR(_xlfn.XLOOKUP($E279,'FW27'!$C$3:$C$1102,'FW27'!$AU$3:$AU$1102),"")</f>
        <v>Midweight Down</v>
      </c>
      <c r="BE279" s="5" t="str">
        <f t="array" ref="BE279">IFERROR(_xlfn.XLOOKUP($E279,'FW27'!$C$3:$C$1102,'FW27'!$AV$3:$AV$1102),"")</f>
        <v>N</v>
      </c>
    </row>
    <row r="280" ht="16.5" hidden="1" customHeight="1">
      <c r="A280" s="5" t="s">
        <v>155</v>
      </c>
      <c r="B280" s="5" t="s">
        <v>137</v>
      </c>
      <c r="C280" s="5" t="b">
        <v>1</v>
      </c>
      <c r="D280" s="5" t="s">
        <v>1578</v>
      </c>
      <c r="E280" s="5" t="s">
        <v>1579</v>
      </c>
      <c r="F280" s="5"/>
      <c r="G280" s="5" t="s">
        <v>65</v>
      </c>
      <c r="H280" s="5" t="s">
        <v>76</v>
      </c>
      <c r="I280" s="5" t="s">
        <v>82</v>
      </c>
      <c r="J280" s="25" t="s">
        <v>2013</v>
      </c>
      <c r="K280" s="25"/>
      <c r="L280" s="25" t="s">
        <v>110</v>
      </c>
      <c r="M280" s="5" t="s">
        <v>500</v>
      </c>
      <c r="N280" s="5" t="s">
        <v>355</v>
      </c>
      <c r="O280" s="5" t="s">
        <v>69</v>
      </c>
      <c r="P280" s="5" t="s">
        <v>107</v>
      </c>
      <c r="Q280" s="5" t="b">
        <v>1</v>
      </c>
      <c r="R280" s="5" t="b">
        <v>0</v>
      </c>
      <c r="S280" s="5"/>
      <c r="T280" s="5">
        <v>2800.0</v>
      </c>
      <c r="U280" s="26">
        <v>2.1</v>
      </c>
      <c r="V280" s="5">
        <v>1333.0</v>
      </c>
      <c r="W280" s="27">
        <v>0.0</v>
      </c>
      <c r="X280" s="28">
        <v>1333.0</v>
      </c>
      <c r="Y280" s="27">
        <v>1.0</v>
      </c>
      <c r="Z280" s="5" t="s">
        <v>117</v>
      </c>
      <c r="AA280" s="5">
        <v>0.61</v>
      </c>
      <c r="AB280" s="5"/>
      <c r="AC280" s="5" t="s">
        <v>359</v>
      </c>
      <c r="AD280" s="5" t="s">
        <v>81</v>
      </c>
      <c r="AE280" s="5">
        <v>3.0</v>
      </c>
      <c r="AF280" s="5">
        <v>3.0</v>
      </c>
      <c r="AG280" s="5" t="s">
        <v>1575</v>
      </c>
      <c r="AH280" s="5" t="s">
        <v>0</v>
      </c>
      <c r="AI280" s="42"/>
      <c r="AJ280" s="28">
        <v>1058.0</v>
      </c>
      <c r="AK280" s="28">
        <v>834.0</v>
      </c>
      <c r="AL280" s="28">
        <v>0.0</v>
      </c>
      <c r="AM280" s="28">
        <v>0.0</v>
      </c>
      <c r="AN280" s="28">
        <v>0.0</v>
      </c>
      <c r="AO280" s="28">
        <v>1309909.8</v>
      </c>
      <c r="AP280" s="28">
        <v>1111722.0</v>
      </c>
      <c r="AQ280" s="28">
        <v>0.0</v>
      </c>
      <c r="AR280" s="28">
        <v>0.0</v>
      </c>
      <c r="AS280" s="28">
        <v>0.0</v>
      </c>
      <c r="AT280" s="28">
        <v>987302.4632336653</v>
      </c>
      <c r="AU280" s="28">
        <v>810195.5281400001</v>
      </c>
      <c r="AV280" s="28">
        <v>0.0</v>
      </c>
      <c r="AW280" s="28">
        <v>0.0</v>
      </c>
      <c r="AX280" s="5"/>
      <c r="AY280" s="5" t="str">
        <f t="array" ref="AY280">IFERROR(_xlfn.XLOOKUP($E280,'FW27'!$C$3:$C$1102,'FW27'!$AM$3:$AM$1102),"")</f>
        <v>Essentials</v>
      </c>
      <c r="AZ280" s="5" t="str">
        <f t="array" ref="AZ280">IFERROR(_xlfn.XLOOKUP($E280,'FW27'!$C$3:$C$1102,'FW27'!$AN$3:$AN$1102),"")</f>
        <v>Active Essentials</v>
      </c>
      <c r="BA280" s="5" t="s">
        <v>237</v>
      </c>
      <c r="BB280" s="5" t="str">
        <f t="array" ref="BB280">IFERROR(_xlfn.XLOOKUP($E280,'FW27'!$C$3:$C$1102,'FW27'!$AS$3:$AS$1102),"")</f>
        <v>Insulation</v>
      </c>
      <c r="BC280" s="5" t="str">
        <f t="array" ref="BC280">IFERROR(_xlfn.XLOOKUP($E280,'FW27'!$C$3:$C$1102,'FW27'!$AT$3:$AT$1102),"")</f>
        <v>Jacket</v>
      </c>
      <c r="BD280" s="5" t="str">
        <f t="array" ref="BD280">IFERROR(_xlfn.XLOOKUP($E280,'FW27'!$C$3:$C$1102,'FW27'!$AU$3:$AU$1102),"")</f>
        <v>Midweight Down</v>
      </c>
      <c r="BE280" s="5" t="str">
        <f t="array" ref="BE280">IFERROR(_xlfn.XLOOKUP($E280,'FW27'!$C$3:$C$1102,'FW27'!$AV$3:$AV$1102),"")</f>
        <v>N</v>
      </c>
    </row>
    <row r="281" ht="16.5" hidden="1" customHeight="1">
      <c r="A281" s="5" t="s">
        <v>155</v>
      </c>
      <c r="B281" s="5" t="s">
        <v>137</v>
      </c>
      <c r="C281" s="5" t="b">
        <v>1</v>
      </c>
      <c r="D281" s="5" t="s">
        <v>1580</v>
      </c>
      <c r="E281" s="5" t="s">
        <v>1581</v>
      </c>
      <c r="F281" s="5"/>
      <c r="G281" s="5" t="s">
        <v>65</v>
      </c>
      <c r="H281" s="5" t="s">
        <v>76</v>
      </c>
      <c r="I281" s="5" t="s">
        <v>82</v>
      </c>
      <c r="J281" s="25" t="s">
        <v>2013</v>
      </c>
      <c r="K281" s="25"/>
      <c r="L281" s="25" t="s">
        <v>110</v>
      </c>
      <c r="M281" s="5" t="s">
        <v>500</v>
      </c>
      <c r="N281" s="5" t="s">
        <v>355</v>
      </c>
      <c r="O281" s="5" t="s">
        <v>69</v>
      </c>
      <c r="P281" s="5" t="s">
        <v>70</v>
      </c>
      <c r="Q281" s="5" t="b">
        <v>1</v>
      </c>
      <c r="R281" s="5" t="b">
        <v>0</v>
      </c>
      <c r="S281" s="5"/>
      <c r="T281" s="5">
        <v>2200.0</v>
      </c>
      <c r="U281" s="26">
        <v>2.1</v>
      </c>
      <c r="V281" s="5">
        <v>1048.0</v>
      </c>
      <c r="W281" s="27">
        <v>0.0</v>
      </c>
      <c r="X281" s="28">
        <v>1048.0</v>
      </c>
      <c r="Y281" s="27">
        <v>1.0</v>
      </c>
      <c r="Z281" s="5" t="s">
        <v>117</v>
      </c>
      <c r="AA281" s="5">
        <v>0.66</v>
      </c>
      <c r="AB281" s="5"/>
      <c r="AC281" s="5" t="s">
        <v>359</v>
      </c>
      <c r="AD281" s="5" t="s">
        <v>81</v>
      </c>
      <c r="AE281" s="5">
        <v>2.0</v>
      </c>
      <c r="AF281" s="5">
        <v>2.0</v>
      </c>
      <c r="AG281" s="5" t="s">
        <v>1575</v>
      </c>
      <c r="AH281" s="5" t="s">
        <v>0</v>
      </c>
      <c r="AI281" s="42"/>
      <c r="AJ281" s="28">
        <v>1018.0</v>
      </c>
      <c r="AK281" s="28">
        <v>858.0</v>
      </c>
      <c r="AL281" s="28">
        <v>0.0</v>
      </c>
      <c r="AM281" s="28">
        <v>0.0</v>
      </c>
      <c r="AN281" s="28">
        <v>0.0</v>
      </c>
      <c r="AO281" s="28">
        <v>1066477.1599999997</v>
      </c>
      <c r="AP281" s="28">
        <v>899184.0</v>
      </c>
      <c r="AQ281" s="28">
        <v>0.0</v>
      </c>
      <c r="AR281" s="28">
        <v>0.0</v>
      </c>
      <c r="AS281" s="28">
        <v>0.0</v>
      </c>
      <c r="AT281" s="28">
        <v>854879.6472868216</v>
      </c>
      <c r="AU281" s="28">
        <v>716544.5762249999</v>
      </c>
      <c r="AV281" s="28">
        <v>0.0</v>
      </c>
      <c r="AW281" s="28">
        <v>0.0</v>
      </c>
      <c r="AX281" s="5"/>
      <c r="AY281" s="5" t="str">
        <f t="array" ref="AY281">IFERROR(_xlfn.XLOOKUP($E281,'FW27'!$C$3:$C$1102,'FW27'!$AM$3:$AM$1102),"")</f>
        <v>Essentials</v>
      </c>
      <c r="AZ281" s="5" t="str">
        <f t="array" ref="AZ281">IFERROR(_xlfn.XLOOKUP($E281,'FW27'!$C$3:$C$1102,'FW27'!$AN$3:$AN$1102),"")</f>
        <v>Active Essentials</v>
      </c>
      <c r="BA281" s="5" t="s">
        <v>237</v>
      </c>
      <c r="BB281" s="5" t="str">
        <f t="array" ref="BB281">IFERROR(_xlfn.XLOOKUP($E281,'FW27'!$C$3:$C$1102,'FW27'!$AS$3:$AS$1102),"")</f>
        <v>Insulation</v>
      </c>
      <c r="BC281" s="5" t="str">
        <f t="array" ref="BC281">IFERROR(_xlfn.XLOOKUP($E281,'FW27'!$C$3:$C$1102,'FW27'!$AT$3:$AT$1102),"")</f>
        <v>Vest</v>
      </c>
      <c r="BD281" s="5" t="str">
        <f t="array" ref="BD281">IFERROR(_xlfn.XLOOKUP($E281,'FW27'!$C$3:$C$1102,'FW27'!$AU$3:$AU$1102),"")</f>
        <v>Midweight Down</v>
      </c>
      <c r="BE281" s="5" t="str">
        <f t="array" ref="BE281">IFERROR(_xlfn.XLOOKUP($E281,'FW27'!$C$3:$C$1102,'FW27'!$AV$3:$AV$1102),"")</f>
        <v>N</v>
      </c>
    </row>
    <row r="282" ht="16.5" hidden="1" customHeight="1">
      <c r="A282" s="5" t="s">
        <v>155</v>
      </c>
      <c r="B282" s="5" t="s">
        <v>137</v>
      </c>
      <c r="C282" s="5" t="b">
        <v>1</v>
      </c>
      <c r="D282" s="5" t="s">
        <v>1583</v>
      </c>
      <c r="E282" s="5" t="s">
        <v>1584</v>
      </c>
      <c r="F282" s="5"/>
      <c r="G282" s="5" t="s">
        <v>65</v>
      </c>
      <c r="H282" s="5" t="s">
        <v>76</v>
      </c>
      <c r="I282" s="5" t="s">
        <v>82</v>
      </c>
      <c r="J282" s="25" t="s">
        <v>2013</v>
      </c>
      <c r="K282" s="25"/>
      <c r="L282" s="25" t="s">
        <v>110</v>
      </c>
      <c r="M282" s="5" t="s">
        <v>500</v>
      </c>
      <c r="N282" s="5" t="s">
        <v>355</v>
      </c>
      <c r="O282" s="5" t="s">
        <v>69</v>
      </c>
      <c r="P282" s="5" t="s">
        <v>107</v>
      </c>
      <c r="Q282" s="5" t="b">
        <v>1</v>
      </c>
      <c r="R282" s="5" t="b">
        <v>0</v>
      </c>
      <c r="S282" s="5"/>
      <c r="T282" s="5">
        <v>2200.0</v>
      </c>
      <c r="U282" s="26">
        <v>2.1</v>
      </c>
      <c r="V282" s="5">
        <v>1048.0</v>
      </c>
      <c r="W282" s="27">
        <v>0.0</v>
      </c>
      <c r="X282" s="28">
        <v>1048.0</v>
      </c>
      <c r="Y282" s="27">
        <v>1.0</v>
      </c>
      <c r="Z282" s="5" t="s">
        <v>117</v>
      </c>
      <c r="AA282" s="5">
        <v>0.66</v>
      </c>
      <c r="AB282" s="5"/>
      <c r="AC282" s="5" t="s">
        <v>359</v>
      </c>
      <c r="AD282" s="5" t="s">
        <v>81</v>
      </c>
      <c r="AE282" s="5">
        <v>2.0</v>
      </c>
      <c r="AF282" s="5">
        <v>2.0</v>
      </c>
      <c r="AG282" s="5" t="s">
        <v>1575</v>
      </c>
      <c r="AH282" s="5" t="s">
        <v>0</v>
      </c>
      <c r="AI282" s="42"/>
      <c r="AJ282" s="28">
        <v>733.0</v>
      </c>
      <c r="AK282" s="28">
        <v>617.0</v>
      </c>
      <c r="AL282" s="28">
        <v>0.0</v>
      </c>
      <c r="AM282" s="28">
        <v>0.0</v>
      </c>
      <c r="AN282" s="28">
        <v>0.0</v>
      </c>
      <c r="AO282" s="28">
        <v>767905.4599999998</v>
      </c>
      <c r="AP282" s="28">
        <v>646616.0</v>
      </c>
      <c r="AQ282" s="28">
        <v>0.0</v>
      </c>
      <c r="AR282" s="28">
        <v>0.0</v>
      </c>
      <c r="AS282" s="28">
        <v>0.0</v>
      </c>
      <c r="AT282" s="28">
        <v>631650.088039867</v>
      </c>
      <c r="AU282" s="28">
        <v>510419.064225</v>
      </c>
      <c r="AV282" s="28">
        <v>0.0</v>
      </c>
      <c r="AW282" s="28">
        <v>0.0</v>
      </c>
      <c r="AX282" s="5"/>
      <c r="AY282" s="5" t="str">
        <f t="array" ref="AY282">IFERROR(_xlfn.XLOOKUP($E282,'FW27'!$C$3:$C$1102,'FW27'!$AM$3:$AM$1102),"")</f>
        <v>Essentials</v>
      </c>
      <c r="AZ282" s="5" t="str">
        <f t="array" ref="AZ282">IFERROR(_xlfn.XLOOKUP($E282,'FW27'!$C$3:$C$1102,'FW27'!$AN$3:$AN$1102),"")</f>
        <v>Active Essentials</v>
      </c>
      <c r="BA282" s="5" t="s">
        <v>237</v>
      </c>
      <c r="BB282" s="5" t="str">
        <f t="array" ref="BB282">IFERROR(_xlfn.XLOOKUP($E282,'FW27'!$C$3:$C$1102,'FW27'!$AS$3:$AS$1102),"")</f>
        <v>Insulation</v>
      </c>
      <c r="BC282" s="5" t="str">
        <f t="array" ref="BC282">IFERROR(_xlfn.XLOOKUP($E282,'FW27'!$C$3:$C$1102,'FW27'!$AT$3:$AT$1102),"")</f>
        <v>Vest</v>
      </c>
      <c r="BD282" s="5" t="str">
        <f t="array" ref="BD282">IFERROR(_xlfn.XLOOKUP($E282,'FW27'!$C$3:$C$1102,'FW27'!$AU$3:$AU$1102),"")</f>
        <v>Midweight Down</v>
      </c>
      <c r="BE282" s="5" t="str">
        <f t="array" ref="BE282">IFERROR(_xlfn.XLOOKUP($E282,'FW27'!$C$3:$C$1102,'FW27'!$AV$3:$AV$1102),"")</f>
        <v>N</v>
      </c>
    </row>
    <row r="283" ht="16.5" hidden="1" customHeight="1">
      <c r="A283" s="5" t="s">
        <v>155</v>
      </c>
      <c r="B283" s="5" t="s">
        <v>200</v>
      </c>
      <c r="C283" s="5" t="b">
        <v>0</v>
      </c>
      <c r="D283" s="5" t="s">
        <v>816</v>
      </c>
      <c r="E283" s="5" t="s">
        <v>817</v>
      </c>
      <c r="F283" s="5"/>
      <c r="G283" s="5" t="s">
        <v>65</v>
      </c>
      <c r="H283" s="5" t="s">
        <v>84</v>
      </c>
      <c r="I283" s="5" t="s">
        <v>106</v>
      </c>
      <c r="J283" s="25" t="s">
        <v>413</v>
      </c>
      <c r="K283" s="25"/>
      <c r="L283" s="25"/>
      <c r="M283" s="5" t="s">
        <v>500</v>
      </c>
      <c r="N283" s="5" t="s">
        <v>113</v>
      </c>
      <c r="O283" s="5" t="s">
        <v>69</v>
      </c>
      <c r="P283" s="5" t="s">
        <v>70</v>
      </c>
      <c r="Q283" s="5" t="b">
        <v>1</v>
      </c>
      <c r="R283" s="5" t="b">
        <v>0</v>
      </c>
      <c r="S283" s="5"/>
      <c r="T283" s="5">
        <v>1400.0</v>
      </c>
      <c r="U283" s="26">
        <v>2.1</v>
      </c>
      <c r="V283" s="5">
        <v>667.0</v>
      </c>
      <c r="W283" s="27">
        <v>0.0</v>
      </c>
      <c r="X283" s="28">
        <v>667.0</v>
      </c>
      <c r="Y283" s="27">
        <v>1.0</v>
      </c>
      <c r="Z283" s="5" t="s">
        <v>117</v>
      </c>
      <c r="AA283" s="5">
        <v>0.65</v>
      </c>
      <c r="AB283" s="5"/>
      <c r="AC283" s="5" t="s">
        <v>81</v>
      </c>
      <c r="AD283" s="5" t="s">
        <v>81</v>
      </c>
      <c r="AE283" s="5">
        <v>2.0</v>
      </c>
      <c r="AF283" s="5">
        <v>1.0</v>
      </c>
      <c r="AG283" s="5" t="s">
        <v>2020</v>
      </c>
      <c r="AH283" s="5" t="s">
        <v>97</v>
      </c>
      <c r="AI283" s="42"/>
      <c r="AJ283" s="28">
        <v>0.0</v>
      </c>
      <c r="AK283" s="28">
        <v>0.0</v>
      </c>
      <c r="AL283" s="28">
        <v>0.0</v>
      </c>
      <c r="AM283" s="28">
        <v>1620.0</v>
      </c>
      <c r="AN283" s="28">
        <v>0.0</v>
      </c>
      <c r="AO283" s="28">
        <v>0.0</v>
      </c>
      <c r="AP283" s="28">
        <v>0.0</v>
      </c>
      <c r="AQ283" s="28">
        <v>0.0</v>
      </c>
      <c r="AR283" s="28">
        <v>1080005.4</v>
      </c>
      <c r="AS283" s="28">
        <v>0.0</v>
      </c>
      <c r="AT283" s="28">
        <v>0.0</v>
      </c>
      <c r="AU283" s="28">
        <v>0.0</v>
      </c>
      <c r="AV283" s="28">
        <v>0.0</v>
      </c>
      <c r="AW283" s="28">
        <v>741257.6380952381</v>
      </c>
      <c r="AX283" s="5"/>
      <c r="AY283" s="5" t="s">
        <v>125</v>
      </c>
      <c r="AZ283" s="5" t="s">
        <v>127</v>
      </c>
      <c r="BA283" s="32" t="s">
        <v>454</v>
      </c>
      <c r="BB283" s="5" t="s">
        <v>126</v>
      </c>
      <c r="BC283" s="5" t="s">
        <v>128</v>
      </c>
      <c r="BD283" s="5" t="s">
        <v>130</v>
      </c>
      <c r="BE283" s="5" t="s">
        <v>131</v>
      </c>
      <c r="BF283" s="5" t="s">
        <v>910</v>
      </c>
    </row>
    <row r="284" ht="16.5" hidden="1" customHeight="1">
      <c r="A284" s="5" t="s">
        <v>155</v>
      </c>
      <c r="B284" s="5" t="s">
        <v>200</v>
      </c>
      <c r="C284" s="5" t="b">
        <v>0</v>
      </c>
      <c r="D284" s="5" t="s">
        <v>820</v>
      </c>
      <c r="E284" s="5" t="s">
        <v>821</v>
      </c>
      <c r="F284" s="5"/>
      <c r="G284" s="5" t="s">
        <v>65</v>
      </c>
      <c r="H284" s="5" t="s">
        <v>84</v>
      </c>
      <c r="I284" s="5" t="s">
        <v>106</v>
      </c>
      <c r="J284" s="25" t="s">
        <v>413</v>
      </c>
      <c r="K284" s="25"/>
      <c r="L284" s="25"/>
      <c r="M284" s="5" t="s">
        <v>500</v>
      </c>
      <c r="N284" s="5" t="s">
        <v>113</v>
      </c>
      <c r="O284" s="5" t="s">
        <v>69</v>
      </c>
      <c r="P284" s="5" t="s">
        <v>107</v>
      </c>
      <c r="Q284" s="5" t="b">
        <v>1</v>
      </c>
      <c r="R284" s="5" t="b">
        <v>0</v>
      </c>
      <c r="S284" s="5"/>
      <c r="T284" s="5">
        <v>1400.0</v>
      </c>
      <c r="U284" s="26">
        <v>2.1</v>
      </c>
      <c r="V284" s="5">
        <v>667.0</v>
      </c>
      <c r="W284" s="27">
        <v>0.0</v>
      </c>
      <c r="X284" s="28">
        <v>667.0</v>
      </c>
      <c r="Y284" s="27">
        <v>1.0</v>
      </c>
      <c r="Z284" s="5" t="s">
        <v>117</v>
      </c>
      <c r="AA284" s="5">
        <v>0.66</v>
      </c>
      <c r="AB284" s="5"/>
      <c r="AC284" s="5" t="s">
        <v>81</v>
      </c>
      <c r="AD284" s="5" t="s">
        <v>81</v>
      </c>
      <c r="AE284" s="5">
        <v>2.0</v>
      </c>
      <c r="AF284" s="5">
        <v>1.0</v>
      </c>
      <c r="AG284" s="5" t="s">
        <v>2020</v>
      </c>
      <c r="AH284" s="5" t="s">
        <v>97</v>
      </c>
      <c r="AI284" s="42"/>
      <c r="AJ284" s="28">
        <v>0.0</v>
      </c>
      <c r="AK284" s="28">
        <v>0.0</v>
      </c>
      <c r="AL284" s="28">
        <v>0.0</v>
      </c>
      <c r="AM284" s="28">
        <v>1130.0</v>
      </c>
      <c r="AN284" s="28">
        <v>0.0</v>
      </c>
      <c r="AO284" s="28">
        <v>0.0</v>
      </c>
      <c r="AP284" s="28">
        <v>0.0</v>
      </c>
      <c r="AQ284" s="28">
        <v>0.0</v>
      </c>
      <c r="AR284" s="28">
        <v>753337.1</v>
      </c>
      <c r="AS284" s="28">
        <v>0.0</v>
      </c>
      <c r="AT284" s="28">
        <v>0.0</v>
      </c>
      <c r="AU284" s="28">
        <v>0.0</v>
      </c>
      <c r="AV284" s="28">
        <v>0.0</v>
      </c>
      <c r="AW284" s="28">
        <v>594048.3428571429</v>
      </c>
      <c r="AX284" s="5"/>
      <c r="AY284" s="5" t="s">
        <v>125</v>
      </c>
      <c r="AZ284" s="5" t="s">
        <v>127</v>
      </c>
      <c r="BA284" s="32" t="s">
        <v>454</v>
      </c>
      <c r="BB284" s="5" t="s">
        <v>126</v>
      </c>
      <c r="BC284" s="5" t="s">
        <v>128</v>
      </c>
      <c r="BD284" s="5" t="s">
        <v>130</v>
      </c>
      <c r="BE284" s="5" t="s">
        <v>131</v>
      </c>
      <c r="BF284" s="5" t="s">
        <v>910</v>
      </c>
    </row>
    <row r="285" ht="16.5" hidden="1" customHeight="1">
      <c r="A285" s="5" t="s">
        <v>155</v>
      </c>
      <c r="B285" s="5" t="s">
        <v>137</v>
      </c>
      <c r="C285" s="5" t="b">
        <v>0</v>
      </c>
      <c r="D285" s="43" t="s">
        <v>822</v>
      </c>
      <c r="E285" s="43" t="s">
        <v>823</v>
      </c>
      <c r="F285" s="43"/>
      <c r="G285" s="43" t="s">
        <v>65</v>
      </c>
      <c r="H285" s="43" t="s">
        <v>84</v>
      </c>
      <c r="I285" s="43" t="s">
        <v>106</v>
      </c>
      <c r="J285" s="44" t="s">
        <v>2023</v>
      </c>
      <c r="K285" s="25"/>
      <c r="L285" s="25" t="s">
        <v>110</v>
      </c>
      <c r="M285" s="5" t="s">
        <v>500</v>
      </c>
      <c r="N285" s="5" t="s">
        <v>68</v>
      </c>
      <c r="O285" s="5" t="s">
        <v>69</v>
      </c>
      <c r="P285" s="5" t="s">
        <v>70</v>
      </c>
      <c r="Q285" s="5" t="b">
        <v>1</v>
      </c>
      <c r="R285" s="5" t="b">
        <v>0</v>
      </c>
      <c r="S285" s="5"/>
      <c r="T285" s="5">
        <v>5000.0</v>
      </c>
      <c r="U285" s="26">
        <v>2.1</v>
      </c>
      <c r="V285" s="5">
        <v>2381.0</v>
      </c>
      <c r="W285" s="27">
        <v>0.0</v>
      </c>
      <c r="X285" s="28">
        <v>2381.0</v>
      </c>
      <c r="Y285" s="27">
        <v>1.0</v>
      </c>
      <c r="Z285" s="5" t="s">
        <v>242</v>
      </c>
      <c r="AA285" s="5">
        <v>0.55</v>
      </c>
      <c r="AB285" s="5"/>
      <c r="AC285" s="5" t="s">
        <v>80</v>
      </c>
      <c r="AD285" s="5" t="s">
        <v>81</v>
      </c>
      <c r="AE285" s="5">
        <v>3.0</v>
      </c>
      <c r="AF285" s="5">
        <v>2.0</v>
      </c>
      <c r="AG285" s="5" t="s">
        <v>2024</v>
      </c>
      <c r="AH285" s="5" t="s">
        <v>0</v>
      </c>
      <c r="AI285" s="42"/>
      <c r="AJ285" s="28">
        <v>1712.0</v>
      </c>
      <c r="AK285" s="28">
        <v>1836.0</v>
      </c>
      <c r="AL285" s="28">
        <v>0.0</v>
      </c>
      <c r="AM285" s="28">
        <v>1619.0</v>
      </c>
      <c r="AN285" s="28">
        <v>0.0</v>
      </c>
      <c r="AO285" s="28">
        <v>4076186.4</v>
      </c>
      <c r="AP285" s="28">
        <v>4371516.0</v>
      </c>
      <c r="AQ285" s="28">
        <v>0.0</v>
      </c>
      <c r="AR285" s="28">
        <v>3854758.05</v>
      </c>
      <c r="AS285" s="28">
        <v>0.0</v>
      </c>
      <c r="AT285" s="28">
        <v>3048632.58372093</v>
      </c>
      <c r="AU285" s="28">
        <v>3004248.8047000007</v>
      </c>
      <c r="AV285" s="28">
        <v>0.0</v>
      </c>
      <c r="AW285" s="28">
        <v>2792811.0858250274</v>
      </c>
      <c r="AX285" s="5"/>
      <c r="AY285" s="5" t="str">
        <f t="array" ref="AY285">IFERROR(_xlfn.XLOOKUP($E285,'FW27'!$C$3:$C$1102,'FW27'!$AM$3:$AM$1102),"")</f>
        <v>Outdoor</v>
      </c>
      <c r="AZ285" s="5" t="str">
        <f t="array" ref="AZ285">IFERROR(_xlfn.XLOOKUP($E285,'FW27'!$C$3:$C$1102,'FW27'!$AN$3:$AN$1102),"")</f>
        <v>Mountaineering</v>
      </c>
      <c r="BA285" s="5" t="s">
        <v>827</v>
      </c>
      <c r="BB285" s="5" t="str">
        <f t="array" ref="BB285">IFERROR(_xlfn.XLOOKUP($E285,'FW27'!$C$3:$C$1102,'FW27'!$AS$3:$AS$1102),"")</f>
        <v>Shell</v>
      </c>
      <c r="BC285" s="5" t="str">
        <f t="array" ref="BC285">IFERROR(_xlfn.XLOOKUP($E285,'FW27'!$C$3:$C$1102,'FW27'!$AT$3:$AT$1102),"")</f>
        <v>Jacket</v>
      </c>
      <c r="BD285" s="5" t="str">
        <f t="array" ref="BD285">IFERROR(_xlfn.XLOOKUP($E285,'FW27'!$C$3:$C$1102,'FW27'!$AU$3:$AU$1102),"")</f>
        <v>3L</v>
      </c>
      <c r="BE285" s="5" t="str">
        <f t="array" ref="BE285">IFERROR(_xlfn.XLOOKUP($E285,'FW27'!$C$3:$C$1102,'FW27'!$AV$3:$AV$1102),"")</f>
        <v>Y</v>
      </c>
    </row>
    <row r="286" ht="16.5" hidden="1" customHeight="1">
      <c r="A286" s="5" t="s">
        <v>155</v>
      </c>
      <c r="B286" s="5" t="s">
        <v>137</v>
      </c>
      <c r="C286" s="5" t="b">
        <v>0</v>
      </c>
      <c r="D286" s="43" t="s">
        <v>828</v>
      </c>
      <c r="E286" s="43" t="s">
        <v>829</v>
      </c>
      <c r="F286" s="43"/>
      <c r="G286" s="43" t="s">
        <v>65</v>
      </c>
      <c r="H286" s="43" t="s">
        <v>84</v>
      </c>
      <c r="I286" s="43" t="s">
        <v>106</v>
      </c>
      <c r="J286" s="44" t="s">
        <v>2023</v>
      </c>
      <c r="K286" s="25"/>
      <c r="L286" s="25" t="s">
        <v>110</v>
      </c>
      <c r="M286" s="5" t="s">
        <v>500</v>
      </c>
      <c r="N286" s="5" t="s">
        <v>68</v>
      </c>
      <c r="O286" s="5" t="s">
        <v>69</v>
      </c>
      <c r="P286" s="5" t="s">
        <v>107</v>
      </c>
      <c r="Q286" s="5" t="b">
        <v>1</v>
      </c>
      <c r="R286" s="5" t="b">
        <v>0</v>
      </c>
      <c r="S286" s="5"/>
      <c r="T286" s="5">
        <v>5000.0</v>
      </c>
      <c r="U286" s="26">
        <v>2.1</v>
      </c>
      <c r="V286" s="5">
        <v>2381.0</v>
      </c>
      <c r="W286" s="27">
        <v>0.0</v>
      </c>
      <c r="X286" s="28">
        <v>2381.0</v>
      </c>
      <c r="Y286" s="27">
        <v>1.0</v>
      </c>
      <c r="Z286" s="5" t="s">
        <v>242</v>
      </c>
      <c r="AA286" s="5">
        <v>0.55</v>
      </c>
      <c r="AB286" s="5"/>
      <c r="AC286" s="5" t="s">
        <v>80</v>
      </c>
      <c r="AD286" s="5" t="s">
        <v>81</v>
      </c>
      <c r="AE286" s="5">
        <v>2.0</v>
      </c>
      <c r="AF286" s="5">
        <v>2.0</v>
      </c>
      <c r="AG286" s="5" t="s">
        <v>2025</v>
      </c>
      <c r="AH286" s="5" t="s">
        <v>0</v>
      </c>
      <c r="AI286" s="42"/>
      <c r="AJ286" s="28">
        <v>924.0</v>
      </c>
      <c r="AK286" s="28">
        <v>713.0</v>
      </c>
      <c r="AL286" s="28">
        <v>0.0</v>
      </c>
      <c r="AM286" s="28">
        <v>986.0</v>
      </c>
      <c r="AN286" s="28">
        <v>0.0</v>
      </c>
      <c r="AO286" s="28">
        <v>2199997.8</v>
      </c>
      <c r="AP286" s="28">
        <v>1697653.0</v>
      </c>
      <c r="AQ286" s="28">
        <v>0.0</v>
      </c>
      <c r="AR286" s="28">
        <v>2347616.7</v>
      </c>
      <c r="AS286" s="28">
        <v>0.0</v>
      </c>
      <c r="AT286" s="28">
        <v>1695964.8875968992</v>
      </c>
      <c r="AU286" s="28">
        <v>1368041.6123</v>
      </c>
      <c r="AV286" s="28">
        <v>0.0</v>
      </c>
      <c r="AW286" s="28">
        <v>1826851.6738648943</v>
      </c>
      <c r="AX286" s="5"/>
      <c r="AY286" s="5" t="str">
        <f t="array" ref="AY286">IFERROR(_xlfn.XLOOKUP($E286,'FW27'!$C$3:$C$1102,'FW27'!$AM$3:$AM$1102),"")</f>
        <v>Outdoor</v>
      </c>
      <c r="AZ286" s="5" t="str">
        <f t="array" ref="AZ286">IFERROR(_xlfn.XLOOKUP($E286,'FW27'!$C$3:$C$1102,'FW27'!$AN$3:$AN$1102),"")</f>
        <v>Mountaineering</v>
      </c>
      <c r="BA286" s="5" t="s">
        <v>827</v>
      </c>
      <c r="BB286" s="5" t="str">
        <f t="array" ref="BB286">IFERROR(_xlfn.XLOOKUP($E286,'FW27'!$C$3:$C$1102,'FW27'!$AS$3:$AS$1102),"")</f>
        <v>Shell</v>
      </c>
      <c r="BC286" s="5" t="str">
        <f t="array" ref="BC286">IFERROR(_xlfn.XLOOKUP($E286,'FW27'!$C$3:$C$1102,'FW27'!$AT$3:$AT$1102),"")</f>
        <v>Jacket</v>
      </c>
      <c r="BD286" s="5" t="str">
        <f t="array" ref="BD286">IFERROR(_xlfn.XLOOKUP($E286,'FW27'!$C$3:$C$1102,'FW27'!$AU$3:$AU$1102),"")</f>
        <v>3L</v>
      </c>
      <c r="BE286" s="5" t="str">
        <f t="array" ref="BE286">IFERROR(_xlfn.XLOOKUP($E286,'FW27'!$C$3:$C$1102,'FW27'!$AV$3:$AV$1102),"")</f>
        <v>Y</v>
      </c>
    </row>
    <row r="287" ht="16.5" hidden="1" customHeight="1">
      <c r="A287" s="5" t="s">
        <v>155</v>
      </c>
      <c r="B287" s="43" t="s">
        <v>137</v>
      </c>
      <c r="C287" s="43" t="b">
        <v>0</v>
      </c>
      <c r="D287" s="43" t="s">
        <v>1320</v>
      </c>
      <c r="E287" s="43" t="s">
        <v>1321</v>
      </c>
      <c r="F287" s="43"/>
      <c r="G287" s="43" t="s">
        <v>65</v>
      </c>
      <c r="H287" s="43" t="s">
        <v>84</v>
      </c>
      <c r="I287" s="43" t="s">
        <v>106</v>
      </c>
      <c r="J287" s="44" t="s">
        <v>2027</v>
      </c>
      <c r="K287" s="25"/>
      <c r="L287" s="25"/>
      <c r="M287" s="5" t="s">
        <v>500</v>
      </c>
      <c r="N287" s="5" t="s">
        <v>126</v>
      </c>
      <c r="O287" s="5" t="s">
        <v>69</v>
      </c>
      <c r="P287" s="5" t="s">
        <v>70</v>
      </c>
      <c r="Q287" s="5" t="b">
        <v>1</v>
      </c>
      <c r="R287" s="5" t="b">
        <v>0</v>
      </c>
      <c r="S287" s="5"/>
      <c r="T287" s="5">
        <v>3200.0</v>
      </c>
      <c r="U287" s="26">
        <v>2.1</v>
      </c>
      <c r="V287" s="5">
        <v>1524.0</v>
      </c>
      <c r="W287" s="27">
        <v>0.0</v>
      </c>
      <c r="X287" s="28">
        <v>1524.0</v>
      </c>
      <c r="Y287" s="27">
        <v>1.0</v>
      </c>
      <c r="Z287" s="5" t="s">
        <v>117</v>
      </c>
      <c r="AA287" s="5">
        <v>0.6</v>
      </c>
      <c r="AB287" s="5"/>
      <c r="AC287" s="5" t="s">
        <v>81</v>
      </c>
      <c r="AD287" s="5" t="s">
        <v>81</v>
      </c>
      <c r="AE287" s="5">
        <v>2.0</v>
      </c>
      <c r="AF287" s="5">
        <v>2.0</v>
      </c>
      <c r="AG287" s="5" t="s">
        <v>0</v>
      </c>
      <c r="AH287" s="5" t="s">
        <v>0</v>
      </c>
      <c r="AI287" s="42"/>
      <c r="AJ287" s="28">
        <v>1273.0</v>
      </c>
      <c r="AK287" s="28">
        <v>0.0</v>
      </c>
      <c r="AL287" s="28">
        <v>0.0</v>
      </c>
      <c r="AM287" s="28">
        <v>0.0</v>
      </c>
      <c r="AN287" s="28">
        <v>0.0</v>
      </c>
      <c r="AO287" s="28">
        <v>1939810.1300000001</v>
      </c>
      <c r="AP287" s="28">
        <v>0.0</v>
      </c>
      <c r="AQ287" s="28">
        <v>0.0</v>
      </c>
      <c r="AR287" s="28">
        <v>0.0</v>
      </c>
      <c r="AS287" s="28">
        <v>0.0</v>
      </c>
      <c r="AT287" s="28">
        <v>1053736.4761904762</v>
      </c>
      <c r="AU287" s="28">
        <v>0.0</v>
      </c>
      <c r="AV287" s="28">
        <v>0.0</v>
      </c>
      <c r="AW287" s="28">
        <v>0.0</v>
      </c>
      <c r="AX287" s="5"/>
      <c r="AY287" s="5" t="str">
        <f t="array" ref="AY287">IFERROR(_xlfn.XLOOKUP($E287,'FW27'!$C$3:$C$1102,'FW27'!$AM$3:$AM$1102),"")</f>
        <v>Outdoor</v>
      </c>
      <c r="AZ287" s="5" t="str">
        <f t="array" ref="AZ287">IFERROR(_xlfn.XLOOKUP($E287,'FW27'!$C$3:$C$1102,'FW27'!$AN$3:$AN$1102),"")</f>
        <v>Mountaineering</v>
      </c>
      <c r="BA287" s="5" t="s">
        <v>827</v>
      </c>
      <c r="BB287" s="5" t="str">
        <f t="array" ref="BB287">IFERROR(_xlfn.XLOOKUP($E287,'FW27'!$C$3:$C$1102,'FW27'!$AS$3:$AS$1102),"")</f>
        <v>Softshell</v>
      </c>
      <c r="BC287" s="5" t="str">
        <f t="array" ref="BC287">IFERROR(_xlfn.XLOOKUP($E287,'FW27'!$C$3:$C$1102,'FW27'!$AT$3:$AT$1102),"")</f>
        <v>Hooded Jacket</v>
      </c>
      <c r="BD287" s="5" t="str">
        <f t="array" ref="BD287">IFERROR(_xlfn.XLOOKUP($E287,'FW27'!$C$3:$C$1102,'FW27'!$AU$3:$AU$1102),"")</f>
        <v>Classic Softshell</v>
      </c>
      <c r="BE287" s="5" t="str">
        <f t="array" ref="BE287">IFERROR(_xlfn.XLOOKUP($E287,'FW27'!$C$3:$C$1102,'FW27'!$AV$3:$AV$1102),"")</f>
        <v>N</v>
      </c>
    </row>
    <row r="288" ht="16.5" hidden="1" customHeight="1">
      <c r="A288" s="5" t="s">
        <v>155</v>
      </c>
      <c r="B288" s="43" t="s">
        <v>137</v>
      </c>
      <c r="C288" s="43" t="b">
        <v>0</v>
      </c>
      <c r="D288" s="43" t="s">
        <v>1334</v>
      </c>
      <c r="E288" s="43" t="s">
        <v>1335</v>
      </c>
      <c r="F288" s="43"/>
      <c r="G288" s="43" t="s">
        <v>65</v>
      </c>
      <c r="H288" s="43" t="s">
        <v>84</v>
      </c>
      <c r="I288" s="43" t="s">
        <v>106</v>
      </c>
      <c r="J288" s="44" t="s">
        <v>2027</v>
      </c>
      <c r="K288" s="25"/>
      <c r="L288" s="25"/>
      <c r="M288" s="5" t="s">
        <v>500</v>
      </c>
      <c r="N288" s="5" t="s">
        <v>126</v>
      </c>
      <c r="O288" s="5" t="s">
        <v>69</v>
      </c>
      <c r="P288" s="5" t="s">
        <v>107</v>
      </c>
      <c r="Q288" s="5" t="b">
        <v>1</v>
      </c>
      <c r="R288" s="5" t="b">
        <v>0</v>
      </c>
      <c r="S288" s="5"/>
      <c r="T288" s="5">
        <v>3200.0</v>
      </c>
      <c r="U288" s="26">
        <v>2.1</v>
      </c>
      <c r="V288" s="5">
        <v>1524.0</v>
      </c>
      <c r="W288" s="27">
        <v>0.0</v>
      </c>
      <c r="X288" s="28">
        <v>1524.0</v>
      </c>
      <c r="Y288" s="27">
        <v>1.0</v>
      </c>
      <c r="Z288" s="5" t="s">
        <v>117</v>
      </c>
      <c r="AA288" s="5">
        <v>0.62</v>
      </c>
      <c r="AB288" s="5"/>
      <c r="AC288" s="5" t="s">
        <v>81</v>
      </c>
      <c r="AD288" s="5" t="s">
        <v>81</v>
      </c>
      <c r="AE288" s="5">
        <v>2.0</v>
      </c>
      <c r="AF288" s="5">
        <v>2.0</v>
      </c>
      <c r="AG288" s="5" t="s">
        <v>0</v>
      </c>
      <c r="AH288" s="5" t="s">
        <v>0</v>
      </c>
      <c r="AI288" s="42"/>
      <c r="AJ288" s="28">
        <v>783.0</v>
      </c>
      <c r="AK288" s="28">
        <v>0.0</v>
      </c>
      <c r="AL288" s="28">
        <v>0.0</v>
      </c>
      <c r="AM288" s="28">
        <v>0.0</v>
      </c>
      <c r="AN288" s="28">
        <v>0.0</v>
      </c>
      <c r="AO288" s="28">
        <v>1193143.23</v>
      </c>
      <c r="AP288" s="28">
        <v>0.0</v>
      </c>
      <c r="AQ288" s="28">
        <v>0.0</v>
      </c>
      <c r="AR288" s="28">
        <v>0.0</v>
      </c>
      <c r="AS288" s="28">
        <v>0.0</v>
      </c>
      <c r="AT288" s="28">
        <v>624907.6190476192</v>
      </c>
      <c r="AU288" s="28">
        <v>0.0</v>
      </c>
      <c r="AV288" s="28">
        <v>0.0</v>
      </c>
      <c r="AW288" s="28">
        <v>0.0</v>
      </c>
      <c r="AX288" s="5"/>
      <c r="AY288" s="5" t="str">
        <f t="array" ref="AY288">IFERROR(_xlfn.XLOOKUP($E288,'FW27'!$C$3:$C$1102,'FW27'!$AM$3:$AM$1102),"")</f>
        <v>Outdoor</v>
      </c>
      <c r="AZ288" s="5" t="str">
        <f t="array" ref="AZ288">IFERROR(_xlfn.XLOOKUP($E288,'FW27'!$C$3:$C$1102,'FW27'!$AN$3:$AN$1102),"")</f>
        <v>Mountaineering</v>
      </c>
      <c r="BA288" s="5" t="s">
        <v>827</v>
      </c>
      <c r="BB288" s="5" t="str">
        <f t="array" ref="BB288">IFERROR(_xlfn.XLOOKUP($E288,'FW27'!$C$3:$C$1102,'FW27'!$AS$3:$AS$1102),"")</f>
        <v>Softshell</v>
      </c>
      <c r="BC288" s="5" t="str">
        <f t="array" ref="BC288">IFERROR(_xlfn.XLOOKUP($E288,'FW27'!$C$3:$C$1102,'FW27'!$AT$3:$AT$1102),"")</f>
        <v>Hooded Jacket</v>
      </c>
      <c r="BD288" s="5" t="str">
        <f t="array" ref="BD288">IFERROR(_xlfn.XLOOKUP($E288,'FW27'!$C$3:$C$1102,'FW27'!$AU$3:$AU$1102),"")</f>
        <v>Classic Softshell</v>
      </c>
      <c r="BE288" s="5" t="str">
        <f t="array" ref="BE288">IFERROR(_xlfn.XLOOKUP($E288,'FW27'!$C$3:$C$1102,'FW27'!$AV$3:$AV$1102),"")</f>
        <v>N</v>
      </c>
    </row>
    <row r="289" ht="16.5" hidden="1" customHeight="1">
      <c r="A289" s="5" t="s">
        <v>155</v>
      </c>
      <c r="B289" s="43" t="s">
        <v>215</v>
      </c>
      <c r="C289" s="43" t="b">
        <v>0</v>
      </c>
      <c r="D289" s="43" t="s">
        <v>1599</v>
      </c>
      <c r="E289" s="43" t="s">
        <v>1600</v>
      </c>
      <c r="F289" s="43"/>
      <c r="G289" s="43" t="s">
        <v>65</v>
      </c>
      <c r="H289" s="43" t="s">
        <v>84</v>
      </c>
      <c r="I289" s="43" t="s">
        <v>106</v>
      </c>
      <c r="J289" s="44" t="s">
        <v>2027</v>
      </c>
      <c r="K289" s="25"/>
      <c r="L289" s="25"/>
      <c r="M289" s="5" t="s">
        <v>500</v>
      </c>
      <c r="N289" s="5" t="s">
        <v>126</v>
      </c>
      <c r="O289" s="5" t="s">
        <v>69</v>
      </c>
      <c r="P289" s="5" t="s">
        <v>70</v>
      </c>
      <c r="Q289" s="5" t="b">
        <v>1</v>
      </c>
      <c r="R289" s="5" t="b">
        <v>0</v>
      </c>
      <c r="S289" s="5"/>
      <c r="T289" s="5">
        <v>2800.0</v>
      </c>
      <c r="U289" s="26">
        <v>2.1</v>
      </c>
      <c r="V289" s="5">
        <v>1333.0</v>
      </c>
      <c r="W289" s="27">
        <v>0.0</v>
      </c>
      <c r="X289" s="28">
        <v>1333.0</v>
      </c>
      <c r="Y289" s="27">
        <v>1.0</v>
      </c>
      <c r="Z289" s="5" t="s">
        <v>117</v>
      </c>
      <c r="AA289" s="5">
        <v>0.61</v>
      </c>
      <c r="AB289" s="5"/>
      <c r="AC289" s="5" t="s">
        <v>81</v>
      </c>
      <c r="AD289" s="5" t="s">
        <v>81</v>
      </c>
      <c r="AE289" s="5">
        <v>1.0</v>
      </c>
      <c r="AF289" s="5">
        <v>1.0</v>
      </c>
      <c r="AG289" s="5" t="s">
        <v>0</v>
      </c>
      <c r="AH289" s="5" t="s">
        <v>0</v>
      </c>
      <c r="AI289" s="42"/>
      <c r="AJ289" s="28">
        <v>1449.0</v>
      </c>
      <c r="AK289" s="28">
        <v>757.0</v>
      </c>
      <c r="AL289" s="28">
        <v>0.0</v>
      </c>
      <c r="AM289" s="28">
        <v>0.0</v>
      </c>
      <c r="AN289" s="28">
        <v>0.0</v>
      </c>
      <c r="AO289" s="28">
        <v>1931995.17</v>
      </c>
      <c r="AP289" s="28">
        <v>1009081.0</v>
      </c>
      <c r="AQ289" s="28">
        <v>0.0</v>
      </c>
      <c r="AR289" s="28">
        <v>0.0</v>
      </c>
      <c r="AS289" s="28">
        <v>0.0</v>
      </c>
      <c r="AT289" s="28">
        <v>976953.2834994462</v>
      </c>
      <c r="AU289" s="28">
        <v>522844.72425</v>
      </c>
      <c r="AV289" s="28">
        <v>0.0</v>
      </c>
      <c r="AW289" s="28">
        <v>0.0</v>
      </c>
      <c r="AX289" s="5"/>
      <c r="AY289" s="5" t="str">
        <f t="array" ref="AY289">IFERROR(_xlfn.XLOOKUP($E289,'FW27'!$C$3:$C$1102,'FW27'!$AM$3:$AM$1102),"")</f>
        <v>Outdoor</v>
      </c>
      <c r="AZ289" s="5" t="str">
        <f t="array" ref="AZ289">IFERROR(_xlfn.XLOOKUP($E289,'FW27'!$C$3:$C$1102,'FW27'!$AN$3:$AN$1102),"")</f>
        <v>Mountaineering</v>
      </c>
      <c r="BA289" s="5" t="s">
        <v>827</v>
      </c>
      <c r="BB289" s="5" t="str">
        <f t="array" ref="BB289">IFERROR(_xlfn.XLOOKUP($E289,'FW27'!$C$3:$C$1102,'FW27'!$AS$3:$AS$1102),"")</f>
        <v>Softshell</v>
      </c>
      <c r="BC289" s="5" t="str">
        <f t="array" ref="BC289">IFERROR(_xlfn.XLOOKUP($E289,'FW27'!$C$3:$C$1102,'FW27'!$AT$3:$AT$1102),"")</f>
        <v>Pant</v>
      </c>
      <c r="BD289" s="5" t="str">
        <f t="array" ref="BD289">IFERROR(_xlfn.XLOOKUP($E289,'FW27'!$C$3:$C$1102,'FW27'!$AU$3:$AU$1102),"")</f>
        <v>Classic Softshell</v>
      </c>
      <c r="BE289" s="5" t="str">
        <f t="array" ref="BE289">IFERROR(_xlfn.XLOOKUP($E289,'FW27'!$C$3:$C$1102,'FW27'!$AV$3:$AV$1102),"")</f>
        <v>N</v>
      </c>
    </row>
    <row r="290" ht="16.5" hidden="1" customHeight="1">
      <c r="A290" s="5" t="s">
        <v>155</v>
      </c>
      <c r="B290" s="43" t="s">
        <v>215</v>
      </c>
      <c r="C290" s="43" t="b">
        <v>0</v>
      </c>
      <c r="D290" s="43" t="s">
        <v>1602</v>
      </c>
      <c r="E290" s="43" t="s">
        <v>1603</v>
      </c>
      <c r="F290" s="43"/>
      <c r="G290" s="43" t="s">
        <v>65</v>
      </c>
      <c r="H290" s="43" t="s">
        <v>84</v>
      </c>
      <c r="I290" s="43" t="s">
        <v>106</v>
      </c>
      <c r="J290" s="44" t="s">
        <v>2027</v>
      </c>
      <c r="K290" s="25"/>
      <c r="L290" s="25"/>
      <c r="M290" s="5" t="s">
        <v>500</v>
      </c>
      <c r="N290" s="5" t="s">
        <v>126</v>
      </c>
      <c r="O290" s="5" t="s">
        <v>69</v>
      </c>
      <c r="P290" s="5" t="s">
        <v>107</v>
      </c>
      <c r="Q290" s="5" t="b">
        <v>1</v>
      </c>
      <c r="R290" s="5" t="b">
        <v>0</v>
      </c>
      <c r="S290" s="5"/>
      <c r="T290" s="5">
        <v>2800.0</v>
      </c>
      <c r="U290" s="26">
        <v>2.1</v>
      </c>
      <c r="V290" s="5">
        <v>1333.0</v>
      </c>
      <c r="W290" s="27">
        <v>0.0</v>
      </c>
      <c r="X290" s="28">
        <v>1333.0</v>
      </c>
      <c r="Y290" s="27">
        <v>1.0</v>
      </c>
      <c r="Z290" s="5" t="s">
        <v>117</v>
      </c>
      <c r="AA290" s="5">
        <v>0.63</v>
      </c>
      <c r="AB290" s="5"/>
      <c r="AC290" s="5" t="s">
        <v>81</v>
      </c>
      <c r="AD290" s="5" t="s">
        <v>81</v>
      </c>
      <c r="AE290" s="5">
        <v>1.0</v>
      </c>
      <c r="AF290" s="5">
        <v>1.0</v>
      </c>
      <c r="AG290" s="5" t="s">
        <v>0</v>
      </c>
      <c r="AH290" s="5" t="s">
        <v>0</v>
      </c>
      <c r="AI290" s="42"/>
      <c r="AJ290" s="28">
        <v>791.0</v>
      </c>
      <c r="AK290" s="28">
        <v>197.0</v>
      </c>
      <c r="AL290" s="28">
        <v>0.0</v>
      </c>
      <c r="AM290" s="28">
        <v>0.0</v>
      </c>
      <c r="AN290" s="28">
        <v>0.0</v>
      </c>
      <c r="AO290" s="28">
        <v>1054664.03</v>
      </c>
      <c r="AP290" s="28">
        <v>262601.0</v>
      </c>
      <c r="AQ290" s="28">
        <v>0.0</v>
      </c>
      <c r="AR290" s="28">
        <v>0.0</v>
      </c>
      <c r="AS290" s="28">
        <v>0.0</v>
      </c>
      <c r="AT290" s="28">
        <v>549701.7209302326</v>
      </c>
      <c r="AU290" s="28">
        <v>223790.43985000002</v>
      </c>
      <c r="AV290" s="28">
        <v>0.0</v>
      </c>
      <c r="AW290" s="28">
        <v>0.0</v>
      </c>
      <c r="AX290" s="5"/>
      <c r="AY290" s="5" t="str">
        <f t="array" ref="AY290">IFERROR(_xlfn.XLOOKUP($E290,'FW27'!$C$3:$C$1102,'FW27'!$AM$3:$AM$1102),"")</f>
        <v>Outdoor</v>
      </c>
      <c r="AZ290" s="5" t="str">
        <f t="array" ref="AZ290">IFERROR(_xlfn.XLOOKUP($E290,'FW27'!$C$3:$C$1102,'FW27'!$AN$3:$AN$1102),"")</f>
        <v>Mountaineering</v>
      </c>
      <c r="BA290" s="5" t="s">
        <v>827</v>
      </c>
      <c r="BB290" s="5" t="str">
        <f t="array" ref="BB290">IFERROR(_xlfn.XLOOKUP($E290,'FW27'!$C$3:$C$1102,'FW27'!$AS$3:$AS$1102),"")</f>
        <v>Softshell</v>
      </c>
      <c r="BC290" s="5" t="str">
        <f t="array" ref="BC290">IFERROR(_xlfn.XLOOKUP($E290,'FW27'!$C$3:$C$1102,'FW27'!$AT$3:$AT$1102),"")</f>
        <v>Pant</v>
      </c>
      <c r="BD290" s="5" t="str">
        <f t="array" ref="BD290">IFERROR(_xlfn.XLOOKUP($E290,'FW27'!$C$3:$C$1102,'FW27'!$AU$3:$AU$1102),"")</f>
        <v>Classic Softshell</v>
      </c>
      <c r="BE290" s="5" t="str">
        <f t="array" ref="BE290">IFERROR(_xlfn.XLOOKUP($E290,'FW27'!$C$3:$C$1102,'FW27'!$AV$3:$AV$1102),"")</f>
        <v>N</v>
      </c>
    </row>
    <row r="291" ht="16.5" hidden="1" customHeight="1">
      <c r="A291" s="5" t="s">
        <v>155</v>
      </c>
      <c r="B291" s="5" t="s">
        <v>215</v>
      </c>
      <c r="C291" s="5" t="b">
        <v>1</v>
      </c>
      <c r="D291" s="5" t="s">
        <v>2036</v>
      </c>
      <c r="E291" s="5" t="s">
        <v>2037</v>
      </c>
      <c r="F291" s="5"/>
      <c r="G291" s="5" t="s">
        <v>65</v>
      </c>
      <c r="H291" s="5" t="s">
        <v>76</v>
      </c>
      <c r="I291" s="5" t="s">
        <v>82</v>
      </c>
      <c r="J291" s="25"/>
      <c r="K291" s="25"/>
      <c r="L291" s="25"/>
      <c r="M291" s="5" t="s">
        <v>66</v>
      </c>
      <c r="N291" s="5" t="s">
        <v>248</v>
      </c>
      <c r="O291" s="5" t="s">
        <v>69</v>
      </c>
      <c r="P291" s="5" t="s">
        <v>249</v>
      </c>
      <c r="Q291" s="5" t="b">
        <v>1</v>
      </c>
      <c r="R291" s="5" t="b">
        <v>0</v>
      </c>
      <c r="S291" s="5"/>
      <c r="T291" s="5">
        <v>350.0</v>
      </c>
      <c r="U291" s="26">
        <v>2.1</v>
      </c>
      <c r="V291" s="5">
        <v>167.0</v>
      </c>
      <c r="W291" s="27">
        <v>0.0</v>
      </c>
      <c r="X291" s="28">
        <v>167.0</v>
      </c>
      <c r="Y291" s="27">
        <v>1.0</v>
      </c>
      <c r="Z291" s="5" t="s">
        <v>117</v>
      </c>
      <c r="AA291" s="5">
        <v>0.613</v>
      </c>
      <c r="AB291" s="5"/>
      <c r="AC291" s="5" t="s">
        <v>81</v>
      </c>
      <c r="AD291" s="5" t="s">
        <v>81</v>
      </c>
      <c r="AE291" s="24">
        <v>0.0</v>
      </c>
      <c r="AF291" s="5">
        <v>1.0</v>
      </c>
      <c r="AG291" s="5" t="s">
        <v>0</v>
      </c>
      <c r="AH291" s="5" t="s">
        <v>0</v>
      </c>
      <c r="AI291" s="42"/>
      <c r="AJ291" s="28">
        <v>0.0</v>
      </c>
      <c r="AK291" s="28">
        <v>1228.0</v>
      </c>
      <c r="AL291" s="28">
        <v>0.0</v>
      </c>
      <c r="AM291" s="28">
        <v>0.0</v>
      </c>
      <c r="AN291" s="28">
        <v>0.0</v>
      </c>
      <c r="AO291" s="28">
        <v>0.0</v>
      </c>
      <c r="AP291" s="28">
        <v>205076.0</v>
      </c>
      <c r="AQ291" s="28">
        <v>0.0</v>
      </c>
      <c r="AR291" s="28">
        <v>0.0</v>
      </c>
      <c r="AS291" s="28">
        <v>0.0</v>
      </c>
      <c r="AT291" s="28">
        <v>0.0</v>
      </c>
      <c r="AU291" s="28">
        <v>182486.325565</v>
      </c>
      <c r="AV291" s="28">
        <v>0.0</v>
      </c>
      <c r="AW291" s="28">
        <v>0.0</v>
      </c>
      <c r="AX291" s="5"/>
      <c r="AY291" s="5" t="s">
        <v>125</v>
      </c>
      <c r="AZ291" s="5" t="s">
        <v>127</v>
      </c>
      <c r="BB291" s="5" t="s">
        <v>248</v>
      </c>
      <c r="BC291" s="5" t="s">
        <v>253</v>
      </c>
      <c r="BD291" s="5" t="s">
        <v>1628</v>
      </c>
      <c r="BE291" s="5" t="s">
        <v>131</v>
      </c>
    </row>
    <row r="292" ht="16.5" hidden="1" customHeight="1">
      <c r="A292" s="5" t="s">
        <v>155</v>
      </c>
      <c r="B292" s="5" t="s">
        <v>137</v>
      </c>
      <c r="C292" s="5" t="b">
        <v>1</v>
      </c>
      <c r="D292" s="5" t="s">
        <v>1607</v>
      </c>
      <c r="E292" s="5" t="s">
        <v>1608</v>
      </c>
      <c r="F292" s="5"/>
      <c r="G292" s="5" t="s">
        <v>65</v>
      </c>
      <c r="H292" s="5" t="s">
        <v>76</v>
      </c>
      <c r="I292" s="5" t="s">
        <v>82</v>
      </c>
      <c r="J292" s="25"/>
      <c r="K292" s="25"/>
      <c r="L292" s="25"/>
      <c r="M292" s="5" t="s">
        <v>66</v>
      </c>
      <c r="N292" s="5" t="s">
        <v>248</v>
      </c>
      <c r="O292" s="5" t="s">
        <v>69</v>
      </c>
      <c r="P292" s="5" t="s">
        <v>249</v>
      </c>
      <c r="Q292" s="5" t="b">
        <v>1</v>
      </c>
      <c r="R292" s="5" t="b">
        <v>0</v>
      </c>
      <c r="S292" s="5"/>
      <c r="T292" s="5">
        <v>350.0</v>
      </c>
      <c r="U292" s="26">
        <v>2.1</v>
      </c>
      <c r="V292" s="5">
        <v>167.0</v>
      </c>
      <c r="W292" s="27">
        <v>0.0</v>
      </c>
      <c r="X292" s="28">
        <v>167.0</v>
      </c>
      <c r="Y292" s="27">
        <v>1.0</v>
      </c>
      <c r="Z292" s="5" t="s">
        <v>78</v>
      </c>
      <c r="AA292" s="5">
        <v>0.743</v>
      </c>
      <c r="AB292" s="5"/>
      <c r="AC292" s="5" t="s">
        <v>81</v>
      </c>
      <c r="AD292" s="5" t="s">
        <v>81</v>
      </c>
      <c r="AE292" s="5">
        <v>5.0</v>
      </c>
      <c r="AF292" s="5">
        <v>5.0</v>
      </c>
      <c r="AG292" s="5" t="s">
        <v>1609</v>
      </c>
      <c r="AH292" s="5" t="s">
        <v>156</v>
      </c>
      <c r="AI292" s="42"/>
      <c r="AJ292" s="28">
        <v>2770.0</v>
      </c>
      <c r="AK292" s="28">
        <v>0.0</v>
      </c>
      <c r="AL292" s="28">
        <v>0.0</v>
      </c>
      <c r="AM292" s="28">
        <v>0.0</v>
      </c>
      <c r="AN292" s="28">
        <v>0.0</v>
      </c>
      <c r="AO292" s="28">
        <v>461675.8999999999</v>
      </c>
      <c r="AP292" s="28">
        <v>0.0</v>
      </c>
      <c r="AQ292" s="28">
        <v>0.0</v>
      </c>
      <c r="AR292" s="28">
        <v>0.0</v>
      </c>
      <c r="AS292" s="28">
        <v>0.0</v>
      </c>
      <c r="AT292" s="28">
        <v>397263.3774363233</v>
      </c>
      <c r="AU292" s="28">
        <v>0.0</v>
      </c>
      <c r="AV292" s="28">
        <v>0.0</v>
      </c>
      <c r="AW292" s="28">
        <v>0.0</v>
      </c>
      <c r="AX292" s="5"/>
      <c r="AY292" s="5" t="str">
        <f t="array" ref="AY292">IFERROR(_xlfn.XLOOKUP($E292,'FW27'!$C$3:$C$1102,'FW27'!$AM$3:$AM$1102),"")</f>
        <v>Essentials</v>
      </c>
      <c r="AZ292" s="5" t="str">
        <f t="array" ref="AZ292">IFERROR(_xlfn.XLOOKUP($E292,'FW27'!$C$3:$C$1102,'FW27'!$AN$3:$AN$1102),"")</f>
        <v>Active Essentials</v>
      </c>
      <c r="BB292" s="5" t="str">
        <f t="array" ref="BB292">IFERROR(_xlfn.XLOOKUP($E292,'FW27'!$C$3:$C$1102,'FW27'!$AS$3:$AS$1102),"")</f>
        <v>Accessories</v>
      </c>
      <c r="BC292" s="5" t="str">
        <f t="array" ref="BC292">IFERROR(_xlfn.XLOOKUP($E292,'FW27'!$C$3:$C$1102,'FW27'!$AT$3:$AT$1102),"")</f>
        <v>Headwear</v>
      </c>
      <c r="BD292" s="5" t="str">
        <f t="array" ref="BD292">IFERROR(_xlfn.XLOOKUP($E292,'FW27'!$C$3:$C$1102,'FW27'!$AU$3:$AU$1102),"")</f>
        <v>Beanie</v>
      </c>
      <c r="BE292" s="5" t="str">
        <f t="array" ref="BE292">IFERROR(_xlfn.XLOOKUP($E292,'FW27'!$C$3:$C$1102,'FW27'!$AV$3:$AV$1102),"")</f>
        <v>N</v>
      </c>
    </row>
    <row r="293" ht="16.5" hidden="1" customHeight="1">
      <c r="A293" s="5" t="s">
        <v>155</v>
      </c>
      <c r="B293" s="5" t="s">
        <v>215</v>
      </c>
      <c r="C293" s="5" t="b">
        <v>1</v>
      </c>
      <c r="D293" s="5" t="s">
        <v>1611</v>
      </c>
      <c r="E293" s="5" t="s">
        <v>1612</v>
      </c>
      <c r="F293" s="5"/>
      <c r="G293" s="5" t="s">
        <v>65</v>
      </c>
      <c r="H293" s="5" t="s">
        <v>76</v>
      </c>
      <c r="I293" s="5" t="s">
        <v>82</v>
      </c>
      <c r="J293" s="25"/>
      <c r="K293" s="25"/>
      <c r="L293" s="25" t="s">
        <v>110</v>
      </c>
      <c r="M293" s="5" t="s">
        <v>66</v>
      </c>
      <c r="N293" s="5" t="s">
        <v>355</v>
      </c>
      <c r="O293" s="5" t="s">
        <v>69</v>
      </c>
      <c r="P293" s="5" t="s">
        <v>70</v>
      </c>
      <c r="Q293" s="5" t="b">
        <v>1</v>
      </c>
      <c r="R293" s="5" t="b">
        <v>0</v>
      </c>
      <c r="S293" s="5"/>
      <c r="T293" s="5">
        <v>3500.0</v>
      </c>
      <c r="U293" s="26">
        <v>2.1</v>
      </c>
      <c r="V293" s="5">
        <v>1667.0</v>
      </c>
      <c r="W293" s="27">
        <v>0.0</v>
      </c>
      <c r="X293" s="28">
        <v>1667.0</v>
      </c>
      <c r="Y293" s="27">
        <v>1.0</v>
      </c>
      <c r="Z293" s="5" t="s">
        <v>117</v>
      </c>
      <c r="AA293" s="5">
        <v>0.61</v>
      </c>
      <c r="AB293" s="5"/>
      <c r="AC293" s="5" t="s">
        <v>359</v>
      </c>
      <c r="AD293" s="5" t="s">
        <v>81</v>
      </c>
      <c r="AE293" s="5">
        <v>5.0</v>
      </c>
      <c r="AF293" s="5">
        <v>5.0</v>
      </c>
      <c r="AG293" s="5" t="s">
        <v>1613</v>
      </c>
      <c r="AH293" s="5" t="s">
        <v>0</v>
      </c>
      <c r="AI293" s="42"/>
      <c r="AJ293" s="28">
        <v>2828.0</v>
      </c>
      <c r="AK293" s="28">
        <v>2579.0</v>
      </c>
      <c r="AL293" s="28">
        <v>0.0</v>
      </c>
      <c r="AM293" s="28">
        <v>0.0</v>
      </c>
      <c r="AN293" s="28">
        <v>0.0</v>
      </c>
      <c r="AO293" s="28">
        <v>4713342.760000001</v>
      </c>
      <c r="AP293" s="28">
        <v>4299193.0</v>
      </c>
      <c r="AQ293" s="28">
        <v>0.0</v>
      </c>
      <c r="AR293" s="28">
        <v>0.0</v>
      </c>
      <c r="AS293" s="28">
        <v>0.0</v>
      </c>
      <c r="AT293" s="28">
        <v>3665346.214285714</v>
      </c>
      <c r="AU293" s="28">
        <v>3761387.9128179983</v>
      </c>
      <c r="AV293" s="28">
        <v>0.0</v>
      </c>
      <c r="AW293" s="28">
        <v>0.0</v>
      </c>
      <c r="AX293" s="5"/>
      <c r="AY293" s="5" t="str">
        <f t="array" ref="AY293">IFERROR(_xlfn.XLOOKUP($E293,'FW27'!$C$3:$C$1102,'FW27'!$AM$3:$AM$1102),"")</f>
        <v>Essentials</v>
      </c>
      <c r="AZ293" s="5" t="str">
        <f t="array" ref="AZ293">IFERROR(_xlfn.XLOOKUP($E293,'FW27'!$C$3:$C$1102,'FW27'!$AN$3:$AN$1102),"")</f>
        <v>Active Essentials</v>
      </c>
      <c r="BA293" s="5" t="s">
        <v>237</v>
      </c>
      <c r="BB293" s="5" t="str">
        <f t="array" ref="BB293">IFERROR(_xlfn.XLOOKUP($E293,'FW27'!$C$3:$C$1102,'FW27'!$AS$3:$AS$1102),"")</f>
        <v>Insulation</v>
      </c>
      <c r="BC293" s="5" t="str">
        <f t="array" ref="BC293">IFERROR(_xlfn.XLOOKUP($E293,'FW27'!$C$3:$C$1102,'FW27'!$AT$3:$AT$1102),"")</f>
        <v>Hooded Jacket</v>
      </c>
      <c r="BD293" s="5" t="str">
        <f t="array" ref="BD293">IFERROR(_xlfn.XLOOKUP($E293,'FW27'!$C$3:$C$1102,'FW27'!$AU$3:$AU$1102),"")</f>
        <v>Midweight Down</v>
      </c>
      <c r="BE293" s="5" t="str">
        <f t="array" ref="BE293">IFERROR(_xlfn.XLOOKUP($E293,'FW27'!$C$3:$C$1102,'FW27'!$AV$3:$AV$1102),"")</f>
        <v>N</v>
      </c>
    </row>
    <row r="294" ht="16.5" hidden="1" customHeight="1">
      <c r="A294" s="5" t="s">
        <v>155</v>
      </c>
      <c r="B294" s="5" t="s">
        <v>215</v>
      </c>
      <c r="C294" s="5" t="b">
        <v>1</v>
      </c>
      <c r="D294" s="5" t="s">
        <v>1614</v>
      </c>
      <c r="E294" s="5" t="s">
        <v>1615</v>
      </c>
      <c r="F294" s="5"/>
      <c r="G294" s="5" t="s">
        <v>65</v>
      </c>
      <c r="H294" s="5" t="s">
        <v>76</v>
      </c>
      <c r="I294" s="5" t="s">
        <v>82</v>
      </c>
      <c r="J294" s="25"/>
      <c r="K294" s="25"/>
      <c r="L294" s="25" t="s">
        <v>110</v>
      </c>
      <c r="M294" s="5" t="s">
        <v>66</v>
      </c>
      <c r="N294" s="5" t="s">
        <v>355</v>
      </c>
      <c r="O294" s="5" t="s">
        <v>69</v>
      </c>
      <c r="P294" s="5" t="s">
        <v>107</v>
      </c>
      <c r="Q294" s="5" t="b">
        <v>1</v>
      </c>
      <c r="R294" s="5" t="b">
        <v>0</v>
      </c>
      <c r="S294" s="5"/>
      <c r="T294" s="5">
        <v>3500.0</v>
      </c>
      <c r="U294" s="26">
        <v>2.1</v>
      </c>
      <c r="V294" s="5">
        <v>1667.0</v>
      </c>
      <c r="W294" s="27">
        <v>0.0</v>
      </c>
      <c r="X294" s="28">
        <v>1667.0</v>
      </c>
      <c r="Y294" s="27">
        <v>1.0</v>
      </c>
      <c r="Z294" s="5" t="s">
        <v>117</v>
      </c>
      <c r="AA294" s="5">
        <v>0.61</v>
      </c>
      <c r="AB294" s="5"/>
      <c r="AC294" s="5" t="s">
        <v>359</v>
      </c>
      <c r="AD294" s="5" t="s">
        <v>81</v>
      </c>
      <c r="AE294" s="5">
        <v>4.0</v>
      </c>
      <c r="AF294" s="5">
        <v>4.0</v>
      </c>
      <c r="AG294" s="5" t="s">
        <v>1617</v>
      </c>
      <c r="AH294" s="5" t="s">
        <v>0</v>
      </c>
      <c r="AI294" s="42"/>
      <c r="AJ294" s="28">
        <v>2274.0</v>
      </c>
      <c r="AK294" s="28">
        <v>3313.0</v>
      </c>
      <c r="AL294" s="28">
        <v>0.0</v>
      </c>
      <c r="AM294" s="28">
        <v>0.0</v>
      </c>
      <c r="AN294" s="28">
        <v>0.0</v>
      </c>
      <c r="AO294" s="28">
        <v>3790007.58</v>
      </c>
      <c r="AP294" s="28">
        <v>5522771.0</v>
      </c>
      <c r="AQ294" s="28">
        <v>0.0</v>
      </c>
      <c r="AR294" s="28">
        <v>0.0</v>
      </c>
      <c r="AS294" s="28">
        <v>0.0</v>
      </c>
      <c r="AT294" s="28">
        <v>2899134.782834994</v>
      </c>
      <c r="AU294" s="28">
        <v>3409715.0433120006</v>
      </c>
      <c r="AV294" s="28">
        <v>0.0</v>
      </c>
      <c r="AW294" s="28">
        <v>0.0</v>
      </c>
      <c r="AX294" s="5"/>
      <c r="AY294" s="5" t="str">
        <f t="array" ref="AY294">IFERROR(_xlfn.XLOOKUP($E294,'FW27'!$C$3:$C$1102,'FW27'!$AM$3:$AM$1102),"")</f>
        <v>Essentials</v>
      </c>
      <c r="AZ294" s="5" t="str">
        <f t="array" ref="AZ294">IFERROR(_xlfn.XLOOKUP($E294,'FW27'!$C$3:$C$1102,'FW27'!$AN$3:$AN$1102),"")</f>
        <v>Active Essentials</v>
      </c>
      <c r="BA294" s="5" t="s">
        <v>237</v>
      </c>
      <c r="BB294" s="5" t="str">
        <f t="array" ref="BB294">IFERROR(_xlfn.XLOOKUP($E294,'FW27'!$C$3:$C$1102,'FW27'!$AS$3:$AS$1102),"")</f>
        <v>Insulation</v>
      </c>
      <c r="BC294" s="5" t="str">
        <f t="array" ref="BC294">IFERROR(_xlfn.XLOOKUP($E294,'FW27'!$C$3:$C$1102,'FW27'!$AT$3:$AT$1102),"")</f>
        <v>Hooded Jacket</v>
      </c>
      <c r="BD294" s="5" t="str">
        <f t="array" ref="BD294">IFERROR(_xlfn.XLOOKUP($E294,'FW27'!$C$3:$C$1102,'FW27'!$AU$3:$AU$1102),"")</f>
        <v>Midweight Down</v>
      </c>
      <c r="BE294" s="5" t="str">
        <f t="array" ref="BE294">IFERROR(_xlfn.XLOOKUP($E294,'FW27'!$C$3:$C$1102,'FW27'!$AV$3:$AV$1102),"")</f>
        <v>N</v>
      </c>
    </row>
    <row r="295" ht="16.5" hidden="1" customHeight="1">
      <c r="A295" s="5" t="s">
        <v>155</v>
      </c>
      <c r="B295" s="5" t="s">
        <v>215</v>
      </c>
      <c r="C295" s="5" t="b">
        <v>1</v>
      </c>
      <c r="D295" s="5" t="s">
        <v>1618</v>
      </c>
      <c r="E295" s="5" t="s">
        <v>1619</v>
      </c>
      <c r="F295" s="5"/>
      <c r="G295" s="5" t="s">
        <v>65</v>
      </c>
      <c r="H295" s="5" t="s">
        <v>76</v>
      </c>
      <c r="I295" s="5" t="s">
        <v>82</v>
      </c>
      <c r="J295" s="25"/>
      <c r="K295" s="25"/>
      <c r="L295" s="25" t="s">
        <v>110</v>
      </c>
      <c r="M295" s="5" t="s">
        <v>66</v>
      </c>
      <c r="N295" s="5" t="s">
        <v>355</v>
      </c>
      <c r="O295" s="5" t="s">
        <v>69</v>
      </c>
      <c r="P295" s="5" t="s">
        <v>70</v>
      </c>
      <c r="Q295" s="5" t="b">
        <v>1</v>
      </c>
      <c r="R295" s="5" t="b">
        <v>0</v>
      </c>
      <c r="S295" s="5"/>
      <c r="T295" s="5">
        <v>4000.0</v>
      </c>
      <c r="U295" s="26">
        <v>2.1</v>
      </c>
      <c r="V295" s="5">
        <v>1905.0</v>
      </c>
      <c r="W295" s="27">
        <v>0.0</v>
      </c>
      <c r="X295" s="28">
        <v>1905.0</v>
      </c>
      <c r="Y295" s="27">
        <v>1.0</v>
      </c>
      <c r="Z295" s="5" t="s">
        <v>117</v>
      </c>
      <c r="AA295" s="5">
        <v>0.6</v>
      </c>
      <c r="AB295" s="5"/>
      <c r="AC295" s="5" t="s">
        <v>359</v>
      </c>
      <c r="AD295" s="5" t="s">
        <v>81</v>
      </c>
      <c r="AE295" s="5">
        <v>2.0</v>
      </c>
      <c r="AF295" s="5">
        <v>2.0</v>
      </c>
      <c r="AG295" s="5" t="s">
        <v>1620</v>
      </c>
      <c r="AH295" s="5" t="s">
        <v>0</v>
      </c>
      <c r="AI295" s="42"/>
      <c r="AJ295" s="28">
        <v>589.0</v>
      </c>
      <c r="AK295" s="28">
        <v>533.0</v>
      </c>
      <c r="AL295" s="28">
        <v>0.0</v>
      </c>
      <c r="AM295" s="28">
        <v>0.0</v>
      </c>
      <c r="AN295" s="28">
        <v>0.0</v>
      </c>
      <c r="AO295" s="28">
        <v>1121903.6400000001</v>
      </c>
      <c r="AP295" s="28">
        <v>1015365.0</v>
      </c>
      <c r="AQ295" s="28">
        <v>0.0</v>
      </c>
      <c r="AR295" s="28">
        <v>0.0</v>
      </c>
      <c r="AS295" s="28">
        <v>0.0</v>
      </c>
      <c r="AT295" s="28">
        <v>984465.2314507198</v>
      </c>
      <c r="AU295" s="28">
        <v>908267.4799250001</v>
      </c>
      <c r="AV295" s="28">
        <v>0.0</v>
      </c>
      <c r="AW295" s="28">
        <v>0.0</v>
      </c>
      <c r="AX295" s="5"/>
      <c r="AY295" s="5" t="str">
        <f t="array" ref="AY295">IFERROR(_xlfn.XLOOKUP($E295,'FW27'!$C$3:$C$1102,'FW27'!$AM$3:$AM$1102),"")</f>
        <v>Essentials</v>
      </c>
      <c r="AZ295" s="5" t="str">
        <f t="array" ref="AZ295">IFERROR(_xlfn.XLOOKUP($E295,'FW27'!$C$3:$C$1102,'FW27'!$AN$3:$AN$1102),"")</f>
        <v>Daily Essentials</v>
      </c>
      <c r="BA295" s="5" t="s">
        <v>237</v>
      </c>
      <c r="BB295" s="5" t="str">
        <f t="array" ref="BB295">IFERROR(_xlfn.XLOOKUP($E295,'FW27'!$C$3:$C$1102,'FW27'!$AS$3:$AS$1102),"")</f>
        <v>Insulation</v>
      </c>
      <c r="BC295" s="5" t="str">
        <f t="array" ref="BC295">IFERROR(_xlfn.XLOOKUP($E295,'FW27'!$C$3:$C$1102,'FW27'!$AT$3:$AT$1102),"")</f>
        <v>Parka</v>
      </c>
      <c r="BD295" s="5" t="str">
        <f t="array" ref="BD295">IFERROR(_xlfn.XLOOKUP($E295,'FW27'!$C$3:$C$1102,'FW27'!$AU$3:$AU$1102),"")</f>
        <v>Hi-loft Down</v>
      </c>
      <c r="BE295" s="5" t="str">
        <f t="array" ref="BE295">IFERROR(_xlfn.XLOOKUP($E295,'FW27'!$C$3:$C$1102,'FW27'!$AV$3:$AV$1102),"")</f>
        <v>N</v>
      </c>
    </row>
    <row r="296" ht="16.5" hidden="1" customHeight="1">
      <c r="A296" s="5" t="s">
        <v>155</v>
      </c>
      <c r="B296" s="5" t="s">
        <v>215</v>
      </c>
      <c r="C296" s="5" t="b">
        <v>1</v>
      </c>
      <c r="D296" s="5" t="s">
        <v>1621</v>
      </c>
      <c r="E296" s="5" t="s">
        <v>1622</v>
      </c>
      <c r="F296" s="5"/>
      <c r="G296" s="5" t="s">
        <v>65</v>
      </c>
      <c r="H296" s="5" t="s">
        <v>76</v>
      </c>
      <c r="I296" s="5" t="s">
        <v>82</v>
      </c>
      <c r="J296" s="25"/>
      <c r="K296" s="25"/>
      <c r="L296" s="25" t="s">
        <v>110</v>
      </c>
      <c r="M296" s="5" t="s">
        <v>66</v>
      </c>
      <c r="N296" s="5" t="s">
        <v>355</v>
      </c>
      <c r="O296" s="5" t="s">
        <v>69</v>
      </c>
      <c r="P296" s="5" t="s">
        <v>107</v>
      </c>
      <c r="Q296" s="5" t="b">
        <v>1</v>
      </c>
      <c r="R296" s="5" t="b">
        <v>0</v>
      </c>
      <c r="S296" s="5"/>
      <c r="T296" s="5">
        <v>4000.0</v>
      </c>
      <c r="U296" s="26">
        <v>2.1</v>
      </c>
      <c r="V296" s="5">
        <v>1905.0</v>
      </c>
      <c r="W296" s="27">
        <v>0.0</v>
      </c>
      <c r="X296" s="28">
        <v>1905.0</v>
      </c>
      <c r="Y296" s="27">
        <v>1.0</v>
      </c>
      <c r="Z296" s="5" t="s">
        <v>117</v>
      </c>
      <c r="AA296" s="5">
        <v>0.6</v>
      </c>
      <c r="AB296" s="5"/>
      <c r="AC296" s="5" t="s">
        <v>359</v>
      </c>
      <c r="AD296" s="5" t="s">
        <v>81</v>
      </c>
      <c r="AE296" s="5">
        <v>3.0</v>
      </c>
      <c r="AF296" s="5">
        <v>3.0</v>
      </c>
      <c r="AG296" s="5" t="s">
        <v>1623</v>
      </c>
      <c r="AH296" s="5" t="s">
        <v>0</v>
      </c>
      <c r="AI296" s="42"/>
      <c r="AJ296" s="28">
        <v>1084.0</v>
      </c>
      <c r="AK296" s="28">
        <v>1428.0</v>
      </c>
      <c r="AL296" s="28">
        <v>0.0</v>
      </c>
      <c r="AM296" s="28">
        <v>0.0</v>
      </c>
      <c r="AN296" s="28">
        <v>0.0</v>
      </c>
      <c r="AO296" s="28">
        <v>2064759.84</v>
      </c>
      <c r="AP296" s="28">
        <v>2720340.0</v>
      </c>
      <c r="AQ296" s="28">
        <v>0.0</v>
      </c>
      <c r="AR296" s="28">
        <v>0.0</v>
      </c>
      <c r="AS296" s="28">
        <v>0.0</v>
      </c>
      <c r="AT296" s="28">
        <v>1777624.6511627906</v>
      </c>
      <c r="AU296" s="28">
        <v>1975113.388165</v>
      </c>
      <c r="AV296" s="28">
        <v>0.0</v>
      </c>
      <c r="AW296" s="28">
        <v>0.0</v>
      </c>
      <c r="AX296" s="5"/>
      <c r="AY296" s="5" t="str">
        <f t="array" ref="AY296">IFERROR(_xlfn.XLOOKUP($E296,'FW27'!$C$3:$C$1102,'FW27'!$AM$3:$AM$1102),"")</f>
        <v>Essentials</v>
      </c>
      <c r="AZ296" s="5" t="str">
        <f t="array" ref="AZ296">IFERROR(_xlfn.XLOOKUP($E296,'FW27'!$C$3:$C$1102,'FW27'!$AN$3:$AN$1102),"")</f>
        <v>Daily Essentials</v>
      </c>
      <c r="BA296" s="5" t="s">
        <v>237</v>
      </c>
      <c r="BB296" s="5" t="str">
        <f t="array" ref="BB296">IFERROR(_xlfn.XLOOKUP($E296,'FW27'!$C$3:$C$1102,'FW27'!$AS$3:$AS$1102),"")</f>
        <v>Insulation</v>
      </c>
      <c r="BC296" s="5" t="str">
        <f t="array" ref="BC296">IFERROR(_xlfn.XLOOKUP($E296,'FW27'!$C$3:$C$1102,'FW27'!$AT$3:$AT$1102),"")</f>
        <v>Parka</v>
      </c>
      <c r="BD296" s="5" t="str">
        <f t="array" ref="BD296">IFERROR(_xlfn.XLOOKUP($E296,'FW27'!$C$3:$C$1102,'FW27'!$AU$3:$AU$1102),"")</f>
        <v>Hi-loft Down</v>
      </c>
      <c r="BE296" s="5" t="str">
        <f t="array" ref="BE296">IFERROR(_xlfn.XLOOKUP($E296,'FW27'!$C$3:$C$1102,'FW27'!$AV$3:$AV$1102),"")</f>
        <v>N</v>
      </c>
    </row>
    <row r="297" ht="16.5" hidden="1" customHeight="1">
      <c r="A297" s="5" t="s">
        <v>155</v>
      </c>
      <c r="B297" s="5" t="s">
        <v>215</v>
      </c>
      <c r="C297" s="5" t="b">
        <v>1</v>
      </c>
      <c r="D297" s="5" t="s">
        <v>1625</v>
      </c>
      <c r="E297" s="5" t="s">
        <v>1626</v>
      </c>
      <c r="F297" s="5"/>
      <c r="G297" s="5" t="s">
        <v>65</v>
      </c>
      <c r="H297" s="5" t="s">
        <v>76</v>
      </c>
      <c r="I297" s="5" t="s">
        <v>82</v>
      </c>
      <c r="J297" s="25"/>
      <c r="K297" s="25"/>
      <c r="L297" s="25"/>
      <c r="M297" s="5" t="s">
        <v>66</v>
      </c>
      <c r="N297" s="5" t="s">
        <v>248</v>
      </c>
      <c r="O297" s="5" t="s">
        <v>69</v>
      </c>
      <c r="P297" s="5" t="s">
        <v>249</v>
      </c>
      <c r="Q297" s="5" t="b">
        <v>1</v>
      </c>
      <c r="R297" s="5" t="b">
        <v>0</v>
      </c>
      <c r="S297" s="5"/>
      <c r="T297" s="5">
        <v>350.0</v>
      </c>
      <c r="U297" s="26">
        <v>2.1</v>
      </c>
      <c r="V297" s="5">
        <v>167.0</v>
      </c>
      <c r="W297" s="27">
        <v>0.0</v>
      </c>
      <c r="X297" s="28">
        <v>167.0</v>
      </c>
      <c r="Y297" s="27">
        <v>1.0</v>
      </c>
      <c r="Z297" s="5" t="s">
        <v>117</v>
      </c>
      <c r="AA297" s="5">
        <v>0.613</v>
      </c>
      <c r="AB297" s="5"/>
      <c r="AC297" s="5" t="s">
        <v>81</v>
      </c>
      <c r="AD297" s="5" t="s">
        <v>81</v>
      </c>
      <c r="AE297" s="5">
        <v>1.0</v>
      </c>
      <c r="AF297" s="5">
        <v>1.0</v>
      </c>
      <c r="AG297" s="5" t="s">
        <v>1627</v>
      </c>
      <c r="AH297" s="5" t="s">
        <v>0</v>
      </c>
      <c r="AI297" s="42"/>
      <c r="AJ297" s="28">
        <v>1517.0</v>
      </c>
      <c r="AK297" s="28">
        <v>0.0</v>
      </c>
      <c r="AL297" s="28">
        <v>0.0</v>
      </c>
      <c r="AM297" s="28">
        <v>0.0</v>
      </c>
      <c r="AN297" s="28">
        <v>0.0</v>
      </c>
      <c r="AO297" s="28">
        <v>252838.38999999998</v>
      </c>
      <c r="AP297" s="28">
        <v>0.0</v>
      </c>
      <c r="AQ297" s="28">
        <v>0.0</v>
      </c>
      <c r="AR297" s="28">
        <v>0.0</v>
      </c>
      <c r="AS297" s="28">
        <v>0.0</v>
      </c>
      <c r="AT297" s="28">
        <v>219160.55218715395</v>
      </c>
      <c r="AU297" s="28">
        <v>0.0</v>
      </c>
      <c r="AV297" s="28">
        <v>0.0</v>
      </c>
      <c r="AW297" s="28">
        <v>0.0</v>
      </c>
      <c r="AX297" s="5"/>
      <c r="AY297" s="5" t="str">
        <f t="array" ref="AY297">IFERROR(_xlfn.XLOOKUP($E297,'FW27'!$C$3:$C$1102,'FW27'!$AM$3:$AM$1102),"")</f>
        <v>Essentials</v>
      </c>
      <c r="AZ297" s="5" t="str">
        <f t="array" ref="AZ297">IFERROR(_xlfn.XLOOKUP($E297,'FW27'!$C$3:$C$1102,'FW27'!$AN$3:$AN$1102),"")</f>
        <v>Active Essentials</v>
      </c>
      <c r="BB297" s="5" t="str">
        <f t="array" ref="BB297">IFERROR(_xlfn.XLOOKUP($E297,'FW27'!$C$3:$C$1102,'FW27'!$AS$3:$AS$1102),"")</f>
        <v>Accessories</v>
      </c>
      <c r="BC297" s="5" t="str">
        <f t="array" ref="BC297">IFERROR(_xlfn.XLOOKUP($E297,'FW27'!$C$3:$C$1102,'FW27'!$AT$3:$AT$1102),"")</f>
        <v>Headwear</v>
      </c>
      <c r="BD297" s="5" t="str">
        <f t="array" ref="BD297">IFERROR(_xlfn.XLOOKUP($E297,'FW27'!$C$3:$C$1102,'FW27'!$AU$3:$AU$1102),"")</f>
        <v>Balaclava</v>
      </c>
      <c r="BE297" s="5" t="str">
        <f t="array" ref="BE297">IFERROR(_xlfn.XLOOKUP($E297,'FW27'!$C$3:$C$1102,'FW27'!$AV$3:$AV$1102),"")</f>
        <v>N</v>
      </c>
    </row>
    <row r="298" ht="16.5" hidden="1" customHeight="1">
      <c r="A298" s="5" t="s">
        <v>155</v>
      </c>
      <c r="B298" s="5" t="s">
        <v>137</v>
      </c>
      <c r="C298" s="5" t="b">
        <v>1</v>
      </c>
      <c r="D298" s="5" t="s">
        <v>1629</v>
      </c>
      <c r="E298" s="5" t="s">
        <v>1630</v>
      </c>
      <c r="F298" s="5"/>
      <c r="G298" s="5" t="s">
        <v>65</v>
      </c>
      <c r="H298" s="5" t="s">
        <v>76</v>
      </c>
      <c r="I298" s="5" t="s">
        <v>82</v>
      </c>
      <c r="J298" s="25"/>
      <c r="K298" s="25"/>
      <c r="L298" s="25"/>
      <c r="M298" s="5" t="s">
        <v>66</v>
      </c>
      <c r="N298" s="5" t="s">
        <v>270</v>
      </c>
      <c r="O298" s="5" t="s">
        <v>69</v>
      </c>
      <c r="P298" s="5" t="s">
        <v>70</v>
      </c>
      <c r="Q298" s="5" t="b">
        <v>1</v>
      </c>
      <c r="R298" s="5" t="b">
        <v>0</v>
      </c>
      <c r="S298" s="5"/>
      <c r="T298" s="5">
        <v>1000.0</v>
      </c>
      <c r="U298" s="26">
        <v>2.1</v>
      </c>
      <c r="V298" s="5">
        <v>476.0</v>
      </c>
      <c r="W298" s="27">
        <v>0.0</v>
      </c>
      <c r="X298" s="28">
        <v>476.0</v>
      </c>
      <c r="Y298" s="27">
        <v>1.0</v>
      </c>
      <c r="Z298" s="5" t="s">
        <v>78</v>
      </c>
      <c r="AA298" s="5">
        <v>0.65</v>
      </c>
      <c r="AB298" s="5"/>
      <c r="AC298" s="5" t="s">
        <v>81</v>
      </c>
      <c r="AD298" s="5" t="s">
        <v>81</v>
      </c>
      <c r="AE298" s="24">
        <v>0.0</v>
      </c>
      <c r="AF298" s="5">
        <v>1.0</v>
      </c>
      <c r="AG298" s="5" t="s">
        <v>0</v>
      </c>
      <c r="AH298" s="5" t="s">
        <v>0</v>
      </c>
      <c r="AI298" s="42"/>
      <c r="AJ298" s="28">
        <v>0.0</v>
      </c>
      <c r="AK298" s="28">
        <v>0.0</v>
      </c>
      <c r="AL298" s="28">
        <v>0.0</v>
      </c>
      <c r="AM298" s="28">
        <v>0.0</v>
      </c>
      <c r="AN298" s="28">
        <v>0.0</v>
      </c>
      <c r="AO298" s="28">
        <v>0.0</v>
      </c>
      <c r="AP298" s="28">
        <v>0.0</v>
      </c>
      <c r="AQ298" s="28">
        <v>0.0</v>
      </c>
      <c r="AR298" s="28">
        <v>0.0</v>
      </c>
      <c r="AS298" s="28">
        <v>0.0</v>
      </c>
      <c r="AT298" s="28">
        <v>0.0</v>
      </c>
      <c r="AU298" s="28">
        <v>0.0</v>
      </c>
      <c r="AV298" s="28">
        <v>0.0</v>
      </c>
      <c r="AW298" s="28">
        <v>0.0</v>
      </c>
      <c r="AX298" s="5"/>
      <c r="AY298" s="5" t="str">
        <f t="array" ref="AY298">IFERROR(_xlfn.XLOOKUP($E298,'FW27'!$C$3:$C$1102,'FW27'!$AM$3:$AM$1102),"")</f>
        <v>Essentials</v>
      </c>
      <c r="AZ298" s="5" t="str">
        <f t="array" ref="AZ298">IFERROR(_xlfn.XLOOKUP($E298,'FW27'!$C$3:$C$1102,'FW27'!$AN$3:$AN$1102),"")</f>
        <v>Active Essentials</v>
      </c>
      <c r="BB298" s="5" t="str">
        <f t="array" ref="BB298">IFERROR(_xlfn.XLOOKUP($E298,'FW27'!$C$3:$C$1102,'FW27'!$AS$3:$AS$1102),"")</f>
        <v>Fleece/Midlayer</v>
      </c>
      <c r="BC298" s="5" t="str">
        <f t="array" ref="BC298">IFERROR(_xlfn.XLOOKUP($E298,'FW27'!$C$3:$C$1102,'FW27'!$AT$3:$AT$1102),"")</f>
        <v>Tights</v>
      </c>
      <c r="BD298" s="5" t="str">
        <f t="array" ref="BD298">IFERROR(_xlfn.XLOOKUP($E298,'FW27'!$C$3:$C$1102,'FW27'!$AU$3:$AU$1102),"")</f>
        <v>Midweight</v>
      </c>
      <c r="BE298" s="5" t="str">
        <f t="array" ref="BE298">IFERROR(_xlfn.XLOOKUP($E298,'FW27'!$C$3:$C$1102,'FW27'!$AV$3:$AV$1102),"")</f>
        <v>N</v>
      </c>
    </row>
    <row r="299" ht="16.5" hidden="1" customHeight="1">
      <c r="A299" s="5" t="s">
        <v>155</v>
      </c>
      <c r="B299" s="5" t="s">
        <v>137</v>
      </c>
      <c r="C299" s="5" t="b">
        <v>1</v>
      </c>
      <c r="D299" s="5" t="s">
        <v>1631</v>
      </c>
      <c r="E299" s="5" t="s">
        <v>1632</v>
      </c>
      <c r="F299" s="5"/>
      <c r="G299" s="5" t="s">
        <v>65</v>
      </c>
      <c r="H299" s="5" t="s">
        <v>76</v>
      </c>
      <c r="I299" s="5" t="s">
        <v>82</v>
      </c>
      <c r="J299" s="25"/>
      <c r="K299" s="25"/>
      <c r="L299" s="25"/>
      <c r="M299" s="5" t="s">
        <v>66</v>
      </c>
      <c r="N299" s="5" t="s">
        <v>270</v>
      </c>
      <c r="O299" s="5" t="s">
        <v>69</v>
      </c>
      <c r="P299" s="5" t="s">
        <v>107</v>
      </c>
      <c r="Q299" s="5" t="b">
        <v>1</v>
      </c>
      <c r="R299" s="5" t="b">
        <v>0</v>
      </c>
      <c r="S299" s="5"/>
      <c r="T299" s="5">
        <v>1000.0</v>
      </c>
      <c r="U299" s="26">
        <v>2.1</v>
      </c>
      <c r="V299" s="5">
        <v>476.0</v>
      </c>
      <c r="W299" s="27">
        <v>0.0</v>
      </c>
      <c r="X299" s="28">
        <v>476.0</v>
      </c>
      <c r="Y299" s="27">
        <v>1.0</v>
      </c>
      <c r="Z299" s="5" t="s">
        <v>78</v>
      </c>
      <c r="AA299" s="5">
        <v>0.67</v>
      </c>
      <c r="AB299" s="5"/>
      <c r="AC299" s="5" t="s">
        <v>81</v>
      </c>
      <c r="AD299" s="5" t="s">
        <v>81</v>
      </c>
      <c r="AE299" s="24">
        <v>0.0</v>
      </c>
      <c r="AF299" s="5">
        <v>1.0</v>
      </c>
      <c r="AG299" s="5" t="s">
        <v>0</v>
      </c>
      <c r="AH299" s="5" t="s">
        <v>0</v>
      </c>
      <c r="AI299" s="42"/>
      <c r="AJ299" s="28">
        <v>0.0</v>
      </c>
      <c r="AK299" s="28">
        <v>0.0</v>
      </c>
      <c r="AL299" s="28">
        <v>0.0</v>
      </c>
      <c r="AM299" s="28">
        <v>0.0</v>
      </c>
      <c r="AN299" s="28">
        <v>0.0</v>
      </c>
      <c r="AO299" s="28">
        <v>0.0</v>
      </c>
      <c r="AP299" s="28">
        <v>0.0</v>
      </c>
      <c r="AQ299" s="28">
        <v>0.0</v>
      </c>
      <c r="AR299" s="28">
        <v>0.0</v>
      </c>
      <c r="AS299" s="28">
        <v>0.0</v>
      </c>
      <c r="AT299" s="28">
        <v>0.0</v>
      </c>
      <c r="AU299" s="28">
        <v>0.0</v>
      </c>
      <c r="AV299" s="28">
        <v>0.0</v>
      </c>
      <c r="AW299" s="28">
        <v>0.0</v>
      </c>
      <c r="AX299" s="5"/>
      <c r="AY299" s="5" t="str">
        <f t="array" ref="AY299">IFERROR(_xlfn.XLOOKUP($E299,'FW27'!$C$3:$C$1102,'FW27'!$AM$3:$AM$1102),"")</f>
        <v>Essentials</v>
      </c>
      <c r="AZ299" s="5" t="str">
        <f t="array" ref="AZ299">IFERROR(_xlfn.XLOOKUP($E299,'FW27'!$C$3:$C$1102,'FW27'!$AN$3:$AN$1102),"")</f>
        <v>Active Essentials</v>
      </c>
      <c r="BB299" s="5" t="str">
        <f t="array" ref="BB299">IFERROR(_xlfn.XLOOKUP($E299,'FW27'!$C$3:$C$1102,'FW27'!$AS$3:$AS$1102),"")</f>
        <v>Fleece/Midlayer</v>
      </c>
      <c r="BC299" s="5" t="str">
        <f t="array" ref="BC299">IFERROR(_xlfn.XLOOKUP($E299,'FW27'!$C$3:$C$1102,'FW27'!$AT$3:$AT$1102),"")</f>
        <v>Tights</v>
      </c>
      <c r="BD299" s="5" t="str">
        <f t="array" ref="BD299">IFERROR(_xlfn.XLOOKUP($E299,'FW27'!$C$3:$C$1102,'FW27'!$AU$3:$AU$1102),"")</f>
        <v>Midweight</v>
      </c>
      <c r="BE299" s="5" t="str">
        <f t="array" ref="BE299">IFERROR(_xlfn.XLOOKUP($E299,'FW27'!$C$3:$C$1102,'FW27'!$AV$3:$AV$1102),"")</f>
        <v>N</v>
      </c>
    </row>
    <row r="300" ht="16.5" hidden="1" customHeight="1">
      <c r="A300" s="5" t="s">
        <v>155</v>
      </c>
      <c r="B300" s="5" t="s">
        <v>137</v>
      </c>
      <c r="C300" s="5" t="b">
        <v>1</v>
      </c>
      <c r="D300" s="5" t="s">
        <v>832</v>
      </c>
      <c r="E300" s="5" t="s">
        <v>833</v>
      </c>
      <c r="F300" s="5"/>
      <c r="G300" s="5" t="s">
        <v>65</v>
      </c>
      <c r="H300" s="5" t="s">
        <v>84</v>
      </c>
      <c r="I300" s="5" t="s">
        <v>82</v>
      </c>
      <c r="J300" s="25"/>
      <c r="K300" s="25"/>
      <c r="L300" s="25"/>
      <c r="M300" s="5" t="s">
        <v>66</v>
      </c>
      <c r="N300" s="5" t="s">
        <v>270</v>
      </c>
      <c r="O300" s="5" t="s">
        <v>69</v>
      </c>
      <c r="P300" s="5" t="s">
        <v>70</v>
      </c>
      <c r="Q300" s="5" t="b">
        <v>1</v>
      </c>
      <c r="R300" s="5" t="b">
        <v>0</v>
      </c>
      <c r="S300" s="5"/>
      <c r="T300" s="5">
        <v>1400.0</v>
      </c>
      <c r="U300" s="26">
        <v>2.1</v>
      </c>
      <c r="V300" s="5">
        <v>667.0</v>
      </c>
      <c r="W300" s="27">
        <v>0.0</v>
      </c>
      <c r="X300" s="28">
        <v>667.0</v>
      </c>
      <c r="Y300" s="27">
        <v>1.0</v>
      </c>
      <c r="Z300" s="5" t="s">
        <v>117</v>
      </c>
      <c r="AA300" s="5">
        <v>0.64</v>
      </c>
      <c r="AB300" s="5"/>
      <c r="AC300" s="5" t="s">
        <v>81</v>
      </c>
      <c r="AD300" s="5" t="s">
        <v>81</v>
      </c>
      <c r="AE300" s="5">
        <v>5.0</v>
      </c>
      <c r="AF300" s="5">
        <v>4.0</v>
      </c>
      <c r="AG300" s="5" t="s">
        <v>2067</v>
      </c>
      <c r="AH300" s="5" t="s">
        <v>0</v>
      </c>
      <c r="AI300" s="42"/>
      <c r="AJ300" s="28">
        <v>3868.0</v>
      </c>
      <c r="AK300" s="28">
        <v>0.0</v>
      </c>
      <c r="AL300" s="28">
        <v>0.0</v>
      </c>
      <c r="AM300" s="28">
        <v>1907.0</v>
      </c>
      <c r="AN300" s="28">
        <v>0.0</v>
      </c>
      <c r="AO300" s="28">
        <v>2578679.56</v>
      </c>
      <c r="AP300" s="28">
        <v>0.0</v>
      </c>
      <c r="AQ300" s="28">
        <v>0.0</v>
      </c>
      <c r="AR300" s="28">
        <v>1271339.6899999992</v>
      </c>
      <c r="AS300" s="28">
        <v>0.0</v>
      </c>
      <c r="AT300" s="28">
        <v>1838738.2648947951</v>
      </c>
      <c r="AU300" s="28">
        <v>0.0</v>
      </c>
      <c r="AV300" s="28">
        <v>0.0</v>
      </c>
      <c r="AW300" s="28">
        <v>1118611.94496124</v>
      </c>
      <c r="AX300" s="5"/>
      <c r="AY300" s="5" t="str">
        <f t="array" ref="AY300">IFERROR(_xlfn.XLOOKUP($E300,'FW27'!$C$3:$C$1102,'FW27'!$AM$3:$AM$1102),"")</f>
        <v>Essentials</v>
      </c>
      <c r="AZ300" s="5" t="str">
        <f t="array" ref="AZ300">IFERROR(_xlfn.XLOOKUP($E300,'FW27'!$C$3:$C$1102,'FW27'!$AN$3:$AN$1102),"")</f>
        <v>Active Essentials</v>
      </c>
      <c r="BA300" s="5" t="s">
        <v>237</v>
      </c>
      <c r="BB300" s="5" t="str">
        <f t="array" ref="BB300">IFERROR(_xlfn.XLOOKUP($E300,'FW27'!$C$3:$C$1102,'FW27'!$AS$3:$AS$1102),"")</f>
        <v>Fleece/Midlayer</v>
      </c>
      <c r="BC300" s="5" t="str">
        <f t="array" ref="BC300">IFERROR(_xlfn.XLOOKUP($E300,'FW27'!$C$3:$C$1102,'FW27'!$AT$3:$AT$1102),"")</f>
        <v>Hooded Jacket</v>
      </c>
      <c r="BD300" s="5" t="str">
        <f t="array" ref="BD300">IFERROR(_xlfn.XLOOKUP($E300,'FW27'!$C$3:$C$1102,'FW27'!$AU$3:$AU$1102),"")</f>
        <v>Midweight</v>
      </c>
      <c r="BE300" s="5" t="str">
        <f t="array" ref="BE300">IFERROR(_xlfn.XLOOKUP($E300,'FW27'!$C$3:$C$1102,'FW27'!$AV$3:$AV$1102),"")</f>
        <v>N</v>
      </c>
    </row>
    <row r="301" ht="16.5" hidden="1" customHeight="1">
      <c r="A301" s="5" t="s">
        <v>155</v>
      </c>
      <c r="B301" s="5" t="s">
        <v>137</v>
      </c>
      <c r="C301" s="5" t="b">
        <v>1</v>
      </c>
      <c r="D301" s="5" t="s">
        <v>837</v>
      </c>
      <c r="E301" s="5" t="s">
        <v>839</v>
      </c>
      <c r="F301" s="5"/>
      <c r="G301" s="5" t="s">
        <v>65</v>
      </c>
      <c r="H301" s="5" t="s">
        <v>84</v>
      </c>
      <c r="I301" s="5" t="s">
        <v>82</v>
      </c>
      <c r="J301" s="25"/>
      <c r="K301" s="25"/>
      <c r="L301" s="25"/>
      <c r="M301" s="5" t="s">
        <v>66</v>
      </c>
      <c r="N301" s="5" t="s">
        <v>270</v>
      </c>
      <c r="O301" s="5" t="s">
        <v>69</v>
      </c>
      <c r="P301" s="5" t="s">
        <v>107</v>
      </c>
      <c r="Q301" s="5" t="b">
        <v>1</v>
      </c>
      <c r="R301" s="5" t="b">
        <v>0</v>
      </c>
      <c r="S301" s="5"/>
      <c r="T301" s="5">
        <v>1400.0</v>
      </c>
      <c r="U301" s="26">
        <v>2.1</v>
      </c>
      <c r="V301" s="5">
        <v>667.0</v>
      </c>
      <c r="W301" s="27">
        <v>0.0</v>
      </c>
      <c r="X301" s="28">
        <v>667.0</v>
      </c>
      <c r="Y301" s="27">
        <v>1.0</v>
      </c>
      <c r="Z301" s="5" t="s">
        <v>117</v>
      </c>
      <c r="AA301" s="5">
        <v>0.65</v>
      </c>
      <c r="AB301" s="5"/>
      <c r="AC301" s="5" t="s">
        <v>81</v>
      </c>
      <c r="AD301" s="5" t="s">
        <v>81</v>
      </c>
      <c r="AE301" s="5">
        <v>6.0</v>
      </c>
      <c r="AF301" s="5">
        <v>5.0</v>
      </c>
      <c r="AG301" s="5" t="s">
        <v>2069</v>
      </c>
      <c r="AH301" s="5" t="s">
        <v>0</v>
      </c>
      <c r="AI301" s="42"/>
      <c r="AJ301" s="28">
        <v>3139.0</v>
      </c>
      <c r="AK301" s="28">
        <v>0.0</v>
      </c>
      <c r="AL301" s="28">
        <v>0.0</v>
      </c>
      <c r="AM301" s="28">
        <v>2299.0</v>
      </c>
      <c r="AN301" s="28">
        <v>0.0</v>
      </c>
      <c r="AO301" s="28">
        <v>2092677.13</v>
      </c>
      <c r="AP301" s="28">
        <v>0.0</v>
      </c>
      <c r="AQ301" s="28">
        <v>0.0</v>
      </c>
      <c r="AR301" s="28">
        <v>1532674.3299999991</v>
      </c>
      <c r="AS301" s="28">
        <v>0.0</v>
      </c>
      <c r="AT301" s="28">
        <v>1581507.6327796231</v>
      </c>
      <c r="AU301" s="28">
        <v>0.0</v>
      </c>
      <c r="AV301" s="28">
        <v>0.0</v>
      </c>
      <c r="AW301" s="28">
        <v>1358801.7544850493</v>
      </c>
      <c r="AX301" s="5"/>
      <c r="AY301" s="5" t="str">
        <f t="array" ref="AY301">IFERROR(_xlfn.XLOOKUP($E301,'FW27'!$C$3:$C$1102,'FW27'!$AM$3:$AM$1102),"")</f>
        <v>Essentials</v>
      </c>
      <c r="AZ301" s="5" t="str">
        <f t="array" ref="AZ301">IFERROR(_xlfn.XLOOKUP($E301,'FW27'!$C$3:$C$1102,'FW27'!$AN$3:$AN$1102),"")</f>
        <v>Active Essentials</v>
      </c>
      <c r="BA301" s="5" t="s">
        <v>237</v>
      </c>
      <c r="BB301" s="5" t="str">
        <f t="array" ref="BB301">IFERROR(_xlfn.XLOOKUP($E301,'FW27'!$C$3:$C$1102,'FW27'!$AS$3:$AS$1102),"")</f>
        <v>Fleece/Midlayer</v>
      </c>
      <c r="BC301" s="5" t="str">
        <f t="array" ref="BC301">IFERROR(_xlfn.XLOOKUP($E301,'FW27'!$C$3:$C$1102,'FW27'!$AT$3:$AT$1102),"")</f>
        <v>Hooded Jacket</v>
      </c>
      <c r="BD301" s="5" t="str">
        <f t="array" ref="BD301">IFERROR(_xlfn.XLOOKUP($E301,'FW27'!$C$3:$C$1102,'FW27'!$AU$3:$AU$1102),"")</f>
        <v>Midweight</v>
      </c>
      <c r="BE301" s="5" t="str">
        <f t="array" ref="BE301">IFERROR(_xlfn.XLOOKUP($E301,'FW27'!$C$3:$C$1102,'FW27'!$AV$3:$AV$1102),"")</f>
        <v>N</v>
      </c>
    </row>
    <row r="302" ht="16.5" hidden="1" customHeight="1">
      <c r="A302" s="5" t="s">
        <v>155</v>
      </c>
      <c r="B302" s="5" t="s">
        <v>137</v>
      </c>
      <c r="C302" s="5" t="b">
        <v>1</v>
      </c>
      <c r="D302" s="5" t="s">
        <v>845</v>
      </c>
      <c r="E302" s="5" t="s">
        <v>846</v>
      </c>
      <c r="F302" s="5"/>
      <c r="G302" s="5" t="s">
        <v>65</v>
      </c>
      <c r="H302" s="5" t="s">
        <v>84</v>
      </c>
      <c r="I302" s="5" t="s">
        <v>82</v>
      </c>
      <c r="J302" s="25"/>
      <c r="K302" s="25"/>
      <c r="L302" s="25"/>
      <c r="M302" s="5" t="s">
        <v>66</v>
      </c>
      <c r="N302" s="5" t="s">
        <v>270</v>
      </c>
      <c r="O302" s="5" t="s">
        <v>69</v>
      </c>
      <c r="P302" s="5" t="s">
        <v>70</v>
      </c>
      <c r="Q302" s="5" t="b">
        <v>1</v>
      </c>
      <c r="R302" s="5" t="b">
        <v>0</v>
      </c>
      <c r="S302" s="5"/>
      <c r="T302" s="5">
        <v>1200.0</v>
      </c>
      <c r="U302" s="26">
        <v>2.1</v>
      </c>
      <c r="V302" s="5">
        <v>571.0</v>
      </c>
      <c r="W302" s="27">
        <v>0.0</v>
      </c>
      <c r="X302" s="28">
        <v>571.0</v>
      </c>
      <c r="Y302" s="27">
        <v>1.0</v>
      </c>
      <c r="Z302" s="5" t="s">
        <v>117</v>
      </c>
      <c r="AA302" s="5">
        <v>0.64</v>
      </c>
      <c r="AB302" s="5"/>
      <c r="AC302" s="5" t="s">
        <v>81</v>
      </c>
      <c r="AD302" s="5" t="s">
        <v>81</v>
      </c>
      <c r="AE302" s="5">
        <v>5.0</v>
      </c>
      <c r="AF302" s="5">
        <v>3.0</v>
      </c>
      <c r="AG302" s="5" t="s">
        <v>2071</v>
      </c>
      <c r="AH302" s="5" t="s">
        <v>0</v>
      </c>
      <c r="AI302" s="42"/>
      <c r="AJ302" s="28">
        <v>5029.0</v>
      </c>
      <c r="AK302" s="28">
        <v>0.0</v>
      </c>
      <c r="AL302" s="28">
        <v>0.0</v>
      </c>
      <c r="AM302" s="28">
        <v>2572.0</v>
      </c>
      <c r="AN302" s="28">
        <v>0.0</v>
      </c>
      <c r="AO302" s="28">
        <v>2873721.4699999997</v>
      </c>
      <c r="AP302" s="28">
        <v>0.0</v>
      </c>
      <c r="AQ302" s="28">
        <v>0.0</v>
      </c>
      <c r="AR302" s="28">
        <v>1469717.96</v>
      </c>
      <c r="AS302" s="28">
        <v>0.0</v>
      </c>
      <c r="AT302" s="28">
        <v>2040553.9446290142</v>
      </c>
      <c r="AU302" s="28">
        <v>0.0</v>
      </c>
      <c r="AV302" s="28">
        <v>0.0</v>
      </c>
      <c r="AW302" s="28">
        <v>1307398.311738649</v>
      </c>
      <c r="AX302" s="5"/>
      <c r="AY302" s="5" t="str">
        <f t="array" ref="AY302">IFERROR(_xlfn.XLOOKUP($E302,'FW27'!$C$3:$C$1102,'FW27'!$AM$3:$AM$1102),"")</f>
        <v>Essentials</v>
      </c>
      <c r="AZ302" s="5" t="str">
        <f t="array" ref="AZ302">IFERROR(_xlfn.XLOOKUP($E302,'FW27'!$C$3:$C$1102,'FW27'!$AN$3:$AN$1102),"")</f>
        <v>Active Essentials</v>
      </c>
      <c r="BA302" s="5" t="s">
        <v>237</v>
      </c>
      <c r="BB302" s="5" t="str">
        <f t="array" ref="BB302">IFERROR(_xlfn.XLOOKUP($E302,'FW27'!$C$3:$C$1102,'FW27'!$AS$3:$AS$1102),"")</f>
        <v>Fleece/Midlayer</v>
      </c>
      <c r="BC302" s="5" t="str">
        <f t="array" ref="BC302">IFERROR(_xlfn.XLOOKUP($E302,'FW27'!$C$3:$C$1102,'FW27'!$AT$3:$AT$1102),"")</f>
        <v>Jacket</v>
      </c>
      <c r="BD302" s="5" t="str">
        <f t="array" ref="BD302">IFERROR(_xlfn.XLOOKUP($E302,'FW27'!$C$3:$C$1102,'FW27'!$AU$3:$AU$1102),"")</f>
        <v>Midweight</v>
      </c>
      <c r="BE302" s="5" t="str">
        <f t="array" ref="BE302">IFERROR(_xlfn.XLOOKUP($E302,'FW27'!$C$3:$C$1102,'FW27'!$AV$3:$AV$1102),"")</f>
        <v>N</v>
      </c>
    </row>
    <row r="303" ht="16.5" hidden="1" customHeight="1">
      <c r="A303" s="5" t="s">
        <v>155</v>
      </c>
      <c r="B303" s="5" t="s">
        <v>137</v>
      </c>
      <c r="C303" s="5" t="b">
        <v>1</v>
      </c>
      <c r="D303" s="5" t="s">
        <v>850</v>
      </c>
      <c r="E303" s="5" t="s">
        <v>851</v>
      </c>
      <c r="F303" s="5"/>
      <c r="G303" s="5" t="s">
        <v>65</v>
      </c>
      <c r="H303" s="5" t="s">
        <v>84</v>
      </c>
      <c r="I303" s="5" t="s">
        <v>82</v>
      </c>
      <c r="J303" s="25"/>
      <c r="K303" s="25"/>
      <c r="L303" s="25"/>
      <c r="M303" s="5" t="s">
        <v>66</v>
      </c>
      <c r="N303" s="5" t="s">
        <v>270</v>
      </c>
      <c r="O303" s="5" t="s">
        <v>69</v>
      </c>
      <c r="P303" s="5" t="s">
        <v>107</v>
      </c>
      <c r="Q303" s="5" t="b">
        <v>1</v>
      </c>
      <c r="R303" s="5" t="b">
        <v>0</v>
      </c>
      <c r="S303" s="5"/>
      <c r="T303" s="5">
        <v>1200.0</v>
      </c>
      <c r="U303" s="26">
        <v>2.1</v>
      </c>
      <c r="V303" s="5">
        <v>571.0</v>
      </c>
      <c r="W303" s="27">
        <v>0.0</v>
      </c>
      <c r="X303" s="28">
        <v>571.0</v>
      </c>
      <c r="Y303" s="27">
        <v>1.0</v>
      </c>
      <c r="Z303" s="5" t="s">
        <v>117</v>
      </c>
      <c r="AA303" s="5">
        <v>0.65</v>
      </c>
      <c r="AB303" s="5"/>
      <c r="AC303" s="5" t="s">
        <v>81</v>
      </c>
      <c r="AD303" s="5" t="s">
        <v>81</v>
      </c>
      <c r="AE303" s="5">
        <v>5.0</v>
      </c>
      <c r="AF303" s="5">
        <v>3.0</v>
      </c>
      <c r="AG303" s="5" t="s">
        <v>2073</v>
      </c>
      <c r="AH303" s="5" t="s">
        <v>0</v>
      </c>
      <c r="AI303" s="42"/>
      <c r="AJ303" s="28">
        <v>2709.0</v>
      </c>
      <c r="AK303" s="28">
        <v>0.0</v>
      </c>
      <c r="AL303" s="28">
        <v>0.0</v>
      </c>
      <c r="AM303" s="28">
        <v>1684.0</v>
      </c>
      <c r="AN303" s="28">
        <v>0.0</v>
      </c>
      <c r="AO303" s="28">
        <v>1548003.8699999996</v>
      </c>
      <c r="AP303" s="28">
        <v>0.0</v>
      </c>
      <c r="AQ303" s="28">
        <v>0.0</v>
      </c>
      <c r="AR303" s="28">
        <v>962288.1200000002</v>
      </c>
      <c r="AS303" s="28">
        <v>0.0</v>
      </c>
      <c r="AT303" s="28">
        <v>1171646.9562569214</v>
      </c>
      <c r="AU303" s="28">
        <v>0.0</v>
      </c>
      <c r="AV303" s="28">
        <v>0.0</v>
      </c>
      <c r="AW303" s="28">
        <v>860446.2165005538</v>
      </c>
      <c r="AX303" s="5"/>
      <c r="AY303" s="5" t="str">
        <f t="array" ref="AY303">IFERROR(_xlfn.XLOOKUP($E303,'FW27'!$C$3:$C$1102,'FW27'!$AM$3:$AM$1102),"")</f>
        <v>Essentials</v>
      </c>
      <c r="AZ303" s="5" t="str">
        <f t="array" ref="AZ303">IFERROR(_xlfn.XLOOKUP($E303,'FW27'!$C$3:$C$1102,'FW27'!$AN$3:$AN$1102),"")</f>
        <v>Active Essentials</v>
      </c>
      <c r="BA303" s="5" t="s">
        <v>237</v>
      </c>
      <c r="BB303" s="5" t="str">
        <f t="array" ref="BB303">IFERROR(_xlfn.XLOOKUP($E303,'FW27'!$C$3:$C$1102,'FW27'!$AS$3:$AS$1102),"")</f>
        <v>Fleece/Midlayer</v>
      </c>
      <c r="BC303" s="5" t="str">
        <f t="array" ref="BC303">IFERROR(_xlfn.XLOOKUP($E303,'FW27'!$C$3:$C$1102,'FW27'!$AT$3:$AT$1102),"")</f>
        <v>Jacket</v>
      </c>
      <c r="BD303" s="5" t="str">
        <f t="array" ref="BD303">IFERROR(_xlfn.XLOOKUP($E303,'FW27'!$C$3:$C$1102,'FW27'!$AU$3:$AU$1102),"")</f>
        <v>Midweight</v>
      </c>
      <c r="BE303" s="5" t="str">
        <f t="array" ref="BE303">IFERROR(_xlfn.XLOOKUP($E303,'FW27'!$C$3:$C$1102,'FW27'!$AV$3:$AV$1102),"")</f>
        <v>N</v>
      </c>
    </row>
    <row r="304" ht="16.5" hidden="1" customHeight="1">
      <c r="A304" s="5" t="s">
        <v>155</v>
      </c>
      <c r="B304" s="5" t="s">
        <v>137</v>
      </c>
      <c r="C304" s="5" t="b">
        <v>0</v>
      </c>
      <c r="D304" s="5" t="s">
        <v>854</v>
      </c>
      <c r="E304" s="5" t="s">
        <v>855</v>
      </c>
      <c r="F304" s="5"/>
      <c r="G304" s="5" t="s">
        <v>65</v>
      </c>
      <c r="H304" s="5" t="s">
        <v>84</v>
      </c>
      <c r="I304" s="5" t="s">
        <v>106</v>
      </c>
      <c r="J304" s="25" t="s">
        <v>2074</v>
      </c>
      <c r="K304" s="25"/>
      <c r="L304" s="25"/>
      <c r="M304" s="5" t="s">
        <v>66</v>
      </c>
      <c r="N304" s="5" t="s">
        <v>126</v>
      </c>
      <c r="O304" s="5" t="s">
        <v>69</v>
      </c>
      <c r="P304" s="5" t="s">
        <v>70</v>
      </c>
      <c r="Q304" s="5" t="b">
        <v>1</v>
      </c>
      <c r="R304" s="5" t="b">
        <v>0</v>
      </c>
      <c r="S304" s="5"/>
      <c r="T304" s="5">
        <v>2000.0</v>
      </c>
      <c r="U304" s="26">
        <v>2.1</v>
      </c>
      <c r="V304" s="5">
        <v>952.0</v>
      </c>
      <c r="W304" s="27">
        <v>0.0</v>
      </c>
      <c r="X304" s="28">
        <v>952.0</v>
      </c>
      <c r="Y304" s="27">
        <v>1.0</v>
      </c>
      <c r="Z304" s="5" t="s">
        <v>117</v>
      </c>
      <c r="AA304" s="5">
        <v>0.6</v>
      </c>
      <c r="AB304" s="5"/>
      <c r="AC304" s="5" t="s">
        <v>81</v>
      </c>
      <c r="AD304" s="5" t="s">
        <v>81</v>
      </c>
      <c r="AE304" s="5">
        <v>2.0</v>
      </c>
      <c r="AF304" s="5">
        <v>2.0</v>
      </c>
      <c r="AG304" s="5" t="s">
        <v>0</v>
      </c>
      <c r="AH304" s="5" t="s">
        <v>0</v>
      </c>
      <c r="AI304" s="42"/>
      <c r="AJ304" s="28">
        <v>0.0</v>
      </c>
      <c r="AK304" s="28">
        <v>0.0</v>
      </c>
      <c r="AL304" s="28">
        <v>0.0</v>
      </c>
      <c r="AM304" s="28">
        <v>2045.0</v>
      </c>
      <c r="AN304" s="28">
        <v>0.0</v>
      </c>
      <c r="AO304" s="28">
        <v>0.0</v>
      </c>
      <c r="AP304" s="28">
        <v>0.0</v>
      </c>
      <c r="AQ304" s="28">
        <v>0.0</v>
      </c>
      <c r="AR304" s="28">
        <v>1947617.0999999996</v>
      </c>
      <c r="AS304" s="28">
        <v>0.0</v>
      </c>
      <c r="AT304" s="28">
        <v>0.0</v>
      </c>
      <c r="AU304" s="28">
        <v>0.0</v>
      </c>
      <c r="AV304" s="28">
        <v>0.0</v>
      </c>
      <c r="AW304" s="28">
        <v>1110501.864894795</v>
      </c>
      <c r="AX304" s="5"/>
      <c r="AY304" s="5" t="s">
        <v>125</v>
      </c>
      <c r="AZ304" s="5" t="s">
        <v>127</v>
      </c>
      <c r="BA304" s="32" t="s">
        <v>264</v>
      </c>
      <c r="BB304" s="5" t="s">
        <v>126</v>
      </c>
      <c r="BC304" s="5" t="s">
        <v>161</v>
      </c>
      <c r="BD304" s="5" t="s">
        <v>130</v>
      </c>
      <c r="BE304" s="5" t="s">
        <v>131</v>
      </c>
      <c r="BF304" s="5" t="s">
        <v>910</v>
      </c>
    </row>
    <row r="305" ht="16.5" hidden="1" customHeight="1">
      <c r="A305" s="5" t="s">
        <v>155</v>
      </c>
      <c r="B305" s="5" t="s">
        <v>137</v>
      </c>
      <c r="C305" s="5" t="b">
        <v>0</v>
      </c>
      <c r="D305" s="47" t="s">
        <v>1460</v>
      </c>
      <c r="E305" s="47" t="s">
        <v>1461</v>
      </c>
      <c r="F305" s="47"/>
      <c r="G305" s="47" t="s">
        <v>65</v>
      </c>
      <c r="H305" s="47" t="s">
        <v>74</v>
      </c>
      <c r="I305" s="5" t="s">
        <v>106</v>
      </c>
      <c r="J305" s="48" t="s">
        <v>322</v>
      </c>
      <c r="K305" s="25" t="s">
        <v>150</v>
      </c>
      <c r="L305" s="25"/>
      <c r="M305" s="5" t="s">
        <v>66</v>
      </c>
      <c r="N305" s="5" t="s">
        <v>126</v>
      </c>
      <c r="O305" s="5" t="s">
        <v>96</v>
      </c>
      <c r="P305" s="5" t="s">
        <v>70</v>
      </c>
      <c r="Q305" s="5" t="b">
        <v>1</v>
      </c>
      <c r="R305" s="5" t="b">
        <v>0</v>
      </c>
      <c r="S305" s="5"/>
      <c r="T305" s="5">
        <v>2000.0</v>
      </c>
      <c r="U305" s="26">
        <v>2.1</v>
      </c>
      <c r="V305" s="5">
        <v>952.0</v>
      </c>
      <c r="W305" s="27">
        <v>0.0</v>
      </c>
      <c r="X305" s="28">
        <v>952.0</v>
      </c>
      <c r="Y305" s="27">
        <v>1.0</v>
      </c>
      <c r="Z305" s="5" t="s">
        <v>117</v>
      </c>
      <c r="AA305" s="27">
        <v>0.6</v>
      </c>
      <c r="AB305" s="5"/>
      <c r="AC305" s="5" t="s">
        <v>81</v>
      </c>
      <c r="AD305" s="5" t="s">
        <v>81</v>
      </c>
      <c r="AE305" s="24">
        <v>0.0</v>
      </c>
      <c r="AF305" s="5">
        <v>4.0</v>
      </c>
      <c r="AG305" s="5" t="s">
        <v>0</v>
      </c>
      <c r="AH305" s="5" t="s">
        <v>471</v>
      </c>
      <c r="AI305" s="56"/>
      <c r="AJ305" s="28">
        <v>0.0</v>
      </c>
      <c r="AK305" s="28">
        <v>0.0</v>
      </c>
      <c r="AL305" s="28">
        <v>0.0</v>
      </c>
      <c r="AM305" s="28">
        <v>0.0</v>
      </c>
      <c r="AN305" s="28">
        <v>0.0</v>
      </c>
      <c r="AO305" s="28">
        <v>0.0</v>
      </c>
      <c r="AP305" s="28">
        <v>0.0</v>
      </c>
      <c r="AQ305" s="28">
        <v>0.0</v>
      </c>
      <c r="AR305" s="28">
        <v>0.0</v>
      </c>
      <c r="AS305" s="28">
        <v>0.0</v>
      </c>
      <c r="AT305" s="28">
        <v>0.0</v>
      </c>
      <c r="AU305" s="28">
        <v>0.0</v>
      </c>
      <c r="AV305" s="28">
        <v>0.0</v>
      </c>
      <c r="AW305" s="28">
        <v>0.0</v>
      </c>
      <c r="AX305" s="5"/>
      <c r="AY305" s="5" t="s">
        <v>125</v>
      </c>
      <c r="AZ305" s="5" t="s">
        <v>127</v>
      </c>
      <c r="BA305" s="32" t="s">
        <v>264</v>
      </c>
      <c r="BB305" s="5" t="s">
        <v>126</v>
      </c>
      <c r="BC305" s="5" t="s">
        <v>161</v>
      </c>
      <c r="BD305" s="5" t="s">
        <v>130</v>
      </c>
      <c r="BE305" s="5" t="s">
        <v>131</v>
      </c>
      <c r="BF305" s="5" t="s">
        <v>910</v>
      </c>
    </row>
    <row r="306" ht="16.5" hidden="1" customHeight="1">
      <c r="A306" s="5" t="s">
        <v>155</v>
      </c>
      <c r="B306" s="5" t="s">
        <v>137</v>
      </c>
      <c r="C306" s="5" t="b">
        <v>0</v>
      </c>
      <c r="D306" s="5" t="s">
        <v>858</v>
      </c>
      <c r="E306" s="5" t="s">
        <v>859</v>
      </c>
      <c r="F306" s="5"/>
      <c r="G306" s="5" t="s">
        <v>65</v>
      </c>
      <c r="H306" s="5" t="s">
        <v>84</v>
      </c>
      <c r="I306" s="5" t="s">
        <v>106</v>
      </c>
      <c r="J306" s="25" t="s">
        <v>2074</v>
      </c>
      <c r="K306" s="25"/>
      <c r="L306" s="25"/>
      <c r="M306" s="5" t="s">
        <v>66</v>
      </c>
      <c r="N306" s="5" t="s">
        <v>126</v>
      </c>
      <c r="O306" s="5" t="s">
        <v>69</v>
      </c>
      <c r="P306" s="5" t="s">
        <v>107</v>
      </c>
      <c r="Q306" s="5" t="b">
        <v>1</v>
      </c>
      <c r="R306" s="5" t="b">
        <v>0</v>
      </c>
      <c r="S306" s="5"/>
      <c r="T306" s="5">
        <v>2000.0</v>
      </c>
      <c r="U306" s="26">
        <v>2.1</v>
      </c>
      <c r="V306" s="5">
        <v>952.0</v>
      </c>
      <c r="W306" s="27">
        <v>0.0</v>
      </c>
      <c r="X306" s="28">
        <v>952.0</v>
      </c>
      <c r="Y306" s="27">
        <v>1.0</v>
      </c>
      <c r="Z306" s="5" t="s">
        <v>117</v>
      </c>
      <c r="AA306" s="5">
        <v>0.63</v>
      </c>
      <c r="AB306" s="5"/>
      <c r="AC306" s="5" t="s">
        <v>81</v>
      </c>
      <c r="AD306" s="5" t="s">
        <v>81</v>
      </c>
      <c r="AE306" s="5">
        <v>2.0</v>
      </c>
      <c r="AF306" s="5">
        <v>2.0</v>
      </c>
      <c r="AG306" s="5" t="s">
        <v>0</v>
      </c>
      <c r="AH306" s="5" t="s">
        <v>0</v>
      </c>
      <c r="AI306" s="42"/>
      <c r="AJ306" s="28">
        <v>0.0</v>
      </c>
      <c r="AK306" s="28">
        <v>0.0</v>
      </c>
      <c r="AL306" s="28">
        <v>0.0</v>
      </c>
      <c r="AM306" s="28">
        <v>1200.0</v>
      </c>
      <c r="AN306" s="28">
        <v>0.0</v>
      </c>
      <c r="AO306" s="28">
        <v>0.0</v>
      </c>
      <c r="AP306" s="28">
        <v>0.0</v>
      </c>
      <c r="AQ306" s="28">
        <v>0.0</v>
      </c>
      <c r="AR306" s="28">
        <v>1142856.0</v>
      </c>
      <c r="AS306" s="28">
        <v>0.0</v>
      </c>
      <c r="AT306" s="28">
        <v>0.0</v>
      </c>
      <c r="AU306" s="28">
        <v>0.0</v>
      </c>
      <c r="AV306" s="28">
        <v>0.0</v>
      </c>
      <c r="AW306" s="28">
        <v>708434.0305647842</v>
      </c>
      <c r="AX306" s="5"/>
      <c r="AY306" s="5" t="s">
        <v>125</v>
      </c>
      <c r="AZ306" s="5" t="s">
        <v>127</v>
      </c>
      <c r="BA306" s="32" t="s">
        <v>264</v>
      </c>
      <c r="BB306" s="5" t="s">
        <v>126</v>
      </c>
      <c r="BC306" s="5" t="s">
        <v>161</v>
      </c>
      <c r="BD306" s="5" t="s">
        <v>130</v>
      </c>
      <c r="BE306" s="5" t="s">
        <v>131</v>
      </c>
      <c r="BF306" s="5" t="s">
        <v>910</v>
      </c>
    </row>
    <row r="307" ht="16.5" hidden="1" customHeight="1">
      <c r="A307" s="5" t="s">
        <v>155</v>
      </c>
      <c r="B307" s="5" t="s">
        <v>137</v>
      </c>
      <c r="C307" s="5" t="b">
        <v>0</v>
      </c>
      <c r="D307" s="47" t="s">
        <v>1462</v>
      </c>
      <c r="E307" s="47" t="s">
        <v>1463</v>
      </c>
      <c r="F307" s="47"/>
      <c r="G307" s="47" t="s">
        <v>65</v>
      </c>
      <c r="H307" s="47" t="s">
        <v>74</v>
      </c>
      <c r="I307" s="5" t="s">
        <v>106</v>
      </c>
      <c r="J307" s="48" t="s">
        <v>322</v>
      </c>
      <c r="K307" s="25" t="s">
        <v>150</v>
      </c>
      <c r="L307" s="25"/>
      <c r="M307" s="5" t="s">
        <v>66</v>
      </c>
      <c r="N307" s="5" t="s">
        <v>126</v>
      </c>
      <c r="O307" s="5" t="s">
        <v>96</v>
      </c>
      <c r="P307" s="5" t="s">
        <v>107</v>
      </c>
      <c r="Q307" s="5" t="b">
        <v>1</v>
      </c>
      <c r="R307" s="5" t="b">
        <v>0</v>
      </c>
      <c r="S307" s="5"/>
      <c r="T307" s="5">
        <v>2000.0</v>
      </c>
      <c r="U307" s="26">
        <v>2.1</v>
      </c>
      <c r="V307" s="5">
        <v>952.0</v>
      </c>
      <c r="W307" s="27">
        <v>0.0</v>
      </c>
      <c r="X307" s="28">
        <v>952.0</v>
      </c>
      <c r="Y307" s="27">
        <v>1.0</v>
      </c>
      <c r="Z307" s="5" t="s">
        <v>117</v>
      </c>
      <c r="AA307" s="27">
        <v>0.63</v>
      </c>
      <c r="AB307" s="5"/>
      <c r="AC307" s="5" t="s">
        <v>81</v>
      </c>
      <c r="AD307" s="5" t="s">
        <v>81</v>
      </c>
      <c r="AE307" s="24">
        <v>0.0</v>
      </c>
      <c r="AF307" s="5">
        <v>3.0</v>
      </c>
      <c r="AG307" s="5" t="s">
        <v>0</v>
      </c>
      <c r="AH307" s="5" t="s">
        <v>471</v>
      </c>
      <c r="AI307" s="56"/>
      <c r="AJ307" s="28">
        <v>0.0</v>
      </c>
      <c r="AK307" s="28">
        <v>0.0</v>
      </c>
      <c r="AL307" s="28">
        <v>0.0</v>
      </c>
      <c r="AM307" s="28">
        <v>0.0</v>
      </c>
      <c r="AN307" s="28">
        <v>0.0</v>
      </c>
      <c r="AO307" s="28">
        <v>0.0</v>
      </c>
      <c r="AP307" s="28">
        <v>0.0</v>
      </c>
      <c r="AQ307" s="28">
        <v>0.0</v>
      </c>
      <c r="AR307" s="28">
        <v>0.0</v>
      </c>
      <c r="AS307" s="28">
        <v>0.0</v>
      </c>
      <c r="AT307" s="28">
        <v>0.0</v>
      </c>
      <c r="AU307" s="28">
        <v>0.0</v>
      </c>
      <c r="AV307" s="28">
        <v>0.0</v>
      </c>
      <c r="AW307" s="28">
        <v>0.0</v>
      </c>
      <c r="AX307" s="5"/>
      <c r="AY307" s="5" t="s">
        <v>125</v>
      </c>
      <c r="AZ307" s="5" t="s">
        <v>127</v>
      </c>
      <c r="BA307" s="32" t="s">
        <v>264</v>
      </c>
      <c r="BB307" s="5" t="s">
        <v>126</v>
      </c>
      <c r="BC307" s="5" t="s">
        <v>161</v>
      </c>
      <c r="BD307" s="5" t="s">
        <v>130</v>
      </c>
      <c r="BE307" s="5" t="s">
        <v>131</v>
      </c>
      <c r="BF307" s="5" t="s">
        <v>910</v>
      </c>
    </row>
    <row r="308" ht="16.5" hidden="1" customHeight="1">
      <c r="A308" s="5" t="s">
        <v>155</v>
      </c>
      <c r="B308" s="5" t="s">
        <v>137</v>
      </c>
      <c r="C308" s="5" t="b">
        <v>1</v>
      </c>
      <c r="D308" s="71" t="s">
        <v>861</v>
      </c>
      <c r="E308" s="71" t="s">
        <v>862</v>
      </c>
      <c r="F308" s="71"/>
      <c r="G308" s="71" t="s">
        <v>65</v>
      </c>
      <c r="H308" s="71" t="s">
        <v>76</v>
      </c>
      <c r="I308" s="71" t="s">
        <v>82</v>
      </c>
      <c r="J308" s="72" t="s">
        <v>1919</v>
      </c>
      <c r="K308" s="25" t="s">
        <v>150</v>
      </c>
      <c r="L308" s="25"/>
      <c r="M308" s="5" t="s">
        <v>66</v>
      </c>
      <c r="N308" s="5" t="s">
        <v>113</v>
      </c>
      <c r="O308" s="5" t="s">
        <v>96</v>
      </c>
      <c r="P308" s="5" t="s">
        <v>70</v>
      </c>
      <c r="Q308" s="5" t="b">
        <v>1</v>
      </c>
      <c r="R308" s="5" t="b">
        <v>0</v>
      </c>
      <c r="S308" s="5"/>
      <c r="T308" s="5">
        <v>2200.0</v>
      </c>
      <c r="U308" s="26">
        <v>2.1</v>
      </c>
      <c r="V308" s="5">
        <v>1048.0</v>
      </c>
      <c r="W308" s="27">
        <v>0.0</v>
      </c>
      <c r="X308" s="28">
        <v>1048.0</v>
      </c>
      <c r="Y308" s="27">
        <v>1.0</v>
      </c>
      <c r="Z308" s="5" t="s">
        <v>242</v>
      </c>
      <c r="AA308" s="5">
        <v>0.645</v>
      </c>
      <c r="AB308" s="5"/>
      <c r="AC308" s="5" t="s">
        <v>546</v>
      </c>
      <c r="AD308" s="5" t="s">
        <v>81</v>
      </c>
      <c r="AE308" s="5">
        <v>4.0</v>
      </c>
      <c r="AF308" s="5">
        <v>4.0</v>
      </c>
      <c r="AG308" s="5" t="s">
        <v>1649</v>
      </c>
      <c r="AH308" s="5" t="s">
        <v>97</v>
      </c>
      <c r="AI308" s="42"/>
      <c r="AJ308" s="28">
        <v>0.0</v>
      </c>
      <c r="AK308" s="28">
        <v>3125.0</v>
      </c>
      <c r="AL308" s="28">
        <v>0.0</v>
      </c>
      <c r="AM308" s="28">
        <v>0.0</v>
      </c>
      <c r="AN308" s="28">
        <v>0.0</v>
      </c>
      <c r="AO308" s="28">
        <v>0.0</v>
      </c>
      <c r="AP308" s="28">
        <v>3275000.0</v>
      </c>
      <c r="AQ308" s="28">
        <v>0.0</v>
      </c>
      <c r="AR308" s="28">
        <v>0.0</v>
      </c>
      <c r="AS308" s="28">
        <v>0.0</v>
      </c>
      <c r="AT308" s="28">
        <v>0.0</v>
      </c>
      <c r="AU308" s="28">
        <v>1369853.325</v>
      </c>
      <c r="AV308" s="28">
        <v>0.0</v>
      </c>
      <c r="AW308" s="28">
        <v>0.0</v>
      </c>
      <c r="AX308" s="5"/>
      <c r="AY308" s="5" t="str">
        <f t="array" ref="AY308">IFERROR(_xlfn.XLOOKUP($E308,'FW27'!$C$3:$C$1102,'FW27'!$AM$3:$AM$1102),"")</f>
        <v>Outdoor</v>
      </c>
      <c r="AZ308" s="5" t="str">
        <f t="array" ref="AZ308">IFERROR(_xlfn.XLOOKUP($E308,'FW27'!$C$3:$C$1102,'FW27'!$AN$3:$AN$1102),"")</f>
        <v>Trekking</v>
      </c>
      <c r="BB308" s="5" t="str">
        <f t="array" ref="BB308">IFERROR(_xlfn.XLOOKUP($E308,'FW27'!$C$3:$C$1102,'FW27'!$AS$3:$AS$1102),"")</f>
        <v>Softshell</v>
      </c>
      <c r="BC308" s="5" t="str">
        <f t="array" ref="BC308">IFERROR(_xlfn.XLOOKUP($E308,'FW27'!$C$3:$C$1102,'FW27'!$AT$3:$AT$1102),"")</f>
        <v>Pant</v>
      </c>
      <c r="BD308" s="5" t="str">
        <f t="array" ref="BD308">IFERROR(_xlfn.XLOOKUP($E308,'FW27'!$C$3:$C$1102,'FW27'!$AU$3:$AU$1102),"")</f>
        <v>Classic Softshell</v>
      </c>
      <c r="BE308" s="5" t="str">
        <f t="array" ref="BE308">IFERROR(_xlfn.XLOOKUP($E308,'FW27'!$C$3:$C$1102,'FW27'!$AV$3:$AV$1102),"")</f>
        <v>N</v>
      </c>
    </row>
    <row r="309" ht="16.5" hidden="1" customHeight="1">
      <c r="A309" s="5" t="s">
        <v>155</v>
      </c>
      <c r="B309" s="5" t="s">
        <v>137</v>
      </c>
      <c r="C309" s="5" t="b">
        <v>1</v>
      </c>
      <c r="D309" s="71" t="s">
        <v>863</v>
      </c>
      <c r="E309" s="71" t="s">
        <v>864</v>
      </c>
      <c r="F309" s="71"/>
      <c r="G309" s="71" t="s">
        <v>65</v>
      </c>
      <c r="H309" s="71" t="s">
        <v>76</v>
      </c>
      <c r="I309" s="71" t="s">
        <v>82</v>
      </c>
      <c r="J309" s="72" t="s">
        <v>1919</v>
      </c>
      <c r="K309" s="25" t="s">
        <v>150</v>
      </c>
      <c r="L309" s="25"/>
      <c r="M309" s="5" t="s">
        <v>66</v>
      </c>
      <c r="N309" s="5" t="s">
        <v>113</v>
      </c>
      <c r="O309" s="5" t="s">
        <v>96</v>
      </c>
      <c r="P309" s="5" t="s">
        <v>107</v>
      </c>
      <c r="Q309" s="5" t="b">
        <v>1</v>
      </c>
      <c r="R309" s="5" t="b">
        <v>0</v>
      </c>
      <c r="S309" s="5"/>
      <c r="T309" s="5">
        <v>2200.0</v>
      </c>
      <c r="U309" s="26">
        <v>2.1</v>
      </c>
      <c r="V309" s="5">
        <v>1048.0</v>
      </c>
      <c r="W309" s="27">
        <v>0.0</v>
      </c>
      <c r="X309" s="28">
        <v>1048.0</v>
      </c>
      <c r="Y309" s="27">
        <v>1.0</v>
      </c>
      <c r="Z309" s="5" t="s">
        <v>242</v>
      </c>
      <c r="AA309" s="5">
        <v>0.63</v>
      </c>
      <c r="AB309" s="5"/>
      <c r="AC309" s="5" t="s">
        <v>81</v>
      </c>
      <c r="AD309" s="5" t="s">
        <v>81</v>
      </c>
      <c r="AE309" s="5">
        <v>4.0</v>
      </c>
      <c r="AF309" s="5">
        <v>4.0</v>
      </c>
      <c r="AG309" s="5" t="s">
        <v>1651</v>
      </c>
      <c r="AH309" s="5" t="s">
        <v>97</v>
      </c>
      <c r="AI309" s="42"/>
      <c r="AJ309" s="28">
        <v>0.0</v>
      </c>
      <c r="AK309" s="28">
        <v>2121.0</v>
      </c>
      <c r="AL309" s="28">
        <v>0.0</v>
      </c>
      <c r="AM309" s="28">
        <v>0.0</v>
      </c>
      <c r="AN309" s="28">
        <v>0.0</v>
      </c>
      <c r="AO309" s="28">
        <v>0.0</v>
      </c>
      <c r="AP309" s="28">
        <v>2222808.0</v>
      </c>
      <c r="AQ309" s="28">
        <v>0.0</v>
      </c>
      <c r="AR309" s="28">
        <v>0.0</v>
      </c>
      <c r="AS309" s="28">
        <v>0.0</v>
      </c>
      <c r="AT309" s="28">
        <v>0.0</v>
      </c>
      <c r="AU309" s="28">
        <v>1151677.4849999999</v>
      </c>
      <c r="AV309" s="28">
        <v>0.0</v>
      </c>
      <c r="AW309" s="28">
        <v>0.0</v>
      </c>
      <c r="AX309" s="5"/>
      <c r="AY309" s="5" t="str">
        <f t="array" ref="AY309">IFERROR(_xlfn.XLOOKUP($E309,'FW27'!$C$3:$C$1102,'FW27'!$AM$3:$AM$1102),"")</f>
        <v>Outdoor</v>
      </c>
      <c r="AZ309" s="5" t="str">
        <f t="array" ref="AZ309">IFERROR(_xlfn.XLOOKUP($E309,'FW27'!$C$3:$C$1102,'FW27'!$AN$3:$AN$1102),"")</f>
        <v>Trekking</v>
      </c>
      <c r="BB309" s="5" t="str">
        <f t="array" ref="BB309">IFERROR(_xlfn.XLOOKUP($E309,'FW27'!$C$3:$C$1102,'FW27'!$AS$3:$AS$1102),"")</f>
        <v>Softshell</v>
      </c>
      <c r="BC309" s="5" t="str">
        <f t="array" ref="BC309">IFERROR(_xlfn.XLOOKUP($E309,'FW27'!$C$3:$C$1102,'FW27'!$AT$3:$AT$1102),"")</f>
        <v>Pant</v>
      </c>
      <c r="BD309" s="5" t="str">
        <f t="array" ref="BD309">IFERROR(_xlfn.XLOOKUP($E309,'FW27'!$C$3:$C$1102,'FW27'!$AU$3:$AU$1102),"")</f>
        <v>Classic Softshell</v>
      </c>
      <c r="BE309" s="5" t="str">
        <f t="array" ref="BE309">IFERROR(_xlfn.XLOOKUP($E309,'FW27'!$C$3:$C$1102,'FW27'!$AV$3:$AV$1102),"")</f>
        <v>N</v>
      </c>
    </row>
    <row r="310" ht="16.5" hidden="1" customHeight="1">
      <c r="A310" s="5" t="s">
        <v>155</v>
      </c>
      <c r="B310" s="5" t="s">
        <v>215</v>
      </c>
      <c r="C310" s="5" t="b">
        <v>1</v>
      </c>
      <c r="D310" s="5" t="s">
        <v>1652</v>
      </c>
      <c r="E310" s="5" t="s">
        <v>1653</v>
      </c>
      <c r="F310" s="5"/>
      <c r="G310" s="5" t="s">
        <v>65</v>
      </c>
      <c r="H310" s="5" t="s">
        <v>76</v>
      </c>
      <c r="I310" s="5" t="s">
        <v>82</v>
      </c>
      <c r="J310" s="25"/>
      <c r="K310" s="25"/>
      <c r="L310" s="25" t="s">
        <v>110</v>
      </c>
      <c r="M310" s="5" t="s">
        <v>66</v>
      </c>
      <c r="N310" s="5" t="s">
        <v>355</v>
      </c>
      <c r="O310" s="5" t="s">
        <v>69</v>
      </c>
      <c r="P310" s="5" t="s">
        <v>70</v>
      </c>
      <c r="Q310" s="5" t="b">
        <v>1</v>
      </c>
      <c r="R310" s="5" t="b">
        <v>0</v>
      </c>
      <c r="S310" s="5"/>
      <c r="T310" s="5">
        <v>2700.0</v>
      </c>
      <c r="U310" s="26">
        <v>2.1</v>
      </c>
      <c r="V310" s="5">
        <v>1286.0</v>
      </c>
      <c r="W310" s="27">
        <v>0.0</v>
      </c>
      <c r="X310" s="28">
        <v>1286.0</v>
      </c>
      <c r="Y310" s="27">
        <v>1.0</v>
      </c>
      <c r="Z310" s="5" t="s">
        <v>78</v>
      </c>
      <c r="AA310" s="5">
        <v>0.615</v>
      </c>
      <c r="AB310" s="5"/>
      <c r="AC310" s="5" t="s">
        <v>166</v>
      </c>
      <c r="AD310" s="5" t="s">
        <v>198</v>
      </c>
      <c r="AE310" s="5">
        <v>3.0</v>
      </c>
      <c r="AF310" s="5">
        <v>3.0</v>
      </c>
      <c r="AG310" s="5" t="s">
        <v>1654</v>
      </c>
      <c r="AH310" s="5" t="s">
        <v>0</v>
      </c>
      <c r="AI310" s="42"/>
      <c r="AJ310" s="28">
        <v>2007.0</v>
      </c>
      <c r="AK310" s="28">
        <v>2123.0</v>
      </c>
      <c r="AL310" s="28">
        <v>0.0</v>
      </c>
      <c r="AM310" s="28">
        <v>0.0</v>
      </c>
      <c r="AN310" s="28">
        <v>0.0</v>
      </c>
      <c r="AO310" s="28">
        <v>2580419.9699999997</v>
      </c>
      <c r="AP310" s="28">
        <v>2730178.0</v>
      </c>
      <c r="AQ310" s="28">
        <v>0.0</v>
      </c>
      <c r="AR310" s="28">
        <v>0.0</v>
      </c>
      <c r="AS310" s="28">
        <v>0.0</v>
      </c>
      <c r="AT310" s="28">
        <v>2127503.718161683</v>
      </c>
      <c r="AU310" s="28">
        <v>2281248.812358999</v>
      </c>
      <c r="AV310" s="28">
        <v>0.0</v>
      </c>
      <c r="AW310" s="28">
        <v>0.0</v>
      </c>
      <c r="AX310" s="5"/>
      <c r="AY310" s="5" t="str">
        <f t="array" ref="AY310">IFERROR(_xlfn.XLOOKUP($E310,'FW27'!$C$3:$C$1102,'FW27'!$AM$3:$AM$1102),"")</f>
        <v>Essentials</v>
      </c>
      <c r="AZ310" s="5" t="str">
        <f t="array" ref="AZ310">IFERROR(_xlfn.XLOOKUP($E310,'FW27'!$C$3:$C$1102,'FW27'!$AN$3:$AN$1102),"")</f>
        <v>Daily Essentials</v>
      </c>
      <c r="BA310" s="32" t="s">
        <v>454</v>
      </c>
      <c r="BB310" s="5" t="str">
        <f t="array" ref="BB310">IFERROR(_xlfn.XLOOKUP($E310,'FW27'!$C$3:$C$1102,'FW27'!$AS$3:$AS$1102),"")</f>
        <v>Insulation</v>
      </c>
      <c r="BC310" s="5" t="str">
        <f t="array" ref="BC310">IFERROR(_xlfn.XLOOKUP($E310,'FW27'!$C$3:$C$1102,'FW27'!$AT$3:$AT$1102),"")</f>
        <v>Parka</v>
      </c>
      <c r="BD310" s="5" t="str">
        <f t="array" ref="BD310">IFERROR(_xlfn.XLOOKUP($E310,'FW27'!$C$3:$C$1102,'FW27'!$AU$3:$AU$1102),"")</f>
        <v>Insulated</v>
      </c>
      <c r="BE310" s="5" t="str">
        <f t="array" ref="BE310">IFERROR(_xlfn.XLOOKUP($E310,'FW27'!$C$3:$C$1102,'FW27'!$AV$3:$AV$1102),"")</f>
        <v>Y</v>
      </c>
    </row>
    <row r="311" ht="16.5" hidden="1" customHeight="1">
      <c r="A311" s="5" t="s">
        <v>155</v>
      </c>
      <c r="B311" s="5" t="s">
        <v>215</v>
      </c>
      <c r="C311" s="5" t="b">
        <v>1</v>
      </c>
      <c r="D311" s="5" t="s">
        <v>1656</v>
      </c>
      <c r="E311" s="5" t="s">
        <v>1657</v>
      </c>
      <c r="F311" s="5"/>
      <c r="G311" s="5" t="s">
        <v>65</v>
      </c>
      <c r="H311" s="5" t="s">
        <v>76</v>
      </c>
      <c r="I311" s="5" t="s">
        <v>82</v>
      </c>
      <c r="J311" s="25"/>
      <c r="K311" s="25"/>
      <c r="L311" s="25" t="s">
        <v>110</v>
      </c>
      <c r="M311" s="5" t="s">
        <v>66</v>
      </c>
      <c r="N311" s="5" t="s">
        <v>355</v>
      </c>
      <c r="O311" s="5" t="s">
        <v>69</v>
      </c>
      <c r="P311" s="5" t="s">
        <v>107</v>
      </c>
      <c r="Q311" s="5" t="b">
        <v>1</v>
      </c>
      <c r="R311" s="5" t="b">
        <v>0</v>
      </c>
      <c r="S311" s="5"/>
      <c r="T311" s="5">
        <v>2700.0</v>
      </c>
      <c r="U311" s="26">
        <v>2.1</v>
      </c>
      <c r="V311" s="5">
        <v>1286.0</v>
      </c>
      <c r="W311" s="27">
        <v>0.0</v>
      </c>
      <c r="X311" s="28">
        <v>1286.0</v>
      </c>
      <c r="Y311" s="27">
        <v>1.0</v>
      </c>
      <c r="Z311" s="5" t="s">
        <v>78</v>
      </c>
      <c r="AA311" s="5">
        <v>0.654</v>
      </c>
      <c r="AB311" s="5"/>
      <c r="AC311" s="5" t="s">
        <v>166</v>
      </c>
      <c r="AD311" s="5" t="s">
        <v>198</v>
      </c>
      <c r="AE311" s="5">
        <v>3.0</v>
      </c>
      <c r="AF311" s="5">
        <v>3.0</v>
      </c>
      <c r="AG311" s="5" t="s">
        <v>1658</v>
      </c>
      <c r="AH311" s="5" t="s">
        <v>0</v>
      </c>
      <c r="AI311" s="42"/>
      <c r="AJ311" s="28">
        <v>1716.0</v>
      </c>
      <c r="AK311" s="28">
        <v>1852.0</v>
      </c>
      <c r="AL311" s="28">
        <v>0.0</v>
      </c>
      <c r="AM311" s="28">
        <v>0.0</v>
      </c>
      <c r="AN311" s="28">
        <v>0.0</v>
      </c>
      <c r="AO311" s="28">
        <v>2206278.36</v>
      </c>
      <c r="AP311" s="28">
        <v>2381672.0</v>
      </c>
      <c r="AQ311" s="28">
        <v>0.0</v>
      </c>
      <c r="AR311" s="28">
        <v>0.0</v>
      </c>
      <c r="AS311" s="28">
        <v>0.0</v>
      </c>
      <c r="AT311" s="28">
        <v>1890082.1129568103</v>
      </c>
      <c r="AU311" s="28">
        <v>2001284.1411710002</v>
      </c>
      <c r="AV311" s="28">
        <v>0.0</v>
      </c>
      <c r="AW311" s="28">
        <v>0.0</v>
      </c>
      <c r="AX311" s="5"/>
      <c r="AY311" s="5" t="str">
        <f t="array" ref="AY311">IFERROR(_xlfn.XLOOKUP($E311,'FW27'!$C$3:$C$1102,'FW27'!$AM$3:$AM$1102),"")</f>
        <v>Essentials</v>
      </c>
      <c r="AZ311" s="5" t="str">
        <f t="array" ref="AZ311">IFERROR(_xlfn.XLOOKUP($E311,'FW27'!$C$3:$C$1102,'FW27'!$AN$3:$AN$1102),"")</f>
        <v>Daily Essentials</v>
      </c>
      <c r="BA311" s="32" t="s">
        <v>454</v>
      </c>
      <c r="BB311" s="5" t="str">
        <f t="array" ref="BB311">IFERROR(_xlfn.XLOOKUP($E311,'FW27'!$C$3:$C$1102,'FW27'!$AS$3:$AS$1102),"")</f>
        <v>Insulation</v>
      </c>
      <c r="BC311" s="5" t="str">
        <f t="array" ref="BC311">IFERROR(_xlfn.XLOOKUP($E311,'FW27'!$C$3:$C$1102,'FW27'!$AT$3:$AT$1102),"")</f>
        <v>Parka</v>
      </c>
      <c r="BD311" s="5" t="str">
        <f t="array" ref="BD311">IFERROR(_xlfn.XLOOKUP($E311,'FW27'!$C$3:$C$1102,'FW27'!$AU$3:$AU$1102),"")</f>
        <v>Insulated</v>
      </c>
      <c r="BE311" s="5" t="str">
        <f t="array" ref="BE311">IFERROR(_xlfn.XLOOKUP($E311,'FW27'!$C$3:$C$1102,'FW27'!$AV$3:$AV$1102),"")</f>
        <v>Y</v>
      </c>
    </row>
    <row r="312" ht="16.5" hidden="1" customHeight="1">
      <c r="A312" s="5" t="s">
        <v>155</v>
      </c>
      <c r="B312" s="5" t="s">
        <v>200</v>
      </c>
      <c r="C312" s="5" t="b">
        <v>0</v>
      </c>
      <c r="D312" s="5" t="s">
        <v>865</v>
      </c>
      <c r="E312" s="5" t="s">
        <v>866</v>
      </c>
      <c r="F312" s="5"/>
      <c r="G312" s="5" t="s">
        <v>65</v>
      </c>
      <c r="H312" s="5" t="s">
        <v>84</v>
      </c>
      <c r="I312" s="5" t="s">
        <v>106</v>
      </c>
      <c r="J312" s="25" t="s">
        <v>413</v>
      </c>
      <c r="K312" s="25"/>
      <c r="L312" s="25"/>
      <c r="M312" s="5" t="s">
        <v>66</v>
      </c>
      <c r="N312" s="5" t="s">
        <v>334</v>
      </c>
      <c r="O312" s="5" t="s">
        <v>69</v>
      </c>
      <c r="P312" s="5" t="s">
        <v>107</v>
      </c>
      <c r="Q312" s="5" t="b">
        <v>1</v>
      </c>
      <c r="R312" s="5" t="b">
        <v>0</v>
      </c>
      <c r="S312" s="5"/>
      <c r="T312" s="5">
        <v>1200.0</v>
      </c>
      <c r="U312" s="26">
        <v>2.1</v>
      </c>
      <c r="V312" s="5">
        <v>571.0</v>
      </c>
      <c r="W312" s="27">
        <v>0.0</v>
      </c>
      <c r="X312" s="28">
        <v>571.0</v>
      </c>
      <c r="Y312" s="27">
        <v>1.0</v>
      </c>
      <c r="Z312" s="5" t="s">
        <v>78</v>
      </c>
      <c r="AA312" s="5">
        <v>0.57</v>
      </c>
      <c r="AB312" s="5"/>
      <c r="AC312" s="5" t="s">
        <v>81</v>
      </c>
      <c r="AD312" s="5" t="s">
        <v>81</v>
      </c>
      <c r="AE312" s="5">
        <v>3.0</v>
      </c>
      <c r="AF312" s="5">
        <v>3.0</v>
      </c>
      <c r="AG312" s="5" t="s">
        <v>0</v>
      </c>
      <c r="AH312" s="5" t="s">
        <v>0</v>
      </c>
      <c r="AI312" s="42"/>
      <c r="AJ312" s="28">
        <v>0.0</v>
      </c>
      <c r="AK312" s="28">
        <v>0.0</v>
      </c>
      <c r="AL312" s="28">
        <v>0.0</v>
      </c>
      <c r="AM312" s="28">
        <v>1826.0</v>
      </c>
      <c r="AN312" s="28">
        <v>0.0</v>
      </c>
      <c r="AO312" s="28">
        <v>0.0</v>
      </c>
      <c r="AP312" s="28">
        <v>0.0</v>
      </c>
      <c r="AQ312" s="28">
        <v>0.0</v>
      </c>
      <c r="AR312" s="28">
        <v>1043431.1799999997</v>
      </c>
      <c r="AS312" s="28">
        <v>0.0</v>
      </c>
      <c r="AT312" s="28">
        <v>0.0</v>
      </c>
      <c r="AU312" s="28">
        <v>0.0</v>
      </c>
      <c r="AV312" s="28">
        <v>0.0</v>
      </c>
      <c r="AW312" s="28">
        <v>890075.4108527133</v>
      </c>
      <c r="AX312" s="5"/>
      <c r="AY312" s="5" t="s">
        <v>125</v>
      </c>
      <c r="AZ312" s="5" t="s">
        <v>174</v>
      </c>
      <c r="BA312" s="32" t="s">
        <v>264</v>
      </c>
      <c r="BB312" s="5" t="s">
        <v>334</v>
      </c>
      <c r="BC312" s="5" t="s">
        <v>869</v>
      </c>
      <c r="BD312" s="5" t="s">
        <v>539</v>
      </c>
      <c r="BE312" s="5" t="s">
        <v>131</v>
      </c>
      <c r="BF312" s="5" t="s">
        <v>2079</v>
      </c>
    </row>
    <row r="313" ht="16.5" hidden="1" customHeight="1">
      <c r="A313" s="5" t="s">
        <v>155</v>
      </c>
      <c r="B313" s="5" t="s">
        <v>200</v>
      </c>
      <c r="C313" s="5" t="b">
        <v>0</v>
      </c>
      <c r="D313" s="5" t="s">
        <v>870</v>
      </c>
      <c r="E313" s="5" t="s">
        <v>871</v>
      </c>
      <c r="F313" s="5"/>
      <c r="G313" s="5" t="s">
        <v>65</v>
      </c>
      <c r="H313" s="5" t="s">
        <v>84</v>
      </c>
      <c r="I313" s="5" t="s">
        <v>106</v>
      </c>
      <c r="J313" s="25" t="s">
        <v>413</v>
      </c>
      <c r="K313" s="25"/>
      <c r="L313" s="25"/>
      <c r="M313" s="5" t="s">
        <v>66</v>
      </c>
      <c r="N313" s="5" t="s">
        <v>334</v>
      </c>
      <c r="O313" s="5" t="s">
        <v>69</v>
      </c>
      <c r="P313" s="5" t="s">
        <v>70</v>
      </c>
      <c r="Q313" s="5" t="b">
        <v>1</v>
      </c>
      <c r="R313" s="5" t="b">
        <v>0</v>
      </c>
      <c r="S313" s="5"/>
      <c r="T313" s="5">
        <v>1000.0</v>
      </c>
      <c r="U313" s="26">
        <v>2.1</v>
      </c>
      <c r="V313" s="5">
        <v>476.0</v>
      </c>
      <c r="W313" s="27">
        <v>0.0</v>
      </c>
      <c r="X313" s="28">
        <v>476.0</v>
      </c>
      <c r="Y313" s="27">
        <v>1.0</v>
      </c>
      <c r="Z313" s="5" t="s">
        <v>117</v>
      </c>
      <c r="AA313" s="5">
        <v>0.6</v>
      </c>
      <c r="AB313" s="5"/>
      <c r="AC313" s="5" t="s">
        <v>81</v>
      </c>
      <c r="AD313" s="5" t="s">
        <v>81</v>
      </c>
      <c r="AE313" s="5">
        <v>4.0</v>
      </c>
      <c r="AF313" s="5">
        <v>3.0</v>
      </c>
      <c r="AG313" s="5" t="s">
        <v>2080</v>
      </c>
      <c r="AH313" s="5" t="s">
        <v>0</v>
      </c>
      <c r="AI313" s="42"/>
      <c r="AJ313" s="28">
        <v>0.0</v>
      </c>
      <c r="AK313" s="28">
        <v>0.0</v>
      </c>
      <c r="AL313" s="28">
        <v>0.0</v>
      </c>
      <c r="AM313" s="28">
        <v>2740.0</v>
      </c>
      <c r="AN313" s="28">
        <v>0.0</v>
      </c>
      <c r="AO313" s="28">
        <v>0.0</v>
      </c>
      <c r="AP313" s="28">
        <v>0.0</v>
      </c>
      <c r="AQ313" s="28">
        <v>0.0</v>
      </c>
      <c r="AR313" s="28">
        <v>1304760.6</v>
      </c>
      <c r="AS313" s="28">
        <v>0.0</v>
      </c>
      <c r="AT313" s="28">
        <v>0.0</v>
      </c>
      <c r="AU313" s="28">
        <v>0.0</v>
      </c>
      <c r="AV313" s="28">
        <v>0.0</v>
      </c>
      <c r="AW313" s="28">
        <v>1087161.4841638978</v>
      </c>
      <c r="AX313" s="5"/>
      <c r="AY313" s="5" t="s">
        <v>125</v>
      </c>
      <c r="AZ313" s="5" t="s">
        <v>174</v>
      </c>
      <c r="BA313" s="32" t="s">
        <v>264</v>
      </c>
      <c r="BB313" s="5" t="s">
        <v>334</v>
      </c>
      <c r="BC313" s="5" t="s">
        <v>872</v>
      </c>
      <c r="BD313" s="5" t="s">
        <v>539</v>
      </c>
      <c r="BE313" s="5" t="s">
        <v>131</v>
      </c>
      <c r="BF313" s="5" t="s">
        <v>2081</v>
      </c>
    </row>
    <row r="314" ht="16.5" hidden="1" customHeight="1">
      <c r="A314" s="5" t="s">
        <v>155</v>
      </c>
      <c r="B314" s="5" t="s">
        <v>200</v>
      </c>
      <c r="C314" s="5" t="b">
        <v>0</v>
      </c>
      <c r="D314" s="5" t="s">
        <v>874</v>
      </c>
      <c r="E314" s="5" t="s">
        <v>875</v>
      </c>
      <c r="F314" s="5"/>
      <c r="G314" s="5" t="s">
        <v>65</v>
      </c>
      <c r="H314" s="5" t="s">
        <v>84</v>
      </c>
      <c r="I314" s="5" t="s">
        <v>106</v>
      </c>
      <c r="J314" s="25" t="s">
        <v>413</v>
      </c>
      <c r="K314" s="25"/>
      <c r="L314" s="25"/>
      <c r="M314" s="5" t="s">
        <v>66</v>
      </c>
      <c r="N314" s="5" t="s">
        <v>334</v>
      </c>
      <c r="O314" s="5" t="s">
        <v>69</v>
      </c>
      <c r="P314" s="5" t="s">
        <v>107</v>
      </c>
      <c r="Q314" s="5" t="b">
        <v>1</v>
      </c>
      <c r="R314" s="5" t="b">
        <v>0</v>
      </c>
      <c r="S314" s="5"/>
      <c r="T314" s="5">
        <v>1000.0</v>
      </c>
      <c r="U314" s="26">
        <v>2.1</v>
      </c>
      <c r="V314" s="5">
        <v>476.0</v>
      </c>
      <c r="W314" s="27">
        <v>0.0</v>
      </c>
      <c r="X314" s="28">
        <v>476.0</v>
      </c>
      <c r="Y314" s="27">
        <v>1.0</v>
      </c>
      <c r="Z314" s="5" t="s">
        <v>117</v>
      </c>
      <c r="AA314" s="5">
        <v>0.62</v>
      </c>
      <c r="AB314" s="5"/>
      <c r="AC314" s="5" t="s">
        <v>81</v>
      </c>
      <c r="AD314" s="5" t="s">
        <v>81</v>
      </c>
      <c r="AE314" s="5">
        <v>3.0</v>
      </c>
      <c r="AF314" s="5">
        <v>3.0</v>
      </c>
      <c r="AG314" s="5" t="s">
        <v>0</v>
      </c>
      <c r="AH314" s="5" t="s">
        <v>0</v>
      </c>
      <c r="AI314" s="42"/>
      <c r="AJ314" s="28">
        <v>0.0</v>
      </c>
      <c r="AK314" s="28">
        <v>0.0</v>
      </c>
      <c r="AL314" s="28">
        <v>0.0</v>
      </c>
      <c r="AM314" s="28">
        <v>1405.0</v>
      </c>
      <c r="AN314" s="28">
        <v>0.0</v>
      </c>
      <c r="AO314" s="28">
        <v>0.0</v>
      </c>
      <c r="AP314" s="28">
        <v>0.0</v>
      </c>
      <c r="AQ314" s="28">
        <v>0.0</v>
      </c>
      <c r="AR314" s="28">
        <v>669046.9500000002</v>
      </c>
      <c r="AS314" s="28">
        <v>0.0</v>
      </c>
      <c r="AT314" s="28">
        <v>0.0</v>
      </c>
      <c r="AU314" s="28">
        <v>0.0</v>
      </c>
      <c r="AV314" s="28">
        <v>0.0</v>
      </c>
      <c r="AW314" s="28">
        <v>549446.0934662237</v>
      </c>
      <c r="AX314" s="5"/>
      <c r="AY314" s="5" t="s">
        <v>125</v>
      </c>
      <c r="AZ314" s="5" t="s">
        <v>174</v>
      </c>
      <c r="BA314" s="32" t="s">
        <v>264</v>
      </c>
      <c r="BB314" s="5" t="s">
        <v>334</v>
      </c>
      <c r="BC314" s="5" t="s">
        <v>872</v>
      </c>
      <c r="BD314" s="5" t="s">
        <v>539</v>
      </c>
      <c r="BE314" s="5" t="s">
        <v>131</v>
      </c>
      <c r="BF314" s="5" t="s">
        <v>2081</v>
      </c>
    </row>
    <row r="315" ht="16.5" hidden="1" customHeight="1">
      <c r="A315" s="5" t="s">
        <v>155</v>
      </c>
      <c r="B315" s="5" t="s">
        <v>200</v>
      </c>
      <c r="C315" s="5" t="b">
        <v>0</v>
      </c>
      <c r="D315" s="5" t="s">
        <v>877</v>
      </c>
      <c r="E315" s="5" t="s">
        <v>878</v>
      </c>
      <c r="F315" s="5"/>
      <c r="G315" s="5" t="s">
        <v>65</v>
      </c>
      <c r="H315" s="5" t="s">
        <v>84</v>
      </c>
      <c r="I315" s="5" t="s">
        <v>106</v>
      </c>
      <c r="J315" s="25" t="s">
        <v>413</v>
      </c>
      <c r="K315" s="25"/>
      <c r="L315" s="25"/>
      <c r="M315" s="5" t="s">
        <v>66</v>
      </c>
      <c r="N315" s="5" t="s">
        <v>334</v>
      </c>
      <c r="O315" s="5" t="s">
        <v>69</v>
      </c>
      <c r="P315" s="5" t="s">
        <v>70</v>
      </c>
      <c r="Q315" s="5" t="b">
        <v>1</v>
      </c>
      <c r="R315" s="5" t="b">
        <v>0</v>
      </c>
      <c r="S315" s="5"/>
      <c r="T315" s="5">
        <v>900.0</v>
      </c>
      <c r="U315" s="26">
        <v>2.1</v>
      </c>
      <c r="V315" s="5">
        <v>429.0</v>
      </c>
      <c r="W315" s="27">
        <v>0.0</v>
      </c>
      <c r="X315" s="28">
        <v>429.0</v>
      </c>
      <c r="Y315" s="27">
        <v>1.0</v>
      </c>
      <c r="Z315" s="5" t="s">
        <v>117</v>
      </c>
      <c r="AA315" s="5">
        <v>0.6</v>
      </c>
      <c r="AB315" s="5"/>
      <c r="AC315" s="5" t="s">
        <v>81</v>
      </c>
      <c r="AD315" s="5" t="s">
        <v>81</v>
      </c>
      <c r="AE315" s="5">
        <v>4.0</v>
      </c>
      <c r="AF315" s="5">
        <v>3.0</v>
      </c>
      <c r="AG315" s="5" t="s">
        <v>2080</v>
      </c>
      <c r="AH315" s="5" t="s">
        <v>0</v>
      </c>
      <c r="AI315" s="42"/>
      <c r="AJ315" s="28">
        <v>0.0</v>
      </c>
      <c r="AK315" s="28">
        <v>0.0</v>
      </c>
      <c r="AL315" s="28">
        <v>0.0</v>
      </c>
      <c r="AM315" s="28">
        <v>2875.0</v>
      </c>
      <c r="AN315" s="28">
        <v>0.0</v>
      </c>
      <c r="AO315" s="28">
        <v>0.0</v>
      </c>
      <c r="AP315" s="28">
        <v>0.0</v>
      </c>
      <c r="AQ315" s="28">
        <v>0.0</v>
      </c>
      <c r="AR315" s="28">
        <v>1232138.75</v>
      </c>
      <c r="AS315" s="28">
        <v>0.0</v>
      </c>
      <c r="AT315" s="28">
        <v>0.0</v>
      </c>
      <c r="AU315" s="28">
        <v>0.0</v>
      </c>
      <c r="AV315" s="28">
        <v>0.0</v>
      </c>
      <c r="AW315" s="28">
        <v>947532.663676633</v>
      </c>
      <c r="AX315" s="5"/>
      <c r="AY315" s="5" t="s">
        <v>125</v>
      </c>
      <c r="AZ315" s="5" t="s">
        <v>174</v>
      </c>
      <c r="BA315" s="32" t="s">
        <v>264</v>
      </c>
      <c r="BB315" s="5" t="s">
        <v>334</v>
      </c>
      <c r="BC315" s="5" t="s">
        <v>872</v>
      </c>
      <c r="BD315" s="5" t="s">
        <v>539</v>
      </c>
      <c r="BE315" s="5" t="s">
        <v>131</v>
      </c>
      <c r="BF315" s="5" t="s">
        <v>2081</v>
      </c>
    </row>
    <row r="316" ht="16.5" hidden="1" customHeight="1">
      <c r="A316" s="5" t="s">
        <v>155</v>
      </c>
      <c r="B316" s="5" t="s">
        <v>215</v>
      </c>
      <c r="C316" s="5" t="b">
        <v>1</v>
      </c>
      <c r="D316" s="5" t="s">
        <v>1663</v>
      </c>
      <c r="E316" s="5" t="s">
        <v>1664</v>
      </c>
      <c r="F316" s="5"/>
      <c r="G316" s="5" t="s">
        <v>65</v>
      </c>
      <c r="H316" s="5" t="s">
        <v>76</v>
      </c>
      <c r="I316" s="5" t="s">
        <v>82</v>
      </c>
      <c r="J316" s="25"/>
      <c r="K316" s="25"/>
      <c r="L316" s="25" t="s">
        <v>110</v>
      </c>
      <c r="M316" s="5" t="s">
        <v>220</v>
      </c>
      <c r="N316" s="5" t="s">
        <v>68</v>
      </c>
      <c r="O316" s="5" t="s">
        <v>69</v>
      </c>
      <c r="P316" s="5" t="s">
        <v>70</v>
      </c>
      <c r="Q316" s="5" t="b">
        <v>1</v>
      </c>
      <c r="R316" s="5" t="b">
        <v>0</v>
      </c>
      <c r="S316" s="5"/>
      <c r="T316" s="5">
        <v>3200.0</v>
      </c>
      <c r="U316" s="26">
        <v>2.1</v>
      </c>
      <c r="V316" s="5">
        <v>1524.0</v>
      </c>
      <c r="W316" s="27">
        <v>0.0</v>
      </c>
      <c r="X316" s="28">
        <v>1524.0</v>
      </c>
      <c r="Y316" s="27">
        <v>1.0</v>
      </c>
      <c r="Z316" s="5" t="s">
        <v>78</v>
      </c>
      <c r="AA316" s="5">
        <v>0.6</v>
      </c>
      <c r="AB316" s="5"/>
      <c r="AC316" s="5" t="s">
        <v>166</v>
      </c>
      <c r="AD316" s="5" t="s">
        <v>81</v>
      </c>
      <c r="AE316" s="5">
        <v>3.0</v>
      </c>
      <c r="AF316" s="5">
        <v>3.0</v>
      </c>
      <c r="AG316" s="5" t="s">
        <v>1665</v>
      </c>
      <c r="AH316" s="5" t="s">
        <v>0</v>
      </c>
      <c r="AI316" s="42"/>
      <c r="AJ316" s="28">
        <v>1789.0</v>
      </c>
      <c r="AK316" s="28">
        <v>0.0</v>
      </c>
      <c r="AL316" s="28">
        <v>0.0</v>
      </c>
      <c r="AM316" s="28">
        <v>0.0</v>
      </c>
      <c r="AN316" s="28">
        <v>0.0</v>
      </c>
      <c r="AO316" s="28">
        <v>2726096.09</v>
      </c>
      <c r="AP316" s="28">
        <v>0.0</v>
      </c>
      <c r="AQ316" s="28">
        <v>0.0</v>
      </c>
      <c r="AR316" s="28">
        <v>0.0</v>
      </c>
      <c r="AS316" s="28">
        <v>0.0</v>
      </c>
      <c r="AT316" s="28">
        <v>2396870.2248062016</v>
      </c>
      <c r="AU316" s="28">
        <v>0.0</v>
      </c>
      <c r="AV316" s="28">
        <v>0.0</v>
      </c>
      <c r="AW316" s="28">
        <v>0.0</v>
      </c>
      <c r="AX316" s="5"/>
      <c r="AY316" s="5" t="str">
        <f t="array" ref="AY316">IFERROR(_xlfn.XLOOKUP($E316,'FW27'!$C$3:$C$1102,'FW27'!$AM$3:$AM$1102),"")</f>
        <v>Skiing/Snowboarding</v>
      </c>
      <c r="AZ316" s="5" t="str">
        <f t="array" ref="AZ316">IFERROR(_xlfn.XLOOKUP($E316,'FW27'!$C$3:$C$1102,'FW27'!$AN$3:$AN$1102),"")</f>
        <v>All Mountain</v>
      </c>
      <c r="BA316" s="5" t="s">
        <v>1558</v>
      </c>
      <c r="BB316" s="5" t="str">
        <f t="array" ref="BB316">IFERROR(_xlfn.XLOOKUP($E316,'FW27'!$C$3:$C$1102,'FW27'!$AS$3:$AS$1102),"")</f>
        <v>Shell</v>
      </c>
      <c r="BC316" s="5" t="str">
        <f t="array" ref="BC316">IFERROR(_xlfn.XLOOKUP($E316,'FW27'!$C$3:$C$1102,'FW27'!$AT$3:$AT$1102),"")</f>
        <v>Jacket</v>
      </c>
      <c r="BD316" s="5" t="str">
        <f t="array" ref="BD316">IFERROR(_xlfn.XLOOKUP($E316,'FW27'!$C$3:$C$1102,'FW27'!$AU$3:$AU$1102),"")</f>
        <v>2L</v>
      </c>
      <c r="BE316" s="5" t="str">
        <f t="array" ref="BE316">IFERROR(_xlfn.XLOOKUP($E316,'FW27'!$C$3:$C$1102,'FW27'!$AV$3:$AV$1102),"")</f>
        <v>Y</v>
      </c>
    </row>
    <row r="317" ht="16.5" hidden="1" customHeight="1">
      <c r="A317" s="5" t="s">
        <v>155</v>
      </c>
      <c r="B317" s="5" t="s">
        <v>215</v>
      </c>
      <c r="C317" s="5" t="b">
        <v>1</v>
      </c>
      <c r="D317" s="5" t="s">
        <v>1666</v>
      </c>
      <c r="E317" s="5" t="s">
        <v>1667</v>
      </c>
      <c r="F317" s="5"/>
      <c r="G317" s="5" t="s">
        <v>65</v>
      </c>
      <c r="H317" s="5" t="s">
        <v>76</v>
      </c>
      <c r="I317" s="5" t="s">
        <v>82</v>
      </c>
      <c r="J317" s="25"/>
      <c r="K317" s="25"/>
      <c r="L317" s="25" t="s">
        <v>110</v>
      </c>
      <c r="M317" s="5" t="s">
        <v>220</v>
      </c>
      <c r="N317" s="5" t="s">
        <v>68</v>
      </c>
      <c r="O317" s="5" t="s">
        <v>69</v>
      </c>
      <c r="P317" s="5" t="s">
        <v>107</v>
      </c>
      <c r="Q317" s="5" t="b">
        <v>1</v>
      </c>
      <c r="R317" s="5" t="b">
        <v>0</v>
      </c>
      <c r="S317" s="5"/>
      <c r="T317" s="5">
        <v>3200.0</v>
      </c>
      <c r="U317" s="26">
        <v>2.1</v>
      </c>
      <c r="V317" s="5">
        <v>1524.0</v>
      </c>
      <c r="W317" s="27">
        <v>0.0</v>
      </c>
      <c r="X317" s="28">
        <v>1524.0</v>
      </c>
      <c r="Y317" s="27">
        <v>1.0</v>
      </c>
      <c r="Z317" s="5" t="s">
        <v>78</v>
      </c>
      <c r="AA317" s="5">
        <v>0.62</v>
      </c>
      <c r="AB317" s="5"/>
      <c r="AC317" s="5" t="s">
        <v>166</v>
      </c>
      <c r="AD317" s="5" t="s">
        <v>81</v>
      </c>
      <c r="AE317" s="5">
        <v>3.0</v>
      </c>
      <c r="AF317" s="5">
        <v>3.0</v>
      </c>
      <c r="AG317" s="5" t="s">
        <v>1665</v>
      </c>
      <c r="AH317" s="5" t="s">
        <v>0</v>
      </c>
      <c r="AI317" s="42"/>
      <c r="AJ317" s="28">
        <v>1185.0</v>
      </c>
      <c r="AK317" s="28">
        <v>0.0</v>
      </c>
      <c r="AL317" s="28">
        <v>0.0</v>
      </c>
      <c r="AM317" s="28">
        <v>0.0</v>
      </c>
      <c r="AN317" s="28">
        <v>0.0</v>
      </c>
      <c r="AO317" s="28">
        <v>1805714.8499999999</v>
      </c>
      <c r="AP317" s="28">
        <v>0.0</v>
      </c>
      <c r="AQ317" s="28">
        <v>0.0</v>
      </c>
      <c r="AR317" s="28">
        <v>0.0</v>
      </c>
      <c r="AS317" s="28">
        <v>0.0</v>
      </c>
      <c r="AT317" s="28">
        <v>1628528.5199335548</v>
      </c>
      <c r="AU317" s="28">
        <v>0.0</v>
      </c>
      <c r="AV317" s="28">
        <v>0.0</v>
      </c>
      <c r="AW317" s="28">
        <v>0.0</v>
      </c>
      <c r="AX317" s="5"/>
      <c r="AY317" s="5" t="str">
        <f t="array" ref="AY317">IFERROR(_xlfn.XLOOKUP($E317,'FW27'!$C$3:$C$1102,'FW27'!$AM$3:$AM$1102),"")</f>
        <v>Skiing/Snowboarding</v>
      </c>
      <c r="AZ317" s="5" t="str">
        <f t="array" ref="AZ317">IFERROR(_xlfn.XLOOKUP($E317,'FW27'!$C$3:$C$1102,'FW27'!$AN$3:$AN$1102),"")</f>
        <v>All Mountain</v>
      </c>
      <c r="BA317" s="5" t="s">
        <v>1558</v>
      </c>
      <c r="BB317" s="5" t="str">
        <f t="array" ref="BB317">IFERROR(_xlfn.XLOOKUP($E317,'FW27'!$C$3:$C$1102,'FW27'!$AS$3:$AS$1102),"")</f>
        <v>Shell</v>
      </c>
      <c r="BC317" s="5" t="str">
        <f t="array" ref="BC317">IFERROR(_xlfn.XLOOKUP($E317,'FW27'!$C$3:$C$1102,'FW27'!$AT$3:$AT$1102),"")</f>
        <v>Jacket</v>
      </c>
      <c r="BD317" s="5" t="str">
        <f t="array" ref="BD317">IFERROR(_xlfn.XLOOKUP($E317,'FW27'!$C$3:$C$1102,'FW27'!$AU$3:$AU$1102),"")</f>
        <v>2L</v>
      </c>
      <c r="BE317" s="5" t="str">
        <f t="array" ref="BE317">IFERROR(_xlfn.XLOOKUP($E317,'FW27'!$C$3:$C$1102,'FW27'!$AV$3:$AV$1102),"")</f>
        <v>Y</v>
      </c>
    </row>
    <row r="318" ht="16.5" hidden="1" customHeight="1">
      <c r="A318" s="5" t="s">
        <v>155</v>
      </c>
      <c r="B318" s="5" t="s">
        <v>215</v>
      </c>
      <c r="C318" s="5" t="b">
        <v>1</v>
      </c>
      <c r="D318" s="5" t="s">
        <v>1668</v>
      </c>
      <c r="E318" s="5" t="s">
        <v>1669</v>
      </c>
      <c r="F318" s="5"/>
      <c r="G318" s="5" t="s">
        <v>65</v>
      </c>
      <c r="H318" s="5" t="s">
        <v>76</v>
      </c>
      <c r="I318" s="5" t="s">
        <v>82</v>
      </c>
      <c r="J318" s="25"/>
      <c r="K318" s="25"/>
      <c r="L318" s="25" t="s">
        <v>181</v>
      </c>
      <c r="M318" s="5" t="s">
        <v>220</v>
      </c>
      <c r="N318" s="5" t="s">
        <v>68</v>
      </c>
      <c r="O318" s="5" t="s">
        <v>69</v>
      </c>
      <c r="P318" s="5" t="s">
        <v>70</v>
      </c>
      <c r="Q318" s="5" t="b">
        <v>1</v>
      </c>
      <c r="R318" s="5" t="b">
        <v>0</v>
      </c>
      <c r="S318" s="5"/>
      <c r="T318" s="5">
        <v>2800.0</v>
      </c>
      <c r="U318" s="26">
        <v>2.1</v>
      </c>
      <c r="V318" s="5">
        <v>1333.0</v>
      </c>
      <c r="W318" s="27">
        <v>0.0</v>
      </c>
      <c r="X318" s="28">
        <v>1333.0</v>
      </c>
      <c r="Y318" s="27">
        <v>1.0</v>
      </c>
      <c r="Z318" s="5" t="s">
        <v>78</v>
      </c>
      <c r="AA318" s="5">
        <v>0.6</v>
      </c>
      <c r="AB318" s="5"/>
      <c r="AC318" s="5" t="s">
        <v>166</v>
      </c>
      <c r="AD318" s="5" t="s">
        <v>81</v>
      </c>
      <c r="AE318" s="5">
        <v>3.0</v>
      </c>
      <c r="AF318" s="5">
        <v>3.0</v>
      </c>
      <c r="AG318" s="5" t="s">
        <v>1665</v>
      </c>
      <c r="AH318" s="5" t="s">
        <v>0</v>
      </c>
      <c r="AI318" s="42"/>
      <c r="AJ318" s="28">
        <v>1455.0</v>
      </c>
      <c r="AK318" s="28">
        <v>0.0</v>
      </c>
      <c r="AL318" s="28">
        <v>0.0</v>
      </c>
      <c r="AM318" s="28">
        <v>0.0</v>
      </c>
      <c r="AN318" s="28">
        <v>0.0</v>
      </c>
      <c r="AO318" s="28">
        <v>1939995.15</v>
      </c>
      <c r="AP318" s="28">
        <v>0.0</v>
      </c>
      <c r="AQ318" s="28">
        <v>0.0</v>
      </c>
      <c r="AR318" s="28">
        <v>0.0</v>
      </c>
      <c r="AS318" s="28">
        <v>0.0</v>
      </c>
      <c r="AT318" s="28">
        <v>1719079.7491694351</v>
      </c>
      <c r="AU318" s="28">
        <v>0.0</v>
      </c>
      <c r="AV318" s="28">
        <v>0.0</v>
      </c>
      <c r="AW318" s="28">
        <v>0.0</v>
      </c>
      <c r="AX318" s="5"/>
      <c r="AY318" s="5" t="str">
        <f t="array" ref="AY318">IFERROR(_xlfn.XLOOKUP($E318,'FW27'!$C$3:$C$1102,'FW27'!$AM$3:$AM$1102),"")</f>
        <v>Skiing/Snowboarding</v>
      </c>
      <c r="AZ318" s="5" t="str">
        <f t="array" ref="AZ318">IFERROR(_xlfn.XLOOKUP($E318,'FW27'!$C$3:$C$1102,'FW27'!$AN$3:$AN$1102),"")</f>
        <v>All Mountain</v>
      </c>
      <c r="BA318" s="5" t="s">
        <v>1558</v>
      </c>
      <c r="BB318" s="5" t="str">
        <f t="array" ref="BB318">IFERROR(_xlfn.XLOOKUP($E318,'FW27'!$C$3:$C$1102,'FW27'!$AS$3:$AS$1102),"")</f>
        <v>Shell</v>
      </c>
      <c r="BC318" s="5" t="str">
        <f t="array" ref="BC318">IFERROR(_xlfn.XLOOKUP($E318,'FW27'!$C$3:$C$1102,'FW27'!$AT$3:$AT$1102),"")</f>
        <v>Pant</v>
      </c>
      <c r="BD318" s="5" t="str">
        <f t="array" ref="BD318">IFERROR(_xlfn.XLOOKUP($E318,'FW27'!$C$3:$C$1102,'FW27'!$AU$3:$AU$1102),"")</f>
        <v>2L</v>
      </c>
      <c r="BE318" s="5" t="str">
        <f t="array" ref="BE318">IFERROR(_xlfn.XLOOKUP($E318,'FW27'!$C$3:$C$1102,'FW27'!$AV$3:$AV$1102),"")</f>
        <v>Y</v>
      </c>
    </row>
    <row r="319" ht="16.5" hidden="1" customHeight="1">
      <c r="A319" s="5" t="s">
        <v>155</v>
      </c>
      <c r="B319" s="5" t="s">
        <v>215</v>
      </c>
      <c r="C319" s="5" t="b">
        <v>1</v>
      </c>
      <c r="D319" s="5" t="s">
        <v>1670</v>
      </c>
      <c r="E319" s="5" t="s">
        <v>1671</v>
      </c>
      <c r="F319" s="5"/>
      <c r="G319" s="5" t="s">
        <v>65</v>
      </c>
      <c r="H319" s="5" t="s">
        <v>76</v>
      </c>
      <c r="I319" s="5" t="s">
        <v>82</v>
      </c>
      <c r="J319" s="25"/>
      <c r="K319" s="25"/>
      <c r="L319" s="25" t="s">
        <v>181</v>
      </c>
      <c r="M319" s="5" t="s">
        <v>220</v>
      </c>
      <c r="N319" s="5" t="s">
        <v>68</v>
      </c>
      <c r="O319" s="5" t="s">
        <v>69</v>
      </c>
      <c r="P319" s="5" t="s">
        <v>107</v>
      </c>
      <c r="Q319" s="5" t="b">
        <v>1</v>
      </c>
      <c r="R319" s="5" t="b">
        <v>0</v>
      </c>
      <c r="S319" s="5"/>
      <c r="T319" s="5">
        <v>2800.0</v>
      </c>
      <c r="U319" s="26">
        <v>2.1</v>
      </c>
      <c r="V319" s="5">
        <v>1333.0</v>
      </c>
      <c r="W319" s="27">
        <v>0.0</v>
      </c>
      <c r="X319" s="28">
        <v>1333.0</v>
      </c>
      <c r="Y319" s="27">
        <v>1.0</v>
      </c>
      <c r="Z319" s="5" t="s">
        <v>78</v>
      </c>
      <c r="AA319" s="5">
        <v>0.61</v>
      </c>
      <c r="AB319" s="5"/>
      <c r="AC319" s="5" t="s">
        <v>166</v>
      </c>
      <c r="AD319" s="5" t="s">
        <v>81</v>
      </c>
      <c r="AE319" s="5">
        <v>3.0</v>
      </c>
      <c r="AF319" s="5">
        <v>3.0</v>
      </c>
      <c r="AG319" s="5" t="s">
        <v>1665</v>
      </c>
      <c r="AH319" s="5" t="s">
        <v>0</v>
      </c>
      <c r="AI319" s="42"/>
      <c r="AJ319" s="28">
        <v>1057.0</v>
      </c>
      <c r="AK319" s="28">
        <v>0.0</v>
      </c>
      <c r="AL319" s="28">
        <v>0.0</v>
      </c>
      <c r="AM319" s="28">
        <v>0.0</v>
      </c>
      <c r="AN319" s="28">
        <v>0.0</v>
      </c>
      <c r="AO319" s="28">
        <v>1409329.8099999998</v>
      </c>
      <c r="AP319" s="28">
        <v>0.0</v>
      </c>
      <c r="AQ319" s="28">
        <v>0.0</v>
      </c>
      <c r="AR319" s="28">
        <v>0.0</v>
      </c>
      <c r="AS319" s="28">
        <v>0.0</v>
      </c>
      <c r="AT319" s="28">
        <v>1271345.1256921373</v>
      </c>
      <c r="AU319" s="28">
        <v>0.0</v>
      </c>
      <c r="AV319" s="28">
        <v>0.0</v>
      </c>
      <c r="AW319" s="28">
        <v>0.0</v>
      </c>
      <c r="AX319" s="5"/>
      <c r="AY319" s="5" t="str">
        <f t="array" ref="AY319">IFERROR(_xlfn.XLOOKUP($E319,'FW27'!$C$3:$C$1102,'FW27'!$AM$3:$AM$1102),"")</f>
        <v>Skiing/Snowboarding</v>
      </c>
      <c r="AZ319" s="5" t="str">
        <f t="array" ref="AZ319">IFERROR(_xlfn.XLOOKUP($E319,'FW27'!$C$3:$C$1102,'FW27'!$AN$3:$AN$1102),"")</f>
        <v>All Mountain</v>
      </c>
      <c r="BA319" s="5" t="s">
        <v>1558</v>
      </c>
      <c r="BB319" s="5" t="str">
        <f t="array" ref="BB319">IFERROR(_xlfn.XLOOKUP($E319,'FW27'!$C$3:$C$1102,'FW27'!$AS$3:$AS$1102),"")</f>
        <v>Shell</v>
      </c>
      <c r="BC319" s="5" t="str">
        <f t="array" ref="BC319">IFERROR(_xlfn.XLOOKUP($E319,'FW27'!$C$3:$C$1102,'FW27'!$AT$3:$AT$1102),"")</f>
        <v>Pant</v>
      </c>
      <c r="BD319" s="5" t="str">
        <f t="array" ref="BD319">IFERROR(_xlfn.XLOOKUP($E319,'FW27'!$C$3:$C$1102,'FW27'!$AU$3:$AU$1102),"")</f>
        <v>2L</v>
      </c>
      <c r="BE319" s="5" t="str">
        <f t="array" ref="BE319">IFERROR(_xlfn.XLOOKUP($E319,'FW27'!$C$3:$C$1102,'FW27'!$AV$3:$AV$1102),"")</f>
        <v>Y</v>
      </c>
    </row>
    <row r="320" ht="16.5" hidden="1" customHeight="1">
      <c r="A320" s="5" t="s">
        <v>155</v>
      </c>
      <c r="B320" s="5" t="s">
        <v>137</v>
      </c>
      <c r="C320" s="5" t="b">
        <v>0</v>
      </c>
      <c r="D320" s="5" t="s">
        <v>892</v>
      </c>
      <c r="E320" s="5" t="s">
        <v>893</v>
      </c>
      <c r="F320" s="5"/>
      <c r="G320" s="5" t="s">
        <v>65</v>
      </c>
      <c r="H320" s="5" t="s">
        <v>76</v>
      </c>
      <c r="I320" s="5" t="s">
        <v>106</v>
      </c>
      <c r="J320" s="25" t="s">
        <v>530</v>
      </c>
      <c r="K320" s="25"/>
      <c r="L320" s="25" t="s">
        <v>181</v>
      </c>
      <c r="M320" s="5" t="s">
        <v>66</v>
      </c>
      <c r="N320" s="5" t="s">
        <v>68</v>
      </c>
      <c r="O320" s="5" t="s">
        <v>69</v>
      </c>
      <c r="P320" s="5" t="s">
        <v>70</v>
      </c>
      <c r="Q320" s="5" t="b">
        <v>1</v>
      </c>
      <c r="R320" s="5" t="b">
        <v>0</v>
      </c>
      <c r="S320" s="5"/>
      <c r="T320" s="5">
        <v>2000.0</v>
      </c>
      <c r="U320" s="26">
        <v>2.1</v>
      </c>
      <c r="V320" s="5">
        <v>952.0</v>
      </c>
      <c r="W320" s="27">
        <v>0.0</v>
      </c>
      <c r="X320" s="28">
        <v>952.0</v>
      </c>
      <c r="Y320" s="27">
        <v>1.0</v>
      </c>
      <c r="Z320" s="5" t="s">
        <v>78</v>
      </c>
      <c r="AA320" s="5">
        <v>0.5920000000000001</v>
      </c>
      <c r="AB320" s="5"/>
      <c r="AC320" s="5" t="s">
        <v>166</v>
      </c>
      <c r="AD320" s="5" t="s">
        <v>81</v>
      </c>
      <c r="AE320" s="5">
        <v>1.0</v>
      </c>
      <c r="AF320" s="5">
        <v>1.0</v>
      </c>
      <c r="AG320" s="5" t="s">
        <v>1586</v>
      </c>
      <c r="AH320" s="5" t="s">
        <v>156</v>
      </c>
      <c r="AI320" s="42"/>
      <c r="AJ320" s="28">
        <v>0.0</v>
      </c>
      <c r="AK320" s="28">
        <v>0.0</v>
      </c>
      <c r="AL320" s="28">
        <v>0.0</v>
      </c>
      <c r="AM320" s="28">
        <v>300.0</v>
      </c>
      <c r="AN320" s="28">
        <v>0.0</v>
      </c>
      <c r="AO320" s="28">
        <v>0.0</v>
      </c>
      <c r="AP320" s="28">
        <v>0.0</v>
      </c>
      <c r="AQ320" s="28">
        <v>0.0</v>
      </c>
      <c r="AR320" s="28">
        <v>285714.0</v>
      </c>
      <c r="AS320" s="28">
        <v>0.0</v>
      </c>
      <c r="AT320" s="28">
        <v>0.0</v>
      </c>
      <c r="AU320" s="28">
        <v>0.0</v>
      </c>
      <c r="AV320" s="28">
        <v>0.0</v>
      </c>
      <c r="AW320" s="28">
        <v>210240.0</v>
      </c>
      <c r="AX320" s="5"/>
      <c r="AY320" s="5" t="s">
        <v>125</v>
      </c>
      <c r="AZ320" s="5" t="s">
        <v>127</v>
      </c>
      <c r="BB320" s="5" t="s">
        <v>68</v>
      </c>
      <c r="BC320" s="5" t="s">
        <v>128</v>
      </c>
      <c r="BD320" s="5" t="s">
        <v>90</v>
      </c>
      <c r="BE320" s="5" t="s">
        <v>91</v>
      </c>
      <c r="BF320" s="5" t="s">
        <v>281</v>
      </c>
    </row>
    <row r="321" ht="16.5" hidden="1" customHeight="1">
      <c r="A321" s="5" t="s">
        <v>155</v>
      </c>
      <c r="B321" s="5" t="s">
        <v>137</v>
      </c>
      <c r="C321" s="5" t="b">
        <v>0</v>
      </c>
      <c r="D321" s="5" t="s">
        <v>894</v>
      </c>
      <c r="E321" s="5" t="s">
        <v>895</v>
      </c>
      <c r="F321" s="5"/>
      <c r="G321" s="5" t="s">
        <v>65</v>
      </c>
      <c r="H321" s="5" t="s">
        <v>76</v>
      </c>
      <c r="I321" s="5" t="s">
        <v>106</v>
      </c>
      <c r="J321" s="25" t="s">
        <v>530</v>
      </c>
      <c r="K321" s="25"/>
      <c r="L321" s="25" t="s">
        <v>181</v>
      </c>
      <c r="M321" s="5" t="s">
        <v>66</v>
      </c>
      <c r="N321" s="5" t="s">
        <v>68</v>
      </c>
      <c r="O321" s="5" t="s">
        <v>69</v>
      </c>
      <c r="P321" s="5" t="s">
        <v>107</v>
      </c>
      <c r="Q321" s="5" t="b">
        <v>1</v>
      </c>
      <c r="R321" s="5" t="b">
        <v>0</v>
      </c>
      <c r="S321" s="5"/>
      <c r="T321" s="5">
        <v>2000.0</v>
      </c>
      <c r="U321" s="26">
        <v>2.1</v>
      </c>
      <c r="V321" s="5">
        <v>952.0</v>
      </c>
      <c r="W321" s="27">
        <v>0.0</v>
      </c>
      <c r="X321" s="28">
        <v>952.0</v>
      </c>
      <c r="Y321" s="27">
        <v>1.0</v>
      </c>
      <c r="Z321" s="5" t="s">
        <v>78</v>
      </c>
      <c r="AA321" s="5">
        <v>0.575</v>
      </c>
      <c r="AB321" s="5"/>
      <c r="AC321" s="5" t="s">
        <v>166</v>
      </c>
      <c r="AD321" s="5" t="s">
        <v>81</v>
      </c>
      <c r="AE321" s="5">
        <v>1.0</v>
      </c>
      <c r="AF321" s="5">
        <v>1.0</v>
      </c>
      <c r="AG321" s="5" t="s">
        <v>1587</v>
      </c>
      <c r="AH321" s="5" t="s">
        <v>156</v>
      </c>
      <c r="AI321" s="42"/>
      <c r="AJ321" s="28">
        <v>0.0</v>
      </c>
      <c r="AK321" s="28">
        <v>0.0</v>
      </c>
      <c r="AL321" s="28">
        <v>0.0</v>
      </c>
      <c r="AM321" s="28">
        <v>200.0</v>
      </c>
      <c r="AN321" s="28">
        <v>0.0</v>
      </c>
      <c r="AO321" s="28">
        <v>0.0</v>
      </c>
      <c r="AP321" s="28">
        <v>0.0</v>
      </c>
      <c r="AQ321" s="28">
        <v>0.0</v>
      </c>
      <c r="AR321" s="28">
        <v>190476.0</v>
      </c>
      <c r="AS321" s="28">
        <v>0.0</v>
      </c>
      <c r="AT321" s="28">
        <v>0.0</v>
      </c>
      <c r="AU321" s="28">
        <v>0.0</v>
      </c>
      <c r="AV321" s="28">
        <v>0.0</v>
      </c>
      <c r="AW321" s="28">
        <v>140160.0</v>
      </c>
      <c r="AX321" s="5"/>
      <c r="AY321" s="5" t="s">
        <v>125</v>
      </c>
      <c r="AZ321" s="5" t="s">
        <v>127</v>
      </c>
      <c r="BB321" s="5" t="s">
        <v>68</v>
      </c>
      <c r="BC321" s="5" t="s">
        <v>128</v>
      </c>
      <c r="BD321" s="5" t="s">
        <v>90</v>
      </c>
      <c r="BE321" s="5" t="s">
        <v>91</v>
      </c>
      <c r="BF321" s="5" t="s">
        <v>281</v>
      </c>
    </row>
    <row r="322" ht="16.5" hidden="1" customHeight="1">
      <c r="A322" s="5" t="s">
        <v>155</v>
      </c>
      <c r="B322" s="5" t="s">
        <v>215</v>
      </c>
      <c r="C322" s="5" t="b">
        <v>1</v>
      </c>
      <c r="D322" s="5" t="s">
        <v>1673</v>
      </c>
      <c r="E322" s="5" t="s">
        <v>1674</v>
      </c>
      <c r="F322" s="5"/>
      <c r="G322" s="5" t="s">
        <v>65</v>
      </c>
      <c r="H322" s="5" t="s">
        <v>84</v>
      </c>
      <c r="I322" s="5" t="s">
        <v>82</v>
      </c>
      <c r="J322" s="25"/>
      <c r="K322" s="25"/>
      <c r="L322" s="25" t="s">
        <v>110</v>
      </c>
      <c r="M322" s="5" t="s">
        <v>247</v>
      </c>
      <c r="N322" s="5" t="s">
        <v>68</v>
      </c>
      <c r="O322" s="5" t="s">
        <v>69</v>
      </c>
      <c r="P322" s="5" t="s">
        <v>70</v>
      </c>
      <c r="Q322" s="5" t="b">
        <v>1</v>
      </c>
      <c r="R322" s="5" t="b">
        <v>0</v>
      </c>
      <c r="S322" s="5"/>
      <c r="T322" s="5">
        <v>4000.0</v>
      </c>
      <c r="U322" s="26">
        <v>2.1</v>
      </c>
      <c r="V322" s="5">
        <v>1905.0</v>
      </c>
      <c r="W322" s="27">
        <v>0.0</v>
      </c>
      <c r="X322" s="28">
        <v>1905.0</v>
      </c>
      <c r="Y322" s="27">
        <v>1.0</v>
      </c>
      <c r="Z322" s="5" t="s">
        <v>117</v>
      </c>
      <c r="AA322" s="5">
        <v>0.58</v>
      </c>
      <c r="AB322" s="5"/>
      <c r="AC322" s="5" t="s">
        <v>647</v>
      </c>
      <c r="AD322" s="5" t="s">
        <v>81</v>
      </c>
      <c r="AE322" s="5">
        <v>2.0</v>
      </c>
      <c r="AF322" s="5">
        <v>2.0</v>
      </c>
      <c r="AG322" s="5" t="s">
        <v>0</v>
      </c>
      <c r="AH322" s="5" t="s">
        <v>0</v>
      </c>
      <c r="AI322" s="42"/>
      <c r="AJ322" s="28">
        <v>505.0</v>
      </c>
      <c r="AK322" s="28">
        <v>0.0</v>
      </c>
      <c r="AL322" s="28">
        <v>0.0</v>
      </c>
      <c r="AM322" s="28">
        <v>0.0</v>
      </c>
      <c r="AN322" s="28">
        <v>0.0</v>
      </c>
      <c r="AO322" s="28">
        <v>961903.8</v>
      </c>
      <c r="AP322" s="28">
        <v>0.0</v>
      </c>
      <c r="AQ322" s="28">
        <v>0.0</v>
      </c>
      <c r="AR322" s="28">
        <v>0.0</v>
      </c>
      <c r="AS322" s="28">
        <v>0.0</v>
      </c>
      <c r="AT322" s="28">
        <v>869723.9006644518</v>
      </c>
      <c r="AU322" s="28">
        <v>0.0</v>
      </c>
      <c r="AV322" s="28">
        <v>0.0</v>
      </c>
      <c r="AW322" s="28">
        <v>0.0</v>
      </c>
      <c r="AX322" s="5"/>
      <c r="AY322" s="5" t="str">
        <f t="array" ref="AY322">IFERROR(_xlfn.XLOOKUP($E322,'FW27'!$C$3:$C$1102,'FW27'!$AM$3:$AM$1102),"")</f>
        <v>Essentials</v>
      </c>
      <c r="AZ322" s="5" t="str">
        <f t="array" ref="AZ322">IFERROR(_xlfn.XLOOKUP($E322,'FW27'!$C$3:$C$1102,'FW27'!$AN$3:$AN$1102),"")</f>
        <v>Daily Essentials</v>
      </c>
      <c r="BA322" s="5" t="s">
        <v>237</v>
      </c>
      <c r="BB322" s="5" t="str">
        <f t="array" ref="BB322">IFERROR(_xlfn.XLOOKUP($E322,'FW27'!$C$3:$C$1102,'FW27'!$AS$3:$AS$1102),"")</f>
        <v>Softshell</v>
      </c>
      <c r="BC322" s="5" t="str">
        <f t="array" ref="BC322">IFERROR(_xlfn.XLOOKUP($E322,'FW27'!$C$3:$C$1102,'FW27'!$AT$3:$AT$1102),"")</f>
        <v>Parka</v>
      </c>
      <c r="BD322" s="5" t="str">
        <f t="array" ref="BD322">IFERROR(_xlfn.XLOOKUP($E322,'FW27'!$C$3:$C$1102,'FW27'!$AU$3:$AU$1102),"")</f>
        <v>Classic Softshell</v>
      </c>
      <c r="BE322" s="5" t="str">
        <f t="array" ref="BE322">IFERROR(_xlfn.XLOOKUP($E322,'FW27'!$C$3:$C$1102,'FW27'!$AV$3:$AV$1102),"")</f>
        <v>N</v>
      </c>
    </row>
    <row r="323" ht="16.5" hidden="1" customHeight="1">
      <c r="A323" s="5" t="s">
        <v>155</v>
      </c>
      <c r="B323" s="5" t="s">
        <v>215</v>
      </c>
      <c r="C323" s="5" t="b">
        <v>1</v>
      </c>
      <c r="D323" s="5" t="s">
        <v>1677</v>
      </c>
      <c r="E323" s="5" t="s">
        <v>1678</v>
      </c>
      <c r="F323" s="5"/>
      <c r="G323" s="5" t="s">
        <v>65</v>
      </c>
      <c r="H323" s="5" t="s">
        <v>84</v>
      </c>
      <c r="I323" s="5" t="s">
        <v>82</v>
      </c>
      <c r="J323" s="25"/>
      <c r="K323" s="25"/>
      <c r="L323" s="25" t="s">
        <v>110</v>
      </c>
      <c r="M323" s="5" t="s">
        <v>247</v>
      </c>
      <c r="N323" s="5" t="s">
        <v>68</v>
      </c>
      <c r="O323" s="5" t="s">
        <v>69</v>
      </c>
      <c r="P323" s="5" t="s">
        <v>107</v>
      </c>
      <c r="Q323" s="5" t="b">
        <v>1</v>
      </c>
      <c r="R323" s="5" t="b">
        <v>0</v>
      </c>
      <c r="S323" s="5"/>
      <c r="T323" s="5">
        <v>4000.0</v>
      </c>
      <c r="U323" s="26">
        <v>2.1</v>
      </c>
      <c r="V323" s="5">
        <v>1905.0</v>
      </c>
      <c r="W323" s="27">
        <v>0.0</v>
      </c>
      <c r="X323" s="28">
        <v>1905.0</v>
      </c>
      <c r="Y323" s="27">
        <v>1.0</v>
      </c>
      <c r="Z323" s="5" t="s">
        <v>117</v>
      </c>
      <c r="AA323" s="27">
        <v>0.6</v>
      </c>
      <c r="AB323" s="26"/>
      <c r="AC323" s="5" t="s">
        <v>647</v>
      </c>
      <c r="AD323" s="5" t="s">
        <v>81</v>
      </c>
      <c r="AE323" s="5">
        <v>2.0</v>
      </c>
      <c r="AF323" s="5">
        <v>2.0</v>
      </c>
      <c r="AG323" s="5" t="s">
        <v>0</v>
      </c>
      <c r="AH323" s="5" t="s">
        <v>0</v>
      </c>
      <c r="AI323" s="42"/>
      <c r="AJ323" s="28">
        <v>381.0</v>
      </c>
      <c r="AK323" s="28">
        <v>0.0</v>
      </c>
      <c r="AL323" s="28">
        <v>0.0</v>
      </c>
      <c r="AM323" s="28">
        <v>0.0</v>
      </c>
      <c r="AN323" s="28">
        <v>0.0</v>
      </c>
      <c r="AO323" s="28">
        <v>725713.56</v>
      </c>
      <c r="AP323" s="28">
        <v>0.0</v>
      </c>
      <c r="AQ323" s="28">
        <v>0.0</v>
      </c>
      <c r="AR323" s="28">
        <v>0.0</v>
      </c>
      <c r="AS323" s="28">
        <v>0.0</v>
      </c>
      <c r="AT323" s="28">
        <v>656798.5158361017</v>
      </c>
      <c r="AU323" s="28">
        <v>0.0</v>
      </c>
      <c r="AV323" s="28">
        <v>0.0</v>
      </c>
      <c r="AW323" s="28">
        <v>0.0</v>
      </c>
      <c r="AX323" s="5"/>
      <c r="AY323" s="5" t="str">
        <f t="array" ref="AY323">IFERROR(_xlfn.XLOOKUP($E323,'FW27'!$C$3:$C$1102,'FW27'!$AM$3:$AM$1102),"")</f>
        <v>Essentials</v>
      </c>
      <c r="AZ323" s="5" t="str">
        <f t="array" ref="AZ323">IFERROR(_xlfn.XLOOKUP($E323,'FW27'!$C$3:$C$1102,'FW27'!$AN$3:$AN$1102),"")</f>
        <v>Daily Essentials</v>
      </c>
      <c r="BA323" s="5" t="s">
        <v>237</v>
      </c>
      <c r="BB323" s="5" t="str">
        <f t="array" ref="BB323">IFERROR(_xlfn.XLOOKUP($E323,'FW27'!$C$3:$C$1102,'FW27'!$AS$3:$AS$1102),"")</f>
        <v>Softshell</v>
      </c>
      <c r="BC323" s="5" t="str">
        <f t="array" ref="BC323">IFERROR(_xlfn.XLOOKUP($E323,'FW27'!$C$3:$C$1102,'FW27'!$AT$3:$AT$1102),"")</f>
        <v>Parka</v>
      </c>
      <c r="BD323" s="5" t="str">
        <f t="array" ref="BD323">IFERROR(_xlfn.XLOOKUP($E323,'FW27'!$C$3:$C$1102,'FW27'!$AU$3:$AU$1102),"")</f>
        <v>Classic Softshell</v>
      </c>
      <c r="BE323" s="5" t="str">
        <f t="array" ref="BE323">IFERROR(_xlfn.XLOOKUP($E323,'FW27'!$C$3:$C$1102,'FW27'!$AV$3:$AV$1102),"")</f>
        <v>N</v>
      </c>
    </row>
    <row r="324" ht="16.5" hidden="1" customHeight="1">
      <c r="A324" s="5" t="s">
        <v>155</v>
      </c>
      <c r="B324" s="5" t="s">
        <v>137</v>
      </c>
      <c r="C324" s="5" t="b">
        <v>1</v>
      </c>
      <c r="D324" s="5" t="s">
        <v>517</v>
      </c>
      <c r="E324" s="5" t="s">
        <v>518</v>
      </c>
      <c r="F324" s="5"/>
      <c r="G324" s="5" t="s">
        <v>65</v>
      </c>
      <c r="H324" s="5" t="s">
        <v>84</v>
      </c>
      <c r="I324" s="5" t="s">
        <v>82</v>
      </c>
      <c r="J324" s="25" t="s">
        <v>2093</v>
      </c>
      <c r="K324" s="25"/>
      <c r="L324" s="25" t="s">
        <v>110</v>
      </c>
      <c r="M324" s="5" t="s">
        <v>66</v>
      </c>
      <c r="N324" s="5" t="s">
        <v>68</v>
      </c>
      <c r="O324" s="5" t="s">
        <v>141</v>
      </c>
      <c r="P324" s="5" t="s">
        <v>70</v>
      </c>
      <c r="Q324" s="5" t="b">
        <v>1</v>
      </c>
      <c r="R324" s="5" t="b">
        <v>0</v>
      </c>
      <c r="S324" s="5"/>
      <c r="T324" s="5">
        <v>2500.0</v>
      </c>
      <c r="U324" s="26">
        <v>2.1</v>
      </c>
      <c r="V324" s="5">
        <v>1190.0</v>
      </c>
      <c r="W324" s="27">
        <v>0.0</v>
      </c>
      <c r="X324" s="28">
        <v>1190.0</v>
      </c>
      <c r="Y324" s="27">
        <v>1.0</v>
      </c>
      <c r="Z324" s="5" t="s">
        <v>78</v>
      </c>
      <c r="AA324" s="27">
        <v>0.5920000000000001</v>
      </c>
      <c r="AB324" s="26"/>
      <c r="AC324" s="5" t="s">
        <v>166</v>
      </c>
      <c r="AD324" s="5" t="s">
        <v>81</v>
      </c>
      <c r="AE324" s="24">
        <v>0.0</v>
      </c>
      <c r="AF324" s="5">
        <v>3.0</v>
      </c>
      <c r="AG324" s="5" t="s">
        <v>2094</v>
      </c>
      <c r="AH324" s="5" t="s">
        <v>0</v>
      </c>
      <c r="AI324" s="42"/>
      <c r="AJ324" s="28">
        <v>0.0</v>
      </c>
      <c r="AK324" s="28">
        <v>0.0</v>
      </c>
      <c r="AL324" s="28">
        <v>0.0</v>
      </c>
      <c r="AM324" s="28">
        <v>0.0</v>
      </c>
      <c r="AN324" s="28">
        <v>0.0</v>
      </c>
      <c r="AO324" s="28">
        <v>0.0</v>
      </c>
      <c r="AP324" s="28">
        <v>0.0</v>
      </c>
      <c r="AQ324" s="28">
        <v>0.0</v>
      </c>
      <c r="AR324" s="28">
        <v>0.0</v>
      </c>
      <c r="AS324" s="28">
        <v>0.0</v>
      </c>
      <c r="AT324" s="28">
        <v>0.0</v>
      </c>
      <c r="AU324" s="28">
        <v>0.0</v>
      </c>
      <c r="AV324" s="28">
        <v>0.0</v>
      </c>
      <c r="AW324" s="28">
        <v>0.0</v>
      </c>
      <c r="AX324" s="5"/>
      <c r="AY324" s="5" t="str">
        <f t="array" ref="AY324">IFERROR(_xlfn.XLOOKUP($E324,'FW27'!$C$3:$C$1102,'FW27'!$AM$3:$AM$1102),"")</f>
        <v>Essentials</v>
      </c>
      <c r="AZ324" s="5" t="str">
        <f t="array" ref="AZ324">IFERROR(_xlfn.XLOOKUP($E324,'FW27'!$C$3:$C$1102,'FW27'!$AN$3:$AN$1102),"")</f>
        <v>Active Essentials</v>
      </c>
      <c r="BB324" s="5" t="str">
        <f t="array" ref="BB324">IFERROR(_xlfn.XLOOKUP($E324,'FW27'!$C$3:$C$1102,'FW27'!$AS$3:$AS$1102),"")</f>
        <v>Shell</v>
      </c>
      <c r="BC324" s="5" t="str">
        <f t="array" ref="BC324">IFERROR(_xlfn.XLOOKUP($E324,'FW27'!$C$3:$C$1102,'FW27'!$AT$3:$AT$1102),"")</f>
        <v>Jacket</v>
      </c>
      <c r="BD324" s="5" t="str">
        <f t="array" ref="BD324">IFERROR(_xlfn.XLOOKUP($E324,'FW27'!$C$3:$C$1102,'FW27'!$AU$3:$AU$1102),"")</f>
        <v>2L</v>
      </c>
      <c r="BE324" s="5" t="str">
        <f t="array" ref="BE324">IFERROR(_xlfn.XLOOKUP($E324,'FW27'!$C$3:$C$1102,'FW27'!$AV$3:$AV$1102),"")</f>
        <v>Y</v>
      </c>
    </row>
    <row r="325" ht="16.5" hidden="1" customHeight="1">
      <c r="A325" s="5" t="s">
        <v>155</v>
      </c>
      <c r="B325" s="5" t="s">
        <v>137</v>
      </c>
      <c r="C325" s="5" t="b">
        <v>1</v>
      </c>
      <c r="D325" s="5" t="s">
        <v>527</v>
      </c>
      <c r="E325" s="5" t="s">
        <v>528</v>
      </c>
      <c r="F325" s="5"/>
      <c r="G325" s="5" t="s">
        <v>65</v>
      </c>
      <c r="H325" s="5" t="s">
        <v>84</v>
      </c>
      <c r="I325" s="5" t="s">
        <v>82</v>
      </c>
      <c r="J325" s="25" t="s">
        <v>2093</v>
      </c>
      <c r="K325" s="25"/>
      <c r="L325" s="25" t="s">
        <v>110</v>
      </c>
      <c r="M325" s="5" t="s">
        <v>66</v>
      </c>
      <c r="N325" s="5" t="s">
        <v>68</v>
      </c>
      <c r="O325" s="5" t="s">
        <v>141</v>
      </c>
      <c r="P325" s="5" t="s">
        <v>107</v>
      </c>
      <c r="Q325" s="5" t="b">
        <v>1</v>
      </c>
      <c r="R325" s="5" t="b">
        <v>0</v>
      </c>
      <c r="S325" s="5"/>
      <c r="T325" s="5">
        <v>2500.0</v>
      </c>
      <c r="U325" s="26">
        <v>2.1</v>
      </c>
      <c r="V325" s="5">
        <v>1190.0</v>
      </c>
      <c r="W325" s="27">
        <v>0.0</v>
      </c>
      <c r="X325" s="28">
        <v>1190.0</v>
      </c>
      <c r="Y325" s="27">
        <v>1.0</v>
      </c>
      <c r="Z325" s="5" t="s">
        <v>78</v>
      </c>
      <c r="AA325" s="27">
        <v>0.575</v>
      </c>
      <c r="AB325" s="26"/>
      <c r="AC325" s="5" t="s">
        <v>166</v>
      </c>
      <c r="AD325" s="5" t="s">
        <v>81</v>
      </c>
      <c r="AE325" s="24">
        <v>0.0</v>
      </c>
      <c r="AF325" s="5">
        <v>3.0</v>
      </c>
      <c r="AG325" s="5" t="s">
        <v>2094</v>
      </c>
      <c r="AH325" s="5" t="s">
        <v>0</v>
      </c>
      <c r="AI325" s="42"/>
      <c r="AJ325" s="28">
        <v>0.0</v>
      </c>
      <c r="AK325" s="28">
        <v>0.0</v>
      </c>
      <c r="AL325" s="28">
        <v>0.0</v>
      </c>
      <c r="AM325" s="28">
        <v>0.0</v>
      </c>
      <c r="AN325" s="28">
        <v>0.0</v>
      </c>
      <c r="AO325" s="28">
        <v>0.0</v>
      </c>
      <c r="AP325" s="28">
        <v>0.0</v>
      </c>
      <c r="AQ325" s="28">
        <v>0.0</v>
      </c>
      <c r="AR325" s="28">
        <v>0.0</v>
      </c>
      <c r="AS325" s="28">
        <v>0.0</v>
      </c>
      <c r="AT325" s="28">
        <v>0.0</v>
      </c>
      <c r="AU325" s="28">
        <v>0.0</v>
      </c>
      <c r="AV325" s="28">
        <v>0.0</v>
      </c>
      <c r="AW325" s="28">
        <v>0.0</v>
      </c>
      <c r="AX325" s="5"/>
      <c r="AY325" s="5" t="str">
        <f t="array" ref="AY325">IFERROR(_xlfn.XLOOKUP($E325,'FW27'!$C$3:$C$1102,'FW27'!$AM$3:$AM$1102),"")</f>
        <v>Essentials</v>
      </c>
      <c r="AZ325" s="5" t="str">
        <f t="array" ref="AZ325">IFERROR(_xlfn.XLOOKUP($E325,'FW27'!$C$3:$C$1102,'FW27'!$AN$3:$AN$1102),"")</f>
        <v>Active Essentials</v>
      </c>
      <c r="BB325" s="5" t="str">
        <f t="array" ref="BB325">IFERROR(_xlfn.XLOOKUP($E325,'FW27'!$C$3:$C$1102,'FW27'!$AS$3:$AS$1102),"")</f>
        <v>Shell</v>
      </c>
      <c r="BC325" s="5" t="str">
        <f t="array" ref="BC325">IFERROR(_xlfn.XLOOKUP($E325,'FW27'!$C$3:$C$1102,'FW27'!$AT$3:$AT$1102),"")</f>
        <v>Jacket</v>
      </c>
      <c r="BD325" s="5" t="str">
        <f t="array" ref="BD325">IFERROR(_xlfn.XLOOKUP($E325,'FW27'!$C$3:$C$1102,'FW27'!$AU$3:$AU$1102),"")</f>
        <v>2L</v>
      </c>
      <c r="BE325" s="5" t="str">
        <f t="array" ref="BE325">IFERROR(_xlfn.XLOOKUP($E325,'FW27'!$C$3:$C$1102,'FW27'!$AV$3:$AV$1102),"")</f>
        <v>Y</v>
      </c>
    </row>
    <row r="326" ht="16.5" hidden="1" customHeight="1">
      <c r="A326" s="5" t="s">
        <v>155</v>
      </c>
      <c r="B326" s="5" t="s">
        <v>200</v>
      </c>
      <c r="C326" s="5" t="b">
        <v>0</v>
      </c>
      <c r="D326" s="5" t="s">
        <v>897</v>
      </c>
      <c r="E326" s="5" t="s">
        <v>898</v>
      </c>
      <c r="F326" s="5"/>
      <c r="G326" s="5" t="s">
        <v>65</v>
      </c>
      <c r="H326" s="5" t="s">
        <v>84</v>
      </c>
      <c r="I326" s="5" t="s">
        <v>106</v>
      </c>
      <c r="J326" s="25" t="s">
        <v>413</v>
      </c>
      <c r="K326" s="25"/>
      <c r="L326" s="25"/>
      <c r="M326" s="5" t="s">
        <v>66</v>
      </c>
      <c r="N326" s="5" t="s">
        <v>248</v>
      </c>
      <c r="O326" s="5" t="s">
        <v>69</v>
      </c>
      <c r="P326" s="5" t="s">
        <v>249</v>
      </c>
      <c r="Q326" s="5" t="b">
        <v>1</v>
      </c>
      <c r="R326" s="5" t="b">
        <v>0</v>
      </c>
      <c r="S326" s="5"/>
      <c r="T326" s="5">
        <v>600.0</v>
      </c>
      <c r="U326" s="26">
        <v>2.1</v>
      </c>
      <c r="V326" s="5">
        <v>286.0</v>
      </c>
      <c r="W326" s="27">
        <v>0.0</v>
      </c>
      <c r="X326" s="28">
        <v>286.0</v>
      </c>
      <c r="Y326" s="27">
        <v>1.0</v>
      </c>
      <c r="Z326" s="5" t="s">
        <v>78</v>
      </c>
      <c r="AA326" s="27">
        <v>0.6</v>
      </c>
      <c r="AB326" s="26"/>
      <c r="AC326" s="5" t="s">
        <v>81</v>
      </c>
      <c r="AD326" s="5" t="s">
        <v>81</v>
      </c>
      <c r="AE326" s="5">
        <v>2.0</v>
      </c>
      <c r="AF326" s="5">
        <v>1.0</v>
      </c>
      <c r="AG326" s="5" t="s">
        <v>2097</v>
      </c>
      <c r="AH326" s="5" t="s">
        <v>0</v>
      </c>
      <c r="AI326" s="42"/>
      <c r="AJ326" s="28">
        <v>0.0</v>
      </c>
      <c r="AK326" s="28">
        <v>16.0</v>
      </c>
      <c r="AL326" s="28">
        <v>0.0</v>
      </c>
      <c r="AM326" s="28">
        <v>1559.0</v>
      </c>
      <c r="AN326" s="28">
        <v>0.0</v>
      </c>
      <c r="AO326" s="28">
        <v>0.0</v>
      </c>
      <c r="AP326" s="28">
        <v>4576.0</v>
      </c>
      <c r="AQ326" s="28">
        <v>0.0</v>
      </c>
      <c r="AR326" s="28">
        <v>445421.8899999998</v>
      </c>
      <c r="AS326" s="28">
        <v>0.0</v>
      </c>
      <c r="AT326" s="28">
        <v>0.0</v>
      </c>
      <c r="AU326" s="28">
        <v>3759.68</v>
      </c>
      <c r="AV326" s="28">
        <v>0.0</v>
      </c>
      <c r="AW326" s="28">
        <v>369011.9087486157</v>
      </c>
      <c r="AX326" s="5"/>
      <c r="AY326" s="5" t="s">
        <v>125</v>
      </c>
      <c r="AZ326" s="5" t="s">
        <v>87</v>
      </c>
      <c r="BB326" s="5" t="s">
        <v>248</v>
      </c>
      <c r="BC326" s="5" t="s">
        <v>253</v>
      </c>
      <c r="BD326" s="5" t="s">
        <v>254</v>
      </c>
      <c r="BE326" s="5" t="s">
        <v>131</v>
      </c>
      <c r="BF326" s="5" t="s">
        <v>2098</v>
      </c>
    </row>
    <row r="327" ht="16.5" hidden="1" customHeight="1">
      <c r="A327" s="5" t="s">
        <v>155</v>
      </c>
      <c r="B327" s="5" t="s">
        <v>200</v>
      </c>
      <c r="C327" s="5" t="b">
        <v>0</v>
      </c>
      <c r="D327" s="5" t="s">
        <v>899</v>
      </c>
      <c r="E327" s="5" t="s">
        <v>900</v>
      </c>
      <c r="F327" s="5"/>
      <c r="G327" s="5" t="s">
        <v>65</v>
      </c>
      <c r="H327" s="5" t="s">
        <v>84</v>
      </c>
      <c r="I327" s="5" t="s">
        <v>106</v>
      </c>
      <c r="J327" s="25" t="s">
        <v>413</v>
      </c>
      <c r="K327" s="25"/>
      <c r="L327" s="25"/>
      <c r="M327" s="5" t="s">
        <v>66</v>
      </c>
      <c r="N327" s="5" t="s">
        <v>334</v>
      </c>
      <c r="O327" s="5" t="s">
        <v>69</v>
      </c>
      <c r="P327" s="5" t="s">
        <v>70</v>
      </c>
      <c r="Q327" s="5" t="b">
        <v>1</v>
      </c>
      <c r="R327" s="5" t="b">
        <v>0</v>
      </c>
      <c r="S327" s="5"/>
      <c r="T327" s="5">
        <v>2500.0</v>
      </c>
      <c r="U327" s="26">
        <v>2.1</v>
      </c>
      <c r="V327" s="5">
        <v>1190.0</v>
      </c>
      <c r="W327" s="27">
        <v>0.0</v>
      </c>
      <c r="X327" s="28">
        <v>1190.0</v>
      </c>
      <c r="Y327" s="27">
        <v>1.0</v>
      </c>
      <c r="Z327" s="5" t="s">
        <v>117</v>
      </c>
      <c r="AA327" s="27">
        <v>0.59</v>
      </c>
      <c r="AB327" s="26"/>
      <c r="AC327" s="5" t="s">
        <v>81</v>
      </c>
      <c r="AD327" s="5" t="s">
        <v>81</v>
      </c>
      <c r="AE327" s="5">
        <v>2.0</v>
      </c>
      <c r="AF327" s="5">
        <v>1.0</v>
      </c>
      <c r="AG327" s="5" t="s">
        <v>2097</v>
      </c>
      <c r="AH327" s="5" t="s">
        <v>0</v>
      </c>
      <c r="AI327" s="42"/>
      <c r="AJ327" s="28">
        <v>0.0</v>
      </c>
      <c r="AK327" s="28">
        <v>0.0</v>
      </c>
      <c r="AL327" s="28">
        <v>0.0</v>
      </c>
      <c r="AM327" s="28">
        <v>1260.0</v>
      </c>
      <c r="AN327" s="28">
        <v>0.0</v>
      </c>
      <c r="AO327" s="28">
        <v>0.0</v>
      </c>
      <c r="AP327" s="28">
        <v>0.0</v>
      </c>
      <c r="AQ327" s="28">
        <v>0.0</v>
      </c>
      <c r="AR327" s="28">
        <v>1500004.7999999998</v>
      </c>
      <c r="AS327" s="28">
        <v>0.0</v>
      </c>
      <c r="AT327" s="28">
        <v>0.0</v>
      </c>
      <c r="AU327" s="28">
        <v>0.0</v>
      </c>
      <c r="AV327" s="28">
        <v>0.0</v>
      </c>
      <c r="AW327" s="28">
        <v>1078762.3658914727</v>
      </c>
      <c r="AX327" s="5"/>
      <c r="AY327" s="5" t="s">
        <v>86</v>
      </c>
      <c r="AZ327" s="5" t="s">
        <v>87</v>
      </c>
      <c r="BA327" s="5" t="s">
        <v>88</v>
      </c>
      <c r="BB327" s="5" t="s">
        <v>334</v>
      </c>
      <c r="BC327" s="5" t="s">
        <v>89</v>
      </c>
      <c r="BD327" s="5" t="s">
        <v>539</v>
      </c>
      <c r="BE327" s="5" t="s">
        <v>131</v>
      </c>
      <c r="BF327" s="5" t="s">
        <v>2100</v>
      </c>
    </row>
    <row r="328" ht="16.5" hidden="1" customHeight="1">
      <c r="A328" s="5" t="s">
        <v>155</v>
      </c>
      <c r="B328" s="5" t="s">
        <v>200</v>
      </c>
      <c r="C328" s="5" t="b">
        <v>0</v>
      </c>
      <c r="D328" s="5" t="s">
        <v>903</v>
      </c>
      <c r="E328" s="5" t="s">
        <v>904</v>
      </c>
      <c r="F328" s="5"/>
      <c r="G328" s="5" t="s">
        <v>65</v>
      </c>
      <c r="H328" s="5" t="s">
        <v>84</v>
      </c>
      <c r="I328" s="5" t="s">
        <v>106</v>
      </c>
      <c r="J328" s="25" t="s">
        <v>413</v>
      </c>
      <c r="K328" s="25"/>
      <c r="L328" s="25"/>
      <c r="M328" s="5" t="s">
        <v>66</v>
      </c>
      <c r="N328" s="5" t="s">
        <v>334</v>
      </c>
      <c r="O328" s="5" t="s">
        <v>69</v>
      </c>
      <c r="P328" s="5" t="s">
        <v>107</v>
      </c>
      <c r="Q328" s="5" t="b">
        <v>1</v>
      </c>
      <c r="R328" s="5" t="b">
        <v>0</v>
      </c>
      <c r="S328" s="5"/>
      <c r="T328" s="5">
        <v>2500.0</v>
      </c>
      <c r="U328" s="26">
        <v>2.1</v>
      </c>
      <c r="V328" s="5">
        <v>1190.0</v>
      </c>
      <c r="W328" s="27">
        <v>0.0</v>
      </c>
      <c r="X328" s="28">
        <v>1190.0</v>
      </c>
      <c r="Y328" s="27">
        <v>1.0</v>
      </c>
      <c r="Z328" s="5" t="s">
        <v>117</v>
      </c>
      <c r="AA328" s="27">
        <v>0.61</v>
      </c>
      <c r="AB328" s="26"/>
      <c r="AC328" s="5" t="s">
        <v>81</v>
      </c>
      <c r="AD328" s="5" t="s">
        <v>81</v>
      </c>
      <c r="AE328" s="5">
        <v>2.0</v>
      </c>
      <c r="AF328" s="5">
        <v>1.0</v>
      </c>
      <c r="AG328" s="5" t="s">
        <v>2097</v>
      </c>
      <c r="AH328" s="5" t="s">
        <v>0</v>
      </c>
      <c r="AI328" s="42"/>
      <c r="AJ328" s="28">
        <v>0.0</v>
      </c>
      <c r="AK328" s="28">
        <v>0.0</v>
      </c>
      <c r="AL328" s="28">
        <v>0.0</v>
      </c>
      <c r="AM328" s="28">
        <v>984.0</v>
      </c>
      <c r="AN328" s="28">
        <v>0.0</v>
      </c>
      <c r="AO328" s="28">
        <v>0.0</v>
      </c>
      <c r="AP328" s="28">
        <v>0.0</v>
      </c>
      <c r="AQ328" s="28">
        <v>0.0</v>
      </c>
      <c r="AR328" s="28">
        <v>1171432.3199999998</v>
      </c>
      <c r="AS328" s="28">
        <v>0.0</v>
      </c>
      <c r="AT328" s="28">
        <v>0.0</v>
      </c>
      <c r="AU328" s="28">
        <v>0.0</v>
      </c>
      <c r="AV328" s="28">
        <v>0.0</v>
      </c>
      <c r="AW328" s="28">
        <v>852795.4563676633</v>
      </c>
      <c r="AX328" s="5"/>
      <c r="AY328" s="5" t="s">
        <v>86</v>
      </c>
      <c r="AZ328" s="5" t="s">
        <v>87</v>
      </c>
      <c r="BA328" s="5" t="s">
        <v>88</v>
      </c>
      <c r="BB328" s="5" t="s">
        <v>334</v>
      </c>
      <c r="BC328" s="5" t="s">
        <v>89</v>
      </c>
      <c r="BD328" s="5" t="s">
        <v>539</v>
      </c>
      <c r="BE328" s="5" t="s">
        <v>131</v>
      </c>
      <c r="BF328" s="5" t="s">
        <v>2100</v>
      </c>
    </row>
    <row r="329" ht="16.5" hidden="1" customHeight="1">
      <c r="A329" s="5" t="s">
        <v>155</v>
      </c>
      <c r="B329" s="5" t="s">
        <v>200</v>
      </c>
      <c r="C329" s="5" t="b">
        <v>1</v>
      </c>
      <c r="D329" s="43" t="s">
        <v>905</v>
      </c>
      <c r="E329" s="43" t="s">
        <v>906</v>
      </c>
      <c r="F329" s="5"/>
      <c r="G329" s="5" t="s">
        <v>65</v>
      </c>
      <c r="H329" s="5" t="s">
        <v>84</v>
      </c>
      <c r="I329" s="5" t="s">
        <v>82</v>
      </c>
      <c r="J329" s="25" t="s">
        <v>2102</v>
      </c>
      <c r="K329" s="25"/>
      <c r="L329" s="25"/>
      <c r="M329" s="5" t="s">
        <v>66</v>
      </c>
      <c r="N329" s="5" t="s">
        <v>113</v>
      </c>
      <c r="O329" s="5" t="s">
        <v>69</v>
      </c>
      <c r="P329" s="5" t="s">
        <v>70</v>
      </c>
      <c r="Q329" s="5" t="b">
        <v>1</v>
      </c>
      <c r="R329" s="5" t="b">
        <v>0</v>
      </c>
      <c r="S329" s="5"/>
      <c r="T329" s="5">
        <v>2200.0</v>
      </c>
      <c r="U329" s="26">
        <v>2.1</v>
      </c>
      <c r="V329" s="5">
        <v>1048.0</v>
      </c>
      <c r="W329" s="27">
        <v>0.0</v>
      </c>
      <c r="X329" s="28">
        <v>1048.0</v>
      </c>
      <c r="Y329" s="27">
        <v>1.0</v>
      </c>
      <c r="Z329" s="5" t="s">
        <v>117</v>
      </c>
      <c r="AA329" s="5">
        <v>0.65</v>
      </c>
      <c r="AB329" s="26"/>
      <c r="AC329" s="5" t="s">
        <v>81</v>
      </c>
      <c r="AD329" s="5" t="s">
        <v>81</v>
      </c>
      <c r="AE329" s="5">
        <v>2.0</v>
      </c>
      <c r="AF329" s="5">
        <v>1.0</v>
      </c>
      <c r="AG329" s="5" t="s">
        <v>2097</v>
      </c>
      <c r="AH329" s="5" t="s">
        <v>0</v>
      </c>
      <c r="AI329" s="42"/>
      <c r="AJ329" s="28">
        <v>0.0</v>
      </c>
      <c r="AK329" s="28">
        <v>0.0</v>
      </c>
      <c r="AL329" s="28">
        <v>0.0</v>
      </c>
      <c r="AM329" s="28">
        <v>744.0</v>
      </c>
      <c r="AN329" s="28">
        <v>0.0</v>
      </c>
      <c r="AO329" s="28">
        <v>0.0</v>
      </c>
      <c r="AP329" s="28">
        <v>0.0</v>
      </c>
      <c r="AQ329" s="28">
        <v>0.0</v>
      </c>
      <c r="AR329" s="28">
        <v>779429.2799999998</v>
      </c>
      <c r="AS329" s="28">
        <v>0.0</v>
      </c>
      <c r="AT329" s="28">
        <v>0.0</v>
      </c>
      <c r="AU329" s="28">
        <v>0.0</v>
      </c>
      <c r="AV329" s="28">
        <v>0.0</v>
      </c>
      <c r="AW329" s="28">
        <v>655113.7652270208</v>
      </c>
      <c r="AX329" s="5"/>
      <c r="AY329" s="5" t="str">
        <f t="array" ref="AY329">IFERROR(_xlfn.XLOOKUP($E329,'FW27'!$C$3:$C$1102,'FW27'!$AM$3:$AM$1102),"")</f>
        <v>Outdoor</v>
      </c>
      <c r="AZ329" s="5" t="str">
        <f t="array" ref="AZ329">IFERROR(_xlfn.XLOOKUP($E329,'FW27'!$C$3:$C$1102,'FW27'!$AN$3:$AN$1102),"")</f>
        <v>Day Hiking</v>
      </c>
      <c r="BA329" s="32" t="s">
        <v>429</v>
      </c>
      <c r="BB329" s="5" t="str">
        <f t="array" ref="BB329">IFERROR(_xlfn.XLOOKUP($E329,'FW27'!$C$3:$C$1102,'FW27'!$AS$3:$AS$1102),"")</f>
        <v>Softshell</v>
      </c>
      <c r="BC329" s="5" t="str">
        <f t="array" ref="BC329">IFERROR(_xlfn.XLOOKUP($E329,'FW27'!$C$3:$C$1102,'FW27'!$AT$3:$AT$1102),"")</f>
        <v>Pant</v>
      </c>
      <c r="BD329" s="5" t="str">
        <f t="array" ref="BD329">IFERROR(_xlfn.XLOOKUP($E329,'FW27'!$C$3:$C$1102,'FW27'!$AU$3:$AU$1102),"")</f>
        <v>Lightweight Synthetic</v>
      </c>
      <c r="BE329" s="5" t="str">
        <f t="array" ref="BE329">IFERROR(_xlfn.XLOOKUP($E329,'FW27'!$C$3:$C$1102,'FW27'!$AV$3:$AV$1102),"")</f>
        <v>N</v>
      </c>
    </row>
    <row r="330" ht="16.5" hidden="1" customHeight="1">
      <c r="A330" s="5" t="s">
        <v>155</v>
      </c>
      <c r="B330" s="5" t="s">
        <v>200</v>
      </c>
      <c r="C330" s="5" t="b">
        <v>1</v>
      </c>
      <c r="D330" s="43" t="s">
        <v>908</v>
      </c>
      <c r="E330" s="43" t="s">
        <v>909</v>
      </c>
      <c r="F330" s="5"/>
      <c r="G330" s="5" t="s">
        <v>65</v>
      </c>
      <c r="H330" s="5" t="s">
        <v>84</v>
      </c>
      <c r="I330" s="5" t="s">
        <v>82</v>
      </c>
      <c r="J330" s="25" t="s">
        <v>2102</v>
      </c>
      <c r="K330" s="25"/>
      <c r="L330" s="25"/>
      <c r="M330" s="5" t="s">
        <v>66</v>
      </c>
      <c r="N330" s="5" t="s">
        <v>113</v>
      </c>
      <c r="O330" s="5" t="s">
        <v>69</v>
      </c>
      <c r="P330" s="5" t="s">
        <v>107</v>
      </c>
      <c r="Q330" s="5" t="b">
        <v>1</v>
      </c>
      <c r="R330" s="5" t="b">
        <v>0</v>
      </c>
      <c r="S330" s="5"/>
      <c r="T330" s="5">
        <v>2200.0</v>
      </c>
      <c r="U330" s="26">
        <v>2.1</v>
      </c>
      <c r="V330" s="5">
        <v>1048.0</v>
      </c>
      <c r="W330" s="27">
        <v>0.0</v>
      </c>
      <c r="X330" s="28">
        <v>1048.0</v>
      </c>
      <c r="Y330" s="27">
        <v>1.0</v>
      </c>
      <c r="Z330" s="5" t="s">
        <v>117</v>
      </c>
      <c r="AA330" s="5">
        <v>0.66</v>
      </c>
      <c r="AB330" s="5"/>
      <c r="AC330" s="5" t="s">
        <v>81</v>
      </c>
      <c r="AD330" s="5" t="s">
        <v>81</v>
      </c>
      <c r="AE330" s="5">
        <v>2.0</v>
      </c>
      <c r="AF330" s="5">
        <v>1.0</v>
      </c>
      <c r="AG330" s="5" t="s">
        <v>2097</v>
      </c>
      <c r="AH330" s="5" t="s">
        <v>0</v>
      </c>
      <c r="AI330" s="42"/>
      <c r="AJ330" s="28">
        <v>0.0</v>
      </c>
      <c r="AK330" s="28">
        <v>0.0</v>
      </c>
      <c r="AL330" s="28">
        <v>0.0</v>
      </c>
      <c r="AM330" s="28">
        <v>557.0</v>
      </c>
      <c r="AN330" s="28">
        <v>0.0</v>
      </c>
      <c r="AO330" s="28">
        <v>0.0</v>
      </c>
      <c r="AP330" s="28">
        <v>0.0</v>
      </c>
      <c r="AQ330" s="28">
        <v>0.0</v>
      </c>
      <c r="AR330" s="28">
        <v>583524.3399999999</v>
      </c>
      <c r="AS330" s="28">
        <v>0.0</v>
      </c>
      <c r="AT330" s="28">
        <v>0.0</v>
      </c>
      <c r="AU330" s="28">
        <v>0.0</v>
      </c>
      <c r="AV330" s="28">
        <v>0.0</v>
      </c>
      <c r="AW330" s="28">
        <v>501924.00332225906</v>
      </c>
      <c r="AX330" s="5"/>
      <c r="AY330" s="5" t="str">
        <f t="array" ref="AY330">IFERROR(_xlfn.XLOOKUP($E330,'FW27'!$C$3:$C$1102,'FW27'!$AM$3:$AM$1102),"")</f>
        <v>Outdoor</v>
      </c>
      <c r="AZ330" s="5" t="str">
        <f t="array" ref="AZ330">IFERROR(_xlfn.XLOOKUP($E330,'FW27'!$C$3:$C$1102,'FW27'!$AN$3:$AN$1102),"")</f>
        <v>Day Hiking</v>
      </c>
      <c r="BA330" s="32" t="s">
        <v>429</v>
      </c>
      <c r="BB330" s="5" t="str">
        <f t="array" ref="BB330">IFERROR(_xlfn.XLOOKUP($E330,'FW27'!$C$3:$C$1102,'FW27'!$AS$3:$AS$1102),"")</f>
        <v>Softshell</v>
      </c>
      <c r="BC330" s="5" t="str">
        <f t="array" ref="BC330">IFERROR(_xlfn.XLOOKUP($E330,'FW27'!$C$3:$C$1102,'FW27'!$AT$3:$AT$1102),"")</f>
        <v>Pant</v>
      </c>
      <c r="BD330" s="5" t="str">
        <f t="array" ref="BD330">IFERROR(_xlfn.XLOOKUP($E330,'FW27'!$C$3:$C$1102,'FW27'!$AU$3:$AU$1102),"")</f>
        <v>Lightweight Synthetic</v>
      </c>
      <c r="BE330" s="5" t="str">
        <f t="array" ref="BE330">IFERROR(_xlfn.XLOOKUP($E330,'FW27'!$C$3:$C$1102,'FW27'!$AV$3:$AV$1102),"")</f>
        <v>N</v>
      </c>
    </row>
    <row r="331" ht="16.5" hidden="1" customHeight="1">
      <c r="A331" s="5" t="s">
        <v>155</v>
      </c>
      <c r="B331" s="5" t="s">
        <v>200</v>
      </c>
      <c r="C331" s="5" t="b">
        <v>0</v>
      </c>
      <c r="D331" s="5" t="s">
        <v>911</v>
      </c>
      <c r="E331" s="5" t="s">
        <v>912</v>
      </c>
      <c r="F331" s="5"/>
      <c r="G331" s="5" t="s">
        <v>65</v>
      </c>
      <c r="H331" s="5" t="s">
        <v>84</v>
      </c>
      <c r="I331" s="5" t="s">
        <v>106</v>
      </c>
      <c r="J331" s="25" t="s">
        <v>413</v>
      </c>
      <c r="K331" s="25"/>
      <c r="L331" s="25"/>
      <c r="M331" s="5" t="s">
        <v>247</v>
      </c>
      <c r="N331" s="5" t="s">
        <v>113</v>
      </c>
      <c r="O331" s="5" t="s">
        <v>69</v>
      </c>
      <c r="P331" s="5" t="s">
        <v>70</v>
      </c>
      <c r="Q331" s="5" t="b">
        <v>1</v>
      </c>
      <c r="R331" s="5" t="b">
        <v>0</v>
      </c>
      <c r="S331" s="5"/>
      <c r="T331" s="5">
        <v>1000.0</v>
      </c>
      <c r="U331" s="26">
        <v>2.1</v>
      </c>
      <c r="V331" s="5">
        <v>476.0</v>
      </c>
      <c r="W331" s="27">
        <v>0.0</v>
      </c>
      <c r="X331" s="28">
        <v>476.0</v>
      </c>
      <c r="Y331" s="27">
        <v>1.0</v>
      </c>
      <c r="Z331" s="5" t="s">
        <v>117</v>
      </c>
      <c r="AA331" s="5">
        <v>0.65</v>
      </c>
      <c r="AB331" s="5"/>
      <c r="AC331" s="5" t="s">
        <v>81</v>
      </c>
      <c r="AD331" s="5" t="s">
        <v>81</v>
      </c>
      <c r="AE331" s="5">
        <v>2.0</v>
      </c>
      <c r="AF331" s="5">
        <v>2.0</v>
      </c>
      <c r="AG331" s="5" t="s">
        <v>0</v>
      </c>
      <c r="AH331" s="5" t="s">
        <v>0</v>
      </c>
      <c r="AI331" s="42"/>
      <c r="AJ331" s="28">
        <v>0.0</v>
      </c>
      <c r="AK331" s="28">
        <v>0.0</v>
      </c>
      <c r="AL331" s="28">
        <v>0.0</v>
      </c>
      <c r="AM331" s="28">
        <v>1619.0</v>
      </c>
      <c r="AN331" s="28">
        <v>0.0</v>
      </c>
      <c r="AO331" s="28">
        <v>0.0</v>
      </c>
      <c r="AP331" s="28">
        <v>0.0</v>
      </c>
      <c r="AQ331" s="28">
        <v>0.0</v>
      </c>
      <c r="AR331" s="28">
        <v>770951.6100000001</v>
      </c>
      <c r="AS331" s="28">
        <v>0.0</v>
      </c>
      <c r="AT331" s="28">
        <v>0.0</v>
      </c>
      <c r="AU331" s="28">
        <v>0.0</v>
      </c>
      <c r="AV331" s="28">
        <v>0.0</v>
      </c>
      <c r="AW331" s="28">
        <v>503270.14473975624</v>
      </c>
      <c r="AX331" s="5"/>
      <c r="AY331" s="5" t="s">
        <v>125</v>
      </c>
      <c r="AZ331" s="5" t="s">
        <v>174</v>
      </c>
      <c r="BA331" s="5" t="s">
        <v>237</v>
      </c>
      <c r="BB331" s="5" t="s">
        <v>126</v>
      </c>
      <c r="BC331" s="5" t="s">
        <v>147</v>
      </c>
      <c r="BD331" s="5" t="s">
        <v>539</v>
      </c>
      <c r="BE331" s="5" t="s">
        <v>131</v>
      </c>
      <c r="BF331" s="5" t="s">
        <v>1639</v>
      </c>
    </row>
    <row r="332" ht="16.5" hidden="1" customHeight="1">
      <c r="A332" s="5" t="s">
        <v>155</v>
      </c>
      <c r="B332" s="5" t="s">
        <v>200</v>
      </c>
      <c r="C332" s="5" t="b">
        <v>0</v>
      </c>
      <c r="D332" s="5" t="s">
        <v>916</v>
      </c>
      <c r="E332" s="5" t="s">
        <v>917</v>
      </c>
      <c r="F332" s="5"/>
      <c r="G332" s="5" t="s">
        <v>65</v>
      </c>
      <c r="H332" s="5" t="s">
        <v>84</v>
      </c>
      <c r="I332" s="5" t="s">
        <v>106</v>
      </c>
      <c r="J332" s="25" t="s">
        <v>413</v>
      </c>
      <c r="K332" s="25"/>
      <c r="L332" s="25"/>
      <c r="M332" s="5" t="s">
        <v>247</v>
      </c>
      <c r="N332" s="5" t="s">
        <v>113</v>
      </c>
      <c r="O332" s="5" t="s">
        <v>69</v>
      </c>
      <c r="P332" s="5" t="s">
        <v>107</v>
      </c>
      <c r="Q332" s="5" t="b">
        <v>1</v>
      </c>
      <c r="R332" s="5" t="b">
        <v>0</v>
      </c>
      <c r="S332" s="5"/>
      <c r="T332" s="5">
        <v>1000.0</v>
      </c>
      <c r="U332" s="26">
        <v>2.1</v>
      </c>
      <c r="V332" s="5">
        <v>476.0</v>
      </c>
      <c r="W332" s="27">
        <v>0.0</v>
      </c>
      <c r="X332" s="28">
        <v>476.0</v>
      </c>
      <c r="Y332" s="27">
        <v>1.0</v>
      </c>
      <c r="Z332" s="5" t="s">
        <v>117</v>
      </c>
      <c r="AA332" s="5">
        <v>0.618</v>
      </c>
      <c r="AB332" s="5"/>
      <c r="AC332" s="5" t="s">
        <v>81</v>
      </c>
      <c r="AD332" s="5" t="s">
        <v>81</v>
      </c>
      <c r="AE332" s="5">
        <v>2.0</v>
      </c>
      <c r="AF332" s="5">
        <v>2.0</v>
      </c>
      <c r="AG332" s="5" t="s">
        <v>0</v>
      </c>
      <c r="AH332" s="5" t="s">
        <v>0</v>
      </c>
      <c r="AI332" s="42"/>
      <c r="AJ332" s="28">
        <v>0.0</v>
      </c>
      <c r="AK332" s="28">
        <v>0.0</v>
      </c>
      <c r="AL332" s="28">
        <v>0.0</v>
      </c>
      <c r="AM332" s="28">
        <v>1144.0</v>
      </c>
      <c r="AN332" s="28">
        <v>0.0</v>
      </c>
      <c r="AO332" s="28">
        <v>0.0</v>
      </c>
      <c r="AP332" s="28">
        <v>0.0</v>
      </c>
      <c r="AQ332" s="28">
        <v>0.0</v>
      </c>
      <c r="AR332" s="28">
        <v>544761.3600000001</v>
      </c>
      <c r="AS332" s="28">
        <v>0.0</v>
      </c>
      <c r="AT332" s="28">
        <v>0.0</v>
      </c>
      <c r="AU332" s="28">
        <v>0.0</v>
      </c>
      <c r="AV332" s="28">
        <v>0.0</v>
      </c>
      <c r="AW332" s="28">
        <v>396349.09379844955</v>
      </c>
      <c r="AX332" s="5"/>
      <c r="AY332" s="5" t="s">
        <v>125</v>
      </c>
      <c r="AZ332" s="5" t="s">
        <v>174</v>
      </c>
      <c r="BA332" s="5" t="s">
        <v>237</v>
      </c>
      <c r="BB332" s="5" t="s">
        <v>126</v>
      </c>
      <c r="BC332" s="5" t="s">
        <v>147</v>
      </c>
      <c r="BD332" s="5" t="s">
        <v>539</v>
      </c>
      <c r="BE332" s="5" t="s">
        <v>131</v>
      </c>
      <c r="BF332" s="5" t="s">
        <v>1639</v>
      </c>
    </row>
    <row r="333" ht="16.5" hidden="1" customHeight="1">
      <c r="A333" s="5" t="s">
        <v>155</v>
      </c>
      <c r="B333" s="5" t="s">
        <v>200</v>
      </c>
      <c r="C333" s="5" t="b">
        <v>0</v>
      </c>
      <c r="D333" s="5" t="s">
        <v>919</v>
      </c>
      <c r="E333" s="5" t="s">
        <v>920</v>
      </c>
      <c r="F333" s="5"/>
      <c r="G333" s="5" t="s">
        <v>65</v>
      </c>
      <c r="H333" s="5" t="s">
        <v>84</v>
      </c>
      <c r="I333" s="5" t="s">
        <v>106</v>
      </c>
      <c r="J333" s="25" t="s">
        <v>413</v>
      </c>
      <c r="K333" s="25"/>
      <c r="L333" s="25"/>
      <c r="M333" s="5" t="s">
        <v>247</v>
      </c>
      <c r="N333" s="5" t="s">
        <v>334</v>
      </c>
      <c r="O333" s="5" t="s">
        <v>69</v>
      </c>
      <c r="P333" s="5" t="s">
        <v>70</v>
      </c>
      <c r="Q333" s="5" t="b">
        <v>1</v>
      </c>
      <c r="R333" s="5" t="b">
        <v>0</v>
      </c>
      <c r="S333" s="5"/>
      <c r="T333" s="5">
        <v>1100.0</v>
      </c>
      <c r="U333" s="26">
        <v>2.1</v>
      </c>
      <c r="V333" s="5">
        <v>524.0</v>
      </c>
      <c r="W333" s="27">
        <v>0.0</v>
      </c>
      <c r="X333" s="28">
        <v>524.0</v>
      </c>
      <c r="Y333" s="27">
        <v>1.0</v>
      </c>
      <c r="Z333" s="5" t="s">
        <v>117</v>
      </c>
      <c r="AA333" s="5">
        <v>0.584</v>
      </c>
      <c r="AB333" s="5"/>
      <c r="AC333" s="5" t="s">
        <v>81</v>
      </c>
      <c r="AD333" s="5" t="s">
        <v>81</v>
      </c>
      <c r="AE333" s="5">
        <v>2.0</v>
      </c>
      <c r="AF333" s="5">
        <v>2.0</v>
      </c>
      <c r="AG333" s="5" t="s">
        <v>0</v>
      </c>
      <c r="AH333" s="5" t="s">
        <v>0</v>
      </c>
      <c r="AI333" s="42"/>
      <c r="AJ333" s="28">
        <v>0.0</v>
      </c>
      <c r="AK333" s="28">
        <v>0.0</v>
      </c>
      <c r="AL333" s="28">
        <v>0.0</v>
      </c>
      <c r="AM333" s="28">
        <v>1882.0</v>
      </c>
      <c r="AN333" s="28">
        <v>0.0</v>
      </c>
      <c r="AO333" s="28">
        <v>0.0</v>
      </c>
      <c r="AP333" s="28">
        <v>0.0</v>
      </c>
      <c r="AQ333" s="28">
        <v>0.0</v>
      </c>
      <c r="AR333" s="28">
        <v>985810.4199999999</v>
      </c>
      <c r="AS333" s="28">
        <v>0.0</v>
      </c>
      <c r="AT333" s="28">
        <v>0.0</v>
      </c>
      <c r="AU333" s="28">
        <v>0.0</v>
      </c>
      <c r="AV333" s="28">
        <v>0.0</v>
      </c>
      <c r="AW333" s="28">
        <v>673341.5960686599</v>
      </c>
      <c r="AX333" s="5"/>
      <c r="AY333" s="5" t="s">
        <v>125</v>
      </c>
      <c r="AZ333" s="5" t="s">
        <v>174</v>
      </c>
      <c r="BA333" s="5" t="s">
        <v>237</v>
      </c>
      <c r="BB333" s="5" t="s">
        <v>334</v>
      </c>
      <c r="BC333" s="5" t="s">
        <v>872</v>
      </c>
      <c r="BD333" s="5" t="s">
        <v>539</v>
      </c>
      <c r="BE333" s="5" t="s">
        <v>131</v>
      </c>
      <c r="BF333" s="5" t="s">
        <v>2104</v>
      </c>
    </row>
    <row r="334" ht="16.5" hidden="1" customHeight="1">
      <c r="A334" s="5" t="s">
        <v>155</v>
      </c>
      <c r="B334" s="5" t="s">
        <v>200</v>
      </c>
      <c r="C334" s="5" t="b">
        <v>0</v>
      </c>
      <c r="D334" s="5" t="s">
        <v>922</v>
      </c>
      <c r="E334" s="5" t="s">
        <v>923</v>
      </c>
      <c r="F334" s="5"/>
      <c r="G334" s="5" t="s">
        <v>65</v>
      </c>
      <c r="H334" s="5" t="s">
        <v>84</v>
      </c>
      <c r="I334" s="5" t="s">
        <v>106</v>
      </c>
      <c r="J334" s="25" t="s">
        <v>413</v>
      </c>
      <c r="K334" s="25"/>
      <c r="L334" s="25"/>
      <c r="M334" s="5" t="s">
        <v>247</v>
      </c>
      <c r="N334" s="5" t="s">
        <v>334</v>
      </c>
      <c r="O334" s="5" t="s">
        <v>69</v>
      </c>
      <c r="P334" s="5" t="s">
        <v>107</v>
      </c>
      <c r="Q334" s="5" t="b">
        <v>1</v>
      </c>
      <c r="R334" s="5" t="b">
        <v>0</v>
      </c>
      <c r="S334" s="5"/>
      <c r="T334" s="5">
        <v>1100.0</v>
      </c>
      <c r="U334" s="26">
        <v>2.1</v>
      </c>
      <c r="V334" s="5">
        <v>524.0</v>
      </c>
      <c r="W334" s="27">
        <v>0.0</v>
      </c>
      <c r="X334" s="28">
        <v>524.0</v>
      </c>
      <c r="Y334" s="27">
        <v>1.0</v>
      </c>
      <c r="Z334" s="5" t="s">
        <v>117</v>
      </c>
      <c r="AA334" s="5">
        <v>0.62</v>
      </c>
      <c r="AB334" s="5"/>
      <c r="AC334" s="5" t="s">
        <v>81</v>
      </c>
      <c r="AD334" s="5" t="s">
        <v>81</v>
      </c>
      <c r="AE334" s="5">
        <v>2.0</v>
      </c>
      <c r="AF334" s="5">
        <v>2.0</v>
      </c>
      <c r="AG334" s="5" t="s">
        <v>0</v>
      </c>
      <c r="AH334" s="5" t="s">
        <v>0</v>
      </c>
      <c r="AI334" s="42"/>
      <c r="AJ334" s="28">
        <v>0.0</v>
      </c>
      <c r="AK334" s="28">
        <v>0.0</v>
      </c>
      <c r="AL334" s="28">
        <v>0.0</v>
      </c>
      <c r="AM334" s="28">
        <v>945.0</v>
      </c>
      <c r="AN334" s="28">
        <v>0.0</v>
      </c>
      <c r="AO334" s="28">
        <v>0.0</v>
      </c>
      <c r="AP334" s="28">
        <v>0.0</v>
      </c>
      <c r="AQ334" s="28">
        <v>0.0</v>
      </c>
      <c r="AR334" s="28">
        <v>495000.44999999984</v>
      </c>
      <c r="AS334" s="28">
        <v>0.0</v>
      </c>
      <c r="AT334" s="28">
        <v>0.0</v>
      </c>
      <c r="AU334" s="28">
        <v>0.0</v>
      </c>
      <c r="AV334" s="28">
        <v>0.0</v>
      </c>
      <c r="AW334" s="28">
        <v>406212.18410852714</v>
      </c>
      <c r="AX334" s="5"/>
      <c r="AY334" s="5" t="s">
        <v>125</v>
      </c>
      <c r="AZ334" s="5" t="s">
        <v>174</v>
      </c>
      <c r="BA334" s="5" t="s">
        <v>237</v>
      </c>
      <c r="BB334" s="5" t="s">
        <v>334</v>
      </c>
      <c r="BC334" s="5" t="s">
        <v>872</v>
      </c>
      <c r="BD334" s="5" t="s">
        <v>539</v>
      </c>
      <c r="BE334" s="5" t="s">
        <v>131</v>
      </c>
      <c r="BF334" s="5" t="s">
        <v>2104</v>
      </c>
    </row>
    <row r="335" ht="16.5" hidden="1" customHeight="1">
      <c r="A335" s="5" t="s">
        <v>155</v>
      </c>
      <c r="B335" s="5" t="s">
        <v>215</v>
      </c>
      <c r="C335" s="5" t="b">
        <v>1</v>
      </c>
      <c r="D335" s="5" t="s">
        <v>1732</v>
      </c>
      <c r="E335" s="5" t="s">
        <v>1733</v>
      </c>
      <c r="F335" s="5"/>
      <c r="G335" s="5" t="s">
        <v>65</v>
      </c>
      <c r="H335" s="5" t="s">
        <v>76</v>
      </c>
      <c r="I335" s="5" t="s">
        <v>82</v>
      </c>
      <c r="J335" s="25" t="s">
        <v>2105</v>
      </c>
      <c r="K335" s="25"/>
      <c r="L335" s="25" t="s">
        <v>110</v>
      </c>
      <c r="M335" s="5" t="s">
        <v>500</v>
      </c>
      <c r="N335" s="5" t="s">
        <v>355</v>
      </c>
      <c r="O335" s="5" t="s">
        <v>69</v>
      </c>
      <c r="P335" s="5" t="s">
        <v>70</v>
      </c>
      <c r="Q335" s="5" t="b">
        <v>1</v>
      </c>
      <c r="R335" s="5" t="b">
        <v>0</v>
      </c>
      <c r="S335" s="5"/>
      <c r="T335" s="5">
        <v>4500.0</v>
      </c>
      <c r="U335" s="26">
        <v>2.1</v>
      </c>
      <c r="V335" s="5">
        <v>2143.0</v>
      </c>
      <c r="W335" s="27">
        <v>0.0</v>
      </c>
      <c r="X335" s="28">
        <v>2143.0</v>
      </c>
      <c r="Y335" s="27">
        <v>1.0</v>
      </c>
      <c r="Z335" s="5" t="s">
        <v>242</v>
      </c>
      <c r="AA335" s="5">
        <v>0.55</v>
      </c>
      <c r="AB335" s="5"/>
      <c r="AC335" s="5" t="s">
        <v>359</v>
      </c>
      <c r="AD335" s="5" t="s">
        <v>81</v>
      </c>
      <c r="AE335" s="5">
        <v>4.0</v>
      </c>
      <c r="AF335" s="5">
        <v>4.0</v>
      </c>
      <c r="AG335" s="5" t="s">
        <v>1734</v>
      </c>
      <c r="AH335" s="5" t="s">
        <v>0</v>
      </c>
      <c r="AI335" s="42"/>
      <c r="AJ335" s="28">
        <v>2478.0</v>
      </c>
      <c r="AK335" s="28">
        <v>2504.0</v>
      </c>
      <c r="AL335" s="28">
        <v>0.0</v>
      </c>
      <c r="AM335" s="28">
        <v>0.0</v>
      </c>
      <c r="AN335" s="28">
        <v>0.0</v>
      </c>
      <c r="AO335" s="28">
        <v>5310007.08</v>
      </c>
      <c r="AP335" s="28">
        <v>5366072.0</v>
      </c>
      <c r="AQ335" s="28">
        <v>0.0</v>
      </c>
      <c r="AR335" s="28">
        <v>0.0</v>
      </c>
      <c r="AS335" s="28">
        <v>0.0</v>
      </c>
      <c r="AT335" s="28">
        <v>3932019.809302326</v>
      </c>
      <c r="AU335" s="28">
        <v>4162819.8573749997</v>
      </c>
      <c r="AV335" s="28">
        <v>0.0</v>
      </c>
      <c r="AW335" s="28">
        <v>0.0</v>
      </c>
      <c r="AX335" s="5"/>
      <c r="AY335" s="5" t="str">
        <f t="array" ref="AY335">IFERROR(_xlfn.XLOOKUP($E335,'FW27'!$C$3:$C$1102,'FW27'!$AM$3:$AM$1102),"")</f>
        <v>Outdoor</v>
      </c>
      <c r="AZ335" s="5" t="str">
        <f t="array" ref="AZ335">IFERROR(_xlfn.XLOOKUP($E335,'FW27'!$C$3:$C$1102,'FW27'!$AN$3:$AN$1102),"")</f>
        <v>Mountaineering</v>
      </c>
      <c r="BA335" s="32" t="s">
        <v>584</v>
      </c>
      <c r="BB335" s="5" t="str">
        <f t="array" ref="BB335">IFERROR(_xlfn.XLOOKUP($E335,'FW27'!$C$3:$C$1102,'FW27'!$AS$3:$AS$1102),"")</f>
        <v>Insulation</v>
      </c>
      <c r="BC335" s="5" t="str">
        <f t="array" ref="BC335">IFERROR(_xlfn.XLOOKUP($E335,'FW27'!$C$3:$C$1102,'FW27'!$AT$3:$AT$1102),"")</f>
        <v>Hooded Jacket</v>
      </c>
      <c r="BD335" s="5" t="str">
        <f t="array" ref="BD335">IFERROR(_xlfn.XLOOKUP($E335,'FW27'!$C$3:$C$1102,'FW27'!$AU$3:$AU$1102),"")</f>
        <v>Midweight Down</v>
      </c>
      <c r="BE335" s="5" t="str">
        <f t="array" ref="BE335">IFERROR(_xlfn.XLOOKUP($E335,'FW27'!$C$3:$C$1102,'FW27'!$AV$3:$AV$1102),"")</f>
        <v>N</v>
      </c>
    </row>
    <row r="336" ht="16.5" hidden="1" customHeight="1">
      <c r="A336" s="5" t="s">
        <v>155</v>
      </c>
      <c r="B336" s="5" t="s">
        <v>215</v>
      </c>
      <c r="C336" s="5" t="b">
        <v>1</v>
      </c>
      <c r="D336" s="5" t="s">
        <v>1736</v>
      </c>
      <c r="E336" s="5" t="s">
        <v>1737</v>
      </c>
      <c r="F336" s="5"/>
      <c r="G336" s="5" t="s">
        <v>65</v>
      </c>
      <c r="H336" s="5" t="s">
        <v>76</v>
      </c>
      <c r="I336" s="5" t="s">
        <v>82</v>
      </c>
      <c r="J336" s="25" t="s">
        <v>2105</v>
      </c>
      <c r="K336" s="25"/>
      <c r="L336" s="25" t="s">
        <v>110</v>
      </c>
      <c r="M336" s="5" t="s">
        <v>500</v>
      </c>
      <c r="N336" s="5" t="s">
        <v>355</v>
      </c>
      <c r="O336" s="5" t="s">
        <v>69</v>
      </c>
      <c r="P336" s="5" t="s">
        <v>107</v>
      </c>
      <c r="Q336" s="5" t="b">
        <v>1</v>
      </c>
      <c r="R336" s="5" t="b">
        <v>0</v>
      </c>
      <c r="S336" s="5"/>
      <c r="T336" s="5">
        <v>4500.0</v>
      </c>
      <c r="U336" s="26">
        <v>2.1</v>
      </c>
      <c r="V336" s="5">
        <v>2143.0</v>
      </c>
      <c r="W336" s="27">
        <v>0.0</v>
      </c>
      <c r="X336" s="28">
        <v>2143.0</v>
      </c>
      <c r="Y336" s="27">
        <v>1.0</v>
      </c>
      <c r="Z336" s="5" t="s">
        <v>242</v>
      </c>
      <c r="AA336" s="5">
        <v>0.58</v>
      </c>
      <c r="AB336" s="5"/>
      <c r="AC336" s="5" t="s">
        <v>359</v>
      </c>
      <c r="AD336" s="5" t="s">
        <v>81</v>
      </c>
      <c r="AE336" s="5">
        <v>4.0</v>
      </c>
      <c r="AF336" s="5">
        <v>4.0</v>
      </c>
      <c r="AG336" s="5" t="s">
        <v>1738</v>
      </c>
      <c r="AH336" s="5" t="s">
        <v>0</v>
      </c>
      <c r="AI336" s="42"/>
      <c r="AJ336" s="28">
        <v>1508.0</v>
      </c>
      <c r="AK336" s="28">
        <v>1651.0</v>
      </c>
      <c r="AL336" s="28">
        <v>0.0</v>
      </c>
      <c r="AM336" s="28">
        <v>0.0</v>
      </c>
      <c r="AN336" s="28">
        <v>0.0</v>
      </c>
      <c r="AO336" s="28">
        <v>3231432.8800000004</v>
      </c>
      <c r="AP336" s="28">
        <v>3538093.0</v>
      </c>
      <c r="AQ336" s="28">
        <v>0.0</v>
      </c>
      <c r="AR336" s="28">
        <v>0.0</v>
      </c>
      <c r="AS336" s="28">
        <v>0.0</v>
      </c>
      <c r="AT336" s="28">
        <v>2376506.362015504</v>
      </c>
      <c r="AU336" s="28">
        <v>2717597.018580001</v>
      </c>
      <c r="AV336" s="28">
        <v>0.0</v>
      </c>
      <c r="AW336" s="28">
        <v>0.0</v>
      </c>
      <c r="AX336" s="5"/>
      <c r="AY336" s="5" t="str">
        <f t="array" ref="AY336">IFERROR(_xlfn.XLOOKUP($E336,'FW27'!$C$3:$C$1102,'FW27'!$AM$3:$AM$1102),"")</f>
        <v>Outdoor</v>
      </c>
      <c r="AZ336" s="5" t="str">
        <f t="array" ref="AZ336">IFERROR(_xlfn.XLOOKUP($E336,'FW27'!$C$3:$C$1102,'FW27'!$AN$3:$AN$1102),"")</f>
        <v>Mountaineering</v>
      </c>
      <c r="BA336" s="32" t="s">
        <v>584</v>
      </c>
      <c r="BB336" s="5" t="str">
        <f t="array" ref="BB336">IFERROR(_xlfn.XLOOKUP($E336,'FW27'!$C$3:$C$1102,'FW27'!$AS$3:$AS$1102),"")</f>
        <v>Insulation</v>
      </c>
      <c r="BC336" s="5" t="str">
        <f t="array" ref="BC336">IFERROR(_xlfn.XLOOKUP($E336,'FW27'!$C$3:$C$1102,'FW27'!$AT$3:$AT$1102),"")</f>
        <v>Hooded Jacket</v>
      </c>
      <c r="BD336" s="5" t="str">
        <f t="array" ref="BD336">IFERROR(_xlfn.XLOOKUP($E336,'FW27'!$C$3:$C$1102,'FW27'!$AU$3:$AU$1102),"")</f>
        <v>Midweight Down</v>
      </c>
      <c r="BE336" s="5" t="str">
        <f t="array" ref="BE336">IFERROR(_xlfn.XLOOKUP($E336,'FW27'!$C$3:$C$1102,'FW27'!$AV$3:$AV$1102),"")</f>
        <v>N</v>
      </c>
    </row>
    <row r="337" ht="16.5" hidden="1" customHeight="1">
      <c r="A337" s="5" t="s">
        <v>155</v>
      </c>
      <c r="B337" s="5" t="s">
        <v>137</v>
      </c>
      <c r="C337" s="5" t="b">
        <v>0</v>
      </c>
      <c r="D337" s="43" t="s">
        <v>925</v>
      </c>
      <c r="E337" s="43" t="s">
        <v>926</v>
      </c>
      <c r="F337" s="43"/>
      <c r="G337" s="43" t="s">
        <v>65</v>
      </c>
      <c r="H337" s="43" t="s">
        <v>84</v>
      </c>
      <c r="I337" s="43" t="s">
        <v>106</v>
      </c>
      <c r="J337" s="44" t="s">
        <v>2027</v>
      </c>
      <c r="K337" s="25"/>
      <c r="L337" s="25" t="s">
        <v>110</v>
      </c>
      <c r="M337" s="5" t="s">
        <v>500</v>
      </c>
      <c r="N337" s="5" t="s">
        <v>68</v>
      </c>
      <c r="O337" s="5" t="s">
        <v>69</v>
      </c>
      <c r="P337" s="5" t="s">
        <v>70</v>
      </c>
      <c r="Q337" s="5" t="b">
        <v>1</v>
      </c>
      <c r="R337" s="5" t="b">
        <v>0</v>
      </c>
      <c r="S337" s="5"/>
      <c r="T337" s="5">
        <v>7500.0</v>
      </c>
      <c r="U337" s="26">
        <v>2.1</v>
      </c>
      <c r="V337" s="5">
        <v>3571.0</v>
      </c>
      <c r="W337" s="27">
        <v>0.0</v>
      </c>
      <c r="X337" s="28">
        <v>3571.0</v>
      </c>
      <c r="Y337" s="27">
        <v>1.0</v>
      </c>
      <c r="Z337" s="5" t="s">
        <v>242</v>
      </c>
      <c r="AA337" s="5">
        <v>0.55</v>
      </c>
      <c r="AB337" s="5"/>
      <c r="AC337" s="5" t="s">
        <v>80</v>
      </c>
      <c r="AD337" s="5" t="s">
        <v>81</v>
      </c>
      <c r="AE337" s="5">
        <v>2.0</v>
      </c>
      <c r="AF337" s="5">
        <v>2.0</v>
      </c>
      <c r="AG337" s="5" t="s">
        <v>2108</v>
      </c>
      <c r="AH337" s="5" t="s">
        <v>0</v>
      </c>
      <c r="AI337" s="42"/>
      <c r="AJ337" s="28">
        <v>1083.0</v>
      </c>
      <c r="AK337" s="28">
        <v>1041.0</v>
      </c>
      <c r="AL337" s="28">
        <v>0.0</v>
      </c>
      <c r="AM337" s="28">
        <v>902.0</v>
      </c>
      <c r="AN337" s="28">
        <v>0.0</v>
      </c>
      <c r="AO337" s="28">
        <v>3867858.69</v>
      </c>
      <c r="AP337" s="28">
        <v>3717411.0</v>
      </c>
      <c r="AQ337" s="28">
        <v>0.0</v>
      </c>
      <c r="AR337" s="28">
        <v>3221429.8599999994</v>
      </c>
      <c r="AS337" s="28">
        <v>0.0</v>
      </c>
      <c r="AT337" s="28">
        <v>2975110.7253599116</v>
      </c>
      <c r="AU337" s="28">
        <v>2864383.2260170006</v>
      </c>
      <c r="AV337" s="28">
        <v>0.0</v>
      </c>
      <c r="AW337" s="28">
        <v>2536710.6506090807</v>
      </c>
      <c r="AX337" s="5"/>
      <c r="AY337" s="5" t="str">
        <f t="array" ref="AY337">IFERROR(_xlfn.XLOOKUP($E337,'FW27'!$C$3:$C$1102,'FW27'!$AM$3:$AM$1102),"")</f>
        <v>Outdoor</v>
      </c>
      <c r="AZ337" s="5" t="str">
        <f t="array" ref="AZ337">IFERROR(_xlfn.XLOOKUP($E337,'FW27'!$C$3:$C$1102,'FW27'!$AN$3:$AN$1102),"")</f>
        <v>Mountaineering</v>
      </c>
      <c r="BA337" s="5" t="s">
        <v>827</v>
      </c>
      <c r="BB337" s="5" t="str">
        <f t="array" ref="BB337">IFERROR(_xlfn.XLOOKUP($E337,'FW27'!$C$3:$C$1102,'FW27'!$AS$3:$AS$1102),"")</f>
        <v>Shell</v>
      </c>
      <c r="BC337" s="5" t="str">
        <f t="array" ref="BC337">IFERROR(_xlfn.XLOOKUP($E337,'FW27'!$C$3:$C$1102,'FW27'!$AT$3:$AT$1102),"")</f>
        <v>Jacket</v>
      </c>
      <c r="BD337" s="5" t="str">
        <f t="array" ref="BD337">IFERROR(_xlfn.XLOOKUP($E337,'FW27'!$C$3:$C$1102,'FW27'!$AU$3:$AU$1102),"")</f>
        <v>3L</v>
      </c>
      <c r="BE337" s="5" t="str">
        <f t="array" ref="BE337">IFERROR(_xlfn.XLOOKUP($E337,'FW27'!$C$3:$C$1102,'FW27'!$AV$3:$AV$1102),"")</f>
        <v>Y</v>
      </c>
    </row>
    <row r="338" ht="16.5" hidden="1" customHeight="1">
      <c r="A338" s="5" t="s">
        <v>155</v>
      </c>
      <c r="B338" s="5" t="s">
        <v>137</v>
      </c>
      <c r="C338" s="5" t="b">
        <v>0</v>
      </c>
      <c r="D338" s="43" t="s">
        <v>929</v>
      </c>
      <c r="E338" s="43" t="s">
        <v>930</v>
      </c>
      <c r="F338" s="43"/>
      <c r="G338" s="43" t="s">
        <v>65</v>
      </c>
      <c r="H338" s="43" t="s">
        <v>84</v>
      </c>
      <c r="I338" s="43" t="s">
        <v>106</v>
      </c>
      <c r="J338" s="44" t="s">
        <v>2027</v>
      </c>
      <c r="K338" s="25"/>
      <c r="L338" s="25" t="s">
        <v>110</v>
      </c>
      <c r="M338" s="5" t="s">
        <v>500</v>
      </c>
      <c r="N338" s="5" t="s">
        <v>68</v>
      </c>
      <c r="O338" s="5" t="s">
        <v>69</v>
      </c>
      <c r="P338" s="5" t="s">
        <v>107</v>
      </c>
      <c r="Q338" s="5" t="b">
        <v>1</v>
      </c>
      <c r="R338" s="5" t="b">
        <v>0</v>
      </c>
      <c r="S338" s="5"/>
      <c r="T338" s="5">
        <v>7500.0</v>
      </c>
      <c r="U338" s="26">
        <v>2.1</v>
      </c>
      <c r="V338" s="5">
        <v>3571.0</v>
      </c>
      <c r="W338" s="27">
        <v>0.0</v>
      </c>
      <c r="X338" s="28">
        <v>3571.0</v>
      </c>
      <c r="Y338" s="27">
        <v>1.0</v>
      </c>
      <c r="Z338" s="5" t="s">
        <v>242</v>
      </c>
      <c r="AA338" s="5">
        <v>0.57</v>
      </c>
      <c r="AB338" s="5"/>
      <c r="AC338" s="5" t="s">
        <v>80</v>
      </c>
      <c r="AD338" s="5" t="s">
        <v>81</v>
      </c>
      <c r="AE338" s="5">
        <v>2.0</v>
      </c>
      <c r="AF338" s="5">
        <v>2.0</v>
      </c>
      <c r="AG338" s="5" t="s">
        <v>2108</v>
      </c>
      <c r="AH338" s="5" t="s">
        <v>0</v>
      </c>
      <c r="AI338" s="42"/>
      <c r="AJ338" s="28">
        <v>602.0</v>
      </c>
      <c r="AK338" s="28">
        <v>372.0</v>
      </c>
      <c r="AL338" s="28">
        <v>0.0</v>
      </c>
      <c r="AM338" s="28">
        <v>464.0</v>
      </c>
      <c r="AN338" s="28">
        <v>0.0</v>
      </c>
      <c r="AO338" s="28">
        <v>2150000.86</v>
      </c>
      <c r="AP338" s="28">
        <v>1328412.0</v>
      </c>
      <c r="AQ338" s="28">
        <v>0.0</v>
      </c>
      <c r="AR338" s="28">
        <v>1657143.52</v>
      </c>
      <c r="AS338" s="28">
        <v>0.0</v>
      </c>
      <c r="AT338" s="28">
        <v>1677463.2878183832</v>
      </c>
      <c r="AU338" s="28">
        <v>1170089.5832200001</v>
      </c>
      <c r="AV338" s="28">
        <v>0.0</v>
      </c>
      <c r="AW338" s="28">
        <v>1313431.503211517</v>
      </c>
      <c r="AX338" s="5"/>
      <c r="AY338" s="5" t="str">
        <f t="array" ref="AY338">IFERROR(_xlfn.XLOOKUP($E338,'FW27'!$C$3:$C$1102,'FW27'!$AM$3:$AM$1102),"")</f>
        <v>Outdoor</v>
      </c>
      <c r="AZ338" s="5" t="str">
        <f t="array" ref="AZ338">IFERROR(_xlfn.XLOOKUP($E338,'FW27'!$C$3:$C$1102,'FW27'!$AN$3:$AN$1102),"")</f>
        <v>Mountaineering</v>
      </c>
      <c r="BA338" s="5" t="s">
        <v>827</v>
      </c>
      <c r="BB338" s="5" t="str">
        <f t="array" ref="BB338">IFERROR(_xlfn.XLOOKUP($E338,'FW27'!$C$3:$C$1102,'FW27'!$AS$3:$AS$1102),"")</f>
        <v>Shell</v>
      </c>
      <c r="BC338" s="5" t="str">
        <f t="array" ref="BC338">IFERROR(_xlfn.XLOOKUP($E338,'FW27'!$C$3:$C$1102,'FW27'!$AT$3:$AT$1102),"")</f>
        <v>Jacket</v>
      </c>
      <c r="BD338" s="5" t="str">
        <f t="array" ref="BD338">IFERROR(_xlfn.XLOOKUP($E338,'FW27'!$C$3:$C$1102,'FW27'!$AU$3:$AU$1102),"")</f>
        <v>3L</v>
      </c>
      <c r="BE338" s="5" t="str">
        <f t="array" ref="BE338">IFERROR(_xlfn.XLOOKUP($E338,'FW27'!$C$3:$C$1102,'FW27'!$AV$3:$AV$1102),"")</f>
        <v>Y</v>
      </c>
    </row>
    <row r="339" ht="16.5" hidden="1" customHeight="1">
      <c r="A339" s="5" t="s">
        <v>155</v>
      </c>
      <c r="B339" s="5" t="s">
        <v>137</v>
      </c>
      <c r="C339" s="5" t="b">
        <v>1</v>
      </c>
      <c r="D339" s="5" t="s">
        <v>590</v>
      </c>
      <c r="E339" s="5" t="s">
        <v>985</v>
      </c>
      <c r="F339" s="5"/>
      <c r="G339" s="5" t="s">
        <v>65</v>
      </c>
      <c r="H339" s="5" t="s">
        <v>84</v>
      </c>
      <c r="I339" s="5" t="s">
        <v>82</v>
      </c>
      <c r="J339" s="25" t="s">
        <v>2109</v>
      </c>
      <c r="K339" s="25"/>
      <c r="L339" s="25" t="s">
        <v>110</v>
      </c>
      <c r="M339" s="5" t="s">
        <v>66</v>
      </c>
      <c r="N339" s="5" t="s">
        <v>68</v>
      </c>
      <c r="O339" s="5" t="s">
        <v>141</v>
      </c>
      <c r="P339" s="5" t="s">
        <v>70</v>
      </c>
      <c r="Q339" s="5" t="b">
        <v>1</v>
      </c>
      <c r="R339" s="5" t="b">
        <v>0</v>
      </c>
      <c r="S339" s="5"/>
      <c r="T339" s="5">
        <v>4000.0</v>
      </c>
      <c r="U339" s="26">
        <v>2.1</v>
      </c>
      <c r="V339" s="5">
        <v>1905.0</v>
      </c>
      <c r="W339" s="27">
        <v>0.0</v>
      </c>
      <c r="X339" s="28">
        <v>1905.0</v>
      </c>
      <c r="Y339" s="27">
        <v>1.0</v>
      </c>
      <c r="Z339" s="5" t="s">
        <v>117</v>
      </c>
      <c r="AA339" s="5">
        <v>0.5920000000000001</v>
      </c>
      <c r="AB339" s="5"/>
      <c r="AC339" s="5" t="s">
        <v>80</v>
      </c>
      <c r="AD339" s="5" t="s">
        <v>81</v>
      </c>
      <c r="AE339" s="24">
        <v>0.0</v>
      </c>
      <c r="AF339" s="5">
        <v>3.0</v>
      </c>
      <c r="AG339" s="5" t="s">
        <v>2094</v>
      </c>
      <c r="AH339" s="5" t="s">
        <v>0</v>
      </c>
      <c r="AI339" s="42"/>
      <c r="AJ339" s="28">
        <v>0.0</v>
      </c>
      <c r="AK339" s="28">
        <v>0.0</v>
      </c>
      <c r="AL339" s="28">
        <v>0.0</v>
      </c>
      <c r="AM339" s="28">
        <v>0.0</v>
      </c>
      <c r="AN339" s="28">
        <v>0.0</v>
      </c>
      <c r="AO339" s="28">
        <v>0.0</v>
      </c>
      <c r="AP339" s="28">
        <v>0.0</v>
      </c>
      <c r="AQ339" s="28">
        <v>0.0</v>
      </c>
      <c r="AR339" s="28">
        <v>0.0</v>
      </c>
      <c r="AS339" s="28">
        <v>0.0</v>
      </c>
      <c r="AT339" s="28">
        <v>0.0</v>
      </c>
      <c r="AU339" s="28">
        <v>0.0</v>
      </c>
      <c r="AV339" s="28">
        <v>0.0</v>
      </c>
      <c r="AW339" s="28">
        <v>0.0</v>
      </c>
      <c r="AX339" s="5"/>
      <c r="AY339" s="5" t="s">
        <v>125</v>
      </c>
      <c r="AZ339" s="5" t="s">
        <v>127</v>
      </c>
      <c r="BA339" s="5" t="s">
        <v>237</v>
      </c>
      <c r="BB339" s="5" t="s">
        <v>68</v>
      </c>
      <c r="BC339" s="5" t="s">
        <v>89</v>
      </c>
      <c r="BD339" s="5" t="s">
        <v>90</v>
      </c>
      <c r="BE339" s="5" t="s">
        <v>91</v>
      </c>
    </row>
    <row r="340" ht="16.5" hidden="1" customHeight="1">
      <c r="A340" s="5" t="s">
        <v>155</v>
      </c>
      <c r="B340" s="5" t="s">
        <v>137</v>
      </c>
      <c r="C340" s="5" t="b">
        <v>1</v>
      </c>
      <c r="D340" s="5" t="s">
        <v>604</v>
      </c>
      <c r="E340" s="5" t="s">
        <v>605</v>
      </c>
      <c r="F340" s="5"/>
      <c r="G340" s="5" t="s">
        <v>65</v>
      </c>
      <c r="H340" s="5" t="s">
        <v>84</v>
      </c>
      <c r="I340" s="5" t="s">
        <v>82</v>
      </c>
      <c r="J340" s="25" t="s">
        <v>2109</v>
      </c>
      <c r="K340" s="25"/>
      <c r="L340" s="25" t="s">
        <v>110</v>
      </c>
      <c r="M340" s="5" t="s">
        <v>66</v>
      </c>
      <c r="N340" s="5" t="s">
        <v>68</v>
      </c>
      <c r="O340" s="5" t="s">
        <v>141</v>
      </c>
      <c r="P340" s="5" t="s">
        <v>107</v>
      </c>
      <c r="Q340" s="5" t="b">
        <v>1</v>
      </c>
      <c r="R340" s="5" t="b">
        <v>0</v>
      </c>
      <c r="S340" s="5"/>
      <c r="T340" s="5">
        <v>4000.0</v>
      </c>
      <c r="U340" s="26">
        <v>2.1</v>
      </c>
      <c r="V340" s="5">
        <v>1905.0</v>
      </c>
      <c r="W340" s="27">
        <v>0.0</v>
      </c>
      <c r="X340" s="28">
        <v>1905.0</v>
      </c>
      <c r="Y340" s="27">
        <v>1.0</v>
      </c>
      <c r="Z340" s="5" t="s">
        <v>117</v>
      </c>
      <c r="AA340" s="5">
        <v>0.575</v>
      </c>
      <c r="AB340" s="5"/>
      <c r="AC340" s="5" t="s">
        <v>80</v>
      </c>
      <c r="AD340" s="5" t="s">
        <v>81</v>
      </c>
      <c r="AE340" s="24">
        <v>0.0</v>
      </c>
      <c r="AF340" s="5">
        <v>3.0</v>
      </c>
      <c r="AG340" s="5" t="s">
        <v>2094</v>
      </c>
      <c r="AH340" s="5" t="s">
        <v>0</v>
      </c>
      <c r="AI340" s="42"/>
      <c r="AJ340" s="28">
        <v>0.0</v>
      </c>
      <c r="AK340" s="28">
        <v>0.0</v>
      </c>
      <c r="AL340" s="28">
        <v>0.0</v>
      </c>
      <c r="AM340" s="28">
        <v>0.0</v>
      </c>
      <c r="AN340" s="28">
        <v>0.0</v>
      </c>
      <c r="AO340" s="28">
        <v>0.0</v>
      </c>
      <c r="AP340" s="28">
        <v>0.0</v>
      </c>
      <c r="AQ340" s="28">
        <v>0.0</v>
      </c>
      <c r="AR340" s="28">
        <v>0.0</v>
      </c>
      <c r="AS340" s="28">
        <v>0.0</v>
      </c>
      <c r="AT340" s="28">
        <v>0.0</v>
      </c>
      <c r="AU340" s="28">
        <v>0.0</v>
      </c>
      <c r="AV340" s="28">
        <v>0.0</v>
      </c>
      <c r="AW340" s="28">
        <v>0.0</v>
      </c>
      <c r="AX340" s="5"/>
      <c r="AY340" s="5" t="str">
        <f t="array" ref="AY340">IFERROR(_xlfn.XLOOKUP($E340,'FW27'!$C$3:$C$1102,'FW27'!$AM$3:$AM$1102),"")</f>
        <v>Essentials</v>
      </c>
      <c r="AZ340" s="5" t="str">
        <f t="array" ref="AZ340">IFERROR(_xlfn.XLOOKUP($E340,'FW27'!$C$3:$C$1102,'FW27'!$AN$3:$AN$1102),"")</f>
        <v>Active Essentials</v>
      </c>
      <c r="BA340" s="5" t="s">
        <v>237</v>
      </c>
      <c r="BB340" s="5" t="str">
        <f t="array" ref="BB340">IFERROR(_xlfn.XLOOKUP($E340,'FW27'!$C$3:$C$1102,'FW27'!$AS$3:$AS$1102),"")</f>
        <v>Shell</v>
      </c>
      <c r="BC340" s="5" t="str">
        <f t="array" ref="BC340">IFERROR(_xlfn.XLOOKUP($E340,'FW27'!$C$3:$C$1102,'FW27'!$AT$3:$AT$1102),"")</f>
        <v>Jacket</v>
      </c>
      <c r="BD340" s="5" t="str">
        <f t="array" ref="BD340">IFERROR(_xlfn.XLOOKUP($E340,'FW27'!$C$3:$C$1102,'FW27'!$AU$3:$AU$1102),"")</f>
        <v>2L</v>
      </c>
      <c r="BE340" s="5" t="str">
        <f t="array" ref="BE340">IFERROR(_xlfn.XLOOKUP($E340,'FW27'!$C$3:$C$1102,'FW27'!$AV$3:$AV$1102),"")</f>
        <v>Y</v>
      </c>
    </row>
    <row r="341" ht="16.5" hidden="1" customHeight="1">
      <c r="A341" s="5" t="s">
        <v>155</v>
      </c>
      <c r="B341" s="5" t="s">
        <v>137</v>
      </c>
      <c r="C341" s="5" t="b">
        <v>0</v>
      </c>
      <c r="D341" s="71" t="s">
        <v>931</v>
      </c>
      <c r="E341" s="71" t="s">
        <v>932</v>
      </c>
      <c r="F341" s="71"/>
      <c r="G341" s="71" t="s">
        <v>65</v>
      </c>
      <c r="H341" s="71" t="s">
        <v>76</v>
      </c>
      <c r="I341" s="71" t="s">
        <v>106</v>
      </c>
      <c r="J341" s="72" t="s">
        <v>2110</v>
      </c>
      <c r="K341" s="25"/>
      <c r="L341" s="25" t="s">
        <v>110</v>
      </c>
      <c r="M341" s="5" t="s">
        <v>66</v>
      </c>
      <c r="N341" s="5" t="s">
        <v>68</v>
      </c>
      <c r="O341" s="5" t="s">
        <v>141</v>
      </c>
      <c r="P341" s="5" t="s">
        <v>70</v>
      </c>
      <c r="Q341" s="5" t="b">
        <v>1</v>
      </c>
      <c r="R341" s="5" t="b">
        <v>0</v>
      </c>
      <c r="S341" s="5"/>
      <c r="T341" s="5">
        <v>3500.0</v>
      </c>
      <c r="U341" s="26">
        <v>2.1</v>
      </c>
      <c r="V341" s="5">
        <v>1667.0</v>
      </c>
      <c r="W341" s="27">
        <v>0.0</v>
      </c>
      <c r="X341" s="28">
        <v>1667.0</v>
      </c>
      <c r="Y341" s="27">
        <v>1.0</v>
      </c>
      <c r="Z341" s="5" t="s">
        <v>117</v>
      </c>
      <c r="AA341" s="5">
        <v>0.5920000000000001</v>
      </c>
      <c r="AB341" s="5"/>
      <c r="AC341" s="5" t="s">
        <v>166</v>
      </c>
      <c r="AD341" s="5" t="s">
        <v>81</v>
      </c>
      <c r="AE341" s="5">
        <v>2.0</v>
      </c>
      <c r="AF341" s="5">
        <v>2.0</v>
      </c>
      <c r="AG341" s="5" t="s">
        <v>2111</v>
      </c>
      <c r="AH341" s="5" t="s">
        <v>156</v>
      </c>
      <c r="AI341" s="42"/>
      <c r="AJ341" s="28">
        <v>500.0</v>
      </c>
      <c r="AK341" s="28">
        <v>0.0</v>
      </c>
      <c r="AL341" s="28">
        <v>0.0</v>
      </c>
      <c r="AM341" s="28">
        <v>0.0</v>
      </c>
      <c r="AN341" s="28">
        <v>0.0</v>
      </c>
      <c r="AO341" s="28">
        <v>833335.0</v>
      </c>
      <c r="AP341" s="28">
        <v>0.0</v>
      </c>
      <c r="AQ341" s="28">
        <v>0.0</v>
      </c>
      <c r="AR341" s="28">
        <v>0.0</v>
      </c>
      <c r="AS341" s="28">
        <v>0.0</v>
      </c>
      <c r="AT341" s="28">
        <v>719400.0</v>
      </c>
      <c r="AU341" s="28">
        <v>0.0</v>
      </c>
      <c r="AV341" s="28">
        <v>0.0</v>
      </c>
      <c r="AW341" s="28">
        <v>0.0</v>
      </c>
      <c r="AX341" s="5"/>
      <c r="AY341" s="5" t="s">
        <v>125</v>
      </c>
      <c r="AZ341" s="5" t="s">
        <v>127</v>
      </c>
      <c r="BB341" s="5" t="s">
        <v>68</v>
      </c>
      <c r="BC341" s="5" t="s">
        <v>89</v>
      </c>
      <c r="BD341" s="5" t="s">
        <v>132</v>
      </c>
      <c r="BE341" s="5" t="s">
        <v>91</v>
      </c>
      <c r="BF341" s="5" t="s">
        <v>2112</v>
      </c>
    </row>
    <row r="342" ht="16.5" hidden="1" customHeight="1">
      <c r="A342" s="5" t="s">
        <v>155</v>
      </c>
      <c r="B342" s="5" t="s">
        <v>137</v>
      </c>
      <c r="C342" s="5" t="b">
        <v>0</v>
      </c>
      <c r="D342" s="71" t="s">
        <v>936</v>
      </c>
      <c r="E342" s="71" t="s">
        <v>937</v>
      </c>
      <c r="F342" s="71"/>
      <c r="G342" s="71" t="s">
        <v>65</v>
      </c>
      <c r="H342" s="71" t="s">
        <v>76</v>
      </c>
      <c r="I342" s="71" t="s">
        <v>106</v>
      </c>
      <c r="J342" s="72" t="s">
        <v>2110</v>
      </c>
      <c r="K342" s="25"/>
      <c r="L342" s="25" t="s">
        <v>110</v>
      </c>
      <c r="M342" s="5" t="s">
        <v>66</v>
      </c>
      <c r="N342" s="5" t="s">
        <v>68</v>
      </c>
      <c r="O342" s="5" t="s">
        <v>141</v>
      </c>
      <c r="P342" s="5" t="s">
        <v>107</v>
      </c>
      <c r="Q342" s="5" t="b">
        <v>1</v>
      </c>
      <c r="R342" s="5" t="b">
        <v>0</v>
      </c>
      <c r="S342" s="5"/>
      <c r="T342" s="5">
        <v>3500.0</v>
      </c>
      <c r="U342" s="26">
        <v>2.1</v>
      </c>
      <c r="V342" s="5">
        <v>1667.0</v>
      </c>
      <c r="W342" s="27">
        <v>0.0</v>
      </c>
      <c r="X342" s="28">
        <v>1667.0</v>
      </c>
      <c r="Y342" s="27">
        <v>1.0</v>
      </c>
      <c r="Z342" s="5" t="s">
        <v>117</v>
      </c>
      <c r="AA342" s="5">
        <v>0.575</v>
      </c>
      <c r="AB342" s="5"/>
      <c r="AC342" s="5" t="s">
        <v>166</v>
      </c>
      <c r="AD342" s="5" t="s">
        <v>81</v>
      </c>
      <c r="AE342" s="5">
        <v>2.0</v>
      </c>
      <c r="AF342" s="5">
        <v>2.0</v>
      </c>
      <c r="AG342" s="5" t="s">
        <v>2111</v>
      </c>
      <c r="AH342" s="5" t="s">
        <v>156</v>
      </c>
      <c r="AI342" s="42"/>
      <c r="AJ342" s="28">
        <v>400.0</v>
      </c>
      <c r="AK342" s="28">
        <v>0.0</v>
      </c>
      <c r="AL342" s="28">
        <v>0.0</v>
      </c>
      <c r="AM342" s="28">
        <v>0.0</v>
      </c>
      <c r="AN342" s="28">
        <v>0.0</v>
      </c>
      <c r="AO342" s="28">
        <v>666668.0</v>
      </c>
      <c r="AP342" s="28">
        <v>0.0</v>
      </c>
      <c r="AQ342" s="28">
        <v>0.0</v>
      </c>
      <c r="AR342" s="28">
        <v>0.0</v>
      </c>
      <c r="AS342" s="28">
        <v>0.0</v>
      </c>
      <c r="AT342" s="28">
        <v>575520.0</v>
      </c>
      <c r="AU342" s="28">
        <v>0.0</v>
      </c>
      <c r="AV342" s="28">
        <v>0.0</v>
      </c>
      <c r="AW342" s="28">
        <v>0.0</v>
      </c>
      <c r="AX342" s="5"/>
      <c r="AY342" s="5" t="s">
        <v>125</v>
      </c>
      <c r="AZ342" s="5" t="s">
        <v>127</v>
      </c>
      <c r="BB342" s="5" t="s">
        <v>68</v>
      </c>
      <c r="BC342" s="5" t="s">
        <v>89</v>
      </c>
      <c r="BD342" s="5" t="s">
        <v>132</v>
      </c>
      <c r="BE342" s="5" t="s">
        <v>91</v>
      </c>
      <c r="BF342" s="5" t="s">
        <v>2112</v>
      </c>
    </row>
    <row r="343" ht="16.5" hidden="1" customHeight="1">
      <c r="A343" s="5" t="s">
        <v>155</v>
      </c>
      <c r="B343" s="5" t="s">
        <v>137</v>
      </c>
      <c r="C343" s="5" t="b">
        <v>1</v>
      </c>
      <c r="D343" s="5" t="s">
        <v>944</v>
      </c>
      <c r="E343" s="5" t="s">
        <v>945</v>
      </c>
      <c r="F343" s="5"/>
      <c r="G343" s="5" t="s">
        <v>65</v>
      </c>
      <c r="H343" s="5" t="s">
        <v>84</v>
      </c>
      <c r="I343" s="5" t="s">
        <v>82</v>
      </c>
      <c r="J343" s="25"/>
      <c r="K343" s="25"/>
      <c r="L343" s="25"/>
      <c r="M343" s="5" t="s">
        <v>66</v>
      </c>
      <c r="N343" s="5" t="s">
        <v>248</v>
      </c>
      <c r="O343" s="5" t="s">
        <v>69</v>
      </c>
      <c r="P343" s="5" t="s">
        <v>249</v>
      </c>
      <c r="Q343" s="5" t="b">
        <v>1</v>
      </c>
      <c r="R343" s="5" t="b">
        <v>0</v>
      </c>
      <c r="S343" s="5"/>
      <c r="T343" s="5">
        <v>400.0</v>
      </c>
      <c r="U343" s="26">
        <v>2.1</v>
      </c>
      <c r="V343" s="5">
        <v>190.0</v>
      </c>
      <c r="W343" s="27">
        <v>0.0</v>
      </c>
      <c r="X343" s="28">
        <v>190.0</v>
      </c>
      <c r="Y343" s="27">
        <v>1.0</v>
      </c>
      <c r="Z343" s="5" t="s">
        <v>117</v>
      </c>
      <c r="AA343" s="5">
        <v>0.62</v>
      </c>
      <c r="AB343" s="5"/>
      <c r="AC343" s="5" t="s">
        <v>81</v>
      </c>
      <c r="AD343" s="5" t="s">
        <v>81</v>
      </c>
      <c r="AE343" s="5">
        <v>2.0</v>
      </c>
      <c r="AF343" s="5">
        <v>2.0</v>
      </c>
      <c r="AG343" s="5" t="s">
        <v>0</v>
      </c>
      <c r="AH343" s="5" t="s">
        <v>0</v>
      </c>
      <c r="AI343" s="42"/>
      <c r="AJ343" s="28">
        <v>1109.0</v>
      </c>
      <c r="AK343" s="28">
        <v>912.0</v>
      </c>
      <c r="AL343" s="28">
        <v>0.0</v>
      </c>
      <c r="AM343" s="28">
        <v>1633.0</v>
      </c>
      <c r="AN343" s="28">
        <v>0.0</v>
      </c>
      <c r="AO343" s="28">
        <v>211242.31999999998</v>
      </c>
      <c r="AP343" s="28">
        <v>173280.0</v>
      </c>
      <c r="AQ343" s="28">
        <v>0.0</v>
      </c>
      <c r="AR343" s="28">
        <v>311053.84</v>
      </c>
      <c r="AS343" s="28">
        <v>0.0</v>
      </c>
      <c r="AT343" s="28">
        <v>189129.40908084164</v>
      </c>
      <c r="AU343" s="28">
        <v>154441.64495</v>
      </c>
      <c r="AV343" s="28">
        <v>0.0</v>
      </c>
      <c r="AW343" s="28">
        <v>282913.6161683278</v>
      </c>
      <c r="AX343" s="5"/>
      <c r="AY343" s="5" t="str">
        <f t="array" ref="AY343">IFERROR(_xlfn.XLOOKUP($E343,'FW27'!$C$3:$C$1102,'FW27'!$AM$3:$AM$1102),"")</f>
        <v>Essentials</v>
      </c>
      <c r="AZ343" s="5" t="str">
        <f t="array" ref="AZ343">IFERROR(_xlfn.XLOOKUP($E343,'FW27'!$C$3:$C$1102,'FW27'!$AN$3:$AN$1102),"")</f>
        <v>Active Essentials</v>
      </c>
      <c r="BB343" s="5" t="str">
        <f t="array" ref="BB343">IFERROR(_xlfn.XLOOKUP($E343,'FW27'!$C$3:$C$1102,'FW27'!$AS$3:$AS$1102),"")</f>
        <v>Accessories</v>
      </c>
      <c r="BC343" s="5" t="str">
        <f t="array" ref="BC343">IFERROR(_xlfn.XLOOKUP($E343,'FW27'!$C$3:$C$1102,'FW27'!$AT$3:$AT$1102),"")</f>
        <v>Belt</v>
      </c>
      <c r="BD343" s="5" t="str">
        <f t="array" ref="BD343">IFERROR(_xlfn.XLOOKUP($E343,'FW27'!$C$3:$C$1102,'FW27'!$AU$3:$AU$1102),"")</f>
        <v/>
      </c>
      <c r="BE343" s="5" t="str">
        <f t="array" ref="BE343">IFERROR(_xlfn.XLOOKUP($E343,'FW27'!$C$3:$C$1102,'FW27'!$AV$3:$AV$1102),"")</f>
        <v>N</v>
      </c>
    </row>
    <row r="344" ht="16.5" hidden="1" customHeight="1">
      <c r="A344" s="5" t="s">
        <v>155</v>
      </c>
      <c r="B344" s="5" t="s">
        <v>137</v>
      </c>
      <c r="C344" s="5" t="b">
        <v>1</v>
      </c>
      <c r="D344" s="5" t="s">
        <v>1753</v>
      </c>
      <c r="E344" s="5" t="s">
        <v>1845</v>
      </c>
      <c r="F344" s="5"/>
      <c r="G344" s="5" t="s">
        <v>65</v>
      </c>
      <c r="H344" s="5" t="s">
        <v>84</v>
      </c>
      <c r="I344" s="5" t="s">
        <v>82</v>
      </c>
      <c r="J344" s="25"/>
      <c r="K344" s="25"/>
      <c r="L344" s="25"/>
      <c r="M344" s="5" t="s">
        <v>247</v>
      </c>
      <c r="N344" s="5" t="s">
        <v>334</v>
      </c>
      <c r="O344" s="5" t="s">
        <v>69</v>
      </c>
      <c r="P344" s="5" t="s">
        <v>70</v>
      </c>
      <c r="Q344" s="5" t="b">
        <v>1</v>
      </c>
      <c r="R344" s="5" t="b">
        <v>0</v>
      </c>
      <c r="S344" s="5"/>
      <c r="T344" s="5">
        <v>1200.0</v>
      </c>
      <c r="U344" s="26">
        <v>2.1</v>
      </c>
      <c r="V344" s="5">
        <v>571.0</v>
      </c>
      <c r="W344" s="27">
        <v>0.0</v>
      </c>
      <c r="X344" s="28">
        <v>571.0</v>
      </c>
      <c r="Y344" s="27">
        <v>1.0</v>
      </c>
      <c r="Z344" s="5" t="s">
        <v>242</v>
      </c>
      <c r="AA344" s="5">
        <v>0.56</v>
      </c>
      <c r="AB344" s="5"/>
      <c r="AC344" s="5" t="s">
        <v>81</v>
      </c>
      <c r="AD344" s="5" t="s">
        <v>81</v>
      </c>
      <c r="AE344" s="5">
        <v>3.0</v>
      </c>
      <c r="AF344" s="5">
        <v>3.0</v>
      </c>
      <c r="AG344" s="5" t="s">
        <v>0</v>
      </c>
      <c r="AH344" s="5" t="s">
        <v>0</v>
      </c>
      <c r="AI344" s="42"/>
      <c r="AJ344" s="28">
        <v>1761.0</v>
      </c>
      <c r="AK344" s="28">
        <v>0.0</v>
      </c>
      <c r="AL344" s="28">
        <v>0.0</v>
      </c>
      <c r="AM344" s="28">
        <v>0.0</v>
      </c>
      <c r="AN344" s="28">
        <v>0.0</v>
      </c>
      <c r="AO344" s="28">
        <v>1006288.23</v>
      </c>
      <c r="AP344" s="28">
        <v>0.0</v>
      </c>
      <c r="AQ344" s="28">
        <v>0.0</v>
      </c>
      <c r="AR344" s="28">
        <v>0.0</v>
      </c>
      <c r="AS344" s="28">
        <v>0.0</v>
      </c>
      <c r="AT344" s="28">
        <v>631368.4261351053</v>
      </c>
      <c r="AU344" s="28">
        <v>0.0</v>
      </c>
      <c r="AV344" s="28">
        <v>0.0</v>
      </c>
      <c r="AW344" s="28">
        <v>0.0</v>
      </c>
      <c r="AX344" s="5"/>
      <c r="AY344" s="5" t="str">
        <f t="array" ref="AY344">IFERROR(_xlfn.XLOOKUP($E344,'FW27'!$C$3:$C$1102,'FW27'!$AM$3:$AM$1102),"")</f>
        <v>Essentials</v>
      </c>
      <c r="AZ344" s="5" t="str">
        <f t="array" ref="AZ344">IFERROR(_xlfn.XLOOKUP($E344,'FW27'!$C$3:$C$1102,'FW27'!$AN$3:$AN$1102),"")</f>
        <v>Active Essentials</v>
      </c>
      <c r="BA344" s="5" t="s">
        <v>237</v>
      </c>
      <c r="BB344" s="5" t="str">
        <f t="array" ref="BB344">IFERROR(_xlfn.XLOOKUP($E344,'FW27'!$C$3:$C$1102,'FW27'!$AS$3:$AS$1102),"")</f>
        <v>Tops</v>
      </c>
      <c r="BC344" s="5" t="str">
        <f t="array" ref="BC344">IFERROR(_xlfn.XLOOKUP($E344,'FW27'!$C$3:$C$1102,'FW27'!$AT$3:$AT$1102),"")</f>
        <v>Pullover</v>
      </c>
      <c r="BD344" s="5" t="str">
        <f t="array" ref="BD344">IFERROR(_xlfn.XLOOKUP($E344,'FW27'!$C$3:$C$1102,'FW27'!$AU$3:$AU$1102),"")</f>
        <v>Cotton/Graphic Tee</v>
      </c>
      <c r="BE344" s="5" t="str">
        <f t="array" ref="BE344">IFERROR(_xlfn.XLOOKUP($E344,'FW27'!$C$3:$C$1102,'FW27'!$AV$3:$AV$1102),"")</f>
        <v>N</v>
      </c>
    </row>
    <row r="345" ht="16.5" hidden="1" customHeight="1">
      <c r="A345" s="5" t="s">
        <v>155</v>
      </c>
      <c r="B345" s="5" t="s">
        <v>137</v>
      </c>
      <c r="C345" s="5" t="b">
        <v>1</v>
      </c>
      <c r="D345" s="5" t="s">
        <v>1755</v>
      </c>
      <c r="E345" s="5" t="s">
        <v>1846</v>
      </c>
      <c r="F345" s="5"/>
      <c r="G345" s="5" t="s">
        <v>65</v>
      </c>
      <c r="H345" s="5" t="s">
        <v>84</v>
      </c>
      <c r="I345" s="5" t="s">
        <v>82</v>
      </c>
      <c r="J345" s="25"/>
      <c r="K345" s="25"/>
      <c r="L345" s="25"/>
      <c r="M345" s="5" t="s">
        <v>247</v>
      </c>
      <c r="N345" s="5" t="s">
        <v>334</v>
      </c>
      <c r="O345" s="5" t="s">
        <v>69</v>
      </c>
      <c r="P345" s="5" t="s">
        <v>107</v>
      </c>
      <c r="Q345" s="5" t="b">
        <v>1</v>
      </c>
      <c r="R345" s="5" t="b">
        <v>0</v>
      </c>
      <c r="S345" s="5"/>
      <c r="T345" s="5">
        <v>1200.0</v>
      </c>
      <c r="U345" s="26">
        <v>2.1</v>
      </c>
      <c r="V345" s="5">
        <v>571.0</v>
      </c>
      <c r="W345" s="27">
        <v>0.0</v>
      </c>
      <c r="X345" s="28">
        <v>571.0</v>
      </c>
      <c r="Y345" s="27">
        <v>1.0</v>
      </c>
      <c r="Z345" s="5" t="s">
        <v>242</v>
      </c>
      <c r="AA345" s="5">
        <v>0.58</v>
      </c>
      <c r="AB345" s="5"/>
      <c r="AC345" s="5" t="s">
        <v>81</v>
      </c>
      <c r="AD345" s="5" t="s">
        <v>81</v>
      </c>
      <c r="AE345" s="5">
        <v>3.0</v>
      </c>
      <c r="AF345" s="5">
        <v>3.0</v>
      </c>
      <c r="AG345" s="5" t="s">
        <v>0</v>
      </c>
      <c r="AH345" s="5" t="s">
        <v>0</v>
      </c>
      <c r="AI345" s="42"/>
      <c r="AJ345" s="28">
        <v>1434.0</v>
      </c>
      <c r="AK345" s="28">
        <v>0.0</v>
      </c>
      <c r="AL345" s="28">
        <v>0.0</v>
      </c>
      <c r="AM345" s="28">
        <v>0.0</v>
      </c>
      <c r="AN345" s="28">
        <v>0.0</v>
      </c>
      <c r="AO345" s="28">
        <v>819430.6199999999</v>
      </c>
      <c r="AP345" s="28">
        <v>0.0</v>
      </c>
      <c r="AQ345" s="28">
        <v>0.0</v>
      </c>
      <c r="AR345" s="28">
        <v>0.0</v>
      </c>
      <c r="AS345" s="28">
        <v>0.0</v>
      </c>
      <c r="AT345" s="28">
        <v>551588.5479512735</v>
      </c>
      <c r="AU345" s="28">
        <v>0.0</v>
      </c>
      <c r="AV345" s="28">
        <v>0.0</v>
      </c>
      <c r="AW345" s="28">
        <v>0.0</v>
      </c>
      <c r="AX345" s="5"/>
      <c r="AY345" s="5" t="str">
        <f t="array" ref="AY345">IFERROR(_xlfn.XLOOKUP($E345,'FW27'!$C$3:$C$1102,'FW27'!$AM$3:$AM$1102),"")</f>
        <v>Essentials</v>
      </c>
      <c r="AZ345" s="5" t="str">
        <f t="array" ref="AZ345">IFERROR(_xlfn.XLOOKUP($E345,'FW27'!$C$3:$C$1102,'FW27'!$AN$3:$AN$1102),"")</f>
        <v>Active Essentials</v>
      </c>
      <c r="BA345" s="5" t="s">
        <v>237</v>
      </c>
      <c r="BB345" s="5" t="str">
        <f t="array" ref="BB345">IFERROR(_xlfn.XLOOKUP($E345,'FW27'!$C$3:$C$1102,'FW27'!$AS$3:$AS$1102),"")</f>
        <v>Tops</v>
      </c>
      <c r="BC345" s="5" t="str">
        <f t="array" ref="BC345">IFERROR(_xlfn.XLOOKUP($E345,'FW27'!$C$3:$C$1102,'FW27'!$AT$3:$AT$1102),"")</f>
        <v>Pullover</v>
      </c>
      <c r="BD345" s="5" t="str">
        <f t="array" ref="BD345">IFERROR(_xlfn.XLOOKUP($E345,'FW27'!$C$3:$C$1102,'FW27'!$AU$3:$AU$1102),"")</f>
        <v>Cotton/Graphic Tee</v>
      </c>
      <c r="BE345" s="5" t="str">
        <f t="array" ref="BE345">IFERROR(_xlfn.XLOOKUP($E345,'FW27'!$C$3:$C$1102,'FW27'!$AV$3:$AV$1102),"")</f>
        <v>N</v>
      </c>
    </row>
    <row r="346" ht="16.5" hidden="1" customHeight="1">
      <c r="A346" s="5" t="s">
        <v>155</v>
      </c>
      <c r="B346" s="24" t="s">
        <v>0</v>
      </c>
      <c r="C346" s="5" t="b">
        <v>0</v>
      </c>
      <c r="D346" s="5" t="s">
        <v>698</v>
      </c>
      <c r="E346" s="5" t="s">
        <v>699</v>
      </c>
      <c r="F346" s="5"/>
      <c r="G346" s="5" t="s">
        <v>65</v>
      </c>
      <c r="H346" s="5" t="s">
        <v>76</v>
      </c>
      <c r="I346" s="5" t="s">
        <v>106</v>
      </c>
      <c r="J346" s="25" t="s">
        <v>271</v>
      </c>
      <c r="K346" s="25" t="s">
        <v>272</v>
      </c>
      <c r="L346" s="25"/>
      <c r="M346" s="5" t="s">
        <v>109</v>
      </c>
      <c r="N346" s="5" t="s">
        <v>334</v>
      </c>
      <c r="O346" s="5" t="s">
        <v>96</v>
      </c>
      <c r="P346" s="5" t="s">
        <v>70</v>
      </c>
      <c r="Q346" s="5" t="b">
        <v>1</v>
      </c>
      <c r="R346" s="5" t="b">
        <v>0</v>
      </c>
      <c r="S346" s="5"/>
      <c r="T346" s="24">
        <v>0.0</v>
      </c>
      <c r="U346" s="26">
        <v>2.1</v>
      </c>
      <c r="V346" s="5">
        <v>0.0</v>
      </c>
      <c r="W346" s="27">
        <v>0.0</v>
      </c>
      <c r="X346" s="28">
        <v>0.0</v>
      </c>
      <c r="Y346" s="27">
        <v>0.0</v>
      </c>
      <c r="Z346" s="24" t="s">
        <v>0</v>
      </c>
      <c r="AA346" s="5">
        <v>0.611</v>
      </c>
      <c r="AB346" s="5"/>
      <c r="AC346" s="5" t="s">
        <v>81</v>
      </c>
      <c r="AD346" s="24" t="s">
        <v>0</v>
      </c>
      <c r="AE346" s="24">
        <v>0.0</v>
      </c>
      <c r="AF346" s="5">
        <v>1.0</v>
      </c>
      <c r="AG346" s="5" t="s">
        <v>0</v>
      </c>
      <c r="AH346" s="5" t="s">
        <v>116</v>
      </c>
      <c r="AI346" s="42"/>
      <c r="AJ346" s="28">
        <v>0.0</v>
      </c>
      <c r="AK346" s="28">
        <v>0.0</v>
      </c>
      <c r="AL346" s="28">
        <v>0.0</v>
      </c>
      <c r="AM346" s="28">
        <v>0.0</v>
      </c>
      <c r="AN346" s="28">
        <v>0.0</v>
      </c>
      <c r="AO346" s="28">
        <v>0.0</v>
      </c>
      <c r="AP346" s="28">
        <v>0.0</v>
      </c>
      <c r="AQ346" s="28">
        <v>0.0</v>
      </c>
      <c r="AR346" s="28">
        <v>0.0</v>
      </c>
      <c r="AS346" s="28">
        <v>0.0</v>
      </c>
      <c r="AT346" s="28">
        <v>0.0</v>
      </c>
      <c r="AU346" s="28">
        <v>0.0</v>
      </c>
      <c r="AV346" s="28">
        <v>0.0</v>
      </c>
      <c r="AW346" s="28">
        <v>0.0</v>
      </c>
      <c r="AX346" s="5"/>
      <c r="AY346" s="5" t="str">
        <f t="array" ref="AY346">IFERROR(_xlfn.XLOOKUP($E346,'FW27'!$C$3:$C$1102,'FW27'!$AM$3:$AM$1102),"")</f>
        <v>Essentials</v>
      </c>
      <c r="AZ346" s="5" t="str">
        <f t="array" ref="AZ346">IFERROR(_xlfn.XLOOKUP($E346,'FW27'!$C$3:$C$1102,'FW27'!$AN$3:$AN$1102),"")</f>
        <v>Active Essentials</v>
      </c>
      <c r="BB346" s="5" t="str">
        <f t="array" ref="BB346">IFERROR(_xlfn.XLOOKUP($E346,'FW27'!$C$3:$C$1102,'FW27'!$AS$3:$AS$1102),"")</f>
        <v>Tops</v>
      </c>
      <c r="BC346" s="5" t="str">
        <f t="array" ref="BC346">IFERROR(_xlfn.XLOOKUP($E346,'FW27'!$C$3:$C$1102,'FW27'!$AT$3:$AT$1102),"")</f>
        <v>Hooded Jacket</v>
      </c>
      <c r="BD346" s="5" t="str">
        <f t="array" ref="BD346">IFERROR(_xlfn.XLOOKUP($E346,'FW27'!$C$3:$C$1102,'FW27'!$AU$3:$AU$1102),"")</f>
        <v>Cotton/Graphic Tee</v>
      </c>
      <c r="BE346" s="5" t="str">
        <f t="array" ref="BE346">IFERROR(_xlfn.XLOOKUP($E346,'FW27'!$C$3:$C$1102,'FW27'!$AV$3:$AV$1102),"")</f>
        <v>N</v>
      </c>
    </row>
    <row r="347" ht="16.5" hidden="1" customHeight="1">
      <c r="A347" s="5" t="s">
        <v>155</v>
      </c>
      <c r="B347" s="5" t="s">
        <v>137</v>
      </c>
      <c r="C347" s="5" t="b">
        <v>1</v>
      </c>
      <c r="D347" s="5" t="s">
        <v>947</v>
      </c>
      <c r="E347" s="5" t="s">
        <v>948</v>
      </c>
      <c r="F347" s="5"/>
      <c r="G347" s="5" t="s">
        <v>65</v>
      </c>
      <c r="H347" s="5" t="s">
        <v>84</v>
      </c>
      <c r="I347" s="5" t="s">
        <v>82</v>
      </c>
      <c r="J347" s="25"/>
      <c r="K347" s="25"/>
      <c r="L347" s="25"/>
      <c r="M347" s="5" t="s">
        <v>66</v>
      </c>
      <c r="N347" s="5" t="s">
        <v>270</v>
      </c>
      <c r="O347" s="5" t="s">
        <v>69</v>
      </c>
      <c r="P347" s="5" t="s">
        <v>70</v>
      </c>
      <c r="Q347" s="5" t="b">
        <v>1</v>
      </c>
      <c r="R347" s="5" t="b">
        <v>0</v>
      </c>
      <c r="S347" s="5"/>
      <c r="T347" s="5">
        <v>1700.0</v>
      </c>
      <c r="U347" s="26">
        <v>2.1</v>
      </c>
      <c r="V347" s="5">
        <v>810.0</v>
      </c>
      <c r="W347" s="27">
        <v>0.0</v>
      </c>
      <c r="X347" s="28">
        <v>810.0</v>
      </c>
      <c r="Y347" s="27">
        <v>1.0</v>
      </c>
      <c r="Z347" s="5" t="s">
        <v>117</v>
      </c>
      <c r="AA347" s="5">
        <v>0.6</v>
      </c>
      <c r="AB347" s="5"/>
      <c r="AC347" s="5" t="s">
        <v>81</v>
      </c>
      <c r="AD347" s="5" t="s">
        <v>81</v>
      </c>
      <c r="AE347" s="5">
        <v>3.0</v>
      </c>
      <c r="AF347" s="5">
        <v>3.0</v>
      </c>
      <c r="AG347" s="5" t="s">
        <v>0</v>
      </c>
      <c r="AH347" s="5" t="s">
        <v>0</v>
      </c>
      <c r="AI347" s="42"/>
      <c r="AJ347" s="28">
        <v>2671.0</v>
      </c>
      <c r="AK347" s="28">
        <v>1559.0</v>
      </c>
      <c r="AL347" s="28">
        <v>0.0</v>
      </c>
      <c r="AM347" s="28">
        <v>1681.0</v>
      </c>
      <c r="AN347" s="28">
        <v>0.0</v>
      </c>
      <c r="AO347" s="28">
        <v>2162227.92</v>
      </c>
      <c r="AP347" s="28">
        <v>1262790.0</v>
      </c>
      <c r="AQ347" s="28">
        <v>0.0</v>
      </c>
      <c r="AR347" s="28">
        <v>1360803.12</v>
      </c>
      <c r="AS347" s="28">
        <v>0.0</v>
      </c>
      <c r="AT347" s="28">
        <v>1446869.892857143</v>
      </c>
      <c r="AU347" s="28">
        <v>1040043.95624</v>
      </c>
      <c r="AV347" s="28">
        <v>0.0</v>
      </c>
      <c r="AW347" s="28">
        <v>1131330.680177187</v>
      </c>
      <c r="AX347" s="5"/>
      <c r="AY347" s="5" t="str">
        <f t="array" ref="AY347">IFERROR(_xlfn.XLOOKUP($E347,'FW27'!$C$3:$C$1102,'FW27'!$AM$3:$AM$1102),"")</f>
        <v>Essentials</v>
      </c>
      <c r="AZ347" s="5" t="str">
        <f t="array" ref="AZ347">IFERROR(_xlfn.XLOOKUP($E347,'FW27'!$C$3:$C$1102,'FW27'!$AN$3:$AN$1102),"")</f>
        <v>Daily Essentials</v>
      </c>
      <c r="BA347" s="5" t="s">
        <v>237</v>
      </c>
      <c r="BB347" s="5" t="str">
        <f t="array" ref="BB347">IFERROR(_xlfn.XLOOKUP($E347,'FW27'!$C$3:$C$1102,'FW27'!$AS$3:$AS$1102),"")</f>
        <v>Fleece/Midlayer</v>
      </c>
      <c r="BC347" s="5" t="str">
        <f t="array" ref="BC347">IFERROR(_xlfn.XLOOKUP($E347,'FW27'!$C$3:$C$1102,'FW27'!$AT$3:$AT$1102),"")</f>
        <v>Hooded Jacket</v>
      </c>
      <c r="BD347" s="5" t="str">
        <f t="array" ref="BD347">IFERROR(_xlfn.XLOOKUP($E347,'FW27'!$C$3:$C$1102,'FW27'!$AU$3:$AU$1102),"")</f>
        <v>Midweight</v>
      </c>
      <c r="BE347" s="5" t="str">
        <f t="array" ref="BE347">IFERROR(_xlfn.XLOOKUP($E347,'FW27'!$C$3:$C$1102,'FW27'!$AV$3:$AV$1102),"")</f>
        <v>N</v>
      </c>
    </row>
    <row r="348" ht="16.5" hidden="1" customHeight="1">
      <c r="A348" s="5" t="s">
        <v>155</v>
      </c>
      <c r="B348" s="5" t="s">
        <v>137</v>
      </c>
      <c r="C348" s="5" t="b">
        <v>1</v>
      </c>
      <c r="D348" s="47" t="s">
        <v>1466</v>
      </c>
      <c r="E348" s="47" t="s">
        <v>1467</v>
      </c>
      <c r="F348" s="47"/>
      <c r="G348" s="47" t="s">
        <v>65</v>
      </c>
      <c r="H348" s="47" t="s">
        <v>74</v>
      </c>
      <c r="I348" s="47" t="s">
        <v>82</v>
      </c>
      <c r="J348" s="48" t="s">
        <v>322</v>
      </c>
      <c r="K348" s="25" t="s">
        <v>150</v>
      </c>
      <c r="L348" s="25"/>
      <c r="M348" s="5" t="s">
        <v>66</v>
      </c>
      <c r="N348" s="5" t="s">
        <v>270</v>
      </c>
      <c r="O348" s="5" t="s">
        <v>96</v>
      </c>
      <c r="P348" s="5" t="s">
        <v>70</v>
      </c>
      <c r="Q348" s="5" t="b">
        <v>1</v>
      </c>
      <c r="R348" s="5" t="b">
        <v>0</v>
      </c>
      <c r="S348" s="5"/>
      <c r="T348" s="5">
        <v>1700.0</v>
      </c>
      <c r="U348" s="26">
        <v>2.1</v>
      </c>
      <c r="V348" s="5">
        <v>810.0</v>
      </c>
      <c r="W348" s="27">
        <v>0.0</v>
      </c>
      <c r="X348" s="28">
        <v>810.0</v>
      </c>
      <c r="Y348" s="27">
        <v>1.0</v>
      </c>
      <c r="Z348" s="5" t="s">
        <v>117</v>
      </c>
      <c r="AA348" s="27">
        <v>0.6</v>
      </c>
      <c r="AB348" s="5"/>
      <c r="AC348" s="5" t="s">
        <v>81</v>
      </c>
      <c r="AD348" s="5" t="s">
        <v>81</v>
      </c>
      <c r="AE348" s="24">
        <v>0.0</v>
      </c>
      <c r="AF348" s="5">
        <v>1.0</v>
      </c>
      <c r="AG348" s="5" t="s">
        <v>0</v>
      </c>
      <c r="AH348" s="5" t="s">
        <v>471</v>
      </c>
      <c r="AI348" s="56"/>
      <c r="AJ348" s="28">
        <v>0.0</v>
      </c>
      <c r="AK348" s="28">
        <v>0.0</v>
      </c>
      <c r="AL348" s="28">
        <v>0.0</v>
      </c>
      <c r="AM348" s="28">
        <v>0.0</v>
      </c>
      <c r="AN348" s="28">
        <v>0.0</v>
      </c>
      <c r="AO348" s="28">
        <v>0.0</v>
      </c>
      <c r="AP348" s="28">
        <v>0.0</v>
      </c>
      <c r="AQ348" s="28">
        <v>0.0</v>
      </c>
      <c r="AR348" s="28">
        <v>0.0</v>
      </c>
      <c r="AS348" s="28">
        <v>0.0</v>
      </c>
      <c r="AT348" s="28">
        <v>0.0</v>
      </c>
      <c r="AU348" s="28">
        <v>0.0</v>
      </c>
      <c r="AV348" s="28">
        <v>0.0</v>
      </c>
      <c r="AW348" s="28">
        <v>0.0</v>
      </c>
      <c r="AX348" s="5"/>
      <c r="AY348" s="5" t="s">
        <v>125</v>
      </c>
      <c r="AZ348" s="5" t="s">
        <v>174</v>
      </c>
      <c r="BA348" s="5" t="s">
        <v>237</v>
      </c>
      <c r="BB348" s="5" t="s">
        <v>276</v>
      </c>
      <c r="BC348" s="5" t="s">
        <v>161</v>
      </c>
      <c r="BD348" s="5" t="s">
        <v>277</v>
      </c>
      <c r="BE348" s="5" t="s">
        <v>131</v>
      </c>
    </row>
    <row r="349" ht="16.5" hidden="1" customHeight="1">
      <c r="A349" s="5" t="s">
        <v>155</v>
      </c>
      <c r="B349" s="5" t="s">
        <v>137</v>
      </c>
      <c r="C349" s="5" t="b">
        <v>1</v>
      </c>
      <c r="D349" s="5" t="s">
        <v>952</v>
      </c>
      <c r="E349" s="5" t="s">
        <v>953</v>
      </c>
      <c r="F349" s="5"/>
      <c r="G349" s="5" t="s">
        <v>65</v>
      </c>
      <c r="H349" s="5" t="s">
        <v>84</v>
      </c>
      <c r="I349" s="5" t="s">
        <v>82</v>
      </c>
      <c r="J349" s="25"/>
      <c r="K349" s="25"/>
      <c r="L349" s="25"/>
      <c r="M349" s="5" t="s">
        <v>66</v>
      </c>
      <c r="N349" s="5" t="s">
        <v>270</v>
      </c>
      <c r="O349" s="5" t="s">
        <v>69</v>
      </c>
      <c r="P349" s="5" t="s">
        <v>107</v>
      </c>
      <c r="Q349" s="5" t="b">
        <v>1</v>
      </c>
      <c r="R349" s="5" t="b">
        <v>0</v>
      </c>
      <c r="S349" s="5"/>
      <c r="T349" s="5">
        <v>1700.0</v>
      </c>
      <c r="U349" s="26">
        <v>2.1</v>
      </c>
      <c r="V349" s="5">
        <v>810.0</v>
      </c>
      <c r="W349" s="27">
        <v>0.0</v>
      </c>
      <c r="X349" s="28">
        <v>810.0</v>
      </c>
      <c r="Y349" s="27">
        <v>1.0</v>
      </c>
      <c r="Z349" s="5" t="s">
        <v>117</v>
      </c>
      <c r="AA349" s="5">
        <v>0.63</v>
      </c>
      <c r="AB349" s="5"/>
      <c r="AC349" s="5" t="s">
        <v>81</v>
      </c>
      <c r="AD349" s="5" t="s">
        <v>81</v>
      </c>
      <c r="AE349" s="5">
        <v>3.0</v>
      </c>
      <c r="AF349" s="5">
        <v>3.0</v>
      </c>
      <c r="AG349" s="5" t="s">
        <v>0</v>
      </c>
      <c r="AH349" s="5" t="s">
        <v>0</v>
      </c>
      <c r="AI349" s="42"/>
      <c r="AJ349" s="28">
        <v>2038.0</v>
      </c>
      <c r="AK349" s="28">
        <v>1395.0</v>
      </c>
      <c r="AL349" s="28">
        <v>0.0</v>
      </c>
      <c r="AM349" s="28">
        <v>1646.0</v>
      </c>
      <c r="AN349" s="28">
        <v>0.0</v>
      </c>
      <c r="AO349" s="28">
        <v>1649801.76</v>
      </c>
      <c r="AP349" s="28">
        <v>1129950.0</v>
      </c>
      <c r="AQ349" s="28">
        <v>0.0</v>
      </c>
      <c r="AR349" s="28">
        <v>1332469.92</v>
      </c>
      <c r="AS349" s="28">
        <v>0.0</v>
      </c>
      <c r="AT349" s="28">
        <v>1209785.9150055372</v>
      </c>
      <c r="AU349" s="28">
        <v>962277.0553200002</v>
      </c>
      <c r="AV349" s="28">
        <v>0.0</v>
      </c>
      <c r="AW349" s="28">
        <v>1104183.44889258</v>
      </c>
      <c r="AX349" s="5"/>
      <c r="AY349" s="5" t="str">
        <f t="array" ref="AY349">IFERROR(_xlfn.XLOOKUP($E349,'FW27'!$C$3:$C$1102,'FW27'!$AM$3:$AM$1102),"")</f>
        <v>Essentials</v>
      </c>
      <c r="AZ349" s="5" t="str">
        <f t="array" ref="AZ349">IFERROR(_xlfn.XLOOKUP($E349,'FW27'!$C$3:$C$1102,'FW27'!$AN$3:$AN$1102),"")</f>
        <v>Daily Essentials</v>
      </c>
      <c r="BA349" s="5" t="s">
        <v>237</v>
      </c>
      <c r="BB349" s="5" t="str">
        <f t="array" ref="BB349">IFERROR(_xlfn.XLOOKUP($E349,'FW27'!$C$3:$C$1102,'FW27'!$AS$3:$AS$1102),"")</f>
        <v>Fleece/Midlayer</v>
      </c>
      <c r="BC349" s="5" t="str">
        <f t="array" ref="BC349">IFERROR(_xlfn.XLOOKUP($E349,'FW27'!$C$3:$C$1102,'FW27'!$AT$3:$AT$1102),"")</f>
        <v>Hooded Jacket</v>
      </c>
      <c r="BD349" s="5" t="str">
        <f t="array" ref="BD349">IFERROR(_xlfn.XLOOKUP($E349,'FW27'!$C$3:$C$1102,'FW27'!$AU$3:$AU$1102),"")</f>
        <v>Midweight</v>
      </c>
      <c r="BE349" s="5" t="str">
        <f t="array" ref="BE349">IFERROR(_xlfn.XLOOKUP($E349,'FW27'!$C$3:$C$1102,'FW27'!$AV$3:$AV$1102),"")</f>
        <v>N</v>
      </c>
    </row>
    <row r="350" ht="16.5" hidden="1" customHeight="1">
      <c r="A350" s="5" t="s">
        <v>155</v>
      </c>
      <c r="B350" s="5" t="s">
        <v>137</v>
      </c>
      <c r="C350" s="5" t="b">
        <v>1</v>
      </c>
      <c r="D350" s="47" t="s">
        <v>1469</v>
      </c>
      <c r="E350" s="47" t="s">
        <v>1470</v>
      </c>
      <c r="F350" s="47"/>
      <c r="G350" s="47" t="s">
        <v>65</v>
      </c>
      <c r="H350" s="47" t="s">
        <v>74</v>
      </c>
      <c r="I350" s="47" t="s">
        <v>82</v>
      </c>
      <c r="J350" s="48" t="s">
        <v>322</v>
      </c>
      <c r="K350" s="25" t="s">
        <v>150</v>
      </c>
      <c r="L350" s="25"/>
      <c r="M350" s="5" t="s">
        <v>66</v>
      </c>
      <c r="N350" s="5" t="s">
        <v>270</v>
      </c>
      <c r="O350" s="5" t="s">
        <v>96</v>
      </c>
      <c r="P350" s="5" t="s">
        <v>107</v>
      </c>
      <c r="Q350" s="5" t="b">
        <v>1</v>
      </c>
      <c r="R350" s="5" t="b">
        <v>0</v>
      </c>
      <c r="S350" s="5"/>
      <c r="T350" s="5">
        <v>1700.0</v>
      </c>
      <c r="U350" s="26">
        <v>2.1</v>
      </c>
      <c r="V350" s="5">
        <v>810.0</v>
      </c>
      <c r="W350" s="27">
        <v>0.0</v>
      </c>
      <c r="X350" s="28">
        <v>810.0</v>
      </c>
      <c r="Y350" s="27">
        <v>1.0</v>
      </c>
      <c r="Z350" s="5" t="s">
        <v>117</v>
      </c>
      <c r="AA350" s="27">
        <v>0.63</v>
      </c>
      <c r="AB350" s="5"/>
      <c r="AC350" s="5" t="s">
        <v>81</v>
      </c>
      <c r="AD350" s="5" t="s">
        <v>81</v>
      </c>
      <c r="AE350" s="24">
        <v>0.0</v>
      </c>
      <c r="AF350" s="5">
        <v>1.0</v>
      </c>
      <c r="AG350" s="5" t="s">
        <v>0</v>
      </c>
      <c r="AH350" s="5" t="s">
        <v>471</v>
      </c>
      <c r="AI350" s="56"/>
      <c r="AJ350" s="28">
        <v>0.0</v>
      </c>
      <c r="AK350" s="28">
        <v>0.0</v>
      </c>
      <c r="AL350" s="28">
        <v>0.0</v>
      </c>
      <c r="AM350" s="28">
        <v>0.0</v>
      </c>
      <c r="AN350" s="28">
        <v>0.0</v>
      </c>
      <c r="AO350" s="28">
        <v>0.0</v>
      </c>
      <c r="AP350" s="28">
        <v>0.0</v>
      </c>
      <c r="AQ350" s="28">
        <v>0.0</v>
      </c>
      <c r="AR350" s="28">
        <v>0.0</v>
      </c>
      <c r="AS350" s="28">
        <v>0.0</v>
      </c>
      <c r="AT350" s="28">
        <v>0.0</v>
      </c>
      <c r="AU350" s="28">
        <v>0.0</v>
      </c>
      <c r="AV350" s="28">
        <v>0.0</v>
      </c>
      <c r="AW350" s="28">
        <v>0.0</v>
      </c>
      <c r="AX350" s="5"/>
      <c r="AY350" s="5" t="s">
        <v>125</v>
      </c>
      <c r="AZ350" s="5" t="s">
        <v>174</v>
      </c>
      <c r="BA350" s="5" t="s">
        <v>237</v>
      </c>
      <c r="BB350" s="5" t="s">
        <v>276</v>
      </c>
      <c r="BC350" s="5" t="s">
        <v>161</v>
      </c>
      <c r="BD350" s="5" t="s">
        <v>277</v>
      </c>
      <c r="BE350" s="5" t="s">
        <v>131</v>
      </c>
    </row>
    <row r="351" ht="16.5" hidden="1" customHeight="1">
      <c r="A351" s="5" t="s">
        <v>155</v>
      </c>
      <c r="B351" s="5" t="s">
        <v>137</v>
      </c>
      <c r="C351" s="5" t="b">
        <v>1</v>
      </c>
      <c r="D351" s="5" t="s">
        <v>955</v>
      </c>
      <c r="E351" s="5" t="s">
        <v>956</v>
      </c>
      <c r="F351" s="5"/>
      <c r="G351" s="5" t="s">
        <v>65</v>
      </c>
      <c r="H351" s="5" t="s">
        <v>84</v>
      </c>
      <c r="I351" s="5" t="s">
        <v>82</v>
      </c>
      <c r="J351" s="25"/>
      <c r="K351" s="25"/>
      <c r="L351" s="25"/>
      <c r="M351" s="5" t="s">
        <v>66</v>
      </c>
      <c r="N351" s="5" t="s">
        <v>270</v>
      </c>
      <c r="O351" s="5" t="s">
        <v>69</v>
      </c>
      <c r="P351" s="5" t="s">
        <v>70</v>
      </c>
      <c r="Q351" s="5" t="b">
        <v>1</v>
      </c>
      <c r="R351" s="5" t="b">
        <v>0</v>
      </c>
      <c r="S351" s="5"/>
      <c r="T351" s="5">
        <v>1500.0</v>
      </c>
      <c r="U351" s="26">
        <v>2.1</v>
      </c>
      <c r="V351" s="5">
        <v>714.0</v>
      </c>
      <c r="W351" s="27">
        <v>0.0</v>
      </c>
      <c r="X351" s="28">
        <v>714.0</v>
      </c>
      <c r="Y351" s="27">
        <v>1.0</v>
      </c>
      <c r="Z351" s="5" t="s">
        <v>117</v>
      </c>
      <c r="AA351" s="5">
        <v>0.6</v>
      </c>
      <c r="AB351" s="5"/>
      <c r="AC351" s="5" t="s">
        <v>81</v>
      </c>
      <c r="AD351" s="5" t="s">
        <v>81</v>
      </c>
      <c r="AE351" s="5">
        <v>3.0</v>
      </c>
      <c r="AF351" s="5">
        <v>3.0</v>
      </c>
      <c r="AG351" s="5" t="s">
        <v>0</v>
      </c>
      <c r="AH351" s="5" t="s">
        <v>0</v>
      </c>
      <c r="AI351" s="42"/>
      <c r="AJ351" s="28">
        <v>3335.0</v>
      </c>
      <c r="AK351" s="28">
        <v>2151.0</v>
      </c>
      <c r="AL351" s="28">
        <v>0.0</v>
      </c>
      <c r="AM351" s="28">
        <v>2223.0</v>
      </c>
      <c r="AN351" s="28">
        <v>0.0</v>
      </c>
      <c r="AO351" s="28">
        <v>2382157.15</v>
      </c>
      <c r="AP351" s="28">
        <v>1535814.0</v>
      </c>
      <c r="AQ351" s="28">
        <v>0.0</v>
      </c>
      <c r="AR351" s="28">
        <v>1587866.67</v>
      </c>
      <c r="AS351" s="28">
        <v>0.0</v>
      </c>
      <c r="AT351" s="28">
        <v>1599179.3673864896</v>
      </c>
      <c r="AU351" s="28">
        <v>1222594.7118300002</v>
      </c>
      <c r="AV351" s="28">
        <v>0.0</v>
      </c>
      <c r="AW351" s="28">
        <v>1312625.3614617935</v>
      </c>
      <c r="AX351" s="5"/>
      <c r="AY351" s="5" t="str">
        <f t="array" ref="AY351">IFERROR(_xlfn.XLOOKUP($E351,'FW27'!$C$3:$C$1102,'FW27'!$AM$3:$AM$1102),"")</f>
        <v>Essentials</v>
      </c>
      <c r="AZ351" s="5" t="str">
        <f t="array" ref="AZ351">IFERROR(_xlfn.XLOOKUP($E351,'FW27'!$C$3:$C$1102,'FW27'!$AN$3:$AN$1102),"")</f>
        <v>Daily Essentials</v>
      </c>
      <c r="BA351" s="5" t="s">
        <v>237</v>
      </c>
      <c r="BB351" s="5" t="str">
        <f t="array" ref="BB351">IFERROR(_xlfn.XLOOKUP($E351,'FW27'!$C$3:$C$1102,'FW27'!$AS$3:$AS$1102),"")</f>
        <v>Fleece/Midlayer</v>
      </c>
      <c r="BC351" s="5" t="str">
        <f t="array" ref="BC351">IFERROR(_xlfn.XLOOKUP($E351,'FW27'!$C$3:$C$1102,'FW27'!$AT$3:$AT$1102),"")</f>
        <v>Jacket</v>
      </c>
      <c r="BD351" s="5" t="str">
        <f t="array" ref="BD351">IFERROR(_xlfn.XLOOKUP($E351,'FW27'!$C$3:$C$1102,'FW27'!$AU$3:$AU$1102),"")</f>
        <v>Midweight</v>
      </c>
      <c r="BE351" s="5" t="str">
        <f t="array" ref="BE351">IFERROR(_xlfn.XLOOKUP($E351,'FW27'!$C$3:$C$1102,'FW27'!$AV$3:$AV$1102),"")</f>
        <v>N</v>
      </c>
    </row>
    <row r="352" ht="16.5" hidden="1" customHeight="1">
      <c r="A352" s="5" t="s">
        <v>155</v>
      </c>
      <c r="B352" s="5" t="s">
        <v>137</v>
      </c>
      <c r="C352" s="5" t="b">
        <v>1</v>
      </c>
      <c r="D352" s="47" t="s">
        <v>1473</v>
      </c>
      <c r="E352" s="47" t="s">
        <v>1474</v>
      </c>
      <c r="F352" s="47"/>
      <c r="G352" s="47" t="s">
        <v>65</v>
      </c>
      <c r="H352" s="47" t="s">
        <v>74</v>
      </c>
      <c r="I352" s="47" t="s">
        <v>82</v>
      </c>
      <c r="J352" s="48" t="s">
        <v>322</v>
      </c>
      <c r="K352" s="25" t="s">
        <v>150</v>
      </c>
      <c r="L352" s="25"/>
      <c r="M352" s="5" t="s">
        <v>66</v>
      </c>
      <c r="N352" s="5" t="s">
        <v>270</v>
      </c>
      <c r="O352" s="5" t="s">
        <v>96</v>
      </c>
      <c r="P352" s="5" t="s">
        <v>70</v>
      </c>
      <c r="Q352" s="5" t="b">
        <v>1</v>
      </c>
      <c r="R352" s="5" t="b">
        <v>0</v>
      </c>
      <c r="S352" s="5"/>
      <c r="T352" s="5">
        <v>1500.0</v>
      </c>
      <c r="U352" s="26">
        <v>2.1</v>
      </c>
      <c r="V352" s="5">
        <v>714.0</v>
      </c>
      <c r="W352" s="27">
        <v>0.0</v>
      </c>
      <c r="X352" s="28">
        <v>714.0</v>
      </c>
      <c r="Y352" s="27">
        <v>1.0</v>
      </c>
      <c r="Z352" s="5" t="s">
        <v>117</v>
      </c>
      <c r="AA352" s="27">
        <v>0.6</v>
      </c>
      <c r="AB352" s="5"/>
      <c r="AC352" s="5" t="s">
        <v>81</v>
      </c>
      <c r="AD352" s="5" t="s">
        <v>81</v>
      </c>
      <c r="AE352" s="24">
        <v>0.0</v>
      </c>
      <c r="AF352" s="5">
        <v>1.0</v>
      </c>
      <c r="AG352" s="5" t="s">
        <v>0</v>
      </c>
      <c r="AH352" s="5" t="s">
        <v>471</v>
      </c>
      <c r="AI352" s="56"/>
      <c r="AJ352" s="28">
        <v>0.0</v>
      </c>
      <c r="AK352" s="28">
        <v>0.0</v>
      </c>
      <c r="AL352" s="28">
        <v>0.0</v>
      </c>
      <c r="AM352" s="28">
        <v>0.0</v>
      </c>
      <c r="AN352" s="28">
        <v>0.0</v>
      </c>
      <c r="AO352" s="28">
        <v>0.0</v>
      </c>
      <c r="AP352" s="28">
        <v>0.0</v>
      </c>
      <c r="AQ352" s="28">
        <v>0.0</v>
      </c>
      <c r="AR352" s="28">
        <v>0.0</v>
      </c>
      <c r="AS352" s="28">
        <v>0.0</v>
      </c>
      <c r="AT352" s="28">
        <v>0.0</v>
      </c>
      <c r="AU352" s="28">
        <v>0.0</v>
      </c>
      <c r="AV352" s="28">
        <v>0.0</v>
      </c>
      <c r="AW352" s="28">
        <v>0.0</v>
      </c>
      <c r="AX352" s="5"/>
      <c r="AY352" s="5" t="s">
        <v>125</v>
      </c>
      <c r="AZ352" s="5" t="s">
        <v>174</v>
      </c>
      <c r="BA352" s="5" t="s">
        <v>237</v>
      </c>
      <c r="BB352" s="5" t="s">
        <v>276</v>
      </c>
      <c r="BC352" s="5" t="s">
        <v>89</v>
      </c>
      <c r="BD352" s="5" t="s">
        <v>277</v>
      </c>
      <c r="BE352" s="5" t="s">
        <v>131</v>
      </c>
    </row>
    <row r="353" ht="16.5" hidden="1" customHeight="1">
      <c r="A353" s="5" t="s">
        <v>155</v>
      </c>
      <c r="B353" s="5" t="s">
        <v>137</v>
      </c>
      <c r="C353" s="5" t="b">
        <v>1</v>
      </c>
      <c r="D353" s="5" t="s">
        <v>957</v>
      </c>
      <c r="E353" s="5" t="s">
        <v>958</v>
      </c>
      <c r="F353" s="5"/>
      <c r="G353" s="5" t="s">
        <v>65</v>
      </c>
      <c r="H353" s="5" t="s">
        <v>84</v>
      </c>
      <c r="I353" s="5" t="s">
        <v>82</v>
      </c>
      <c r="J353" s="25"/>
      <c r="K353" s="25"/>
      <c r="L353" s="25"/>
      <c r="M353" s="5" t="s">
        <v>66</v>
      </c>
      <c r="N353" s="5" t="s">
        <v>270</v>
      </c>
      <c r="O353" s="5" t="s">
        <v>69</v>
      </c>
      <c r="P353" s="5" t="s">
        <v>107</v>
      </c>
      <c r="Q353" s="5" t="b">
        <v>1</v>
      </c>
      <c r="R353" s="5" t="b">
        <v>0</v>
      </c>
      <c r="S353" s="5"/>
      <c r="T353" s="5">
        <v>1500.0</v>
      </c>
      <c r="U353" s="26">
        <v>2.1</v>
      </c>
      <c r="V353" s="5">
        <v>714.0</v>
      </c>
      <c r="W353" s="27">
        <v>0.0</v>
      </c>
      <c r="X353" s="28">
        <v>714.0</v>
      </c>
      <c r="Y353" s="27">
        <v>1.0</v>
      </c>
      <c r="Z353" s="5" t="s">
        <v>117</v>
      </c>
      <c r="AA353" s="5">
        <v>0.63</v>
      </c>
      <c r="AB353" s="5"/>
      <c r="AC353" s="5" t="s">
        <v>81</v>
      </c>
      <c r="AD353" s="5" t="s">
        <v>81</v>
      </c>
      <c r="AE353" s="5">
        <v>3.0</v>
      </c>
      <c r="AF353" s="5">
        <v>3.0</v>
      </c>
      <c r="AG353" s="5" t="s">
        <v>0</v>
      </c>
      <c r="AH353" s="5" t="s">
        <v>0</v>
      </c>
      <c r="AI353" s="42"/>
      <c r="AJ353" s="28">
        <v>1933.0</v>
      </c>
      <c r="AK353" s="28">
        <v>1523.0</v>
      </c>
      <c r="AL353" s="28">
        <v>0.0</v>
      </c>
      <c r="AM353" s="28">
        <v>1871.0</v>
      </c>
      <c r="AN353" s="28">
        <v>0.0</v>
      </c>
      <c r="AO353" s="28">
        <v>1380722.5699999998</v>
      </c>
      <c r="AP353" s="28">
        <v>1087422.0</v>
      </c>
      <c r="AQ353" s="28">
        <v>0.0</v>
      </c>
      <c r="AR353" s="28">
        <v>1336436.5899999999</v>
      </c>
      <c r="AS353" s="28">
        <v>0.0</v>
      </c>
      <c r="AT353" s="28">
        <v>1048164.6789036543</v>
      </c>
      <c r="AU353" s="28">
        <v>874458.1407600001</v>
      </c>
      <c r="AV353" s="28">
        <v>0.0</v>
      </c>
      <c r="AW353" s="28">
        <v>1098888.961461794</v>
      </c>
      <c r="AX353" s="5"/>
      <c r="AY353" s="5" t="str">
        <f t="array" ref="AY353">IFERROR(_xlfn.XLOOKUP($E353,'FW27'!$C$3:$C$1102,'FW27'!$AM$3:$AM$1102),"")</f>
        <v>Essentials</v>
      </c>
      <c r="AZ353" s="5" t="str">
        <f t="array" ref="AZ353">IFERROR(_xlfn.XLOOKUP($E353,'FW27'!$C$3:$C$1102,'FW27'!$AN$3:$AN$1102),"")</f>
        <v>Daily Essentials</v>
      </c>
      <c r="BA353" s="5" t="s">
        <v>237</v>
      </c>
      <c r="BB353" s="5" t="str">
        <f t="array" ref="BB353">IFERROR(_xlfn.XLOOKUP($E353,'FW27'!$C$3:$C$1102,'FW27'!$AS$3:$AS$1102),"")</f>
        <v>Fleece/Midlayer</v>
      </c>
      <c r="BC353" s="5" t="str">
        <f t="array" ref="BC353">IFERROR(_xlfn.XLOOKUP($E353,'FW27'!$C$3:$C$1102,'FW27'!$AT$3:$AT$1102),"")</f>
        <v>Jacket</v>
      </c>
      <c r="BD353" s="5" t="str">
        <f t="array" ref="BD353">IFERROR(_xlfn.XLOOKUP($E353,'FW27'!$C$3:$C$1102,'FW27'!$AU$3:$AU$1102),"")</f>
        <v>Midweight</v>
      </c>
      <c r="BE353" s="5" t="str">
        <f t="array" ref="BE353">IFERROR(_xlfn.XLOOKUP($E353,'FW27'!$C$3:$C$1102,'FW27'!$AV$3:$AV$1102),"")</f>
        <v>N</v>
      </c>
    </row>
    <row r="354" ht="16.5" hidden="1" customHeight="1">
      <c r="A354" s="5" t="s">
        <v>155</v>
      </c>
      <c r="B354" s="5" t="s">
        <v>137</v>
      </c>
      <c r="C354" s="5" t="b">
        <v>1</v>
      </c>
      <c r="D354" s="47" t="s">
        <v>1475</v>
      </c>
      <c r="E354" s="47" t="s">
        <v>1476</v>
      </c>
      <c r="F354" s="47"/>
      <c r="G354" s="47" t="s">
        <v>65</v>
      </c>
      <c r="H354" s="47" t="s">
        <v>74</v>
      </c>
      <c r="I354" s="47" t="s">
        <v>82</v>
      </c>
      <c r="J354" s="48" t="s">
        <v>322</v>
      </c>
      <c r="K354" s="25" t="s">
        <v>150</v>
      </c>
      <c r="L354" s="25"/>
      <c r="M354" s="5" t="s">
        <v>66</v>
      </c>
      <c r="N354" s="5" t="s">
        <v>270</v>
      </c>
      <c r="O354" s="5" t="s">
        <v>96</v>
      </c>
      <c r="P354" s="5" t="s">
        <v>107</v>
      </c>
      <c r="Q354" s="5" t="b">
        <v>1</v>
      </c>
      <c r="R354" s="5" t="b">
        <v>0</v>
      </c>
      <c r="S354" s="5"/>
      <c r="T354" s="5">
        <v>1500.0</v>
      </c>
      <c r="U354" s="26">
        <v>2.1</v>
      </c>
      <c r="V354" s="5">
        <v>714.0</v>
      </c>
      <c r="W354" s="27">
        <v>0.0</v>
      </c>
      <c r="X354" s="28">
        <v>714.0</v>
      </c>
      <c r="Y354" s="27">
        <v>1.0</v>
      </c>
      <c r="Z354" s="5" t="s">
        <v>117</v>
      </c>
      <c r="AA354" s="27">
        <v>0.63</v>
      </c>
      <c r="AB354" s="5"/>
      <c r="AC354" s="5" t="s">
        <v>81</v>
      </c>
      <c r="AD354" s="5" t="s">
        <v>81</v>
      </c>
      <c r="AE354" s="24">
        <v>0.0</v>
      </c>
      <c r="AF354" s="5">
        <v>1.0</v>
      </c>
      <c r="AG354" s="5" t="s">
        <v>0</v>
      </c>
      <c r="AH354" s="5" t="s">
        <v>471</v>
      </c>
      <c r="AI354" s="56"/>
      <c r="AJ354" s="28">
        <v>0.0</v>
      </c>
      <c r="AK354" s="28">
        <v>0.0</v>
      </c>
      <c r="AL354" s="28">
        <v>0.0</v>
      </c>
      <c r="AM354" s="28">
        <v>0.0</v>
      </c>
      <c r="AN354" s="28">
        <v>0.0</v>
      </c>
      <c r="AO354" s="28">
        <v>0.0</v>
      </c>
      <c r="AP354" s="28">
        <v>0.0</v>
      </c>
      <c r="AQ354" s="28">
        <v>0.0</v>
      </c>
      <c r="AR354" s="28">
        <v>0.0</v>
      </c>
      <c r="AS354" s="28">
        <v>0.0</v>
      </c>
      <c r="AT354" s="28">
        <v>0.0</v>
      </c>
      <c r="AU354" s="28">
        <v>0.0</v>
      </c>
      <c r="AV354" s="28">
        <v>0.0</v>
      </c>
      <c r="AW354" s="28">
        <v>0.0</v>
      </c>
      <c r="AX354" s="5"/>
      <c r="AY354" s="5" t="s">
        <v>125</v>
      </c>
      <c r="AZ354" s="5" t="s">
        <v>174</v>
      </c>
      <c r="BA354" s="5" t="s">
        <v>237</v>
      </c>
      <c r="BB354" s="5" t="s">
        <v>276</v>
      </c>
      <c r="BC354" s="5" t="s">
        <v>89</v>
      </c>
      <c r="BD354" s="5" t="s">
        <v>277</v>
      </c>
      <c r="BE354" s="5" t="s">
        <v>131</v>
      </c>
    </row>
    <row r="355" ht="16.5" hidden="1" customHeight="1">
      <c r="A355" s="5" t="s">
        <v>155</v>
      </c>
      <c r="B355" s="5" t="s">
        <v>137</v>
      </c>
      <c r="C355" s="5" t="b">
        <v>1</v>
      </c>
      <c r="D355" s="5" t="s">
        <v>1761</v>
      </c>
      <c r="E355" s="5" t="s">
        <v>1762</v>
      </c>
      <c r="F355" s="5"/>
      <c r="G355" s="5" t="s">
        <v>65</v>
      </c>
      <c r="H355" s="5" t="s">
        <v>84</v>
      </c>
      <c r="I355" s="5" t="s">
        <v>82</v>
      </c>
      <c r="J355" s="25"/>
      <c r="K355" s="25"/>
      <c r="L355" s="25"/>
      <c r="M355" s="5" t="s">
        <v>66</v>
      </c>
      <c r="N355" s="5" t="s">
        <v>270</v>
      </c>
      <c r="O355" s="5" t="s">
        <v>69</v>
      </c>
      <c r="P355" s="5" t="s">
        <v>107</v>
      </c>
      <c r="Q355" s="5" t="b">
        <v>1</v>
      </c>
      <c r="R355" s="5" t="b">
        <v>0</v>
      </c>
      <c r="S355" s="5"/>
      <c r="T355" s="5">
        <v>1600.0</v>
      </c>
      <c r="U355" s="26">
        <v>2.1</v>
      </c>
      <c r="V355" s="5">
        <v>762.0</v>
      </c>
      <c r="W355" s="27">
        <v>0.0</v>
      </c>
      <c r="X355" s="28">
        <v>762.0</v>
      </c>
      <c r="Y355" s="27">
        <v>1.0</v>
      </c>
      <c r="Z355" s="5" t="s">
        <v>117</v>
      </c>
      <c r="AA355" s="5">
        <v>0.65</v>
      </c>
      <c r="AB355" s="5"/>
      <c r="AC355" s="5" t="s">
        <v>81</v>
      </c>
      <c r="AD355" s="5" t="s">
        <v>81</v>
      </c>
      <c r="AE355" s="5">
        <v>3.0</v>
      </c>
      <c r="AF355" s="5">
        <v>3.0</v>
      </c>
      <c r="AG355" s="5" t="s">
        <v>0</v>
      </c>
      <c r="AH355" s="5" t="s">
        <v>0</v>
      </c>
      <c r="AI355" s="42"/>
      <c r="AJ355" s="28">
        <v>1313.0</v>
      </c>
      <c r="AK355" s="28">
        <v>0.0</v>
      </c>
      <c r="AL355" s="28">
        <v>0.0</v>
      </c>
      <c r="AM355" s="28">
        <v>0.0</v>
      </c>
      <c r="AN355" s="28">
        <v>0.0</v>
      </c>
      <c r="AO355" s="28">
        <v>1000374.7</v>
      </c>
      <c r="AP355" s="28">
        <v>0.0</v>
      </c>
      <c r="AQ355" s="28">
        <v>0.0</v>
      </c>
      <c r="AR355" s="28">
        <v>0.0</v>
      </c>
      <c r="AS355" s="28">
        <v>0.0</v>
      </c>
      <c r="AT355" s="28">
        <v>754675.6459579181</v>
      </c>
      <c r="AU355" s="28">
        <v>0.0</v>
      </c>
      <c r="AV355" s="28">
        <v>0.0</v>
      </c>
      <c r="AW355" s="28">
        <v>0.0</v>
      </c>
      <c r="AX355" s="5"/>
      <c r="AY355" s="5" t="str">
        <f t="array" ref="AY355">IFERROR(_xlfn.XLOOKUP($E355,'FW27'!$C$3:$C$1102,'FW27'!$AM$3:$AM$1102),"")</f>
        <v>Essentials</v>
      </c>
      <c r="AZ355" s="5" t="str">
        <f t="array" ref="AZ355">IFERROR(_xlfn.XLOOKUP($E355,'FW27'!$C$3:$C$1102,'FW27'!$AN$3:$AN$1102),"")</f>
        <v>Daily Essentials</v>
      </c>
      <c r="BA355" s="5" t="s">
        <v>237</v>
      </c>
      <c r="BB355" s="5" t="str">
        <f t="array" ref="BB355">IFERROR(_xlfn.XLOOKUP($E355,'FW27'!$C$3:$C$1102,'FW27'!$AS$3:$AS$1102),"")</f>
        <v>Fleece/Midlayer</v>
      </c>
      <c r="BC355" s="5" t="str">
        <f t="array" ref="BC355">IFERROR(_xlfn.XLOOKUP($E355,'FW27'!$C$3:$C$1102,'FW27'!$AT$3:$AT$1102),"")</f>
        <v>1/2 Zip</v>
      </c>
      <c r="BD355" s="5" t="str">
        <f t="array" ref="BD355">IFERROR(_xlfn.XLOOKUP($E355,'FW27'!$C$3:$C$1102,'FW27'!$AU$3:$AU$1102),"")</f>
        <v>Midweight</v>
      </c>
      <c r="BE355" s="5" t="str">
        <f t="array" ref="BE355">IFERROR(_xlfn.XLOOKUP($E355,'FW27'!$C$3:$C$1102,'FW27'!$AV$3:$AV$1102),"")</f>
        <v>N</v>
      </c>
    </row>
    <row r="356" ht="16.5" hidden="1" customHeight="1">
      <c r="A356" s="5" t="s">
        <v>155</v>
      </c>
      <c r="B356" s="5" t="s">
        <v>137</v>
      </c>
      <c r="C356" s="5" t="b">
        <v>1</v>
      </c>
      <c r="D356" s="5" t="s">
        <v>1763</v>
      </c>
      <c r="E356" s="5" t="s">
        <v>1764</v>
      </c>
      <c r="F356" s="5"/>
      <c r="G356" s="5" t="s">
        <v>65</v>
      </c>
      <c r="H356" s="5" t="s">
        <v>84</v>
      </c>
      <c r="I356" s="5" t="s">
        <v>82</v>
      </c>
      <c r="J356" s="25"/>
      <c r="K356" s="25"/>
      <c r="L356" s="25"/>
      <c r="M356" s="5" t="s">
        <v>66</v>
      </c>
      <c r="N356" s="5" t="s">
        <v>270</v>
      </c>
      <c r="O356" s="5" t="s">
        <v>69</v>
      </c>
      <c r="P356" s="5" t="s">
        <v>70</v>
      </c>
      <c r="Q356" s="5" t="b">
        <v>1</v>
      </c>
      <c r="R356" s="5" t="b">
        <v>0</v>
      </c>
      <c r="S356" s="5"/>
      <c r="T356" s="5">
        <v>1400.0</v>
      </c>
      <c r="U356" s="26">
        <v>2.1</v>
      </c>
      <c r="V356" s="5">
        <v>667.0</v>
      </c>
      <c r="W356" s="27">
        <v>0.0</v>
      </c>
      <c r="X356" s="28">
        <v>667.0</v>
      </c>
      <c r="Y356" s="27">
        <v>1.0</v>
      </c>
      <c r="Z356" s="5" t="s">
        <v>117</v>
      </c>
      <c r="AA356" s="5">
        <v>0.64</v>
      </c>
      <c r="AB356" s="5"/>
      <c r="AC356" s="5" t="s">
        <v>81</v>
      </c>
      <c r="AD356" s="5" t="s">
        <v>81</v>
      </c>
      <c r="AE356" s="5">
        <v>3.0</v>
      </c>
      <c r="AF356" s="5">
        <v>3.0</v>
      </c>
      <c r="AG356" s="5" t="s">
        <v>0</v>
      </c>
      <c r="AH356" s="5" t="s">
        <v>0</v>
      </c>
      <c r="AI356" s="42"/>
      <c r="AJ356" s="28">
        <v>2169.0</v>
      </c>
      <c r="AK356" s="28">
        <v>0.0</v>
      </c>
      <c r="AL356" s="28">
        <v>0.0</v>
      </c>
      <c r="AM356" s="28">
        <v>0.0</v>
      </c>
      <c r="AN356" s="28">
        <v>0.0</v>
      </c>
      <c r="AO356" s="28">
        <v>1446007.23</v>
      </c>
      <c r="AP356" s="28">
        <v>0.0</v>
      </c>
      <c r="AQ356" s="28">
        <v>0.0</v>
      </c>
      <c r="AR356" s="28">
        <v>0.0</v>
      </c>
      <c r="AS356" s="28">
        <v>0.0</v>
      </c>
      <c r="AT356" s="28">
        <v>839797.0573643411</v>
      </c>
      <c r="AU356" s="28">
        <v>0.0</v>
      </c>
      <c r="AV356" s="28">
        <v>0.0</v>
      </c>
      <c r="AW356" s="28">
        <v>0.0</v>
      </c>
      <c r="AX356" s="5"/>
      <c r="AY356" s="5" t="str">
        <f t="array" ref="AY356">IFERROR(_xlfn.XLOOKUP($E356,'FW27'!$C$3:$C$1102,'FW27'!$AM$3:$AM$1102),"")</f>
        <v>Essentials</v>
      </c>
      <c r="AZ356" s="5" t="str">
        <f t="array" ref="AZ356">IFERROR(_xlfn.XLOOKUP($E356,'FW27'!$C$3:$C$1102,'FW27'!$AN$3:$AN$1102),"")</f>
        <v>Daily Essentials</v>
      </c>
      <c r="BA356" s="5" t="s">
        <v>237</v>
      </c>
      <c r="BB356" s="5" t="str">
        <f t="array" ref="BB356">IFERROR(_xlfn.XLOOKUP($E356,'FW27'!$C$3:$C$1102,'FW27'!$AS$3:$AS$1102),"")</f>
        <v>Fleece/Midlayer</v>
      </c>
      <c r="BC356" s="5" t="str">
        <f t="array" ref="BC356">IFERROR(_xlfn.XLOOKUP($E356,'FW27'!$C$3:$C$1102,'FW27'!$AT$3:$AT$1102),"")</f>
        <v>Pullover</v>
      </c>
      <c r="BD356" s="5" t="str">
        <f t="array" ref="BD356">IFERROR(_xlfn.XLOOKUP($E356,'FW27'!$C$3:$C$1102,'FW27'!$AU$3:$AU$1102),"")</f>
        <v>Midweight</v>
      </c>
      <c r="BE356" s="5" t="str">
        <f t="array" ref="BE356">IFERROR(_xlfn.XLOOKUP($E356,'FW27'!$C$3:$C$1102,'FW27'!$AV$3:$AV$1102),"")</f>
        <v>N</v>
      </c>
    </row>
    <row r="357" ht="16.5" hidden="1" customHeight="1">
      <c r="A357" s="5" t="s">
        <v>155</v>
      </c>
      <c r="B357" s="5" t="s">
        <v>137</v>
      </c>
      <c r="C357" s="5" t="b">
        <v>1</v>
      </c>
      <c r="D357" s="5" t="s">
        <v>879</v>
      </c>
      <c r="E357" s="5" t="s">
        <v>880</v>
      </c>
      <c r="F357" s="5"/>
      <c r="G357" s="5" t="s">
        <v>65</v>
      </c>
      <c r="H357" s="5" t="s">
        <v>84</v>
      </c>
      <c r="I357" s="5" t="s">
        <v>82</v>
      </c>
      <c r="J357" s="25" t="s">
        <v>2116</v>
      </c>
      <c r="K357" s="25"/>
      <c r="L357" s="25" t="s">
        <v>110</v>
      </c>
      <c r="M357" s="5" t="s">
        <v>66</v>
      </c>
      <c r="N357" s="5" t="s">
        <v>355</v>
      </c>
      <c r="O357" s="5" t="s">
        <v>69</v>
      </c>
      <c r="P357" s="5" t="s">
        <v>70</v>
      </c>
      <c r="Q357" s="5" t="b">
        <v>1</v>
      </c>
      <c r="R357" s="5" t="b">
        <v>0</v>
      </c>
      <c r="S357" s="5"/>
      <c r="T357" s="5">
        <v>2200.0</v>
      </c>
      <c r="U357" s="26">
        <v>2.1</v>
      </c>
      <c r="V357" s="5">
        <v>1048.0</v>
      </c>
      <c r="W357" s="27">
        <v>0.0</v>
      </c>
      <c r="X357" s="28">
        <v>1048.0</v>
      </c>
      <c r="Y357" s="27">
        <v>1.0</v>
      </c>
      <c r="Z357" s="5" t="s">
        <v>78</v>
      </c>
      <c r="AA357" s="5">
        <v>0.7</v>
      </c>
      <c r="AB357" s="5"/>
      <c r="AC357" s="5" t="s">
        <v>198</v>
      </c>
      <c r="AD357" s="5" t="s">
        <v>81</v>
      </c>
      <c r="AE357" s="5">
        <v>3.0</v>
      </c>
      <c r="AF357" s="5">
        <v>3.0</v>
      </c>
      <c r="AG357" s="5" t="s">
        <v>2117</v>
      </c>
      <c r="AH357" s="5" t="s">
        <v>146</v>
      </c>
      <c r="AI357" s="42"/>
      <c r="AJ357" s="28">
        <v>10161.0</v>
      </c>
      <c r="AK357" s="28">
        <v>10545.0</v>
      </c>
      <c r="AL357" s="28">
        <v>0.0</v>
      </c>
      <c r="AM357" s="28">
        <v>1700.0</v>
      </c>
      <c r="AN357" s="28">
        <v>0.0</v>
      </c>
      <c r="AO357" s="28">
        <v>1.0644866819999997E7</v>
      </c>
      <c r="AP357" s="28">
        <v>1.105116E7</v>
      </c>
      <c r="AQ357" s="28">
        <v>0.0</v>
      </c>
      <c r="AR357" s="28">
        <v>1780954.0</v>
      </c>
      <c r="AS357" s="28">
        <v>0.0</v>
      </c>
      <c r="AT357" s="28">
        <v>8249661.666666667</v>
      </c>
      <c r="AU357" s="28">
        <v>7551878.844934996</v>
      </c>
      <c r="AV357" s="28">
        <v>0.0</v>
      </c>
      <c r="AW357" s="28">
        <v>1392977.996124031</v>
      </c>
      <c r="AX357" s="5"/>
      <c r="AY357" s="5" t="str">
        <f t="array" ref="AY357">IFERROR(_xlfn.XLOOKUP($E357,'FW27'!$C$3:$C$1102,'FW27'!$AM$3:$AM$1102),"")</f>
        <v>Essentials</v>
      </c>
      <c r="AZ357" s="5" t="str">
        <f t="array" ref="AZ357">IFERROR(_xlfn.XLOOKUP($E357,'FW27'!$C$3:$C$1102,'FW27'!$AN$3:$AN$1102),"")</f>
        <v>Active Essentials</v>
      </c>
      <c r="BA357" s="5" t="s">
        <v>410</v>
      </c>
      <c r="BB357" s="5" t="str">
        <f t="array" ref="BB357">IFERROR(_xlfn.XLOOKUP($E357,'FW27'!$C$3:$C$1102,'FW27'!$AS$3:$AS$1102),"")</f>
        <v>Insulation</v>
      </c>
      <c r="BC357" s="5" t="str">
        <f t="array" ref="BC357">IFERROR(_xlfn.XLOOKUP($E357,'FW27'!$C$3:$C$1102,'FW27'!$AT$3:$AT$1102),"")</f>
        <v>Hooded Jacket</v>
      </c>
      <c r="BD357" s="5" t="str">
        <f t="array" ref="BD357">IFERROR(_xlfn.XLOOKUP($E357,'FW27'!$C$3:$C$1102,'FW27'!$AU$3:$AU$1102),"")</f>
        <v>Midweight Synthetic</v>
      </c>
      <c r="BE357" s="5" t="str">
        <f t="array" ref="BE357">IFERROR(_xlfn.XLOOKUP($E357,'FW27'!$C$3:$C$1102,'FW27'!$AV$3:$AV$1102),"")</f>
        <v>N</v>
      </c>
    </row>
    <row r="358" ht="16.5" hidden="1" customHeight="1">
      <c r="A358" s="5" t="s">
        <v>155</v>
      </c>
      <c r="B358" s="5" t="s">
        <v>137</v>
      </c>
      <c r="C358" s="5" t="b">
        <v>1</v>
      </c>
      <c r="D358" s="5" t="s">
        <v>886</v>
      </c>
      <c r="E358" s="5" t="s">
        <v>887</v>
      </c>
      <c r="F358" s="5"/>
      <c r="G358" s="5" t="s">
        <v>65</v>
      </c>
      <c r="H358" s="5" t="s">
        <v>84</v>
      </c>
      <c r="I358" s="5" t="s">
        <v>82</v>
      </c>
      <c r="J358" s="25" t="s">
        <v>2116</v>
      </c>
      <c r="K358" s="25"/>
      <c r="L358" s="25" t="s">
        <v>110</v>
      </c>
      <c r="M358" s="5" t="s">
        <v>66</v>
      </c>
      <c r="N358" s="5" t="s">
        <v>355</v>
      </c>
      <c r="O358" s="5" t="s">
        <v>69</v>
      </c>
      <c r="P358" s="5" t="s">
        <v>107</v>
      </c>
      <c r="Q358" s="5" t="b">
        <v>1</v>
      </c>
      <c r="R358" s="5" t="b">
        <v>0</v>
      </c>
      <c r="S358" s="5"/>
      <c r="T358" s="5">
        <v>2200.0</v>
      </c>
      <c r="U358" s="26">
        <v>2.1</v>
      </c>
      <c r="V358" s="5">
        <v>1048.0</v>
      </c>
      <c r="W358" s="27">
        <v>0.0</v>
      </c>
      <c r="X358" s="28">
        <v>1048.0</v>
      </c>
      <c r="Y358" s="27">
        <v>1.0</v>
      </c>
      <c r="Z358" s="5" t="s">
        <v>78</v>
      </c>
      <c r="AA358" s="5">
        <v>0.71</v>
      </c>
      <c r="AB358" s="5"/>
      <c r="AC358" s="5" t="s">
        <v>198</v>
      </c>
      <c r="AD358" s="5" t="s">
        <v>81</v>
      </c>
      <c r="AE358" s="5">
        <v>3.0</v>
      </c>
      <c r="AF358" s="5">
        <v>3.0</v>
      </c>
      <c r="AG358" s="5" t="s">
        <v>2118</v>
      </c>
      <c r="AH358" s="5" t="s">
        <v>146</v>
      </c>
      <c r="AI358" s="42"/>
      <c r="AJ358" s="28">
        <v>8479.0</v>
      </c>
      <c r="AK358" s="28">
        <v>8043.0</v>
      </c>
      <c r="AL358" s="28">
        <v>0.0</v>
      </c>
      <c r="AM358" s="28">
        <v>1365.0</v>
      </c>
      <c r="AN358" s="28">
        <v>0.0</v>
      </c>
      <c r="AO358" s="28">
        <v>8882769.979999997</v>
      </c>
      <c r="AP358" s="28">
        <v>8429064.0</v>
      </c>
      <c r="AQ358" s="28">
        <v>0.0</v>
      </c>
      <c r="AR358" s="28">
        <v>1430001.2999999998</v>
      </c>
      <c r="AS358" s="28">
        <v>0.0</v>
      </c>
      <c r="AT358" s="28">
        <v>6926955.144629015</v>
      </c>
      <c r="AU358" s="28">
        <v>5844051.736119996</v>
      </c>
      <c r="AV358" s="28">
        <v>0.0</v>
      </c>
      <c r="AW358" s="28">
        <v>1146587.4008859356</v>
      </c>
      <c r="AX358" s="5"/>
      <c r="AY358" s="5" t="str">
        <f t="array" ref="AY358">IFERROR(_xlfn.XLOOKUP($E358,'FW27'!$C$3:$C$1102,'FW27'!$AM$3:$AM$1102),"")</f>
        <v>Essentials</v>
      </c>
      <c r="AZ358" s="5" t="str">
        <f t="array" ref="AZ358">IFERROR(_xlfn.XLOOKUP($E358,'FW27'!$C$3:$C$1102,'FW27'!$AN$3:$AN$1102),"")</f>
        <v>Active Essentials</v>
      </c>
      <c r="BA358" s="5" t="s">
        <v>410</v>
      </c>
      <c r="BB358" s="5" t="str">
        <f t="array" ref="BB358">IFERROR(_xlfn.XLOOKUP($E358,'FW27'!$C$3:$C$1102,'FW27'!$AS$3:$AS$1102),"")</f>
        <v>Insulation</v>
      </c>
      <c r="BC358" s="5" t="str">
        <f t="array" ref="BC358">IFERROR(_xlfn.XLOOKUP($E358,'FW27'!$C$3:$C$1102,'FW27'!$AT$3:$AT$1102),"")</f>
        <v>Hooded Jacket</v>
      </c>
      <c r="BD358" s="5" t="str">
        <f t="array" ref="BD358">IFERROR(_xlfn.XLOOKUP($E358,'FW27'!$C$3:$C$1102,'FW27'!$AU$3:$AU$1102),"")</f>
        <v>Midweight Synthetic</v>
      </c>
      <c r="BE358" s="5" t="str">
        <f t="array" ref="BE358">IFERROR(_xlfn.XLOOKUP($E358,'FW27'!$C$3:$C$1102,'FW27'!$AV$3:$AV$1102),"")</f>
        <v>N</v>
      </c>
    </row>
    <row r="359" ht="16.5" hidden="1" customHeight="1">
      <c r="A359" s="5" t="s">
        <v>155</v>
      </c>
      <c r="B359" s="5" t="s">
        <v>215</v>
      </c>
      <c r="C359" s="5" t="b">
        <v>1</v>
      </c>
      <c r="D359" s="5" t="s">
        <v>1765</v>
      </c>
      <c r="E359" s="5" t="s">
        <v>1766</v>
      </c>
      <c r="F359" s="5"/>
      <c r="G359" s="5" t="s">
        <v>65</v>
      </c>
      <c r="H359" s="5" t="s">
        <v>76</v>
      </c>
      <c r="I359" s="5" t="s">
        <v>82</v>
      </c>
      <c r="J359" s="25"/>
      <c r="K359" s="25"/>
      <c r="L359" s="25" t="s">
        <v>110</v>
      </c>
      <c r="M359" s="5" t="s">
        <v>220</v>
      </c>
      <c r="N359" s="5" t="s">
        <v>68</v>
      </c>
      <c r="O359" s="5" t="s">
        <v>69</v>
      </c>
      <c r="P359" s="5" t="s">
        <v>70</v>
      </c>
      <c r="Q359" s="5" t="b">
        <v>1</v>
      </c>
      <c r="R359" s="5" t="b">
        <v>0</v>
      </c>
      <c r="S359" s="5"/>
      <c r="T359" s="5">
        <v>3500.0</v>
      </c>
      <c r="U359" s="26">
        <v>2.1</v>
      </c>
      <c r="V359" s="5">
        <v>1667.0</v>
      </c>
      <c r="W359" s="27">
        <v>0.0</v>
      </c>
      <c r="X359" s="28">
        <v>1667.0</v>
      </c>
      <c r="Y359" s="27">
        <v>1.0</v>
      </c>
      <c r="Z359" s="5" t="s">
        <v>78</v>
      </c>
      <c r="AA359" s="5">
        <v>0.62</v>
      </c>
      <c r="AB359" s="5"/>
      <c r="AC359" s="5" t="s">
        <v>198</v>
      </c>
      <c r="AD359" s="5" t="s">
        <v>166</v>
      </c>
      <c r="AE359" s="5">
        <v>4.0</v>
      </c>
      <c r="AF359" s="5">
        <v>4.0</v>
      </c>
      <c r="AG359" s="5" t="s">
        <v>1665</v>
      </c>
      <c r="AH359" s="5" t="s">
        <v>0</v>
      </c>
      <c r="AI359" s="42"/>
      <c r="AJ359" s="28">
        <v>4373.0</v>
      </c>
      <c r="AK359" s="28">
        <v>0.0</v>
      </c>
      <c r="AL359" s="28">
        <v>0.0</v>
      </c>
      <c r="AM359" s="28">
        <v>0.0</v>
      </c>
      <c r="AN359" s="28">
        <v>0.0</v>
      </c>
      <c r="AO359" s="28">
        <v>7288347.91</v>
      </c>
      <c r="AP359" s="28">
        <v>0.0</v>
      </c>
      <c r="AQ359" s="28">
        <v>0.0</v>
      </c>
      <c r="AR359" s="28">
        <v>0.0</v>
      </c>
      <c r="AS359" s="28">
        <v>0.0</v>
      </c>
      <c r="AT359" s="28">
        <v>5260885.072314507</v>
      </c>
      <c r="AU359" s="28">
        <v>0.0</v>
      </c>
      <c r="AV359" s="28">
        <v>0.0</v>
      </c>
      <c r="AW359" s="28">
        <v>0.0</v>
      </c>
      <c r="AX359" s="5"/>
      <c r="AY359" s="5" t="str">
        <f t="array" ref="AY359">IFERROR(_xlfn.XLOOKUP($E359,'FW27'!$C$3:$C$1102,'FW27'!$AM$3:$AM$1102),"")</f>
        <v>Skiing/Snowboarding</v>
      </c>
      <c r="AZ359" s="5" t="str">
        <f t="array" ref="AZ359">IFERROR(_xlfn.XLOOKUP($E359,'FW27'!$C$3:$C$1102,'FW27'!$AN$3:$AN$1102),"")</f>
        <v>All Mountain</v>
      </c>
      <c r="BA359" s="5" t="s">
        <v>1558</v>
      </c>
      <c r="BB359" s="5" t="str">
        <f t="array" ref="BB359">IFERROR(_xlfn.XLOOKUP($E359,'FW27'!$C$3:$C$1102,'FW27'!$AS$3:$AS$1102),"")</f>
        <v>Shell</v>
      </c>
      <c r="BC359" s="5" t="str">
        <f t="array" ref="BC359">IFERROR(_xlfn.XLOOKUP($E359,'FW27'!$C$3:$C$1102,'FW27'!$AT$3:$AT$1102),"")</f>
        <v>Jacket</v>
      </c>
      <c r="BD359" s="5" t="str">
        <f t="array" ref="BD359">IFERROR(_xlfn.XLOOKUP($E359,'FW27'!$C$3:$C$1102,'FW27'!$AU$3:$AU$1102),"")</f>
        <v>Insulated</v>
      </c>
      <c r="BE359" s="5" t="str">
        <f t="array" ref="BE359">IFERROR(_xlfn.XLOOKUP($E359,'FW27'!$C$3:$C$1102,'FW27'!$AV$3:$AV$1102),"")</f>
        <v>Y</v>
      </c>
    </row>
    <row r="360" ht="16.5" hidden="1" customHeight="1">
      <c r="A360" s="5" t="s">
        <v>155</v>
      </c>
      <c r="B360" s="5" t="s">
        <v>215</v>
      </c>
      <c r="C360" s="5" t="b">
        <v>1</v>
      </c>
      <c r="D360" s="5" t="s">
        <v>1767</v>
      </c>
      <c r="E360" s="5" t="s">
        <v>1768</v>
      </c>
      <c r="F360" s="5"/>
      <c r="G360" s="5" t="s">
        <v>65</v>
      </c>
      <c r="H360" s="5" t="s">
        <v>76</v>
      </c>
      <c r="I360" s="5" t="s">
        <v>82</v>
      </c>
      <c r="J360" s="25"/>
      <c r="K360" s="25"/>
      <c r="L360" s="25" t="s">
        <v>110</v>
      </c>
      <c r="M360" s="5" t="s">
        <v>220</v>
      </c>
      <c r="N360" s="5" t="s">
        <v>68</v>
      </c>
      <c r="O360" s="5" t="s">
        <v>69</v>
      </c>
      <c r="P360" s="5" t="s">
        <v>107</v>
      </c>
      <c r="Q360" s="5" t="b">
        <v>1</v>
      </c>
      <c r="R360" s="5" t="b">
        <v>0</v>
      </c>
      <c r="S360" s="5"/>
      <c r="T360" s="5">
        <v>3500.0</v>
      </c>
      <c r="U360" s="26">
        <v>2.1</v>
      </c>
      <c r="V360" s="5">
        <v>1667.0</v>
      </c>
      <c r="W360" s="27">
        <v>0.0</v>
      </c>
      <c r="X360" s="28">
        <v>1667.0</v>
      </c>
      <c r="Y360" s="27">
        <v>1.0</v>
      </c>
      <c r="Z360" s="5" t="s">
        <v>78</v>
      </c>
      <c r="AA360" s="5">
        <v>0.64</v>
      </c>
      <c r="AB360" s="5"/>
      <c r="AC360" s="5" t="s">
        <v>198</v>
      </c>
      <c r="AD360" s="5" t="s">
        <v>166</v>
      </c>
      <c r="AE360" s="5">
        <v>4.0</v>
      </c>
      <c r="AF360" s="5">
        <v>4.0</v>
      </c>
      <c r="AG360" s="5" t="s">
        <v>1665</v>
      </c>
      <c r="AH360" s="5" t="s">
        <v>0</v>
      </c>
      <c r="AI360" s="42"/>
      <c r="AJ360" s="28">
        <v>3052.0</v>
      </c>
      <c r="AK360" s="28">
        <v>0.0</v>
      </c>
      <c r="AL360" s="28">
        <v>0.0</v>
      </c>
      <c r="AM360" s="28">
        <v>0.0</v>
      </c>
      <c r="AN360" s="28">
        <v>0.0</v>
      </c>
      <c r="AO360" s="28">
        <v>5086676.840000001</v>
      </c>
      <c r="AP360" s="28">
        <v>0.0</v>
      </c>
      <c r="AQ360" s="28">
        <v>0.0</v>
      </c>
      <c r="AR360" s="28">
        <v>0.0</v>
      </c>
      <c r="AS360" s="28">
        <v>0.0</v>
      </c>
      <c r="AT360" s="28">
        <v>3934841.60675526</v>
      </c>
      <c r="AU360" s="28">
        <v>0.0</v>
      </c>
      <c r="AV360" s="28">
        <v>0.0</v>
      </c>
      <c r="AW360" s="28">
        <v>0.0</v>
      </c>
      <c r="AX360" s="5"/>
      <c r="AY360" s="5" t="str">
        <f t="array" ref="AY360">IFERROR(_xlfn.XLOOKUP($E360,'FW27'!$C$3:$C$1102,'FW27'!$AM$3:$AM$1102),"")</f>
        <v>Skiing/Snowboarding</v>
      </c>
      <c r="AZ360" s="5" t="str">
        <f t="array" ref="AZ360">IFERROR(_xlfn.XLOOKUP($E360,'FW27'!$C$3:$C$1102,'FW27'!$AN$3:$AN$1102),"")</f>
        <v>All Mountain</v>
      </c>
      <c r="BA360" s="5" t="s">
        <v>1558</v>
      </c>
      <c r="BB360" s="5" t="str">
        <f t="array" ref="BB360">IFERROR(_xlfn.XLOOKUP($E360,'FW27'!$C$3:$C$1102,'FW27'!$AS$3:$AS$1102),"")</f>
        <v>Shell</v>
      </c>
      <c r="BC360" s="5" t="str">
        <f t="array" ref="BC360">IFERROR(_xlfn.XLOOKUP($E360,'FW27'!$C$3:$C$1102,'FW27'!$AT$3:$AT$1102),"")</f>
        <v>Jacket</v>
      </c>
      <c r="BD360" s="5" t="str">
        <f t="array" ref="BD360">IFERROR(_xlfn.XLOOKUP($E360,'FW27'!$C$3:$C$1102,'FW27'!$AU$3:$AU$1102),"")</f>
        <v>Insulated</v>
      </c>
      <c r="BE360" s="5" t="str">
        <f t="array" ref="BE360">IFERROR(_xlfn.XLOOKUP($E360,'FW27'!$C$3:$C$1102,'FW27'!$AV$3:$AV$1102),"")</f>
        <v>Y</v>
      </c>
    </row>
    <row r="361" ht="16.5" hidden="1" customHeight="1">
      <c r="A361" s="5" t="s">
        <v>155</v>
      </c>
      <c r="B361" s="5" t="s">
        <v>215</v>
      </c>
      <c r="C361" s="5" t="b">
        <v>1</v>
      </c>
      <c r="D361" s="5" t="s">
        <v>1769</v>
      </c>
      <c r="E361" s="5" t="s">
        <v>1770</v>
      </c>
      <c r="F361" s="5"/>
      <c r="G361" s="5" t="s">
        <v>65</v>
      </c>
      <c r="H361" s="5" t="s">
        <v>76</v>
      </c>
      <c r="I361" s="5" t="s">
        <v>82</v>
      </c>
      <c r="J361" s="25"/>
      <c r="K361" s="25"/>
      <c r="L361" s="25" t="s">
        <v>181</v>
      </c>
      <c r="M361" s="5" t="s">
        <v>220</v>
      </c>
      <c r="N361" s="5" t="s">
        <v>68</v>
      </c>
      <c r="O361" s="5" t="s">
        <v>69</v>
      </c>
      <c r="P361" s="5" t="s">
        <v>70</v>
      </c>
      <c r="Q361" s="5" t="b">
        <v>1</v>
      </c>
      <c r="R361" s="5" t="b">
        <v>0</v>
      </c>
      <c r="S361" s="5"/>
      <c r="T361" s="5">
        <v>3000.0</v>
      </c>
      <c r="U361" s="26">
        <v>2.1</v>
      </c>
      <c r="V361" s="5">
        <v>1429.0</v>
      </c>
      <c r="W361" s="27">
        <v>0.0</v>
      </c>
      <c r="X361" s="28">
        <v>1429.0</v>
      </c>
      <c r="Y361" s="27">
        <v>1.0</v>
      </c>
      <c r="Z361" s="5" t="s">
        <v>78</v>
      </c>
      <c r="AA361" s="5">
        <v>0.63</v>
      </c>
      <c r="AB361" s="5"/>
      <c r="AC361" s="5" t="s">
        <v>198</v>
      </c>
      <c r="AD361" s="5" t="s">
        <v>166</v>
      </c>
      <c r="AE361" s="5">
        <v>3.0</v>
      </c>
      <c r="AF361" s="5">
        <v>4.0</v>
      </c>
      <c r="AG361" s="5" t="s">
        <v>1665</v>
      </c>
      <c r="AH361" s="5" t="s">
        <v>0</v>
      </c>
      <c r="AI361" s="42"/>
      <c r="AJ361" s="28">
        <v>2996.0</v>
      </c>
      <c r="AK361" s="28">
        <v>0.0</v>
      </c>
      <c r="AL361" s="28">
        <v>0.0</v>
      </c>
      <c r="AM361" s="28">
        <v>0.0</v>
      </c>
      <c r="AN361" s="28">
        <v>0.0</v>
      </c>
      <c r="AO361" s="28">
        <v>4279995.72</v>
      </c>
      <c r="AP361" s="28">
        <v>0.0</v>
      </c>
      <c r="AQ361" s="28">
        <v>0.0</v>
      </c>
      <c r="AR361" s="28">
        <v>0.0</v>
      </c>
      <c r="AS361" s="28">
        <v>0.0</v>
      </c>
      <c r="AT361" s="28">
        <v>3334485.515060908</v>
      </c>
      <c r="AU361" s="28">
        <v>0.0</v>
      </c>
      <c r="AV361" s="28">
        <v>0.0</v>
      </c>
      <c r="AW361" s="28">
        <v>0.0</v>
      </c>
      <c r="AX361" s="5"/>
      <c r="AY361" s="5" t="str">
        <f t="array" ref="AY361">IFERROR(_xlfn.XLOOKUP($E361,'FW27'!$C$3:$C$1102,'FW27'!$AM$3:$AM$1102),"")</f>
        <v>Skiing/Snowboarding</v>
      </c>
      <c r="AZ361" s="5" t="str">
        <f t="array" ref="AZ361">IFERROR(_xlfn.XLOOKUP($E361,'FW27'!$C$3:$C$1102,'FW27'!$AN$3:$AN$1102),"")</f>
        <v>All Mountain</v>
      </c>
      <c r="BA361" s="5" t="s">
        <v>1558</v>
      </c>
      <c r="BB361" s="5" t="str">
        <f t="array" ref="BB361">IFERROR(_xlfn.XLOOKUP($E361,'FW27'!$C$3:$C$1102,'FW27'!$AS$3:$AS$1102),"")</f>
        <v>Shell</v>
      </c>
      <c r="BC361" s="5" t="str">
        <f t="array" ref="BC361">IFERROR(_xlfn.XLOOKUP($E361,'FW27'!$C$3:$C$1102,'FW27'!$AT$3:$AT$1102),"")</f>
        <v>Pant</v>
      </c>
      <c r="BD361" s="5" t="str">
        <f t="array" ref="BD361">IFERROR(_xlfn.XLOOKUP($E361,'FW27'!$C$3:$C$1102,'FW27'!$AU$3:$AU$1102),"")</f>
        <v>Insulated</v>
      </c>
      <c r="BE361" s="5" t="str">
        <f t="array" ref="BE361">IFERROR(_xlfn.XLOOKUP($E361,'FW27'!$C$3:$C$1102,'FW27'!$AV$3:$AV$1102),"")</f>
        <v>Y</v>
      </c>
    </row>
    <row r="362" ht="16.5" hidden="1" customHeight="1">
      <c r="A362" s="5" t="s">
        <v>155</v>
      </c>
      <c r="B362" s="5" t="s">
        <v>215</v>
      </c>
      <c r="C362" s="5" t="b">
        <v>1</v>
      </c>
      <c r="D362" s="5" t="s">
        <v>1771</v>
      </c>
      <c r="E362" s="5" t="s">
        <v>1772</v>
      </c>
      <c r="F362" s="5"/>
      <c r="G362" s="5" t="s">
        <v>65</v>
      </c>
      <c r="H362" s="5" t="s">
        <v>76</v>
      </c>
      <c r="I362" s="5" t="s">
        <v>82</v>
      </c>
      <c r="J362" s="25"/>
      <c r="K362" s="25"/>
      <c r="L362" s="25" t="s">
        <v>181</v>
      </c>
      <c r="M362" s="5" t="s">
        <v>220</v>
      </c>
      <c r="N362" s="5" t="s">
        <v>68</v>
      </c>
      <c r="O362" s="5" t="s">
        <v>69</v>
      </c>
      <c r="P362" s="5" t="s">
        <v>107</v>
      </c>
      <c r="Q362" s="5" t="b">
        <v>1</v>
      </c>
      <c r="R362" s="5" t="b">
        <v>0</v>
      </c>
      <c r="S362" s="5"/>
      <c r="T362" s="5">
        <v>3000.0</v>
      </c>
      <c r="U362" s="26">
        <v>2.1</v>
      </c>
      <c r="V362" s="5">
        <v>1429.0</v>
      </c>
      <c r="W362" s="27">
        <v>0.0</v>
      </c>
      <c r="X362" s="28">
        <v>1429.0</v>
      </c>
      <c r="Y362" s="27">
        <v>1.0</v>
      </c>
      <c r="Z362" s="5" t="s">
        <v>78</v>
      </c>
      <c r="AA362" s="5">
        <v>0.65</v>
      </c>
      <c r="AB362" s="5"/>
      <c r="AC362" s="5" t="s">
        <v>198</v>
      </c>
      <c r="AD362" s="5" t="s">
        <v>166</v>
      </c>
      <c r="AE362" s="5">
        <v>3.0</v>
      </c>
      <c r="AF362" s="5">
        <v>4.0</v>
      </c>
      <c r="AG362" s="5" t="s">
        <v>1665</v>
      </c>
      <c r="AH362" s="5" t="s">
        <v>0</v>
      </c>
      <c r="AI362" s="42"/>
      <c r="AJ362" s="28">
        <v>2365.0</v>
      </c>
      <c r="AK362" s="28">
        <v>0.0</v>
      </c>
      <c r="AL362" s="28">
        <v>0.0</v>
      </c>
      <c r="AM362" s="28">
        <v>0.0</v>
      </c>
      <c r="AN362" s="28">
        <v>0.0</v>
      </c>
      <c r="AO362" s="28">
        <v>3378568.0500000003</v>
      </c>
      <c r="AP362" s="28">
        <v>0.0</v>
      </c>
      <c r="AQ362" s="28">
        <v>0.0</v>
      </c>
      <c r="AR362" s="28">
        <v>0.0</v>
      </c>
      <c r="AS362" s="28">
        <v>0.0</v>
      </c>
      <c r="AT362" s="28">
        <v>2739371.831672204</v>
      </c>
      <c r="AU362" s="28">
        <v>0.0</v>
      </c>
      <c r="AV362" s="28">
        <v>0.0</v>
      </c>
      <c r="AW362" s="28">
        <v>0.0</v>
      </c>
      <c r="AX362" s="5"/>
      <c r="AY362" s="5" t="str">
        <f t="array" ref="AY362">IFERROR(_xlfn.XLOOKUP($E362,'FW27'!$C$3:$C$1102,'FW27'!$AM$3:$AM$1102),"")</f>
        <v>Skiing/Snowboarding</v>
      </c>
      <c r="AZ362" s="5" t="str">
        <f t="array" ref="AZ362">IFERROR(_xlfn.XLOOKUP($E362,'FW27'!$C$3:$C$1102,'FW27'!$AN$3:$AN$1102),"")</f>
        <v>All Mountain</v>
      </c>
      <c r="BA362" s="5" t="s">
        <v>1558</v>
      </c>
      <c r="BB362" s="5" t="str">
        <f t="array" ref="BB362">IFERROR(_xlfn.XLOOKUP($E362,'FW27'!$C$3:$C$1102,'FW27'!$AS$3:$AS$1102),"")</f>
        <v>Shell</v>
      </c>
      <c r="BC362" s="5" t="str">
        <f t="array" ref="BC362">IFERROR(_xlfn.XLOOKUP($E362,'FW27'!$C$3:$C$1102,'FW27'!$AT$3:$AT$1102),"")</f>
        <v>Pant</v>
      </c>
      <c r="BD362" s="5" t="str">
        <f t="array" ref="BD362">IFERROR(_xlfn.XLOOKUP($E362,'FW27'!$C$3:$C$1102,'FW27'!$AU$3:$AU$1102),"")</f>
        <v>Insulated</v>
      </c>
      <c r="BE362" s="5" t="str">
        <f t="array" ref="BE362">IFERROR(_xlfn.XLOOKUP($E362,'FW27'!$C$3:$C$1102,'FW27'!$AV$3:$AV$1102),"")</f>
        <v>Y</v>
      </c>
    </row>
    <row r="363" ht="16.5" hidden="1" customHeight="1">
      <c r="A363" s="5" t="s">
        <v>155</v>
      </c>
      <c r="B363" s="5" t="s">
        <v>215</v>
      </c>
      <c r="C363" s="5" t="b">
        <v>1</v>
      </c>
      <c r="D363" s="5" t="s">
        <v>709</v>
      </c>
      <c r="E363" s="5" t="s">
        <v>711</v>
      </c>
      <c r="F363" s="5"/>
      <c r="G363" s="5" t="s">
        <v>65</v>
      </c>
      <c r="H363" s="5" t="s">
        <v>76</v>
      </c>
      <c r="I363" s="5" t="s">
        <v>82</v>
      </c>
      <c r="J363" s="25"/>
      <c r="K363" s="25" t="s">
        <v>386</v>
      </c>
      <c r="L363" s="25"/>
      <c r="M363" s="5" t="s">
        <v>66</v>
      </c>
      <c r="N363" s="5" t="s">
        <v>248</v>
      </c>
      <c r="O363" s="5" t="s">
        <v>96</v>
      </c>
      <c r="P363" s="5" t="s">
        <v>249</v>
      </c>
      <c r="Q363" s="5" t="b">
        <v>1</v>
      </c>
      <c r="R363" s="5" t="b">
        <v>0</v>
      </c>
      <c r="S363" s="5"/>
      <c r="T363" s="5">
        <v>799.0</v>
      </c>
      <c r="U363" s="26">
        <v>2.1</v>
      </c>
      <c r="V363" s="5">
        <v>380.0</v>
      </c>
      <c r="W363" s="27">
        <v>0.0</v>
      </c>
      <c r="X363" s="28">
        <v>380.0</v>
      </c>
      <c r="Y363" s="27">
        <v>1.0</v>
      </c>
      <c r="Z363" s="24" t="s">
        <v>0</v>
      </c>
      <c r="AA363" s="5">
        <v>0.613</v>
      </c>
      <c r="AB363" s="5"/>
      <c r="AC363" s="5" t="s">
        <v>713</v>
      </c>
      <c r="AD363" s="5" t="s">
        <v>511</v>
      </c>
      <c r="AE363" s="24">
        <v>0.0</v>
      </c>
      <c r="AF363" s="5">
        <v>0.0</v>
      </c>
      <c r="AG363" s="5" t="s">
        <v>0</v>
      </c>
      <c r="AH363" s="5" t="s">
        <v>386</v>
      </c>
      <c r="AI363" s="42"/>
      <c r="AJ363" s="28">
        <v>0.0</v>
      </c>
      <c r="AK363" s="28">
        <v>0.0</v>
      </c>
      <c r="AL363" s="28">
        <v>0.0</v>
      </c>
      <c r="AM363" s="28">
        <v>0.0</v>
      </c>
      <c r="AN363" s="28">
        <v>0.0</v>
      </c>
      <c r="AO363" s="28">
        <v>0.0</v>
      </c>
      <c r="AP363" s="28">
        <v>0.0</v>
      </c>
      <c r="AQ363" s="28">
        <v>0.0</v>
      </c>
      <c r="AR363" s="28">
        <v>0.0</v>
      </c>
      <c r="AS363" s="28">
        <v>0.0</v>
      </c>
      <c r="AT363" s="28">
        <v>0.0</v>
      </c>
      <c r="AU363" s="28">
        <v>0.0</v>
      </c>
      <c r="AV363" s="28">
        <v>0.0</v>
      </c>
      <c r="AW363" s="28">
        <v>0.0</v>
      </c>
      <c r="AX363" s="5"/>
      <c r="AY363" s="5" t="str">
        <f t="array" ref="AY363">IFERROR(_xlfn.XLOOKUP($E363,'FW27'!$C$3:$C$1102,'FW27'!$AM$3:$AM$1102),"")</f>
        <v>Essentials</v>
      </c>
      <c r="AZ363" s="5" t="str">
        <f t="array" ref="AZ363">IFERROR(_xlfn.XLOOKUP($E363,'FW27'!$C$3:$C$1102,'FW27'!$AN$3:$AN$1102),"")</f>
        <v>Active Essentials</v>
      </c>
      <c r="BB363" s="5" t="str">
        <f t="array" ref="BB363">IFERROR(_xlfn.XLOOKUP($E363,'FW27'!$C$3:$C$1102,'FW27'!$AS$3:$AS$1102),"")</f>
        <v>Accessories</v>
      </c>
      <c r="BC363" s="5" t="str">
        <f t="array" ref="BC363">IFERROR(_xlfn.XLOOKUP($E363,'FW27'!$C$3:$C$1102,'FW27'!$AT$3:$AT$1102),"")</f>
        <v>Handwear</v>
      </c>
      <c r="BD363" s="5" t="str">
        <f t="array" ref="BD363">IFERROR(_xlfn.XLOOKUP($E363,'FW27'!$C$3:$C$1102,'FW27'!$AU$3:$AU$1102),"")</f>
        <v/>
      </c>
      <c r="BE363" s="5" t="str">
        <f t="array" ref="BE363">IFERROR(_xlfn.XLOOKUP($E363,'FW27'!$C$3:$C$1102,'FW27'!$AV$3:$AV$1102),"")</f>
        <v>N</v>
      </c>
    </row>
    <row r="364" ht="16.5" hidden="1" customHeight="1">
      <c r="A364" s="5" t="s">
        <v>155</v>
      </c>
      <c r="B364" s="5" t="s">
        <v>215</v>
      </c>
      <c r="C364" s="5" t="b">
        <v>1</v>
      </c>
      <c r="D364" s="5" t="s">
        <v>1773</v>
      </c>
      <c r="E364" s="5" t="s">
        <v>1774</v>
      </c>
      <c r="F364" s="5"/>
      <c r="G364" s="5" t="s">
        <v>65</v>
      </c>
      <c r="H364" s="5" t="s">
        <v>76</v>
      </c>
      <c r="I364" s="5" t="s">
        <v>82</v>
      </c>
      <c r="J364" s="25"/>
      <c r="K364" s="25"/>
      <c r="L364" s="25"/>
      <c r="M364" s="5" t="s">
        <v>66</v>
      </c>
      <c r="N364" s="5" t="s">
        <v>248</v>
      </c>
      <c r="O364" s="5" t="s">
        <v>69</v>
      </c>
      <c r="P364" s="5" t="s">
        <v>249</v>
      </c>
      <c r="Q364" s="5" t="b">
        <v>1</v>
      </c>
      <c r="R364" s="5" t="b">
        <v>0</v>
      </c>
      <c r="S364" s="5"/>
      <c r="T364" s="5">
        <v>400.0</v>
      </c>
      <c r="U364" s="26">
        <v>2.1</v>
      </c>
      <c r="V364" s="5">
        <v>190.0</v>
      </c>
      <c r="W364" s="27">
        <v>0.0</v>
      </c>
      <c r="X364" s="28">
        <v>190.0</v>
      </c>
      <c r="Y364" s="27">
        <v>1.0</v>
      </c>
      <c r="Z364" s="5" t="s">
        <v>78</v>
      </c>
      <c r="AA364" s="5">
        <v>0.613</v>
      </c>
      <c r="AB364" s="5"/>
      <c r="AC364" s="5" t="s">
        <v>81</v>
      </c>
      <c r="AD364" s="5" t="s">
        <v>81</v>
      </c>
      <c r="AE364" s="5">
        <v>3.0</v>
      </c>
      <c r="AF364" s="5">
        <v>3.0</v>
      </c>
      <c r="AG364" s="5" t="s">
        <v>632</v>
      </c>
      <c r="AH364" s="5" t="s">
        <v>156</v>
      </c>
      <c r="AI364" s="42"/>
      <c r="AJ364" s="28">
        <v>2063.0</v>
      </c>
      <c r="AK364" s="28">
        <v>0.0</v>
      </c>
      <c r="AL364" s="28">
        <v>0.0</v>
      </c>
      <c r="AM364" s="28">
        <v>0.0</v>
      </c>
      <c r="AN364" s="28">
        <v>0.0</v>
      </c>
      <c r="AO364" s="28">
        <v>392960.24</v>
      </c>
      <c r="AP364" s="28">
        <v>0.0</v>
      </c>
      <c r="AQ364" s="28">
        <v>0.0</v>
      </c>
      <c r="AR364" s="28">
        <v>0.0</v>
      </c>
      <c r="AS364" s="28">
        <v>0.0</v>
      </c>
      <c r="AT364" s="28">
        <v>329345.31782945734</v>
      </c>
      <c r="AU364" s="28">
        <v>0.0</v>
      </c>
      <c r="AV364" s="28">
        <v>0.0</v>
      </c>
      <c r="AW364" s="28">
        <v>0.0</v>
      </c>
      <c r="AX364" s="5"/>
      <c r="AY364" s="5" t="str">
        <f t="array" ref="AY364">IFERROR(_xlfn.XLOOKUP($E364,'FW27'!$C$3:$C$1102,'FW27'!$AM$3:$AM$1102),"")</f>
        <v>Essentials</v>
      </c>
      <c r="AZ364" s="5" t="str">
        <f t="array" ref="AZ364">IFERROR(_xlfn.XLOOKUP($E364,'FW27'!$C$3:$C$1102,'FW27'!$AN$3:$AN$1102),"")</f>
        <v>Active Essentials</v>
      </c>
      <c r="BB364" s="5" t="str">
        <f t="array" ref="BB364">IFERROR(_xlfn.XLOOKUP($E364,'FW27'!$C$3:$C$1102,'FW27'!$AS$3:$AS$1102),"")</f>
        <v>Accessories</v>
      </c>
      <c r="BC364" s="5" t="str">
        <f t="array" ref="BC364">IFERROR(_xlfn.XLOOKUP($E364,'FW27'!$C$3:$C$1102,'FW27'!$AT$3:$AT$1102),"")</f>
        <v>Headwear</v>
      </c>
      <c r="BD364" s="5" t="str">
        <f t="array" ref="BD364">IFERROR(_xlfn.XLOOKUP($E364,'FW27'!$C$3:$C$1102,'FW27'!$AU$3:$AU$1102),"")</f>
        <v>Beanie</v>
      </c>
      <c r="BE364" s="5" t="str">
        <f t="array" ref="BE364">IFERROR(_xlfn.XLOOKUP($E364,'FW27'!$C$3:$C$1102,'FW27'!$AV$3:$AV$1102),"")</f>
        <v>N</v>
      </c>
    </row>
    <row r="365" ht="16.5" hidden="1" customHeight="1">
      <c r="A365" s="5" t="s">
        <v>155</v>
      </c>
      <c r="B365" s="5" t="s">
        <v>215</v>
      </c>
      <c r="C365" s="5" t="b">
        <v>1</v>
      </c>
      <c r="D365" s="5" t="s">
        <v>1776</v>
      </c>
      <c r="E365" s="5" t="s">
        <v>1777</v>
      </c>
      <c r="F365" s="5"/>
      <c r="G365" s="5" t="s">
        <v>65</v>
      </c>
      <c r="H365" s="5" t="s">
        <v>76</v>
      </c>
      <c r="I365" s="5" t="s">
        <v>82</v>
      </c>
      <c r="J365" s="25"/>
      <c r="K365" s="25"/>
      <c r="L365" s="25"/>
      <c r="M365" s="5" t="s">
        <v>66</v>
      </c>
      <c r="N365" s="5" t="s">
        <v>248</v>
      </c>
      <c r="O365" s="5" t="s">
        <v>69</v>
      </c>
      <c r="P365" s="5" t="s">
        <v>249</v>
      </c>
      <c r="Q365" s="5" t="b">
        <v>1</v>
      </c>
      <c r="R365" s="5" t="b">
        <v>0</v>
      </c>
      <c r="S365" s="5"/>
      <c r="T365" s="5">
        <v>600.0</v>
      </c>
      <c r="U365" s="26">
        <v>2.1</v>
      </c>
      <c r="V365" s="5">
        <v>286.0</v>
      </c>
      <c r="W365" s="27">
        <v>0.0</v>
      </c>
      <c r="X365" s="28">
        <v>286.0</v>
      </c>
      <c r="Y365" s="27">
        <v>1.0</v>
      </c>
      <c r="Z365" s="5" t="s">
        <v>117</v>
      </c>
      <c r="AA365" s="5">
        <v>0.62</v>
      </c>
      <c r="AB365" s="5"/>
      <c r="AC365" s="5" t="s">
        <v>81</v>
      </c>
      <c r="AD365" s="5" t="s">
        <v>81</v>
      </c>
      <c r="AE365" s="5">
        <v>4.0</v>
      </c>
      <c r="AF365" s="5">
        <v>4.0</v>
      </c>
      <c r="AG365" s="5" t="s">
        <v>1865</v>
      </c>
      <c r="AH365" s="5" t="s">
        <v>0</v>
      </c>
      <c r="AI365" s="42"/>
      <c r="AJ365" s="28">
        <v>2930.0</v>
      </c>
      <c r="AK365" s="28">
        <v>0.0</v>
      </c>
      <c r="AL365" s="28">
        <v>0.0</v>
      </c>
      <c r="AM365" s="28">
        <v>0.0</v>
      </c>
      <c r="AN365" s="28">
        <v>0.0</v>
      </c>
      <c r="AO365" s="28">
        <v>837130.2999999999</v>
      </c>
      <c r="AP365" s="28">
        <v>0.0</v>
      </c>
      <c r="AQ365" s="28">
        <v>0.0</v>
      </c>
      <c r="AR365" s="28">
        <v>0.0</v>
      </c>
      <c r="AS365" s="28">
        <v>0.0</v>
      </c>
      <c r="AT365" s="28">
        <v>658625.7826135105</v>
      </c>
      <c r="AU365" s="28">
        <v>0.0</v>
      </c>
      <c r="AV365" s="28">
        <v>0.0</v>
      </c>
      <c r="AW365" s="28">
        <v>0.0</v>
      </c>
      <c r="AX365" s="5"/>
      <c r="AY365" s="5" t="str">
        <f t="array" ref="AY365">IFERROR(_xlfn.XLOOKUP($E365,'FW27'!$C$3:$C$1102,'FW27'!$AM$3:$AM$1102),"")</f>
        <v>Essentials</v>
      </c>
      <c r="AZ365" s="5" t="str">
        <f t="array" ref="AZ365">IFERROR(_xlfn.XLOOKUP($E365,'FW27'!$C$3:$C$1102,'FW27'!$AN$3:$AN$1102),"")</f>
        <v>Active Essentials</v>
      </c>
      <c r="BB365" s="5" t="str">
        <f t="array" ref="BB365">IFERROR(_xlfn.XLOOKUP($E365,'FW27'!$C$3:$C$1102,'FW27'!$AS$3:$AS$1102),"")</f>
        <v>Accessories</v>
      </c>
      <c r="BC365" s="5" t="str">
        <f t="array" ref="BC365">IFERROR(_xlfn.XLOOKUP($E365,'FW27'!$C$3:$C$1102,'FW27'!$AT$3:$AT$1102),"")</f>
        <v>Headwear</v>
      </c>
      <c r="BD365" s="5" t="str">
        <f t="array" ref="BD365">IFERROR(_xlfn.XLOOKUP($E365,'FW27'!$C$3:$C$1102,'FW27'!$AU$3:$AU$1102),"")</f>
        <v>Beanie</v>
      </c>
      <c r="BE365" s="5" t="str">
        <f t="array" ref="BE365">IFERROR(_xlfn.XLOOKUP($E365,'FW27'!$C$3:$C$1102,'FW27'!$AV$3:$AV$1102),"")</f>
        <v>N</v>
      </c>
    </row>
    <row r="366" ht="16.5" hidden="1" customHeight="1">
      <c r="A366" s="5" t="s">
        <v>155</v>
      </c>
      <c r="B366" s="5" t="s">
        <v>137</v>
      </c>
      <c r="C366" s="5" t="b">
        <v>1</v>
      </c>
      <c r="D366" s="5" t="s">
        <v>2040</v>
      </c>
      <c r="E366" s="5" t="s">
        <v>2041</v>
      </c>
      <c r="F366" s="5"/>
      <c r="G366" s="5" t="s">
        <v>65</v>
      </c>
      <c r="H366" s="5" t="s">
        <v>84</v>
      </c>
      <c r="I366" s="5" t="s">
        <v>82</v>
      </c>
      <c r="J366" s="25" t="s">
        <v>164</v>
      </c>
      <c r="K366" s="25"/>
      <c r="L366" s="25"/>
      <c r="M366" s="5" t="s">
        <v>66</v>
      </c>
      <c r="N366" s="5" t="s">
        <v>334</v>
      </c>
      <c r="O366" s="5" t="s">
        <v>69</v>
      </c>
      <c r="P366" s="5" t="s">
        <v>70</v>
      </c>
      <c r="Q366" s="5" t="b">
        <v>1</v>
      </c>
      <c r="R366" s="5" t="b">
        <v>0</v>
      </c>
      <c r="S366" s="5"/>
      <c r="T366" s="5">
        <v>700.0</v>
      </c>
      <c r="U366" s="26">
        <v>2.1</v>
      </c>
      <c r="V366" s="5">
        <v>333.0</v>
      </c>
      <c r="W366" s="27">
        <v>0.0</v>
      </c>
      <c r="X366" s="28">
        <v>333.0</v>
      </c>
      <c r="Y366" s="27">
        <v>1.0</v>
      </c>
      <c r="Z366" s="5" t="s">
        <v>78</v>
      </c>
      <c r="AA366" s="5">
        <v>0.62</v>
      </c>
      <c r="AB366" s="5"/>
      <c r="AC366" s="24" t="s">
        <v>0</v>
      </c>
      <c r="AD366" s="24" t="s">
        <v>0</v>
      </c>
      <c r="AE366" s="5">
        <v>4.0</v>
      </c>
      <c r="AF366" s="5">
        <v>0.0</v>
      </c>
      <c r="AG366" s="5" t="s">
        <v>125</v>
      </c>
      <c r="AH366" s="5" t="s">
        <v>0</v>
      </c>
      <c r="AI366" s="42"/>
      <c r="AJ366" s="28">
        <v>0.0</v>
      </c>
      <c r="AK366" s="28">
        <v>0.0</v>
      </c>
      <c r="AL366" s="28">
        <v>0.0</v>
      </c>
      <c r="AM366" s="28">
        <v>0.0</v>
      </c>
      <c r="AN366" s="28">
        <v>0.0</v>
      </c>
      <c r="AO366" s="28">
        <v>0.0</v>
      </c>
      <c r="AP366" s="28">
        <v>0.0</v>
      </c>
      <c r="AQ366" s="28">
        <v>0.0</v>
      </c>
      <c r="AR366" s="28">
        <v>0.0</v>
      </c>
      <c r="AS366" s="28">
        <v>0.0</v>
      </c>
      <c r="AT366" s="28">
        <v>0.0</v>
      </c>
      <c r="AU366" s="28">
        <v>0.0</v>
      </c>
      <c r="AV366" s="28">
        <v>0.0</v>
      </c>
      <c r="AW366" s="28">
        <v>0.0</v>
      </c>
      <c r="AX366" s="5"/>
      <c r="AY366" s="5" t="s">
        <v>125</v>
      </c>
      <c r="AZ366" s="5" t="s">
        <v>127</v>
      </c>
      <c r="BA366" s="5" t="s">
        <v>237</v>
      </c>
      <c r="BB366" s="5" t="s">
        <v>334</v>
      </c>
      <c r="BC366" s="5" t="s">
        <v>337</v>
      </c>
      <c r="BD366" s="5" t="s">
        <v>553</v>
      </c>
      <c r="BE366" s="5" t="s">
        <v>131</v>
      </c>
    </row>
    <row r="367" ht="16.5" hidden="1" customHeight="1">
      <c r="A367" s="5" t="s">
        <v>155</v>
      </c>
      <c r="B367" s="5" t="s">
        <v>137</v>
      </c>
      <c r="C367" s="5" t="b">
        <v>1</v>
      </c>
      <c r="D367" s="5" t="s">
        <v>2042</v>
      </c>
      <c r="E367" s="5" t="s">
        <v>2043</v>
      </c>
      <c r="F367" s="5"/>
      <c r="G367" s="5" t="s">
        <v>65</v>
      </c>
      <c r="H367" s="5" t="s">
        <v>84</v>
      </c>
      <c r="I367" s="5" t="s">
        <v>82</v>
      </c>
      <c r="J367" s="25" t="s">
        <v>164</v>
      </c>
      <c r="K367" s="25"/>
      <c r="L367" s="25"/>
      <c r="M367" s="5" t="s">
        <v>66</v>
      </c>
      <c r="N367" s="5" t="s">
        <v>334</v>
      </c>
      <c r="O367" s="5" t="s">
        <v>69</v>
      </c>
      <c r="P367" s="5" t="s">
        <v>107</v>
      </c>
      <c r="Q367" s="5" t="b">
        <v>1</v>
      </c>
      <c r="R367" s="5" t="b">
        <v>0</v>
      </c>
      <c r="S367" s="5"/>
      <c r="T367" s="5">
        <v>700.0</v>
      </c>
      <c r="U367" s="26">
        <v>2.1</v>
      </c>
      <c r="V367" s="5">
        <v>333.0</v>
      </c>
      <c r="W367" s="27">
        <v>0.0</v>
      </c>
      <c r="X367" s="28">
        <v>333.0</v>
      </c>
      <c r="Y367" s="27">
        <v>1.0</v>
      </c>
      <c r="Z367" s="5" t="s">
        <v>78</v>
      </c>
      <c r="AA367" s="5">
        <v>0.63</v>
      </c>
      <c r="AB367" s="5"/>
      <c r="AC367" s="24" t="s">
        <v>0</v>
      </c>
      <c r="AD367" s="24" t="s">
        <v>0</v>
      </c>
      <c r="AE367" s="5">
        <v>4.0</v>
      </c>
      <c r="AF367" s="5">
        <v>0.0</v>
      </c>
      <c r="AG367" s="5" t="s">
        <v>125</v>
      </c>
      <c r="AH367" s="5" t="s">
        <v>0</v>
      </c>
      <c r="AI367" s="42"/>
      <c r="AJ367" s="28">
        <v>0.0</v>
      </c>
      <c r="AK367" s="28">
        <v>0.0</v>
      </c>
      <c r="AL367" s="28">
        <v>0.0</v>
      </c>
      <c r="AM367" s="28">
        <v>0.0</v>
      </c>
      <c r="AN367" s="28">
        <v>0.0</v>
      </c>
      <c r="AO367" s="28">
        <v>0.0</v>
      </c>
      <c r="AP367" s="28">
        <v>0.0</v>
      </c>
      <c r="AQ367" s="28">
        <v>0.0</v>
      </c>
      <c r="AR367" s="28">
        <v>0.0</v>
      </c>
      <c r="AS367" s="28">
        <v>0.0</v>
      </c>
      <c r="AT367" s="28">
        <v>0.0</v>
      </c>
      <c r="AU367" s="28">
        <v>0.0</v>
      </c>
      <c r="AV367" s="28">
        <v>0.0</v>
      </c>
      <c r="AW367" s="28">
        <v>0.0</v>
      </c>
      <c r="AX367" s="5"/>
      <c r="AY367" s="5" t="s">
        <v>125</v>
      </c>
      <c r="AZ367" s="5" t="s">
        <v>127</v>
      </c>
      <c r="BA367" s="5" t="s">
        <v>237</v>
      </c>
      <c r="BB367" s="5" t="s">
        <v>334</v>
      </c>
      <c r="BC367" s="5" t="s">
        <v>337</v>
      </c>
      <c r="BD367" s="5" t="s">
        <v>553</v>
      </c>
      <c r="BE367" s="5" t="s">
        <v>131</v>
      </c>
    </row>
    <row r="368" ht="16.5" hidden="1" customHeight="1">
      <c r="A368" s="5" t="s">
        <v>155</v>
      </c>
      <c r="B368" s="5" t="s">
        <v>137</v>
      </c>
      <c r="C368" s="5" t="b">
        <v>1</v>
      </c>
      <c r="D368" s="5" t="s">
        <v>2045</v>
      </c>
      <c r="E368" s="5" t="s">
        <v>2046</v>
      </c>
      <c r="F368" s="5"/>
      <c r="G368" s="5" t="s">
        <v>65</v>
      </c>
      <c r="H368" s="5" t="s">
        <v>84</v>
      </c>
      <c r="I368" s="5" t="s">
        <v>82</v>
      </c>
      <c r="J368" s="25" t="s">
        <v>164</v>
      </c>
      <c r="K368" s="25"/>
      <c r="L368" s="25"/>
      <c r="M368" s="5" t="s">
        <v>66</v>
      </c>
      <c r="N368" s="5" t="s">
        <v>334</v>
      </c>
      <c r="O368" s="5" t="s">
        <v>69</v>
      </c>
      <c r="P368" s="5" t="s">
        <v>70</v>
      </c>
      <c r="Q368" s="5" t="b">
        <v>1</v>
      </c>
      <c r="R368" s="5" t="b">
        <v>0</v>
      </c>
      <c r="S368" s="5"/>
      <c r="T368" s="5">
        <v>500.0</v>
      </c>
      <c r="U368" s="26">
        <v>2.1</v>
      </c>
      <c r="V368" s="5">
        <v>238.0</v>
      </c>
      <c r="W368" s="27">
        <v>0.0</v>
      </c>
      <c r="X368" s="28">
        <v>238.0</v>
      </c>
      <c r="Y368" s="27">
        <v>1.0</v>
      </c>
      <c r="Z368" s="5" t="s">
        <v>78</v>
      </c>
      <c r="AA368" s="5">
        <v>0.62</v>
      </c>
      <c r="AB368" s="5"/>
      <c r="AC368" s="24" t="s">
        <v>0</v>
      </c>
      <c r="AD368" s="24" t="s">
        <v>0</v>
      </c>
      <c r="AE368" s="5">
        <v>5.0</v>
      </c>
      <c r="AF368" s="5">
        <v>0.0</v>
      </c>
      <c r="AG368" s="5" t="s">
        <v>125</v>
      </c>
      <c r="AH368" s="5" t="s">
        <v>0</v>
      </c>
      <c r="AI368" s="42"/>
      <c r="AJ368" s="28">
        <v>0.0</v>
      </c>
      <c r="AK368" s="28">
        <v>0.0</v>
      </c>
      <c r="AL368" s="28">
        <v>0.0</v>
      </c>
      <c r="AM368" s="28">
        <v>0.0</v>
      </c>
      <c r="AN368" s="28">
        <v>0.0</v>
      </c>
      <c r="AO368" s="28">
        <v>0.0</v>
      </c>
      <c r="AP368" s="28">
        <v>0.0</v>
      </c>
      <c r="AQ368" s="28">
        <v>0.0</v>
      </c>
      <c r="AR368" s="28">
        <v>0.0</v>
      </c>
      <c r="AS368" s="28">
        <v>0.0</v>
      </c>
      <c r="AT368" s="28">
        <v>0.0</v>
      </c>
      <c r="AU368" s="28">
        <v>0.0</v>
      </c>
      <c r="AV368" s="28">
        <v>0.0</v>
      </c>
      <c r="AW368" s="28">
        <v>0.0</v>
      </c>
      <c r="AX368" s="5"/>
      <c r="AY368" s="5" t="s">
        <v>125</v>
      </c>
      <c r="AZ368" s="5" t="s">
        <v>127</v>
      </c>
      <c r="BA368" s="5" t="s">
        <v>237</v>
      </c>
      <c r="BB368" s="5" t="s">
        <v>334</v>
      </c>
      <c r="BC368" s="5" t="s">
        <v>348</v>
      </c>
      <c r="BD368" s="5" t="s">
        <v>553</v>
      </c>
      <c r="BE368" s="5" t="s">
        <v>131</v>
      </c>
    </row>
    <row r="369" ht="16.5" hidden="1" customHeight="1">
      <c r="A369" s="5" t="s">
        <v>155</v>
      </c>
      <c r="B369" s="5" t="s">
        <v>137</v>
      </c>
      <c r="C369" s="5" t="b">
        <v>1</v>
      </c>
      <c r="D369" s="5" t="s">
        <v>2047</v>
      </c>
      <c r="E369" s="5" t="s">
        <v>2048</v>
      </c>
      <c r="F369" s="5"/>
      <c r="G369" s="5" t="s">
        <v>65</v>
      </c>
      <c r="H369" s="5" t="s">
        <v>84</v>
      </c>
      <c r="I369" s="5" t="s">
        <v>82</v>
      </c>
      <c r="J369" s="25" t="s">
        <v>164</v>
      </c>
      <c r="K369" s="25"/>
      <c r="L369" s="25"/>
      <c r="M369" s="5" t="s">
        <v>66</v>
      </c>
      <c r="N369" s="5" t="s">
        <v>334</v>
      </c>
      <c r="O369" s="5" t="s">
        <v>69</v>
      </c>
      <c r="P369" s="5" t="s">
        <v>107</v>
      </c>
      <c r="Q369" s="5" t="b">
        <v>1</v>
      </c>
      <c r="R369" s="5" t="b">
        <v>0</v>
      </c>
      <c r="S369" s="5"/>
      <c r="T369" s="5">
        <v>500.0</v>
      </c>
      <c r="U369" s="26">
        <v>2.1</v>
      </c>
      <c r="V369" s="5">
        <v>238.0</v>
      </c>
      <c r="W369" s="27">
        <v>0.0</v>
      </c>
      <c r="X369" s="28">
        <v>238.0</v>
      </c>
      <c r="Y369" s="27">
        <v>1.0</v>
      </c>
      <c r="Z369" s="5" t="s">
        <v>78</v>
      </c>
      <c r="AA369" s="5">
        <v>0.63</v>
      </c>
      <c r="AB369" s="5"/>
      <c r="AC369" s="24" t="s">
        <v>0</v>
      </c>
      <c r="AD369" s="24" t="s">
        <v>0</v>
      </c>
      <c r="AE369" s="5">
        <v>5.0</v>
      </c>
      <c r="AF369" s="5">
        <v>0.0</v>
      </c>
      <c r="AG369" s="5" t="s">
        <v>125</v>
      </c>
      <c r="AH369" s="5" t="s">
        <v>0</v>
      </c>
      <c r="AI369" s="42"/>
      <c r="AJ369" s="28">
        <v>0.0</v>
      </c>
      <c r="AK369" s="28">
        <v>0.0</v>
      </c>
      <c r="AL369" s="28">
        <v>0.0</v>
      </c>
      <c r="AM369" s="28">
        <v>0.0</v>
      </c>
      <c r="AN369" s="28">
        <v>0.0</v>
      </c>
      <c r="AO369" s="28">
        <v>0.0</v>
      </c>
      <c r="AP369" s="28">
        <v>0.0</v>
      </c>
      <c r="AQ369" s="28">
        <v>0.0</v>
      </c>
      <c r="AR369" s="28">
        <v>0.0</v>
      </c>
      <c r="AS369" s="28">
        <v>0.0</v>
      </c>
      <c r="AT369" s="28">
        <v>0.0</v>
      </c>
      <c r="AU369" s="28">
        <v>0.0</v>
      </c>
      <c r="AV369" s="28">
        <v>0.0</v>
      </c>
      <c r="AW369" s="28">
        <v>0.0</v>
      </c>
      <c r="AX369" s="5"/>
      <c r="AY369" s="5" t="s">
        <v>125</v>
      </c>
      <c r="AZ369" s="5" t="s">
        <v>127</v>
      </c>
      <c r="BA369" s="5" t="s">
        <v>237</v>
      </c>
      <c r="BB369" s="5" t="s">
        <v>334</v>
      </c>
      <c r="BC369" s="5" t="s">
        <v>348</v>
      </c>
      <c r="BD369" s="5" t="s">
        <v>553</v>
      </c>
      <c r="BE369" s="5" t="s">
        <v>131</v>
      </c>
    </row>
    <row r="370" ht="16.5" hidden="1" customHeight="1">
      <c r="A370" s="5" t="s">
        <v>155</v>
      </c>
      <c r="B370" s="5" t="s">
        <v>200</v>
      </c>
      <c r="C370" s="5" t="b">
        <v>0</v>
      </c>
      <c r="D370" s="5" t="s">
        <v>542</v>
      </c>
      <c r="E370" s="5" t="s">
        <v>543</v>
      </c>
      <c r="F370" s="5"/>
      <c r="G370" s="5" t="s">
        <v>65</v>
      </c>
      <c r="H370" s="5" t="s">
        <v>76</v>
      </c>
      <c r="I370" s="5" t="s">
        <v>106</v>
      </c>
      <c r="J370" s="25" t="s">
        <v>413</v>
      </c>
      <c r="K370" s="25"/>
      <c r="L370" s="25"/>
      <c r="M370" s="5" t="s">
        <v>66</v>
      </c>
      <c r="N370" s="5" t="s">
        <v>334</v>
      </c>
      <c r="O370" s="5" t="s">
        <v>141</v>
      </c>
      <c r="P370" s="5" t="s">
        <v>70</v>
      </c>
      <c r="Q370" s="5" t="b">
        <v>1</v>
      </c>
      <c r="R370" s="5" t="b">
        <v>0</v>
      </c>
      <c r="S370" s="5"/>
      <c r="T370" s="5">
        <v>700.0</v>
      </c>
      <c r="U370" s="26">
        <v>2.1</v>
      </c>
      <c r="V370" s="5">
        <v>333.0</v>
      </c>
      <c r="W370" s="27">
        <v>0.0</v>
      </c>
      <c r="X370" s="28">
        <v>333.0</v>
      </c>
      <c r="Y370" s="27">
        <v>1.0</v>
      </c>
      <c r="Z370" s="5" t="s">
        <v>78</v>
      </c>
      <c r="AA370" s="5">
        <v>0.611</v>
      </c>
      <c r="AB370" s="5"/>
      <c r="AC370" s="5" t="s">
        <v>81</v>
      </c>
      <c r="AD370" s="5" t="s">
        <v>81</v>
      </c>
      <c r="AE370" s="5">
        <v>4.0</v>
      </c>
      <c r="AF370" s="5">
        <v>4.0</v>
      </c>
      <c r="AG370" s="5" t="s">
        <v>1866</v>
      </c>
      <c r="AH370" s="5" t="s">
        <v>0</v>
      </c>
      <c r="AI370" s="42"/>
      <c r="AJ370" s="28">
        <v>980.0</v>
      </c>
      <c r="AK370" s="28">
        <v>0.0</v>
      </c>
      <c r="AL370" s="28">
        <v>0.0</v>
      </c>
      <c r="AM370" s="28">
        <v>1190.0</v>
      </c>
      <c r="AN370" s="28">
        <v>0.0</v>
      </c>
      <c r="AO370" s="28">
        <v>326663.4</v>
      </c>
      <c r="AP370" s="28">
        <v>0.0</v>
      </c>
      <c r="AQ370" s="28">
        <v>0.0</v>
      </c>
      <c r="AR370" s="28">
        <v>396662.7</v>
      </c>
      <c r="AS370" s="28">
        <v>0.0</v>
      </c>
      <c r="AT370" s="28">
        <v>111386.01129568106</v>
      </c>
      <c r="AU370" s="28">
        <v>0.0</v>
      </c>
      <c r="AV370" s="28">
        <v>0.0</v>
      </c>
      <c r="AW370" s="28">
        <v>326426.76688815065</v>
      </c>
      <c r="AX370" s="5"/>
      <c r="AY370" s="5" t="str">
        <f t="array" ref="AY370">IFERROR(_xlfn.XLOOKUP($E370,'FW27'!$C$3:$C$1102,'FW27'!$AM$3:$AM$1102),"")</f>
        <v>Essentials</v>
      </c>
      <c r="AZ370" s="5" t="str">
        <f t="array" ref="AZ370">IFERROR(_xlfn.XLOOKUP($E370,'FW27'!$C$3:$C$1102,'FW27'!$AN$3:$AN$1102),"")</f>
        <v>Active Essentials</v>
      </c>
      <c r="BA370" s="5" t="s">
        <v>237</v>
      </c>
      <c r="BB370" s="5" t="str">
        <f t="array" ref="BB370">IFERROR(_xlfn.XLOOKUP($E370,'FW27'!$C$3:$C$1102,'FW27'!$AS$3:$AS$1102),"")</f>
        <v>Tops</v>
      </c>
      <c r="BC370" s="5" t="str">
        <f t="array" ref="BC370">IFERROR(_xlfn.XLOOKUP($E370,'FW27'!$C$3:$C$1102,'FW27'!$AT$3:$AT$1102),"")</f>
        <v>Tee</v>
      </c>
      <c r="BD370" s="5" t="str">
        <f t="array" ref="BD370">IFERROR(_xlfn.XLOOKUP($E370,'FW27'!$C$3:$C$1102,'FW27'!$AU$3:$AU$1102),"")</f>
        <v>Tech Tee</v>
      </c>
      <c r="BE370" s="5" t="str">
        <f t="array" ref="BE370">IFERROR(_xlfn.XLOOKUP($E370,'FW27'!$C$3:$C$1102,'FW27'!$AV$3:$AV$1102),"")</f>
        <v>N</v>
      </c>
    </row>
    <row r="371" ht="16.5" hidden="1" customHeight="1">
      <c r="A371" s="5" t="s">
        <v>155</v>
      </c>
      <c r="B371" s="5" t="s">
        <v>200</v>
      </c>
      <c r="C371" s="5" t="b">
        <v>0</v>
      </c>
      <c r="D371" s="5" t="s">
        <v>556</v>
      </c>
      <c r="E371" s="5" t="s">
        <v>557</v>
      </c>
      <c r="F371" s="5"/>
      <c r="G371" s="5" t="s">
        <v>65</v>
      </c>
      <c r="H371" s="5" t="s">
        <v>76</v>
      </c>
      <c r="I371" s="5" t="s">
        <v>106</v>
      </c>
      <c r="J371" s="25" t="s">
        <v>413</v>
      </c>
      <c r="K371" s="25"/>
      <c r="L371" s="25"/>
      <c r="M371" s="5" t="s">
        <v>66</v>
      </c>
      <c r="N371" s="5" t="s">
        <v>334</v>
      </c>
      <c r="O371" s="5" t="s">
        <v>141</v>
      </c>
      <c r="P371" s="5" t="s">
        <v>107</v>
      </c>
      <c r="Q371" s="5" t="b">
        <v>1</v>
      </c>
      <c r="R371" s="5" t="b">
        <v>0</v>
      </c>
      <c r="S371" s="5"/>
      <c r="T371" s="5">
        <v>700.0</v>
      </c>
      <c r="U371" s="26">
        <v>2.1</v>
      </c>
      <c r="V371" s="5">
        <v>333.0</v>
      </c>
      <c r="W371" s="27">
        <v>0.0</v>
      </c>
      <c r="X371" s="28">
        <v>333.0</v>
      </c>
      <c r="Y371" s="27">
        <v>1.0</v>
      </c>
      <c r="Z371" s="5" t="s">
        <v>78</v>
      </c>
      <c r="AA371" s="5">
        <v>0.6459999999999999</v>
      </c>
      <c r="AB371" s="5"/>
      <c r="AC371" s="5" t="s">
        <v>81</v>
      </c>
      <c r="AD371" s="5" t="s">
        <v>81</v>
      </c>
      <c r="AE371" s="5">
        <v>4.0</v>
      </c>
      <c r="AF371" s="5">
        <v>4.0</v>
      </c>
      <c r="AG371" s="5" t="s">
        <v>0</v>
      </c>
      <c r="AH371" s="5" t="s">
        <v>0</v>
      </c>
      <c r="AI371" s="42"/>
      <c r="AJ371" s="28">
        <v>620.0</v>
      </c>
      <c r="AK371" s="28">
        <v>0.0</v>
      </c>
      <c r="AL371" s="28">
        <v>0.0</v>
      </c>
      <c r="AM371" s="28">
        <v>875.0</v>
      </c>
      <c r="AN371" s="28">
        <v>0.0</v>
      </c>
      <c r="AO371" s="28">
        <v>206664.6</v>
      </c>
      <c r="AP371" s="28">
        <v>0.0</v>
      </c>
      <c r="AQ371" s="28">
        <v>0.0</v>
      </c>
      <c r="AR371" s="28">
        <v>291663.75000000006</v>
      </c>
      <c r="AS371" s="28">
        <v>0.0</v>
      </c>
      <c r="AT371" s="28">
        <v>66808.18272425249</v>
      </c>
      <c r="AU371" s="28">
        <v>0.0</v>
      </c>
      <c r="AV371" s="28">
        <v>0.0</v>
      </c>
      <c r="AW371" s="28">
        <v>242062.2070874862</v>
      </c>
      <c r="AX371" s="5"/>
      <c r="AY371" s="5" t="str">
        <f t="array" ref="AY371">IFERROR(_xlfn.XLOOKUP($E371,'FW27'!$C$3:$C$1102,'FW27'!$AM$3:$AM$1102),"")</f>
        <v>Essentials</v>
      </c>
      <c r="AZ371" s="5" t="str">
        <f t="array" ref="AZ371">IFERROR(_xlfn.XLOOKUP($E371,'FW27'!$C$3:$C$1102,'FW27'!$AN$3:$AN$1102),"")</f>
        <v>Active Essentials</v>
      </c>
      <c r="BA371" s="5" t="s">
        <v>237</v>
      </c>
      <c r="BB371" s="5" t="str">
        <f t="array" ref="BB371">IFERROR(_xlfn.XLOOKUP($E371,'FW27'!$C$3:$C$1102,'FW27'!$AS$3:$AS$1102),"")</f>
        <v>Tops</v>
      </c>
      <c r="BC371" s="5" t="str">
        <f t="array" ref="BC371">IFERROR(_xlfn.XLOOKUP($E371,'FW27'!$C$3:$C$1102,'FW27'!$AT$3:$AT$1102),"")</f>
        <v>Tee</v>
      </c>
      <c r="BD371" s="5" t="str">
        <f t="array" ref="BD371">IFERROR(_xlfn.XLOOKUP($E371,'FW27'!$C$3:$C$1102,'FW27'!$AU$3:$AU$1102),"")</f>
        <v>Tech Tee</v>
      </c>
      <c r="BE371" s="5" t="str">
        <f t="array" ref="BE371">IFERROR(_xlfn.XLOOKUP($E371,'FW27'!$C$3:$C$1102,'FW27'!$AV$3:$AV$1102),"")</f>
        <v>N</v>
      </c>
    </row>
    <row r="372" ht="16.5" hidden="1" customHeight="1">
      <c r="A372" s="5" t="s">
        <v>155</v>
      </c>
      <c r="B372" s="5" t="s">
        <v>200</v>
      </c>
      <c r="C372" s="5" t="b">
        <v>0</v>
      </c>
      <c r="D372" s="5" t="s">
        <v>568</v>
      </c>
      <c r="E372" s="5" t="s">
        <v>569</v>
      </c>
      <c r="F372" s="5"/>
      <c r="G372" s="5" t="s">
        <v>65</v>
      </c>
      <c r="H372" s="5" t="s">
        <v>76</v>
      </c>
      <c r="I372" s="5" t="s">
        <v>106</v>
      </c>
      <c r="J372" s="25" t="s">
        <v>413</v>
      </c>
      <c r="K372" s="25"/>
      <c r="L372" s="25"/>
      <c r="M372" s="5" t="s">
        <v>66</v>
      </c>
      <c r="N372" s="5" t="s">
        <v>334</v>
      </c>
      <c r="O372" s="5" t="s">
        <v>141</v>
      </c>
      <c r="P372" s="5" t="s">
        <v>70</v>
      </c>
      <c r="Q372" s="5" t="b">
        <v>1</v>
      </c>
      <c r="R372" s="5" t="b">
        <v>0</v>
      </c>
      <c r="S372" s="5"/>
      <c r="T372" s="5">
        <v>500.0</v>
      </c>
      <c r="U372" s="26">
        <v>2.1</v>
      </c>
      <c r="V372" s="5">
        <v>238.0</v>
      </c>
      <c r="W372" s="27">
        <v>0.0</v>
      </c>
      <c r="X372" s="28">
        <v>238.0</v>
      </c>
      <c r="Y372" s="27">
        <v>1.0</v>
      </c>
      <c r="Z372" s="5" t="s">
        <v>78</v>
      </c>
      <c r="AA372" s="5">
        <v>0.611</v>
      </c>
      <c r="AB372" s="5"/>
      <c r="AC372" s="5" t="s">
        <v>81</v>
      </c>
      <c r="AD372" s="5" t="s">
        <v>81</v>
      </c>
      <c r="AE372" s="5">
        <v>4.0</v>
      </c>
      <c r="AF372" s="5">
        <v>4.0</v>
      </c>
      <c r="AG372" s="5" t="s">
        <v>1866</v>
      </c>
      <c r="AH372" s="5" t="s">
        <v>0</v>
      </c>
      <c r="AI372" s="42"/>
      <c r="AJ372" s="28">
        <v>250.0</v>
      </c>
      <c r="AK372" s="28">
        <v>0.0</v>
      </c>
      <c r="AL372" s="28">
        <v>0.0</v>
      </c>
      <c r="AM372" s="28">
        <v>2410.0</v>
      </c>
      <c r="AN372" s="28">
        <v>0.0</v>
      </c>
      <c r="AO372" s="28">
        <v>59525.0</v>
      </c>
      <c r="AP372" s="28">
        <v>0.0</v>
      </c>
      <c r="AQ372" s="28">
        <v>0.0</v>
      </c>
      <c r="AR372" s="28">
        <v>573821.0</v>
      </c>
      <c r="AS372" s="28">
        <v>0.0</v>
      </c>
      <c r="AT372" s="28">
        <v>47273.30232558139</v>
      </c>
      <c r="AU372" s="28">
        <v>0.0</v>
      </c>
      <c r="AV372" s="28">
        <v>0.0</v>
      </c>
      <c r="AW372" s="28">
        <v>465157.84739756375</v>
      </c>
      <c r="AX372" s="5"/>
      <c r="AY372" s="5" t="str">
        <f t="array" ref="AY372">IFERROR(_xlfn.XLOOKUP($E372,'FW27'!$C$3:$C$1102,'FW27'!$AM$3:$AM$1102),"")</f>
        <v>Essentials</v>
      </c>
      <c r="AZ372" s="5" t="str">
        <f t="array" ref="AZ372">IFERROR(_xlfn.XLOOKUP($E372,'FW27'!$C$3:$C$1102,'FW27'!$AN$3:$AN$1102),"")</f>
        <v>Active Essentials</v>
      </c>
      <c r="BA372" s="5" t="s">
        <v>237</v>
      </c>
      <c r="BB372" s="5" t="str">
        <f t="array" ref="BB372">IFERROR(_xlfn.XLOOKUP($E372,'FW27'!$C$3:$C$1102,'FW27'!$AS$3:$AS$1102),"")</f>
        <v>Tops</v>
      </c>
      <c r="BC372" s="5" t="str">
        <f t="array" ref="BC372">IFERROR(_xlfn.XLOOKUP($E372,'FW27'!$C$3:$C$1102,'FW27'!$AT$3:$AT$1102),"")</f>
        <v>Tee</v>
      </c>
      <c r="BD372" s="5" t="str">
        <f t="array" ref="BD372">IFERROR(_xlfn.XLOOKUP($E372,'FW27'!$C$3:$C$1102,'FW27'!$AU$3:$AU$1102),"")</f>
        <v>Tech Tee</v>
      </c>
      <c r="BE372" s="5" t="str">
        <f t="array" ref="BE372">IFERROR(_xlfn.XLOOKUP($E372,'FW27'!$C$3:$C$1102,'FW27'!$AV$3:$AV$1102),"")</f>
        <v>N</v>
      </c>
    </row>
    <row r="373" ht="16.5" hidden="1" customHeight="1">
      <c r="A373" s="5" t="s">
        <v>155</v>
      </c>
      <c r="B373" s="5" t="s">
        <v>200</v>
      </c>
      <c r="C373" s="5" t="b">
        <v>0</v>
      </c>
      <c r="D373" s="5" t="s">
        <v>579</v>
      </c>
      <c r="E373" s="5" t="s">
        <v>580</v>
      </c>
      <c r="F373" s="5"/>
      <c r="G373" s="5" t="s">
        <v>65</v>
      </c>
      <c r="H373" s="5" t="s">
        <v>76</v>
      </c>
      <c r="I373" s="5" t="s">
        <v>106</v>
      </c>
      <c r="J373" s="25" t="s">
        <v>413</v>
      </c>
      <c r="K373" s="25"/>
      <c r="L373" s="25"/>
      <c r="M373" s="5" t="s">
        <v>66</v>
      </c>
      <c r="N373" s="5" t="s">
        <v>334</v>
      </c>
      <c r="O373" s="5" t="s">
        <v>141</v>
      </c>
      <c r="P373" s="5" t="s">
        <v>107</v>
      </c>
      <c r="Q373" s="5" t="b">
        <v>1</v>
      </c>
      <c r="R373" s="5" t="b">
        <v>0</v>
      </c>
      <c r="S373" s="5"/>
      <c r="T373" s="5">
        <v>500.0</v>
      </c>
      <c r="U373" s="26">
        <v>2.1</v>
      </c>
      <c r="V373" s="5">
        <v>238.0</v>
      </c>
      <c r="W373" s="27">
        <v>0.0</v>
      </c>
      <c r="X373" s="28">
        <v>238.0</v>
      </c>
      <c r="Y373" s="27">
        <v>1.0</v>
      </c>
      <c r="Z373" s="5" t="s">
        <v>78</v>
      </c>
      <c r="AA373" s="5">
        <v>0.6459999999999999</v>
      </c>
      <c r="AB373" s="5"/>
      <c r="AC373" s="5" t="s">
        <v>81</v>
      </c>
      <c r="AD373" s="5" t="s">
        <v>81</v>
      </c>
      <c r="AE373" s="5">
        <v>4.0</v>
      </c>
      <c r="AF373" s="5">
        <v>4.0</v>
      </c>
      <c r="AG373" s="5" t="s">
        <v>0</v>
      </c>
      <c r="AH373" s="5" t="s">
        <v>0</v>
      </c>
      <c r="AI373" s="42"/>
      <c r="AJ373" s="28">
        <v>190.0</v>
      </c>
      <c r="AK373" s="28">
        <v>0.0</v>
      </c>
      <c r="AL373" s="28">
        <v>0.0</v>
      </c>
      <c r="AM373" s="28">
        <v>2020.0</v>
      </c>
      <c r="AN373" s="28">
        <v>0.0</v>
      </c>
      <c r="AO373" s="28">
        <v>45239.0</v>
      </c>
      <c r="AP373" s="28">
        <v>0.0</v>
      </c>
      <c r="AQ373" s="28">
        <v>0.0</v>
      </c>
      <c r="AR373" s="28">
        <v>480962.0</v>
      </c>
      <c r="AS373" s="28">
        <v>0.0</v>
      </c>
      <c r="AT373" s="28">
        <v>35713.30232558139</v>
      </c>
      <c r="AU373" s="28">
        <v>0.0</v>
      </c>
      <c r="AV373" s="28">
        <v>0.0</v>
      </c>
      <c r="AW373" s="28">
        <v>390262.4950166115</v>
      </c>
      <c r="AX373" s="5"/>
      <c r="AY373" s="5" t="str">
        <f t="array" ref="AY373">IFERROR(_xlfn.XLOOKUP($E373,'FW27'!$C$3:$C$1102,'FW27'!$AM$3:$AM$1102),"")</f>
        <v>Essentials</v>
      </c>
      <c r="AZ373" s="5" t="str">
        <f t="array" ref="AZ373">IFERROR(_xlfn.XLOOKUP($E373,'FW27'!$C$3:$C$1102,'FW27'!$AN$3:$AN$1102),"")</f>
        <v>Active Essentials</v>
      </c>
      <c r="BA373" s="5" t="s">
        <v>237</v>
      </c>
      <c r="BB373" s="5" t="str">
        <f t="array" ref="BB373">IFERROR(_xlfn.XLOOKUP($E373,'FW27'!$C$3:$C$1102,'FW27'!$AS$3:$AS$1102),"")</f>
        <v>Tops</v>
      </c>
      <c r="BC373" s="5" t="str">
        <f t="array" ref="BC373">IFERROR(_xlfn.XLOOKUP($E373,'FW27'!$C$3:$C$1102,'FW27'!$AT$3:$AT$1102),"")</f>
        <v>Tee</v>
      </c>
      <c r="BD373" s="5" t="str">
        <f t="array" ref="BD373">IFERROR(_xlfn.XLOOKUP($E373,'FW27'!$C$3:$C$1102,'FW27'!$AU$3:$AU$1102),"")</f>
        <v>Tech Tee</v>
      </c>
      <c r="BE373" s="5" t="str">
        <f t="array" ref="BE373">IFERROR(_xlfn.XLOOKUP($E373,'FW27'!$C$3:$C$1102,'FW27'!$AV$3:$AV$1102),"")</f>
        <v>N</v>
      </c>
    </row>
    <row r="374" ht="16.5" hidden="1" customHeight="1">
      <c r="A374" s="5" t="s">
        <v>155</v>
      </c>
      <c r="B374" s="24" t="s">
        <v>0</v>
      </c>
      <c r="C374" s="5" t="b">
        <v>0</v>
      </c>
      <c r="D374" s="5" t="s">
        <v>1833</v>
      </c>
      <c r="E374" s="5" t="s">
        <v>2119</v>
      </c>
      <c r="F374" s="5"/>
      <c r="G374" s="5" t="s">
        <v>65</v>
      </c>
      <c r="H374" s="5" t="s">
        <v>74</v>
      </c>
      <c r="I374" s="5" t="s">
        <v>106</v>
      </c>
      <c r="J374" s="25" t="s">
        <v>2120</v>
      </c>
      <c r="K374" s="25"/>
      <c r="L374" s="25"/>
      <c r="M374" s="5" t="s">
        <v>66</v>
      </c>
      <c r="N374" s="5" t="s">
        <v>248</v>
      </c>
      <c r="O374" s="24" t="s">
        <v>96</v>
      </c>
      <c r="P374" s="5" t="s">
        <v>249</v>
      </c>
      <c r="Q374" s="5" t="b">
        <v>1</v>
      </c>
      <c r="R374" s="5" t="b">
        <v>0</v>
      </c>
      <c r="S374" s="5"/>
      <c r="T374" s="24">
        <v>0.0</v>
      </c>
      <c r="U374" s="26">
        <v>2.1</v>
      </c>
      <c r="V374" s="5">
        <v>0.0</v>
      </c>
      <c r="W374" s="27">
        <v>0.0</v>
      </c>
      <c r="X374" s="28">
        <v>0.0</v>
      </c>
      <c r="Y374" s="27">
        <v>0.0</v>
      </c>
      <c r="Z374" s="24" t="s">
        <v>0</v>
      </c>
      <c r="AA374" s="27">
        <v>0.613</v>
      </c>
      <c r="AB374" s="5"/>
      <c r="AC374" s="24" t="s">
        <v>0</v>
      </c>
      <c r="AD374" s="24" t="s">
        <v>0</v>
      </c>
      <c r="AE374" s="24">
        <v>0.0</v>
      </c>
      <c r="AF374" s="5">
        <v>0.0</v>
      </c>
      <c r="AG374" s="5" t="s">
        <v>0</v>
      </c>
      <c r="AH374" s="5" t="s">
        <v>0</v>
      </c>
      <c r="AI374" s="56"/>
      <c r="AJ374" s="28">
        <v>0.0</v>
      </c>
      <c r="AK374" s="28">
        <v>0.0</v>
      </c>
      <c r="AL374" s="28">
        <v>0.0</v>
      </c>
      <c r="AM374" s="28">
        <v>0.0</v>
      </c>
      <c r="AN374" s="28">
        <v>0.0</v>
      </c>
      <c r="AO374" s="28">
        <v>0.0</v>
      </c>
      <c r="AP374" s="28">
        <v>0.0</v>
      </c>
      <c r="AQ374" s="28">
        <v>0.0</v>
      </c>
      <c r="AR374" s="28">
        <v>0.0</v>
      </c>
      <c r="AS374" s="28">
        <v>0.0</v>
      </c>
      <c r="AT374" s="28">
        <v>0.0</v>
      </c>
      <c r="AU374" s="28">
        <v>0.0</v>
      </c>
      <c r="AV374" s="28">
        <v>0.0</v>
      </c>
      <c r="AW374" s="28">
        <v>0.0</v>
      </c>
      <c r="AX374" s="5"/>
      <c r="AY374" s="5" t="s">
        <v>125</v>
      </c>
      <c r="AZ374" s="5" t="s">
        <v>127</v>
      </c>
      <c r="BB374" s="5" t="s">
        <v>248</v>
      </c>
      <c r="BC374" s="5" t="s">
        <v>253</v>
      </c>
      <c r="BD374" s="5" t="s">
        <v>254</v>
      </c>
      <c r="BE374" s="5" t="s">
        <v>131</v>
      </c>
      <c r="BF374" s="5" t="s">
        <v>2121</v>
      </c>
    </row>
    <row r="375" ht="16.5" hidden="1" customHeight="1">
      <c r="A375" s="5" t="s">
        <v>155</v>
      </c>
      <c r="B375" s="24" t="s">
        <v>0</v>
      </c>
      <c r="C375" s="5" t="b">
        <v>0</v>
      </c>
      <c r="D375" s="5" t="s">
        <v>1840</v>
      </c>
      <c r="E375" s="5" t="s">
        <v>2122</v>
      </c>
      <c r="F375" s="5"/>
      <c r="G375" s="5" t="s">
        <v>65</v>
      </c>
      <c r="H375" s="5" t="s">
        <v>74</v>
      </c>
      <c r="I375" s="5" t="s">
        <v>106</v>
      </c>
      <c r="J375" s="25" t="s">
        <v>2120</v>
      </c>
      <c r="K375" s="25"/>
      <c r="L375" s="25"/>
      <c r="M375" s="5" t="s">
        <v>66</v>
      </c>
      <c r="N375" s="5" t="s">
        <v>113</v>
      </c>
      <c r="O375" s="24" t="s">
        <v>96</v>
      </c>
      <c r="P375" s="5" t="s">
        <v>249</v>
      </c>
      <c r="Q375" s="5" t="b">
        <v>1</v>
      </c>
      <c r="R375" s="5" t="b">
        <v>0</v>
      </c>
      <c r="S375" s="5"/>
      <c r="T375" s="24">
        <v>0.0</v>
      </c>
      <c r="U375" s="26">
        <v>2.1</v>
      </c>
      <c r="V375" s="5">
        <v>0.0</v>
      </c>
      <c r="W375" s="27">
        <v>0.0</v>
      </c>
      <c r="X375" s="28">
        <v>0.0</v>
      </c>
      <c r="Y375" s="27">
        <v>0.0</v>
      </c>
      <c r="Z375" s="24" t="s">
        <v>0</v>
      </c>
      <c r="AA375" s="27">
        <v>0.653</v>
      </c>
      <c r="AB375" s="5"/>
      <c r="AC375" s="24" t="s">
        <v>0</v>
      </c>
      <c r="AD375" s="24" t="s">
        <v>0</v>
      </c>
      <c r="AE375" s="24">
        <v>0.0</v>
      </c>
      <c r="AF375" s="5">
        <v>0.0</v>
      </c>
      <c r="AG375" s="5" t="s">
        <v>0</v>
      </c>
      <c r="AH375" s="5" t="s">
        <v>0</v>
      </c>
      <c r="AI375" s="56"/>
      <c r="AJ375" s="28">
        <v>0.0</v>
      </c>
      <c r="AK375" s="28">
        <v>0.0</v>
      </c>
      <c r="AL375" s="28">
        <v>0.0</v>
      </c>
      <c r="AM375" s="28">
        <v>0.0</v>
      </c>
      <c r="AN375" s="28">
        <v>0.0</v>
      </c>
      <c r="AO375" s="28">
        <v>0.0</v>
      </c>
      <c r="AP375" s="28">
        <v>0.0</v>
      </c>
      <c r="AQ375" s="28">
        <v>0.0</v>
      </c>
      <c r="AR375" s="28">
        <v>0.0</v>
      </c>
      <c r="AS375" s="28">
        <v>0.0</v>
      </c>
      <c r="AT375" s="28">
        <v>0.0</v>
      </c>
      <c r="AU375" s="28">
        <v>0.0</v>
      </c>
      <c r="AV375" s="28">
        <v>0.0</v>
      </c>
      <c r="AW375" s="28">
        <v>0.0</v>
      </c>
      <c r="AX375" s="5"/>
      <c r="AY375" s="5" t="s">
        <v>125</v>
      </c>
      <c r="AZ375" s="5" t="s">
        <v>127</v>
      </c>
      <c r="BB375" s="5" t="s">
        <v>126</v>
      </c>
      <c r="BC375" s="5" t="s">
        <v>128</v>
      </c>
      <c r="BD375" s="5" t="s">
        <v>130</v>
      </c>
      <c r="BE375" s="5" t="s">
        <v>131</v>
      </c>
      <c r="BF375" s="5" t="s">
        <v>2123</v>
      </c>
    </row>
    <row r="376" ht="16.5" hidden="1" customHeight="1">
      <c r="A376" s="5" t="s">
        <v>155</v>
      </c>
      <c r="B376" s="24" t="s">
        <v>0</v>
      </c>
      <c r="C376" s="5" t="b">
        <v>0</v>
      </c>
      <c r="D376" s="5" t="s">
        <v>1828</v>
      </c>
      <c r="E376" s="5" t="s">
        <v>2124</v>
      </c>
      <c r="F376" s="5"/>
      <c r="G376" s="5" t="s">
        <v>65</v>
      </c>
      <c r="H376" s="5" t="s">
        <v>74</v>
      </c>
      <c r="I376" s="5" t="s">
        <v>106</v>
      </c>
      <c r="J376" s="25" t="s">
        <v>2120</v>
      </c>
      <c r="K376" s="25"/>
      <c r="L376" s="25"/>
      <c r="M376" s="5" t="s">
        <v>66</v>
      </c>
      <c r="N376" s="5" t="s">
        <v>334</v>
      </c>
      <c r="O376" s="24" t="s">
        <v>96</v>
      </c>
      <c r="P376" s="5" t="s">
        <v>249</v>
      </c>
      <c r="Q376" s="5" t="b">
        <v>1</v>
      </c>
      <c r="R376" s="5" t="b">
        <v>0</v>
      </c>
      <c r="S376" s="5"/>
      <c r="T376" s="24">
        <v>0.0</v>
      </c>
      <c r="U376" s="26">
        <v>2.1</v>
      </c>
      <c r="V376" s="5">
        <v>0.0</v>
      </c>
      <c r="W376" s="27">
        <v>0.0</v>
      </c>
      <c r="X376" s="28">
        <v>0.0</v>
      </c>
      <c r="Y376" s="27">
        <v>0.0</v>
      </c>
      <c r="Z376" s="24" t="s">
        <v>0</v>
      </c>
      <c r="AA376" s="27">
        <v>0.625</v>
      </c>
      <c r="AB376" s="5"/>
      <c r="AC376" s="24" t="s">
        <v>0</v>
      </c>
      <c r="AD376" s="24" t="s">
        <v>0</v>
      </c>
      <c r="AE376" s="24">
        <v>0.0</v>
      </c>
      <c r="AF376" s="5">
        <v>0.0</v>
      </c>
      <c r="AG376" s="5" t="s">
        <v>0</v>
      </c>
      <c r="AH376" s="5" t="s">
        <v>0</v>
      </c>
      <c r="AI376" s="56"/>
      <c r="AJ376" s="28">
        <v>0.0</v>
      </c>
      <c r="AK376" s="28">
        <v>0.0</v>
      </c>
      <c r="AL376" s="28">
        <v>0.0</v>
      </c>
      <c r="AM376" s="28">
        <v>0.0</v>
      </c>
      <c r="AN376" s="28">
        <v>0.0</v>
      </c>
      <c r="AO376" s="28">
        <v>0.0</v>
      </c>
      <c r="AP376" s="28">
        <v>0.0</v>
      </c>
      <c r="AQ376" s="28">
        <v>0.0</v>
      </c>
      <c r="AR376" s="28">
        <v>0.0</v>
      </c>
      <c r="AS376" s="28">
        <v>0.0</v>
      </c>
      <c r="AT376" s="28">
        <v>0.0</v>
      </c>
      <c r="AU376" s="28">
        <v>0.0</v>
      </c>
      <c r="AV376" s="28">
        <v>0.0</v>
      </c>
      <c r="AW376" s="28">
        <v>0.0</v>
      </c>
      <c r="AX376" s="5"/>
      <c r="AY376" s="5" t="s">
        <v>125</v>
      </c>
      <c r="AZ376" s="5" t="s">
        <v>127</v>
      </c>
      <c r="BB376" s="5" t="s">
        <v>334</v>
      </c>
      <c r="BC376" s="5" t="s">
        <v>457</v>
      </c>
      <c r="BD376" s="5" t="s">
        <v>539</v>
      </c>
      <c r="BE376" s="5" t="s">
        <v>131</v>
      </c>
      <c r="BF376" s="5" t="s">
        <v>2125</v>
      </c>
    </row>
    <row r="377" ht="16.5" hidden="1" customHeight="1">
      <c r="A377" s="5" t="s">
        <v>155</v>
      </c>
      <c r="B377" s="5" t="s">
        <v>137</v>
      </c>
      <c r="C377" s="5" t="b">
        <v>1</v>
      </c>
      <c r="D377" s="5" t="s">
        <v>1779</v>
      </c>
      <c r="E377" s="5" t="s">
        <v>1780</v>
      </c>
      <c r="F377" s="5"/>
      <c r="G377" s="5" t="s">
        <v>65</v>
      </c>
      <c r="H377" s="5" t="s">
        <v>76</v>
      </c>
      <c r="I377" s="5" t="s">
        <v>82</v>
      </c>
      <c r="J377" s="25"/>
      <c r="K377" s="25"/>
      <c r="L377" s="25"/>
      <c r="M377" s="5" t="s">
        <v>247</v>
      </c>
      <c r="N377" s="5" t="s">
        <v>248</v>
      </c>
      <c r="O377" s="5" t="s">
        <v>69</v>
      </c>
      <c r="P377" s="5" t="s">
        <v>249</v>
      </c>
      <c r="Q377" s="5" t="b">
        <v>1</v>
      </c>
      <c r="R377" s="5" t="b">
        <v>0</v>
      </c>
      <c r="S377" s="5"/>
      <c r="T377" s="5">
        <v>550.0</v>
      </c>
      <c r="U377" s="26">
        <v>2.1</v>
      </c>
      <c r="V377" s="5">
        <v>262.0</v>
      </c>
      <c r="W377" s="27">
        <v>0.0</v>
      </c>
      <c r="X377" s="28">
        <v>262.0</v>
      </c>
      <c r="Y377" s="27">
        <v>1.0</v>
      </c>
      <c r="Z377" s="5" t="s">
        <v>117</v>
      </c>
      <c r="AA377" s="5">
        <v>0.62</v>
      </c>
      <c r="AB377" s="5"/>
      <c r="AC377" s="5" t="s">
        <v>81</v>
      </c>
      <c r="AD377" s="5" t="s">
        <v>81</v>
      </c>
      <c r="AE377" s="5">
        <v>2.0</v>
      </c>
      <c r="AF377" s="5">
        <v>2.0</v>
      </c>
      <c r="AG377" s="5" t="s">
        <v>1869</v>
      </c>
      <c r="AH377" s="5" t="s">
        <v>0</v>
      </c>
      <c r="AI377" s="42"/>
      <c r="AJ377" s="28">
        <v>679.0</v>
      </c>
      <c r="AK377" s="28">
        <v>1165.0</v>
      </c>
      <c r="AL377" s="28">
        <v>0.0</v>
      </c>
      <c r="AM377" s="28">
        <v>0.0</v>
      </c>
      <c r="AN377" s="28">
        <v>0.0</v>
      </c>
      <c r="AO377" s="28">
        <v>177830.1</v>
      </c>
      <c r="AP377" s="28">
        <v>305230.0</v>
      </c>
      <c r="AQ377" s="28">
        <v>0.0</v>
      </c>
      <c r="AR377" s="28">
        <v>0.0</v>
      </c>
      <c r="AS377" s="28">
        <v>0.0</v>
      </c>
      <c r="AT377" s="28">
        <v>156624.33665559246</v>
      </c>
      <c r="AU377" s="28">
        <v>199894.99365000002</v>
      </c>
      <c r="AV377" s="28">
        <v>0.0</v>
      </c>
      <c r="AW377" s="28">
        <v>0.0</v>
      </c>
      <c r="AX377" s="5"/>
      <c r="AY377" s="5" t="str">
        <f t="array" ref="AY377">IFERROR(_xlfn.XLOOKUP($E377,'FW27'!$C$3:$C$1102,'FW27'!$AM$3:$AM$1102),"")</f>
        <v>Essentials</v>
      </c>
      <c r="AZ377" s="5" t="str">
        <f t="array" ref="AZ377">IFERROR(_xlfn.XLOOKUP($E377,'FW27'!$C$3:$C$1102,'FW27'!$AN$3:$AN$1102),"")</f>
        <v>Active Essentials</v>
      </c>
      <c r="BB377" s="5" t="str">
        <f t="array" ref="BB377">IFERROR(_xlfn.XLOOKUP($E377,'FW27'!$C$3:$C$1102,'FW27'!$AS$3:$AS$1102),"")</f>
        <v>Accessories</v>
      </c>
      <c r="BC377" s="5" t="str">
        <f t="array" ref="BC377">IFERROR(_xlfn.XLOOKUP($E377,'FW27'!$C$3:$C$1102,'FW27'!$AT$3:$AT$1102),"")</f>
        <v>Headwear</v>
      </c>
      <c r="BD377" s="5" t="str">
        <f t="array" ref="BD377">IFERROR(_xlfn.XLOOKUP($E377,'FW27'!$C$3:$C$1102,'FW27'!$AU$3:$AU$1102),"")</f>
        <v>Cap</v>
      </c>
      <c r="BE377" s="5" t="str">
        <f t="array" ref="BE377">IFERROR(_xlfn.XLOOKUP($E377,'FW27'!$C$3:$C$1102,'FW27'!$AV$3:$AV$1102),"")</f>
        <v>N</v>
      </c>
    </row>
    <row r="378" ht="16.5" hidden="1" customHeight="1">
      <c r="A378" s="5" t="s">
        <v>155</v>
      </c>
      <c r="B378" s="24" t="s">
        <v>0</v>
      </c>
      <c r="C378" s="5" t="b">
        <v>0</v>
      </c>
      <c r="D378" s="5" t="s">
        <v>743</v>
      </c>
      <c r="E378" s="5" t="s">
        <v>954</v>
      </c>
      <c r="F378" s="5"/>
      <c r="G378" s="5" t="s">
        <v>65</v>
      </c>
      <c r="H378" s="5" t="s">
        <v>76</v>
      </c>
      <c r="I378" s="5" t="s">
        <v>106</v>
      </c>
      <c r="J378" s="25" t="s">
        <v>271</v>
      </c>
      <c r="K378" s="25" t="s">
        <v>272</v>
      </c>
      <c r="L378" s="25"/>
      <c r="M378" s="5" t="s">
        <v>247</v>
      </c>
      <c r="N378" s="5" t="s">
        <v>334</v>
      </c>
      <c r="O378" s="5" t="s">
        <v>96</v>
      </c>
      <c r="P378" s="5" t="s">
        <v>70</v>
      </c>
      <c r="Q378" s="5" t="b">
        <v>1</v>
      </c>
      <c r="R378" s="5" t="b">
        <v>0</v>
      </c>
      <c r="S378" s="5"/>
      <c r="T378" s="24">
        <v>0.0</v>
      </c>
      <c r="U378" s="26">
        <v>2.1</v>
      </c>
      <c r="V378" s="5">
        <v>0.0</v>
      </c>
      <c r="W378" s="27">
        <v>0.0</v>
      </c>
      <c r="X378" s="28">
        <v>0.0</v>
      </c>
      <c r="Y378" s="27">
        <v>0.0</v>
      </c>
      <c r="Z378" s="24" t="s">
        <v>0</v>
      </c>
      <c r="AA378" s="5">
        <v>0.611</v>
      </c>
      <c r="AB378" s="5"/>
      <c r="AC378" s="5" t="s">
        <v>273</v>
      </c>
      <c r="AD378" s="24" t="s">
        <v>0</v>
      </c>
      <c r="AE378" s="24">
        <v>0.0</v>
      </c>
      <c r="AF378" s="5">
        <v>1.0</v>
      </c>
      <c r="AG378" s="5" t="s">
        <v>0</v>
      </c>
      <c r="AH378" s="5" t="s">
        <v>116</v>
      </c>
      <c r="AI378" s="42"/>
      <c r="AJ378" s="28">
        <v>0.0</v>
      </c>
      <c r="AK378" s="28">
        <v>0.0</v>
      </c>
      <c r="AL378" s="28">
        <v>0.0</v>
      </c>
      <c r="AM378" s="28">
        <v>0.0</v>
      </c>
      <c r="AN378" s="28">
        <v>0.0</v>
      </c>
      <c r="AO378" s="28">
        <v>0.0</v>
      </c>
      <c r="AP378" s="28">
        <v>0.0</v>
      </c>
      <c r="AQ378" s="28">
        <v>0.0</v>
      </c>
      <c r="AR378" s="28">
        <v>0.0</v>
      </c>
      <c r="AS378" s="28">
        <v>0.0</v>
      </c>
      <c r="AT378" s="28">
        <v>0.0</v>
      </c>
      <c r="AU378" s="28">
        <v>0.0</v>
      </c>
      <c r="AV378" s="28">
        <v>0.0</v>
      </c>
      <c r="AW378" s="28">
        <v>0.0</v>
      </c>
      <c r="AX378" s="5"/>
      <c r="AY378" s="5" t="str">
        <f t="array" ref="AY378">IFERROR(_xlfn.XLOOKUP($E378,'FW27'!$C$3:$C$1102,'FW27'!$AM$3:$AM$1102),"")</f>
        <v>Essentials</v>
      </c>
      <c r="AZ378" s="5" t="str">
        <f t="array" ref="AZ378">IFERROR(_xlfn.XLOOKUP($E378,'FW27'!$C$3:$C$1102,'FW27'!$AN$3:$AN$1102),"")</f>
        <v>Daily Essentials</v>
      </c>
      <c r="BA378" s="5" t="s">
        <v>237</v>
      </c>
      <c r="BB378" s="5" t="str">
        <f t="array" ref="BB378">IFERROR(_xlfn.XLOOKUP($E378,'FW27'!$C$3:$C$1102,'FW27'!$AS$3:$AS$1102),"")</f>
        <v>Tops</v>
      </c>
      <c r="BC378" s="5" t="str">
        <f t="array" ref="BC378">IFERROR(_xlfn.XLOOKUP($E378,'FW27'!$C$3:$C$1102,'FW27'!$AT$3:$AT$1102),"")</f>
        <v>Pullover</v>
      </c>
      <c r="BD378" s="5" t="str">
        <f t="array" ref="BD378">IFERROR(_xlfn.XLOOKUP($E378,'FW27'!$C$3:$C$1102,'FW27'!$AU$3:$AU$1102),"")</f>
        <v>Cotton/Graphic Tee</v>
      </c>
      <c r="BE378" s="5" t="str">
        <f t="array" ref="BE378">IFERROR(_xlfn.XLOOKUP($E378,'FW27'!$C$3:$C$1102,'FW27'!$AV$3:$AV$1102),"")</f>
        <v>N</v>
      </c>
    </row>
    <row r="379" ht="16.5" hidden="1" customHeight="1">
      <c r="A379" s="5" t="s">
        <v>155</v>
      </c>
      <c r="B379" s="5" t="s">
        <v>137</v>
      </c>
      <c r="C379" s="5" t="b">
        <v>1</v>
      </c>
      <c r="D379" s="5" t="s">
        <v>1781</v>
      </c>
      <c r="E379" s="5" t="s">
        <v>1782</v>
      </c>
      <c r="F379" s="5"/>
      <c r="G379" s="5" t="s">
        <v>65</v>
      </c>
      <c r="H379" s="5" t="s">
        <v>84</v>
      </c>
      <c r="I379" s="5" t="s">
        <v>82</v>
      </c>
      <c r="J379" s="25"/>
      <c r="K379" s="25"/>
      <c r="L379" s="25"/>
      <c r="M379" s="5" t="s">
        <v>247</v>
      </c>
      <c r="N379" s="5" t="s">
        <v>270</v>
      </c>
      <c r="O379" s="5" t="s">
        <v>69</v>
      </c>
      <c r="P379" s="5" t="s">
        <v>70</v>
      </c>
      <c r="Q379" s="5" t="b">
        <v>1</v>
      </c>
      <c r="R379" s="5" t="b">
        <v>0</v>
      </c>
      <c r="S379" s="5"/>
      <c r="T379" s="5">
        <v>1500.0</v>
      </c>
      <c r="U379" s="26">
        <v>2.1</v>
      </c>
      <c r="V379" s="5">
        <v>714.0</v>
      </c>
      <c r="W379" s="27">
        <v>0.0</v>
      </c>
      <c r="X379" s="28">
        <v>714.0</v>
      </c>
      <c r="Y379" s="27">
        <v>1.0</v>
      </c>
      <c r="Z379" s="5" t="s">
        <v>117</v>
      </c>
      <c r="AA379" s="5">
        <v>0.55</v>
      </c>
      <c r="AB379" s="5"/>
      <c r="AC379" s="5" t="s">
        <v>81</v>
      </c>
      <c r="AD379" s="5" t="s">
        <v>81</v>
      </c>
      <c r="AE379" s="5">
        <v>2.0</v>
      </c>
      <c r="AF379" s="5">
        <v>2.0</v>
      </c>
      <c r="AG379" s="5" t="s">
        <v>0</v>
      </c>
      <c r="AH379" s="5" t="s">
        <v>0</v>
      </c>
      <c r="AI379" s="42"/>
      <c r="AJ379" s="28">
        <v>1173.0</v>
      </c>
      <c r="AK379" s="28">
        <v>1803.0</v>
      </c>
      <c r="AL379" s="28">
        <v>0.0</v>
      </c>
      <c r="AM379" s="28">
        <v>0.0</v>
      </c>
      <c r="AN379" s="28">
        <v>0.0</v>
      </c>
      <c r="AO379" s="28">
        <v>837862.17</v>
      </c>
      <c r="AP379" s="28">
        <v>1287342.0</v>
      </c>
      <c r="AQ379" s="28">
        <v>0.0</v>
      </c>
      <c r="AR379" s="28">
        <v>0.0</v>
      </c>
      <c r="AS379" s="28">
        <v>0.0</v>
      </c>
      <c r="AT379" s="28">
        <v>645535.4451827242</v>
      </c>
      <c r="AU379" s="28">
        <v>850285.6522799999</v>
      </c>
      <c r="AV379" s="28">
        <v>0.0</v>
      </c>
      <c r="AW379" s="28">
        <v>0.0</v>
      </c>
      <c r="AX379" s="5"/>
      <c r="AY379" s="5" t="str">
        <f t="array" ref="AY379">IFERROR(_xlfn.XLOOKUP($E379,'FW27'!$C$3:$C$1102,'FW27'!$AM$3:$AM$1102),"")</f>
        <v>Essentials</v>
      </c>
      <c r="AZ379" s="5" t="str">
        <f t="array" ref="AZ379">IFERROR(_xlfn.XLOOKUP($E379,'FW27'!$C$3:$C$1102,'FW27'!$AN$3:$AN$1102),"")</f>
        <v>Daily Essentials</v>
      </c>
      <c r="BA379" s="5" t="s">
        <v>237</v>
      </c>
      <c r="BB379" s="5" t="str">
        <f t="array" ref="BB379">IFERROR(_xlfn.XLOOKUP($E379,'FW27'!$C$3:$C$1102,'FW27'!$AS$3:$AS$1102),"")</f>
        <v>Fleece/Midlayer</v>
      </c>
      <c r="BC379" s="5" t="str">
        <f t="array" ref="BC379">IFERROR(_xlfn.XLOOKUP($E379,'FW27'!$C$3:$C$1102,'FW27'!$AT$3:$AT$1102),"")</f>
        <v>Pullover</v>
      </c>
      <c r="BD379" s="5" t="str">
        <f t="array" ref="BD379">IFERROR(_xlfn.XLOOKUP($E379,'FW27'!$C$3:$C$1102,'FW27'!$AU$3:$AU$1102),"")</f>
        <v>Lightweight</v>
      </c>
      <c r="BE379" s="5" t="str">
        <f t="array" ref="BE379">IFERROR(_xlfn.XLOOKUP($E379,'FW27'!$C$3:$C$1102,'FW27'!$AV$3:$AV$1102),"")</f>
        <v>N</v>
      </c>
    </row>
    <row r="380" ht="16.5" hidden="1" customHeight="1">
      <c r="A380" s="5" t="s">
        <v>155</v>
      </c>
      <c r="B380" s="5" t="s">
        <v>137</v>
      </c>
      <c r="C380" s="5" t="b">
        <v>1</v>
      </c>
      <c r="D380" s="5" t="s">
        <v>1783</v>
      </c>
      <c r="E380" s="5" t="s">
        <v>1785</v>
      </c>
      <c r="F380" s="5"/>
      <c r="G380" s="5" t="s">
        <v>65</v>
      </c>
      <c r="H380" s="5" t="s">
        <v>84</v>
      </c>
      <c r="I380" s="5" t="s">
        <v>82</v>
      </c>
      <c r="J380" s="25"/>
      <c r="K380" s="25"/>
      <c r="L380" s="25"/>
      <c r="M380" s="5" t="s">
        <v>247</v>
      </c>
      <c r="N380" s="5" t="s">
        <v>270</v>
      </c>
      <c r="O380" s="5" t="s">
        <v>69</v>
      </c>
      <c r="P380" s="5" t="s">
        <v>107</v>
      </c>
      <c r="Q380" s="5" t="b">
        <v>1</v>
      </c>
      <c r="R380" s="5" t="b">
        <v>0</v>
      </c>
      <c r="S380" s="5"/>
      <c r="T380" s="5">
        <v>1500.0</v>
      </c>
      <c r="U380" s="26">
        <v>2.1</v>
      </c>
      <c r="V380" s="5">
        <v>714.0</v>
      </c>
      <c r="W380" s="27">
        <v>0.0</v>
      </c>
      <c r="X380" s="28">
        <v>714.0</v>
      </c>
      <c r="Y380" s="27">
        <v>1.0</v>
      </c>
      <c r="Z380" s="5" t="s">
        <v>117</v>
      </c>
      <c r="AA380" s="5">
        <v>0.58</v>
      </c>
      <c r="AB380" s="5"/>
      <c r="AC380" s="5" t="s">
        <v>81</v>
      </c>
      <c r="AD380" s="5" t="s">
        <v>81</v>
      </c>
      <c r="AE380" s="5">
        <v>2.0</v>
      </c>
      <c r="AF380" s="5">
        <v>2.0</v>
      </c>
      <c r="AG380" s="5" t="s">
        <v>0</v>
      </c>
      <c r="AH380" s="5" t="s">
        <v>0</v>
      </c>
      <c r="AI380" s="42"/>
      <c r="AJ380" s="28">
        <v>780.0</v>
      </c>
      <c r="AK380" s="28">
        <v>1387.0</v>
      </c>
      <c r="AL380" s="28">
        <v>0.0</v>
      </c>
      <c r="AM380" s="28">
        <v>0.0</v>
      </c>
      <c r="AN380" s="28">
        <v>0.0</v>
      </c>
      <c r="AO380" s="28">
        <v>557146.2000000001</v>
      </c>
      <c r="AP380" s="28">
        <v>990318.0</v>
      </c>
      <c r="AQ380" s="28">
        <v>0.0</v>
      </c>
      <c r="AR380" s="28">
        <v>0.0</v>
      </c>
      <c r="AS380" s="28">
        <v>0.0</v>
      </c>
      <c r="AT380" s="28">
        <v>441855.78427464</v>
      </c>
      <c r="AU380" s="28">
        <v>632588.3586549998</v>
      </c>
      <c r="AV380" s="28">
        <v>0.0</v>
      </c>
      <c r="AW380" s="28">
        <v>0.0</v>
      </c>
      <c r="AX380" s="5"/>
      <c r="AY380" s="5" t="str">
        <f t="array" ref="AY380">IFERROR(_xlfn.XLOOKUP($E380,'FW27'!$C$3:$C$1102,'FW27'!$AM$3:$AM$1102),"")</f>
        <v>Essentials</v>
      </c>
      <c r="AZ380" s="5" t="str">
        <f t="array" ref="AZ380">IFERROR(_xlfn.XLOOKUP($E380,'FW27'!$C$3:$C$1102,'FW27'!$AN$3:$AN$1102),"")</f>
        <v>Daily Essentials</v>
      </c>
      <c r="BA380" s="5" t="s">
        <v>237</v>
      </c>
      <c r="BB380" s="5" t="str">
        <f t="array" ref="BB380">IFERROR(_xlfn.XLOOKUP($E380,'FW27'!$C$3:$C$1102,'FW27'!$AS$3:$AS$1102),"")</f>
        <v>Fleece/Midlayer</v>
      </c>
      <c r="BC380" s="5" t="str">
        <f t="array" ref="BC380">IFERROR(_xlfn.XLOOKUP($E380,'FW27'!$C$3:$C$1102,'FW27'!$AT$3:$AT$1102),"")</f>
        <v>Pullover</v>
      </c>
      <c r="BD380" s="5" t="str">
        <f t="array" ref="BD380">IFERROR(_xlfn.XLOOKUP($E380,'FW27'!$C$3:$C$1102,'FW27'!$AU$3:$AU$1102),"")</f>
        <v>Lightweight</v>
      </c>
      <c r="BE380" s="5" t="str">
        <f t="array" ref="BE380">IFERROR(_xlfn.XLOOKUP($E380,'FW27'!$C$3:$C$1102,'FW27'!$AV$3:$AV$1102),"")</f>
        <v>N</v>
      </c>
    </row>
    <row r="381" ht="16.5" hidden="1" customHeight="1">
      <c r="A381" s="5" t="s">
        <v>155</v>
      </c>
      <c r="B381" s="5" t="s">
        <v>215</v>
      </c>
      <c r="C381" s="5" t="b">
        <v>1</v>
      </c>
      <c r="D381" s="5" t="s">
        <v>1786</v>
      </c>
      <c r="E381" s="5" t="s">
        <v>1787</v>
      </c>
      <c r="F381" s="5"/>
      <c r="G381" s="5" t="s">
        <v>65</v>
      </c>
      <c r="H381" s="5" t="s">
        <v>76</v>
      </c>
      <c r="I381" s="5" t="s">
        <v>82</v>
      </c>
      <c r="J381" s="25"/>
      <c r="K381" s="25"/>
      <c r="L381" s="25" t="s">
        <v>110</v>
      </c>
      <c r="M381" s="5" t="s">
        <v>247</v>
      </c>
      <c r="N381" s="5" t="s">
        <v>68</v>
      </c>
      <c r="O381" s="5" t="s">
        <v>69</v>
      </c>
      <c r="P381" s="5" t="s">
        <v>70</v>
      </c>
      <c r="Q381" s="5" t="b">
        <v>1</v>
      </c>
      <c r="R381" s="5" t="b">
        <v>0</v>
      </c>
      <c r="S381" s="5"/>
      <c r="T381" s="5">
        <v>8000.0</v>
      </c>
      <c r="U381" s="26">
        <v>2.1</v>
      </c>
      <c r="V381" s="5">
        <v>3810.0</v>
      </c>
      <c r="W381" s="27">
        <v>0.0</v>
      </c>
      <c r="X381" s="28">
        <v>3810.0</v>
      </c>
      <c r="Y381" s="27">
        <v>1.0</v>
      </c>
      <c r="Z381" s="5" t="s">
        <v>242</v>
      </c>
      <c r="AA381" s="5">
        <v>0.55</v>
      </c>
      <c r="AB381" s="5"/>
      <c r="AC381" s="5" t="s">
        <v>80</v>
      </c>
      <c r="AD381" s="5" t="s">
        <v>359</v>
      </c>
      <c r="AE381" s="5">
        <v>2.0</v>
      </c>
      <c r="AF381" s="5">
        <v>2.0</v>
      </c>
      <c r="AG381" s="5" t="s">
        <v>1873</v>
      </c>
      <c r="AH381" s="5" t="s">
        <v>0</v>
      </c>
      <c r="AI381" s="42"/>
      <c r="AJ381" s="28">
        <v>1079.0</v>
      </c>
      <c r="AK381" s="28">
        <v>1122.0</v>
      </c>
      <c r="AL381" s="28">
        <v>0.0</v>
      </c>
      <c r="AM381" s="28">
        <v>0.0</v>
      </c>
      <c r="AN381" s="28">
        <v>0.0</v>
      </c>
      <c r="AO381" s="28">
        <v>4110472.0800000005</v>
      </c>
      <c r="AP381" s="28">
        <v>4274820.0</v>
      </c>
      <c r="AQ381" s="28">
        <v>0.0</v>
      </c>
      <c r="AR381" s="28">
        <v>0.0</v>
      </c>
      <c r="AS381" s="28">
        <v>0.0</v>
      </c>
      <c r="AT381" s="28">
        <v>3289520.8284606864</v>
      </c>
      <c r="AU381" s="28">
        <v>3933520.3995</v>
      </c>
      <c r="AV381" s="28">
        <v>0.0</v>
      </c>
      <c r="AW381" s="28">
        <v>0.0</v>
      </c>
      <c r="AX381" s="5"/>
      <c r="AY381" s="5" t="str">
        <f t="array" ref="AY381">IFERROR(_xlfn.XLOOKUP($E381,'FW27'!$C$3:$C$1102,'FW27'!$AM$3:$AM$1102),"")</f>
        <v>Essentials</v>
      </c>
      <c r="AZ381" s="5" t="str">
        <f t="array" ref="AZ381">IFERROR(_xlfn.XLOOKUP($E381,'FW27'!$C$3:$C$1102,'FW27'!$AN$3:$AN$1102),"")</f>
        <v>Daily Essentials</v>
      </c>
      <c r="BA381" s="5" t="s">
        <v>237</v>
      </c>
      <c r="BB381" s="5" t="str">
        <f t="array" ref="BB381">IFERROR(_xlfn.XLOOKUP($E381,'FW27'!$C$3:$C$1102,'FW27'!$AS$3:$AS$1102),"")</f>
        <v>Shell</v>
      </c>
      <c r="BC381" s="5" t="str">
        <f t="array" ref="BC381">IFERROR(_xlfn.XLOOKUP($E381,'FW27'!$C$3:$C$1102,'FW27'!$AT$3:$AT$1102),"")</f>
        <v>Parka</v>
      </c>
      <c r="BD381" s="5" t="str">
        <f t="array" ref="BD381">IFERROR(_xlfn.XLOOKUP($E381,'FW27'!$C$3:$C$1102,'FW27'!$AU$3:$AU$1102),"")</f>
        <v>Insulated</v>
      </c>
      <c r="BE381" s="5" t="str">
        <f t="array" ref="BE381">IFERROR(_xlfn.XLOOKUP($E381,'FW27'!$C$3:$C$1102,'FW27'!$AV$3:$AV$1102),"")</f>
        <v>Y</v>
      </c>
    </row>
    <row r="382" ht="16.5" hidden="1" customHeight="1">
      <c r="A382" s="5" t="s">
        <v>155</v>
      </c>
      <c r="B382" s="5" t="s">
        <v>215</v>
      </c>
      <c r="C382" s="5" t="b">
        <v>1</v>
      </c>
      <c r="D382" s="5" t="s">
        <v>1788</v>
      </c>
      <c r="E382" s="5" t="s">
        <v>1789</v>
      </c>
      <c r="F382" s="5"/>
      <c r="G382" s="5" t="s">
        <v>65</v>
      </c>
      <c r="H382" s="5" t="s">
        <v>76</v>
      </c>
      <c r="I382" s="5" t="s">
        <v>82</v>
      </c>
      <c r="J382" s="25"/>
      <c r="K382" s="25"/>
      <c r="L382" s="25" t="s">
        <v>110</v>
      </c>
      <c r="M382" s="5" t="s">
        <v>247</v>
      </c>
      <c r="N382" s="5" t="s">
        <v>68</v>
      </c>
      <c r="O382" s="5" t="s">
        <v>69</v>
      </c>
      <c r="P382" s="5" t="s">
        <v>107</v>
      </c>
      <c r="Q382" s="5" t="b">
        <v>1</v>
      </c>
      <c r="R382" s="5" t="b">
        <v>0</v>
      </c>
      <c r="S382" s="5"/>
      <c r="T382" s="5">
        <v>8000.0</v>
      </c>
      <c r="U382" s="26">
        <v>2.1</v>
      </c>
      <c r="V382" s="5">
        <v>3810.0</v>
      </c>
      <c r="W382" s="27">
        <v>0.0</v>
      </c>
      <c r="X382" s="28">
        <v>3810.0</v>
      </c>
      <c r="Y382" s="27">
        <v>1.0</v>
      </c>
      <c r="Z382" s="5" t="s">
        <v>242</v>
      </c>
      <c r="AA382" s="5">
        <v>0.58</v>
      </c>
      <c r="AB382" s="5"/>
      <c r="AC382" s="5" t="s">
        <v>80</v>
      </c>
      <c r="AD382" s="5" t="s">
        <v>359</v>
      </c>
      <c r="AE382" s="5">
        <v>2.0</v>
      </c>
      <c r="AF382" s="5">
        <v>2.0</v>
      </c>
      <c r="AG382" s="5" t="s">
        <v>1873</v>
      </c>
      <c r="AH382" s="5" t="s">
        <v>0</v>
      </c>
      <c r="AI382" s="42"/>
      <c r="AJ382" s="28">
        <v>866.0</v>
      </c>
      <c r="AK382" s="28">
        <v>1397.0</v>
      </c>
      <c r="AL382" s="28">
        <v>0.0</v>
      </c>
      <c r="AM382" s="28">
        <v>0.0</v>
      </c>
      <c r="AN382" s="28">
        <v>0.0</v>
      </c>
      <c r="AO382" s="28">
        <v>3299044.3200000003</v>
      </c>
      <c r="AP382" s="28">
        <v>5322570.0</v>
      </c>
      <c r="AQ382" s="28">
        <v>0.0</v>
      </c>
      <c r="AR382" s="28">
        <v>0.0</v>
      </c>
      <c r="AS382" s="28">
        <v>0.0</v>
      </c>
      <c r="AT382" s="28">
        <v>2794782.9139534878</v>
      </c>
      <c r="AU382" s="28">
        <v>3384386.7337450003</v>
      </c>
      <c r="AV382" s="28">
        <v>0.0</v>
      </c>
      <c r="AW382" s="28">
        <v>0.0</v>
      </c>
      <c r="AX382" s="5"/>
      <c r="AY382" s="5" t="str">
        <f t="array" ref="AY382">IFERROR(_xlfn.XLOOKUP($E382,'FW27'!$C$3:$C$1102,'FW27'!$AM$3:$AM$1102),"")</f>
        <v>Essentials</v>
      </c>
      <c r="AZ382" s="5" t="str">
        <f t="array" ref="AZ382">IFERROR(_xlfn.XLOOKUP($E382,'FW27'!$C$3:$C$1102,'FW27'!$AN$3:$AN$1102),"")</f>
        <v>Daily Essentials</v>
      </c>
      <c r="BA382" s="5" t="s">
        <v>237</v>
      </c>
      <c r="BB382" s="5" t="str">
        <f t="array" ref="BB382">IFERROR(_xlfn.XLOOKUP($E382,'FW27'!$C$3:$C$1102,'FW27'!$AS$3:$AS$1102),"")</f>
        <v>Shell</v>
      </c>
      <c r="BC382" s="5" t="str">
        <f t="array" ref="BC382">IFERROR(_xlfn.XLOOKUP($E382,'FW27'!$C$3:$C$1102,'FW27'!$AT$3:$AT$1102),"")</f>
        <v>Parka</v>
      </c>
      <c r="BD382" s="5" t="str">
        <f t="array" ref="BD382">IFERROR(_xlfn.XLOOKUP($E382,'FW27'!$C$3:$C$1102,'FW27'!$AU$3:$AU$1102),"")</f>
        <v>Insulated</v>
      </c>
      <c r="BE382" s="5" t="str">
        <f t="array" ref="BE382">IFERROR(_xlfn.XLOOKUP($E382,'FW27'!$C$3:$C$1102,'FW27'!$AV$3:$AV$1102),"")</f>
        <v>Y</v>
      </c>
    </row>
    <row r="383" ht="16.5" hidden="1" customHeight="1">
      <c r="A383" s="5" t="s">
        <v>155</v>
      </c>
      <c r="B383" s="5" t="s">
        <v>215</v>
      </c>
      <c r="C383" s="5" t="b">
        <v>1</v>
      </c>
      <c r="D383" s="5" t="s">
        <v>1790</v>
      </c>
      <c r="E383" s="5" t="s">
        <v>1791</v>
      </c>
      <c r="F383" s="5"/>
      <c r="G383" s="5" t="s">
        <v>65</v>
      </c>
      <c r="H383" s="5" t="s">
        <v>76</v>
      </c>
      <c r="I383" s="5" t="s">
        <v>82</v>
      </c>
      <c r="J383" s="25"/>
      <c r="K383" s="25"/>
      <c r="L383" s="25"/>
      <c r="M383" s="5" t="s">
        <v>220</v>
      </c>
      <c r="N383" s="5" t="s">
        <v>248</v>
      </c>
      <c r="O383" s="5" t="s">
        <v>69</v>
      </c>
      <c r="P383" s="5" t="s">
        <v>249</v>
      </c>
      <c r="Q383" s="5" t="b">
        <v>1</v>
      </c>
      <c r="R383" s="5" t="b">
        <v>0</v>
      </c>
      <c r="S383" s="5"/>
      <c r="T383" s="5">
        <v>500.0</v>
      </c>
      <c r="U383" s="26">
        <v>1.9</v>
      </c>
      <c r="V383" s="5">
        <v>263.0</v>
      </c>
      <c r="W383" s="27">
        <v>0.0</v>
      </c>
      <c r="X383" s="28">
        <v>263.0</v>
      </c>
      <c r="Y383" s="27">
        <v>1.0</v>
      </c>
      <c r="Z383" s="5" t="s">
        <v>117</v>
      </c>
      <c r="AA383" s="5">
        <v>0.613</v>
      </c>
      <c r="AB383" s="5"/>
      <c r="AC383" s="5" t="s">
        <v>81</v>
      </c>
      <c r="AD383" s="5" t="s">
        <v>81</v>
      </c>
      <c r="AE383" s="5">
        <v>5.0</v>
      </c>
      <c r="AF383" s="5">
        <v>5.0</v>
      </c>
      <c r="AG383" s="5" t="s">
        <v>1875</v>
      </c>
      <c r="AH383" s="5" t="s">
        <v>0</v>
      </c>
      <c r="AI383" s="42"/>
      <c r="AJ383" s="28">
        <v>3241.0</v>
      </c>
      <c r="AK383" s="28">
        <v>0.0</v>
      </c>
      <c r="AL383" s="28">
        <v>0.0</v>
      </c>
      <c r="AM383" s="28">
        <v>0.0</v>
      </c>
      <c r="AN383" s="28">
        <v>0.0</v>
      </c>
      <c r="AO383" s="28">
        <v>852901.56</v>
      </c>
      <c r="AP383" s="28">
        <v>0.0</v>
      </c>
      <c r="AQ383" s="28">
        <v>0.0</v>
      </c>
      <c r="AR383" s="28">
        <v>0.0</v>
      </c>
      <c r="AS383" s="28">
        <v>0.0</v>
      </c>
      <c r="AT383" s="28">
        <v>721417.5921052634</v>
      </c>
      <c r="AU383" s="28">
        <v>0.0</v>
      </c>
      <c r="AV383" s="28">
        <v>0.0</v>
      </c>
      <c r="AW383" s="28">
        <v>0.0</v>
      </c>
      <c r="AX383" s="5"/>
      <c r="AY383" s="5" t="str">
        <f t="array" ref="AY383">IFERROR(_xlfn.XLOOKUP($E383,'FW27'!$C$3:$C$1102,'FW27'!$AM$3:$AM$1102),"")</f>
        <v>Essentials</v>
      </c>
      <c r="AZ383" s="5" t="str">
        <f t="array" ref="AZ383">IFERROR(_xlfn.XLOOKUP($E383,'FW27'!$C$3:$C$1102,'FW27'!$AN$3:$AN$1102),"")</f>
        <v>Active Essentials</v>
      </c>
      <c r="BB383" s="5" t="str">
        <f t="array" ref="BB383">IFERROR(_xlfn.XLOOKUP($E383,'FW27'!$C$3:$C$1102,'FW27'!$AS$3:$AS$1102),"")</f>
        <v>Accessories</v>
      </c>
      <c r="BC383" s="5" t="str">
        <f t="array" ref="BC383">IFERROR(_xlfn.XLOOKUP($E383,'FW27'!$C$3:$C$1102,'FW27'!$AT$3:$AT$1102),"")</f>
        <v>Headwear</v>
      </c>
      <c r="BD383" s="5" t="str">
        <f t="array" ref="BD383">IFERROR(_xlfn.XLOOKUP($E383,'FW27'!$C$3:$C$1102,'FW27'!$AU$3:$AU$1102),"")</f>
        <v>Beanie</v>
      </c>
      <c r="BE383" s="5" t="str">
        <f t="array" ref="BE383">IFERROR(_xlfn.XLOOKUP($E383,'FW27'!$C$3:$C$1102,'FW27'!$AV$3:$AV$1102),"")</f>
        <v>N</v>
      </c>
    </row>
    <row r="384" ht="16.5" hidden="1" customHeight="1">
      <c r="A384" s="5" t="s">
        <v>155</v>
      </c>
      <c r="B384" s="5" t="s">
        <v>215</v>
      </c>
      <c r="C384" s="5" t="b">
        <v>1</v>
      </c>
      <c r="D384" s="5" t="s">
        <v>1792</v>
      </c>
      <c r="E384" s="5" t="s">
        <v>1793</v>
      </c>
      <c r="F384" s="5"/>
      <c r="G384" s="5" t="s">
        <v>65</v>
      </c>
      <c r="H384" s="5" t="s">
        <v>76</v>
      </c>
      <c r="I384" s="5" t="s">
        <v>82</v>
      </c>
      <c r="J384" s="25"/>
      <c r="K384" s="25"/>
      <c r="L384" s="25" t="s">
        <v>110</v>
      </c>
      <c r="M384" s="5" t="s">
        <v>220</v>
      </c>
      <c r="N384" s="5" t="s">
        <v>68</v>
      </c>
      <c r="O384" s="5" t="s">
        <v>69</v>
      </c>
      <c r="P384" s="5" t="s">
        <v>70</v>
      </c>
      <c r="Q384" s="5" t="b">
        <v>1</v>
      </c>
      <c r="R384" s="5" t="b">
        <v>0</v>
      </c>
      <c r="S384" s="5"/>
      <c r="T384" s="5">
        <v>6500.0</v>
      </c>
      <c r="U384" s="26">
        <v>1.9</v>
      </c>
      <c r="V384" s="5">
        <v>3421.0</v>
      </c>
      <c r="W384" s="27">
        <v>0.0</v>
      </c>
      <c r="X384" s="28">
        <v>3421.0</v>
      </c>
      <c r="Y384" s="27">
        <v>1.0</v>
      </c>
      <c r="Z384" s="5" t="s">
        <v>117</v>
      </c>
      <c r="AA384" s="5">
        <v>0.5920000000000001</v>
      </c>
      <c r="AB384" s="5"/>
      <c r="AC384" s="5" t="s">
        <v>80</v>
      </c>
      <c r="AD384" s="5" t="s">
        <v>81</v>
      </c>
      <c r="AE384" s="5">
        <v>4.0</v>
      </c>
      <c r="AF384" s="5">
        <v>4.0</v>
      </c>
      <c r="AG384" s="5" t="s">
        <v>1877</v>
      </c>
      <c r="AH384" s="5" t="s">
        <v>0</v>
      </c>
      <c r="AI384" s="42"/>
      <c r="AJ384" s="28">
        <v>1490.0</v>
      </c>
      <c r="AK384" s="28">
        <v>1523.0</v>
      </c>
      <c r="AL384" s="28">
        <v>0.0</v>
      </c>
      <c r="AM384" s="28">
        <v>0.0</v>
      </c>
      <c r="AN384" s="28">
        <v>0.0</v>
      </c>
      <c r="AO384" s="28">
        <v>5097364.5</v>
      </c>
      <c r="AP384" s="28">
        <v>5210183.0</v>
      </c>
      <c r="AQ384" s="28">
        <v>0.0</v>
      </c>
      <c r="AR384" s="28">
        <v>0.0</v>
      </c>
      <c r="AS384" s="28">
        <v>0.0</v>
      </c>
      <c r="AT384" s="28">
        <v>4233171.0</v>
      </c>
      <c r="AU384" s="28">
        <v>4409143.818538</v>
      </c>
      <c r="AV384" s="28">
        <v>0.0</v>
      </c>
      <c r="AW384" s="28">
        <v>0.0</v>
      </c>
      <c r="AX384" s="5"/>
      <c r="AY384" s="5" t="str">
        <f t="array" ref="AY384">IFERROR(_xlfn.XLOOKUP($E384,'FW27'!$C$3:$C$1102,'FW27'!$AM$3:$AM$1102),"")</f>
        <v>Skiing/Snowboarding</v>
      </c>
      <c r="AZ384" s="5" t="str">
        <f t="array" ref="AZ384">IFERROR(_xlfn.XLOOKUP($E384,'FW27'!$C$3:$C$1102,'FW27'!$AN$3:$AN$1102),"")</f>
        <v>Freeride</v>
      </c>
      <c r="BA384" s="5" t="s">
        <v>1878</v>
      </c>
      <c r="BB384" s="5" t="str">
        <f t="array" ref="BB384">IFERROR(_xlfn.XLOOKUP($E384,'FW27'!$C$3:$C$1102,'FW27'!$AS$3:$AS$1102),"")</f>
        <v>Shell</v>
      </c>
      <c r="BC384" s="5" t="str">
        <f t="array" ref="BC384">IFERROR(_xlfn.XLOOKUP($E384,'FW27'!$C$3:$C$1102,'FW27'!$AT$3:$AT$1102),"")</f>
        <v>Jacket</v>
      </c>
      <c r="BD384" s="5" t="str">
        <f t="array" ref="BD384">IFERROR(_xlfn.XLOOKUP($E384,'FW27'!$C$3:$C$1102,'FW27'!$AU$3:$AU$1102),"")</f>
        <v>3L</v>
      </c>
      <c r="BE384" s="5" t="str">
        <f t="array" ref="BE384">IFERROR(_xlfn.XLOOKUP($E384,'FW27'!$C$3:$C$1102,'FW27'!$AV$3:$AV$1102),"")</f>
        <v>Y</v>
      </c>
    </row>
    <row r="385" ht="16.5" hidden="1" customHeight="1">
      <c r="A385" s="5" t="s">
        <v>155</v>
      </c>
      <c r="B385" s="5" t="s">
        <v>215</v>
      </c>
      <c r="C385" s="5" t="b">
        <v>1</v>
      </c>
      <c r="D385" s="5" t="s">
        <v>1794</v>
      </c>
      <c r="E385" s="5" t="s">
        <v>1795</v>
      </c>
      <c r="F385" s="5"/>
      <c r="G385" s="5" t="s">
        <v>65</v>
      </c>
      <c r="H385" s="5" t="s">
        <v>76</v>
      </c>
      <c r="I385" s="5" t="s">
        <v>82</v>
      </c>
      <c r="J385" s="25"/>
      <c r="K385" s="25"/>
      <c r="L385" s="25" t="s">
        <v>110</v>
      </c>
      <c r="M385" s="5" t="s">
        <v>220</v>
      </c>
      <c r="N385" s="5" t="s">
        <v>68</v>
      </c>
      <c r="O385" s="5" t="s">
        <v>69</v>
      </c>
      <c r="P385" s="5" t="s">
        <v>107</v>
      </c>
      <c r="Q385" s="5" t="b">
        <v>1</v>
      </c>
      <c r="R385" s="5" t="b">
        <v>0</v>
      </c>
      <c r="S385" s="5"/>
      <c r="T385" s="5">
        <v>6500.0</v>
      </c>
      <c r="U385" s="26">
        <v>1.9</v>
      </c>
      <c r="V385" s="5">
        <v>3421.0</v>
      </c>
      <c r="W385" s="27">
        <v>0.0</v>
      </c>
      <c r="X385" s="28">
        <v>3421.0</v>
      </c>
      <c r="Y385" s="27">
        <v>1.0</v>
      </c>
      <c r="Z385" s="5" t="s">
        <v>117</v>
      </c>
      <c r="AA385" s="5">
        <v>0.575</v>
      </c>
      <c r="AB385" s="5"/>
      <c r="AC385" s="5" t="s">
        <v>80</v>
      </c>
      <c r="AD385" s="5" t="s">
        <v>81</v>
      </c>
      <c r="AE385" s="5">
        <v>3.0</v>
      </c>
      <c r="AF385" s="5">
        <v>3.0</v>
      </c>
      <c r="AG385" s="5" t="s">
        <v>1879</v>
      </c>
      <c r="AH385" s="5" t="s">
        <v>0</v>
      </c>
      <c r="AI385" s="42"/>
      <c r="AJ385" s="28">
        <v>1049.0</v>
      </c>
      <c r="AK385" s="28">
        <v>994.0</v>
      </c>
      <c r="AL385" s="28">
        <v>0.0</v>
      </c>
      <c r="AM385" s="28">
        <v>0.0</v>
      </c>
      <c r="AN385" s="28">
        <v>0.0</v>
      </c>
      <c r="AO385" s="28">
        <v>3588681.45</v>
      </c>
      <c r="AP385" s="28">
        <v>3400474.0</v>
      </c>
      <c r="AQ385" s="28">
        <v>0.0</v>
      </c>
      <c r="AR385" s="28">
        <v>0.0</v>
      </c>
      <c r="AS385" s="28">
        <v>0.0</v>
      </c>
      <c r="AT385" s="28">
        <v>3095859.671052632</v>
      </c>
      <c r="AU385" s="28">
        <v>2972263.5255599995</v>
      </c>
      <c r="AV385" s="28">
        <v>0.0</v>
      </c>
      <c r="AW385" s="28">
        <v>0.0</v>
      </c>
      <c r="AX385" s="5"/>
      <c r="AY385" s="5" t="str">
        <f t="array" ref="AY385">IFERROR(_xlfn.XLOOKUP($E385,'FW27'!$C$3:$C$1102,'FW27'!$AM$3:$AM$1102),"")</f>
        <v>Skiing/Snowboarding</v>
      </c>
      <c r="AZ385" s="5" t="str">
        <f t="array" ref="AZ385">IFERROR(_xlfn.XLOOKUP($E385,'FW27'!$C$3:$C$1102,'FW27'!$AN$3:$AN$1102),"")</f>
        <v>Freeride</v>
      </c>
      <c r="BA385" s="5" t="s">
        <v>1878</v>
      </c>
      <c r="BB385" s="5" t="str">
        <f t="array" ref="BB385">IFERROR(_xlfn.XLOOKUP($E385,'FW27'!$C$3:$C$1102,'FW27'!$AS$3:$AS$1102),"")</f>
        <v>Shell</v>
      </c>
      <c r="BC385" s="5" t="str">
        <f t="array" ref="BC385">IFERROR(_xlfn.XLOOKUP($E385,'FW27'!$C$3:$C$1102,'FW27'!$AT$3:$AT$1102),"")</f>
        <v>Jacket</v>
      </c>
      <c r="BD385" s="5" t="str">
        <f t="array" ref="BD385">IFERROR(_xlfn.XLOOKUP($E385,'FW27'!$C$3:$C$1102,'FW27'!$AU$3:$AU$1102),"")</f>
        <v>3L</v>
      </c>
      <c r="BE385" s="5" t="str">
        <f t="array" ref="BE385">IFERROR(_xlfn.XLOOKUP($E385,'FW27'!$C$3:$C$1102,'FW27'!$AV$3:$AV$1102),"")</f>
        <v>Y</v>
      </c>
    </row>
    <row r="386" ht="16.5" hidden="1" customHeight="1">
      <c r="A386" s="5" t="s">
        <v>155</v>
      </c>
      <c r="B386" s="5" t="s">
        <v>215</v>
      </c>
      <c r="C386" s="5" t="b">
        <v>1</v>
      </c>
      <c r="D386" s="5" t="s">
        <v>1796</v>
      </c>
      <c r="E386" s="5" t="s">
        <v>1797</v>
      </c>
      <c r="F386" s="5"/>
      <c r="G386" s="5" t="s">
        <v>65</v>
      </c>
      <c r="H386" s="5" t="s">
        <v>76</v>
      </c>
      <c r="I386" s="5" t="s">
        <v>82</v>
      </c>
      <c r="J386" s="25"/>
      <c r="K386" s="25"/>
      <c r="L386" s="25" t="s">
        <v>181</v>
      </c>
      <c r="M386" s="5" t="s">
        <v>220</v>
      </c>
      <c r="N386" s="5" t="s">
        <v>68</v>
      </c>
      <c r="O386" s="5" t="s">
        <v>69</v>
      </c>
      <c r="P386" s="5" t="s">
        <v>70</v>
      </c>
      <c r="Q386" s="5" t="b">
        <v>1</v>
      </c>
      <c r="R386" s="5" t="b">
        <v>0</v>
      </c>
      <c r="S386" s="5"/>
      <c r="T386" s="5">
        <v>5500.0</v>
      </c>
      <c r="U386" s="26">
        <v>1.9</v>
      </c>
      <c r="V386" s="5">
        <v>2895.0</v>
      </c>
      <c r="W386" s="27">
        <v>0.0</v>
      </c>
      <c r="X386" s="28">
        <v>2895.0</v>
      </c>
      <c r="Y386" s="27">
        <v>1.0</v>
      </c>
      <c r="Z386" s="5" t="s">
        <v>117</v>
      </c>
      <c r="AA386" s="5">
        <v>0.5920000000000001</v>
      </c>
      <c r="AB386" s="5"/>
      <c r="AC386" s="5" t="s">
        <v>80</v>
      </c>
      <c r="AD386" s="5" t="s">
        <v>81</v>
      </c>
      <c r="AE386" s="5">
        <v>3.0</v>
      </c>
      <c r="AF386" s="5">
        <v>3.0</v>
      </c>
      <c r="AG386" s="5" t="s">
        <v>1881</v>
      </c>
      <c r="AH386" s="5" t="s">
        <v>0</v>
      </c>
      <c r="AI386" s="42"/>
      <c r="AJ386" s="28">
        <v>1302.0</v>
      </c>
      <c r="AK386" s="28">
        <v>1286.0</v>
      </c>
      <c r="AL386" s="28">
        <v>0.0</v>
      </c>
      <c r="AM386" s="28">
        <v>0.0</v>
      </c>
      <c r="AN386" s="28">
        <v>0.0</v>
      </c>
      <c r="AO386" s="28">
        <v>3768951.48</v>
      </c>
      <c r="AP386" s="28">
        <v>3722970.0</v>
      </c>
      <c r="AQ386" s="28">
        <v>0.0</v>
      </c>
      <c r="AR386" s="28">
        <v>0.0</v>
      </c>
      <c r="AS386" s="28">
        <v>0.0</v>
      </c>
      <c r="AT386" s="28">
        <v>3299042.257894737</v>
      </c>
      <c r="AU386" s="28">
        <v>3302417.8787230006</v>
      </c>
      <c r="AV386" s="28">
        <v>0.0</v>
      </c>
      <c r="AW386" s="28">
        <v>0.0</v>
      </c>
      <c r="AX386" s="5"/>
      <c r="AY386" s="5" t="str">
        <f t="array" ref="AY386">IFERROR(_xlfn.XLOOKUP($E386,'FW27'!$C$3:$C$1102,'FW27'!$AM$3:$AM$1102),"")</f>
        <v>Skiing/Snowboarding</v>
      </c>
      <c r="AZ386" s="5" t="str">
        <f t="array" ref="AZ386">IFERROR(_xlfn.XLOOKUP($E386,'FW27'!$C$3:$C$1102,'FW27'!$AN$3:$AN$1102),"")</f>
        <v>Freeride</v>
      </c>
      <c r="BA386" s="5" t="s">
        <v>1878</v>
      </c>
      <c r="BB386" s="5" t="str">
        <f t="array" ref="BB386">IFERROR(_xlfn.XLOOKUP($E386,'FW27'!$C$3:$C$1102,'FW27'!$AS$3:$AS$1102),"")</f>
        <v>Shell</v>
      </c>
      <c r="BC386" s="5" t="str">
        <f t="array" ref="BC386">IFERROR(_xlfn.XLOOKUP($E386,'FW27'!$C$3:$C$1102,'FW27'!$AT$3:$AT$1102),"")</f>
        <v>Pant</v>
      </c>
      <c r="BD386" s="5" t="str">
        <f t="array" ref="BD386">IFERROR(_xlfn.XLOOKUP($E386,'FW27'!$C$3:$C$1102,'FW27'!$AU$3:$AU$1102),"")</f>
        <v>3L</v>
      </c>
      <c r="BE386" s="5" t="str">
        <f t="array" ref="BE386">IFERROR(_xlfn.XLOOKUP($E386,'FW27'!$C$3:$C$1102,'FW27'!$AV$3:$AV$1102),"")</f>
        <v>Y</v>
      </c>
    </row>
    <row r="387" ht="16.5" hidden="1" customHeight="1">
      <c r="A387" s="5" t="s">
        <v>155</v>
      </c>
      <c r="B387" s="5" t="s">
        <v>215</v>
      </c>
      <c r="C387" s="5" t="b">
        <v>1</v>
      </c>
      <c r="D387" s="5" t="s">
        <v>1798</v>
      </c>
      <c r="E387" s="5" t="s">
        <v>1799</v>
      </c>
      <c r="F387" s="5"/>
      <c r="G387" s="5" t="s">
        <v>65</v>
      </c>
      <c r="H387" s="5" t="s">
        <v>76</v>
      </c>
      <c r="I387" s="5" t="s">
        <v>82</v>
      </c>
      <c r="J387" s="25"/>
      <c r="K387" s="25"/>
      <c r="L387" s="25" t="s">
        <v>181</v>
      </c>
      <c r="M387" s="5" t="s">
        <v>220</v>
      </c>
      <c r="N387" s="5" t="s">
        <v>68</v>
      </c>
      <c r="O387" s="5" t="s">
        <v>69</v>
      </c>
      <c r="P387" s="5" t="s">
        <v>107</v>
      </c>
      <c r="Q387" s="5" t="b">
        <v>1</v>
      </c>
      <c r="R387" s="5" t="b">
        <v>0</v>
      </c>
      <c r="S387" s="5"/>
      <c r="T387" s="5">
        <v>5500.0</v>
      </c>
      <c r="U387" s="26">
        <v>1.9</v>
      </c>
      <c r="V387" s="5">
        <v>2895.0</v>
      </c>
      <c r="W387" s="27">
        <v>0.0</v>
      </c>
      <c r="X387" s="28">
        <v>2895.0</v>
      </c>
      <c r="Y387" s="27">
        <v>1.0</v>
      </c>
      <c r="Z387" s="5" t="s">
        <v>117</v>
      </c>
      <c r="AA387" s="5">
        <v>0.575</v>
      </c>
      <c r="AB387" s="5"/>
      <c r="AC387" s="5" t="s">
        <v>80</v>
      </c>
      <c r="AD387" s="5" t="s">
        <v>81</v>
      </c>
      <c r="AE387" s="5">
        <v>3.0</v>
      </c>
      <c r="AF387" s="5">
        <v>3.0</v>
      </c>
      <c r="AG387" s="5" t="s">
        <v>1882</v>
      </c>
      <c r="AH387" s="5" t="s">
        <v>0</v>
      </c>
      <c r="AI387" s="42"/>
      <c r="AJ387" s="28">
        <v>979.0</v>
      </c>
      <c r="AK387" s="28">
        <v>895.0</v>
      </c>
      <c r="AL387" s="28">
        <v>0.0</v>
      </c>
      <c r="AM387" s="28">
        <v>0.0</v>
      </c>
      <c r="AN387" s="28">
        <v>0.0</v>
      </c>
      <c r="AO387" s="28">
        <v>2833950.46</v>
      </c>
      <c r="AP387" s="28">
        <v>2591025.0</v>
      </c>
      <c r="AQ387" s="28">
        <v>0.0</v>
      </c>
      <c r="AR387" s="28">
        <v>0.0</v>
      </c>
      <c r="AS387" s="28">
        <v>0.0</v>
      </c>
      <c r="AT387" s="28">
        <v>2574443.105263158</v>
      </c>
      <c r="AU387" s="28">
        <v>2372101.748295</v>
      </c>
      <c r="AV387" s="28">
        <v>0.0</v>
      </c>
      <c r="AW387" s="28">
        <v>0.0</v>
      </c>
      <c r="AX387" s="5"/>
      <c r="AY387" s="5" t="str">
        <f t="array" ref="AY387">IFERROR(_xlfn.XLOOKUP($E387,'FW27'!$C$3:$C$1102,'FW27'!$AM$3:$AM$1102),"")</f>
        <v>Skiing/Snowboarding</v>
      </c>
      <c r="AZ387" s="5" t="str">
        <f t="array" ref="AZ387">IFERROR(_xlfn.XLOOKUP($E387,'FW27'!$C$3:$C$1102,'FW27'!$AN$3:$AN$1102),"")</f>
        <v>Freeride</v>
      </c>
      <c r="BA387" s="5" t="s">
        <v>1878</v>
      </c>
      <c r="BB387" s="5" t="str">
        <f t="array" ref="BB387">IFERROR(_xlfn.XLOOKUP($E387,'FW27'!$C$3:$C$1102,'FW27'!$AS$3:$AS$1102),"")</f>
        <v>Shell</v>
      </c>
      <c r="BC387" s="5" t="str">
        <f t="array" ref="BC387">IFERROR(_xlfn.XLOOKUP($E387,'FW27'!$C$3:$C$1102,'FW27'!$AT$3:$AT$1102),"")</f>
        <v>Pant</v>
      </c>
      <c r="BD387" s="5" t="str">
        <f t="array" ref="BD387">IFERROR(_xlfn.XLOOKUP($E387,'FW27'!$C$3:$C$1102,'FW27'!$AU$3:$AU$1102),"")</f>
        <v>3L</v>
      </c>
      <c r="BE387" s="5" t="str">
        <f t="array" ref="BE387">IFERROR(_xlfn.XLOOKUP($E387,'FW27'!$C$3:$C$1102,'FW27'!$AV$3:$AV$1102),"")</f>
        <v>Y</v>
      </c>
    </row>
    <row r="388" ht="16.5" hidden="1" customHeight="1">
      <c r="A388" s="5" t="s">
        <v>155</v>
      </c>
      <c r="B388" s="5" t="s">
        <v>215</v>
      </c>
      <c r="C388" s="5" t="b">
        <v>1</v>
      </c>
      <c r="D388" s="5" t="s">
        <v>1800</v>
      </c>
      <c r="E388" s="5" t="s">
        <v>1801</v>
      </c>
      <c r="F388" s="5"/>
      <c r="G388" s="5" t="s">
        <v>65</v>
      </c>
      <c r="H388" s="5" t="s">
        <v>76</v>
      </c>
      <c r="I388" s="5" t="s">
        <v>82</v>
      </c>
      <c r="J388" s="25"/>
      <c r="K388" s="25"/>
      <c r="L388" s="25" t="s">
        <v>181</v>
      </c>
      <c r="M388" s="5" t="s">
        <v>220</v>
      </c>
      <c r="N388" s="5" t="s">
        <v>68</v>
      </c>
      <c r="O388" s="5" t="s">
        <v>69</v>
      </c>
      <c r="P388" s="5" t="s">
        <v>70</v>
      </c>
      <c r="Q388" s="5" t="b">
        <v>1</v>
      </c>
      <c r="R388" s="5" t="b">
        <v>0</v>
      </c>
      <c r="S388" s="5"/>
      <c r="T388" s="5">
        <v>6500.0</v>
      </c>
      <c r="U388" s="26">
        <v>1.9</v>
      </c>
      <c r="V388" s="5">
        <v>3421.0</v>
      </c>
      <c r="W388" s="27">
        <v>0.0</v>
      </c>
      <c r="X388" s="28">
        <v>3421.0</v>
      </c>
      <c r="Y388" s="27">
        <v>1.0</v>
      </c>
      <c r="Z388" s="5" t="s">
        <v>242</v>
      </c>
      <c r="AA388" s="5">
        <v>0.5920000000000001</v>
      </c>
      <c r="AB388" s="5"/>
      <c r="AC388" s="5" t="s">
        <v>80</v>
      </c>
      <c r="AD388" s="5" t="s">
        <v>81</v>
      </c>
      <c r="AE388" s="5">
        <v>3.0</v>
      </c>
      <c r="AF388" s="5">
        <v>3.0</v>
      </c>
      <c r="AG388" s="5" t="s">
        <v>1884</v>
      </c>
      <c r="AH388" s="5" t="s">
        <v>0</v>
      </c>
      <c r="AI388" s="42"/>
      <c r="AJ388" s="28">
        <v>1404.0</v>
      </c>
      <c r="AK388" s="28">
        <v>1203.0</v>
      </c>
      <c r="AL388" s="28">
        <v>0.0</v>
      </c>
      <c r="AM388" s="28">
        <v>0.0</v>
      </c>
      <c r="AN388" s="28">
        <v>0.0</v>
      </c>
      <c r="AO388" s="28">
        <v>4803154.2</v>
      </c>
      <c r="AP388" s="28">
        <v>4115463.0</v>
      </c>
      <c r="AQ388" s="28">
        <v>0.0</v>
      </c>
      <c r="AR388" s="28">
        <v>0.0</v>
      </c>
      <c r="AS388" s="28">
        <v>0.0</v>
      </c>
      <c r="AT388" s="28">
        <v>4088172.0</v>
      </c>
      <c r="AU388" s="28">
        <v>3544111.6430599997</v>
      </c>
      <c r="AV388" s="28">
        <v>0.0</v>
      </c>
      <c r="AW388" s="28">
        <v>0.0</v>
      </c>
      <c r="AX388" s="5"/>
      <c r="AY388" s="5" t="str">
        <f t="array" ref="AY388">IFERROR(_xlfn.XLOOKUP($E388,'FW27'!$C$3:$C$1102,'FW27'!$AM$3:$AM$1102),"")</f>
        <v>Skiing/Snowboarding</v>
      </c>
      <c r="AZ388" s="5" t="str">
        <f t="array" ref="AZ388">IFERROR(_xlfn.XLOOKUP($E388,'FW27'!$C$3:$C$1102,'FW27'!$AN$3:$AN$1102),"")</f>
        <v>Freeride</v>
      </c>
      <c r="BA388" s="5" t="s">
        <v>1878</v>
      </c>
      <c r="BB388" s="5" t="str">
        <f t="array" ref="BB388">IFERROR(_xlfn.XLOOKUP($E388,'FW27'!$C$3:$C$1102,'FW27'!$AS$3:$AS$1102),"")</f>
        <v>Shell</v>
      </c>
      <c r="BC388" s="5" t="str">
        <f t="array" ref="BC388">IFERROR(_xlfn.XLOOKUP($E388,'FW27'!$C$3:$C$1102,'FW27'!$AT$3:$AT$1102),"")</f>
        <v>Bibs</v>
      </c>
      <c r="BD388" s="5" t="str">
        <f t="array" ref="BD388">IFERROR(_xlfn.XLOOKUP($E388,'FW27'!$C$3:$C$1102,'FW27'!$AU$3:$AU$1102),"")</f>
        <v>3L</v>
      </c>
      <c r="BE388" s="5" t="str">
        <f t="array" ref="BE388">IFERROR(_xlfn.XLOOKUP($E388,'FW27'!$C$3:$C$1102,'FW27'!$AV$3:$AV$1102),"")</f>
        <v>Y</v>
      </c>
    </row>
    <row r="389" ht="16.5" hidden="1" customHeight="1">
      <c r="A389" s="5" t="s">
        <v>155</v>
      </c>
      <c r="B389" s="5" t="s">
        <v>215</v>
      </c>
      <c r="C389" s="5" t="b">
        <v>1</v>
      </c>
      <c r="D389" s="5" t="s">
        <v>1802</v>
      </c>
      <c r="E389" s="5" t="s">
        <v>1803</v>
      </c>
      <c r="F389" s="5"/>
      <c r="G389" s="5" t="s">
        <v>65</v>
      </c>
      <c r="H389" s="5" t="s">
        <v>76</v>
      </c>
      <c r="I389" s="5" t="s">
        <v>82</v>
      </c>
      <c r="J389" s="25"/>
      <c r="K389" s="25"/>
      <c r="L389" s="25" t="s">
        <v>181</v>
      </c>
      <c r="M389" s="5" t="s">
        <v>220</v>
      </c>
      <c r="N389" s="5" t="s">
        <v>68</v>
      </c>
      <c r="O389" s="5" t="s">
        <v>69</v>
      </c>
      <c r="P389" s="5" t="s">
        <v>107</v>
      </c>
      <c r="Q389" s="5" t="b">
        <v>1</v>
      </c>
      <c r="R389" s="5" t="b">
        <v>0</v>
      </c>
      <c r="S389" s="5"/>
      <c r="T389" s="5">
        <v>6500.0</v>
      </c>
      <c r="U389" s="26">
        <v>1.9</v>
      </c>
      <c r="V389" s="5">
        <v>3421.0</v>
      </c>
      <c r="W389" s="27">
        <v>0.0</v>
      </c>
      <c r="X389" s="28">
        <v>3421.0</v>
      </c>
      <c r="Y389" s="27">
        <v>1.0</v>
      </c>
      <c r="Z389" s="5" t="s">
        <v>242</v>
      </c>
      <c r="AA389" s="5">
        <v>0.575</v>
      </c>
      <c r="AB389" s="5"/>
      <c r="AC389" s="5" t="s">
        <v>80</v>
      </c>
      <c r="AD389" s="5" t="s">
        <v>81</v>
      </c>
      <c r="AE389" s="5">
        <v>3.0</v>
      </c>
      <c r="AF389" s="5">
        <v>3.0</v>
      </c>
      <c r="AG389" s="5" t="s">
        <v>1886</v>
      </c>
      <c r="AH389" s="5" t="s">
        <v>0</v>
      </c>
      <c r="AI389" s="42"/>
      <c r="AJ389" s="28">
        <v>958.0</v>
      </c>
      <c r="AK389" s="28">
        <v>904.0</v>
      </c>
      <c r="AL389" s="28">
        <v>0.0</v>
      </c>
      <c r="AM389" s="28">
        <v>0.0</v>
      </c>
      <c r="AN389" s="28">
        <v>0.0</v>
      </c>
      <c r="AO389" s="28">
        <v>3277365.9000000004</v>
      </c>
      <c r="AP389" s="28">
        <v>3092584.0</v>
      </c>
      <c r="AQ389" s="28">
        <v>0.0</v>
      </c>
      <c r="AR389" s="28">
        <v>0.0</v>
      </c>
      <c r="AS389" s="28">
        <v>0.0</v>
      </c>
      <c r="AT389" s="28">
        <v>2872921.4736842103</v>
      </c>
      <c r="AU389" s="28">
        <v>2768395.0954399994</v>
      </c>
      <c r="AV389" s="28">
        <v>0.0</v>
      </c>
      <c r="AW389" s="28">
        <v>0.0</v>
      </c>
      <c r="AX389" s="5"/>
      <c r="AY389" s="5" t="str">
        <f t="array" ref="AY389">IFERROR(_xlfn.XLOOKUP($E389,'FW27'!$C$3:$C$1102,'FW27'!$AM$3:$AM$1102),"")</f>
        <v>Skiing/Snowboarding</v>
      </c>
      <c r="AZ389" s="5" t="str">
        <f t="array" ref="AZ389">IFERROR(_xlfn.XLOOKUP($E389,'FW27'!$C$3:$C$1102,'FW27'!$AN$3:$AN$1102),"")</f>
        <v>Freeride</v>
      </c>
      <c r="BA389" s="5" t="s">
        <v>1878</v>
      </c>
      <c r="BB389" s="5" t="str">
        <f t="array" ref="BB389">IFERROR(_xlfn.XLOOKUP($E389,'FW27'!$C$3:$C$1102,'FW27'!$AS$3:$AS$1102),"")</f>
        <v>Shell</v>
      </c>
      <c r="BC389" s="5" t="str">
        <f t="array" ref="BC389">IFERROR(_xlfn.XLOOKUP($E389,'FW27'!$C$3:$C$1102,'FW27'!$AT$3:$AT$1102),"")</f>
        <v>Bibs</v>
      </c>
      <c r="BD389" s="5" t="str">
        <f t="array" ref="BD389">IFERROR(_xlfn.XLOOKUP($E389,'FW27'!$C$3:$C$1102,'FW27'!$AU$3:$AU$1102),"")</f>
        <v>3L</v>
      </c>
      <c r="BE389" s="5" t="str">
        <f t="array" ref="BE389">IFERROR(_xlfn.XLOOKUP($E389,'FW27'!$C$3:$C$1102,'FW27'!$AV$3:$AV$1102),"")</f>
        <v>Y</v>
      </c>
    </row>
    <row r="390" ht="16.5" hidden="1" customHeight="1">
      <c r="A390" s="5" t="s">
        <v>155</v>
      </c>
      <c r="B390" s="5" t="s">
        <v>215</v>
      </c>
      <c r="C390" s="5" t="b">
        <v>1</v>
      </c>
      <c r="D390" s="5" t="s">
        <v>1804</v>
      </c>
      <c r="E390" s="5" t="s">
        <v>1805</v>
      </c>
      <c r="F390" s="5"/>
      <c r="G390" s="5" t="s">
        <v>65</v>
      </c>
      <c r="H390" s="5" t="s">
        <v>76</v>
      </c>
      <c r="I390" s="5" t="s">
        <v>82</v>
      </c>
      <c r="J390" s="25"/>
      <c r="K390" s="25"/>
      <c r="L390" s="25" t="s">
        <v>110</v>
      </c>
      <c r="M390" s="5" t="s">
        <v>220</v>
      </c>
      <c r="N390" s="5" t="s">
        <v>68</v>
      </c>
      <c r="O390" s="5" t="s">
        <v>69</v>
      </c>
      <c r="P390" s="5" t="s">
        <v>70</v>
      </c>
      <c r="Q390" s="5" t="b">
        <v>1</v>
      </c>
      <c r="R390" s="5" t="b">
        <v>0</v>
      </c>
      <c r="S390" s="5"/>
      <c r="T390" s="5">
        <v>8500.0</v>
      </c>
      <c r="U390" s="26">
        <v>1.9</v>
      </c>
      <c r="V390" s="5">
        <v>4474.0</v>
      </c>
      <c r="W390" s="27">
        <v>0.0</v>
      </c>
      <c r="X390" s="28">
        <v>4474.0</v>
      </c>
      <c r="Y390" s="27">
        <v>1.0</v>
      </c>
      <c r="Z390" s="5" t="s">
        <v>242</v>
      </c>
      <c r="AA390" s="5">
        <v>0.5920000000000001</v>
      </c>
      <c r="AB390" s="5"/>
      <c r="AC390" s="5" t="s">
        <v>80</v>
      </c>
      <c r="AD390" s="5" t="s">
        <v>81</v>
      </c>
      <c r="AE390" s="5">
        <v>2.0</v>
      </c>
      <c r="AF390" s="5">
        <v>3.0</v>
      </c>
      <c r="AG390" s="5" t="s">
        <v>1888</v>
      </c>
      <c r="AH390" s="5" t="s">
        <v>0</v>
      </c>
      <c r="AI390" s="42"/>
      <c r="AJ390" s="28">
        <v>1030.0</v>
      </c>
      <c r="AK390" s="28">
        <v>1019.0</v>
      </c>
      <c r="AL390" s="28">
        <v>0.0</v>
      </c>
      <c r="AM390" s="28">
        <v>0.0</v>
      </c>
      <c r="AN390" s="28">
        <v>0.0</v>
      </c>
      <c r="AO390" s="28">
        <v>4607890.399999999</v>
      </c>
      <c r="AP390" s="28">
        <v>4559006.0</v>
      </c>
      <c r="AQ390" s="28">
        <v>0.0</v>
      </c>
      <c r="AR390" s="28">
        <v>0.0</v>
      </c>
      <c r="AS390" s="28">
        <v>0.0</v>
      </c>
      <c r="AT390" s="28">
        <v>3632618.931578948</v>
      </c>
      <c r="AU390" s="28">
        <v>3475177.616759999</v>
      </c>
      <c r="AV390" s="28">
        <v>0.0</v>
      </c>
      <c r="AW390" s="28">
        <v>0.0</v>
      </c>
      <c r="AX390" s="5"/>
      <c r="AY390" s="5" t="str">
        <f t="array" ref="AY390">IFERROR(_xlfn.XLOOKUP($E390,'FW27'!$C$3:$C$1102,'FW27'!$AM$3:$AM$1102),"")</f>
        <v>Skiing/Snowboarding</v>
      </c>
      <c r="AZ390" s="5" t="str">
        <f t="array" ref="AZ390">IFERROR(_xlfn.XLOOKUP($E390,'FW27'!$C$3:$C$1102,'FW27'!$AN$3:$AN$1102),"")</f>
        <v>Freeride</v>
      </c>
      <c r="BA390" s="5" t="s">
        <v>1878</v>
      </c>
      <c r="BB390" s="5" t="str">
        <f t="array" ref="BB390">IFERROR(_xlfn.XLOOKUP($E390,'FW27'!$C$3:$C$1102,'FW27'!$AS$3:$AS$1102),"")</f>
        <v>Shell</v>
      </c>
      <c r="BC390" s="5" t="str">
        <f t="array" ref="BC390">IFERROR(_xlfn.XLOOKUP($E390,'FW27'!$C$3:$C$1102,'FW27'!$AT$3:$AT$1102),"")</f>
        <v>Jacket</v>
      </c>
      <c r="BD390" s="5" t="str">
        <f t="array" ref="BD390">IFERROR(_xlfn.XLOOKUP($E390,'FW27'!$C$3:$C$1102,'FW27'!$AU$3:$AU$1102),"")</f>
        <v>3L</v>
      </c>
      <c r="BE390" s="5" t="str">
        <f t="array" ref="BE390">IFERROR(_xlfn.XLOOKUP($E390,'FW27'!$C$3:$C$1102,'FW27'!$AV$3:$AV$1102),"")</f>
        <v>Y</v>
      </c>
    </row>
    <row r="391" ht="16.5" hidden="1" customHeight="1">
      <c r="A391" s="5" t="s">
        <v>155</v>
      </c>
      <c r="B391" s="5" t="s">
        <v>215</v>
      </c>
      <c r="C391" s="5" t="b">
        <v>1</v>
      </c>
      <c r="D391" s="5" t="s">
        <v>1806</v>
      </c>
      <c r="E391" s="5" t="s">
        <v>1807</v>
      </c>
      <c r="F391" s="5"/>
      <c r="G391" s="5" t="s">
        <v>65</v>
      </c>
      <c r="H391" s="5" t="s">
        <v>76</v>
      </c>
      <c r="I391" s="5" t="s">
        <v>82</v>
      </c>
      <c r="J391" s="25"/>
      <c r="K391" s="25"/>
      <c r="L391" s="25" t="s">
        <v>110</v>
      </c>
      <c r="M391" s="5" t="s">
        <v>220</v>
      </c>
      <c r="N391" s="5" t="s">
        <v>68</v>
      </c>
      <c r="O391" s="5" t="s">
        <v>69</v>
      </c>
      <c r="P391" s="5" t="s">
        <v>107</v>
      </c>
      <c r="Q391" s="5" t="b">
        <v>1</v>
      </c>
      <c r="R391" s="5" t="b">
        <v>0</v>
      </c>
      <c r="S391" s="5"/>
      <c r="T391" s="5">
        <v>8500.0</v>
      </c>
      <c r="U391" s="26">
        <v>1.9</v>
      </c>
      <c r="V391" s="5">
        <v>4474.0</v>
      </c>
      <c r="W391" s="27">
        <v>0.0</v>
      </c>
      <c r="X391" s="28">
        <v>4474.0</v>
      </c>
      <c r="Y391" s="27">
        <v>1.0</v>
      </c>
      <c r="Z391" s="5" t="s">
        <v>242</v>
      </c>
      <c r="AA391" s="5">
        <v>0.575</v>
      </c>
      <c r="AB391" s="5"/>
      <c r="AC391" s="5" t="s">
        <v>80</v>
      </c>
      <c r="AD391" s="5" t="s">
        <v>81</v>
      </c>
      <c r="AE391" s="5">
        <v>2.0</v>
      </c>
      <c r="AF391" s="5">
        <v>3.0</v>
      </c>
      <c r="AG391" s="5" t="s">
        <v>1889</v>
      </c>
      <c r="AH391" s="5" t="s">
        <v>0</v>
      </c>
      <c r="AI391" s="42"/>
      <c r="AJ391" s="28">
        <v>790.0</v>
      </c>
      <c r="AK391" s="28">
        <v>839.0</v>
      </c>
      <c r="AL391" s="28">
        <v>0.0</v>
      </c>
      <c r="AM391" s="28">
        <v>0.0</v>
      </c>
      <c r="AN391" s="28">
        <v>0.0</v>
      </c>
      <c r="AO391" s="28">
        <v>3534207.2</v>
      </c>
      <c r="AP391" s="28">
        <v>3753686.0</v>
      </c>
      <c r="AQ391" s="28">
        <v>0.0</v>
      </c>
      <c r="AR391" s="28">
        <v>0.0</v>
      </c>
      <c r="AS391" s="28">
        <v>0.0</v>
      </c>
      <c r="AT391" s="28">
        <v>2867872.8921052637</v>
      </c>
      <c r="AU391" s="28">
        <v>2869944.432558</v>
      </c>
      <c r="AV391" s="28">
        <v>0.0</v>
      </c>
      <c r="AW391" s="28">
        <v>0.0</v>
      </c>
      <c r="AX391" s="5"/>
      <c r="AY391" s="5" t="str">
        <f t="array" ref="AY391">IFERROR(_xlfn.XLOOKUP($E391,'FW27'!$C$3:$C$1102,'FW27'!$AM$3:$AM$1102),"")</f>
        <v>Skiing/Snowboarding</v>
      </c>
      <c r="AZ391" s="5" t="str">
        <f t="array" ref="AZ391">IFERROR(_xlfn.XLOOKUP($E391,'FW27'!$C$3:$C$1102,'FW27'!$AN$3:$AN$1102),"")</f>
        <v>Freeride</v>
      </c>
      <c r="BA391" s="5" t="s">
        <v>1878</v>
      </c>
      <c r="BB391" s="5" t="str">
        <f t="array" ref="BB391">IFERROR(_xlfn.XLOOKUP($E391,'FW27'!$C$3:$C$1102,'FW27'!$AS$3:$AS$1102),"")</f>
        <v>Shell</v>
      </c>
      <c r="BC391" s="5" t="str">
        <f t="array" ref="BC391">IFERROR(_xlfn.XLOOKUP($E391,'FW27'!$C$3:$C$1102,'FW27'!$AT$3:$AT$1102),"")</f>
        <v>Jacket</v>
      </c>
      <c r="BD391" s="5" t="str">
        <f t="array" ref="BD391">IFERROR(_xlfn.XLOOKUP($E391,'FW27'!$C$3:$C$1102,'FW27'!$AU$3:$AU$1102),"")</f>
        <v>3L</v>
      </c>
      <c r="BE391" s="5" t="str">
        <f t="array" ref="BE391">IFERROR(_xlfn.XLOOKUP($E391,'FW27'!$C$3:$C$1102,'FW27'!$AV$3:$AV$1102),"")</f>
        <v>Y</v>
      </c>
    </row>
    <row r="392" ht="16.5" hidden="1" customHeight="1">
      <c r="A392" s="5" t="s">
        <v>155</v>
      </c>
      <c r="B392" s="5" t="s">
        <v>215</v>
      </c>
      <c r="C392" s="5" t="b">
        <v>1</v>
      </c>
      <c r="D392" s="5" t="s">
        <v>1808</v>
      </c>
      <c r="E392" s="5" t="s">
        <v>1809</v>
      </c>
      <c r="F392" s="5"/>
      <c r="G392" s="5" t="s">
        <v>65</v>
      </c>
      <c r="H392" s="5" t="s">
        <v>76</v>
      </c>
      <c r="I392" s="5" t="s">
        <v>82</v>
      </c>
      <c r="J392" s="25"/>
      <c r="K392" s="25"/>
      <c r="L392" s="25"/>
      <c r="M392" s="5" t="s">
        <v>220</v>
      </c>
      <c r="N392" s="5" t="s">
        <v>248</v>
      </c>
      <c r="O392" s="5" t="s">
        <v>69</v>
      </c>
      <c r="P392" s="5" t="s">
        <v>249</v>
      </c>
      <c r="Q392" s="5" t="b">
        <v>1</v>
      </c>
      <c r="R392" s="5" t="b">
        <v>0</v>
      </c>
      <c r="S392" s="5"/>
      <c r="T392" s="5">
        <v>400.0</v>
      </c>
      <c r="U392" s="26">
        <v>1.9</v>
      </c>
      <c r="V392" s="5">
        <v>211.0</v>
      </c>
      <c r="W392" s="27">
        <v>0.0</v>
      </c>
      <c r="X392" s="28">
        <v>211.0</v>
      </c>
      <c r="Y392" s="27">
        <v>1.0</v>
      </c>
      <c r="Z392" s="5" t="s">
        <v>117</v>
      </c>
      <c r="AA392" s="5">
        <v>0.6</v>
      </c>
      <c r="AB392" s="5"/>
      <c r="AC392" s="5" t="s">
        <v>81</v>
      </c>
      <c r="AD392" s="5" t="s">
        <v>81</v>
      </c>
      <c r="AE392" s="5">
        <v>4.0</v>
      </c>
      <c r="AF392" s="5">
        <v>4.0</v>
      </c>
      <c r="AG392" s="5" t="s">
        <v>1892</v>
      </c>
      <c r="AH392" s="5" t="s">
        <v>0</v>
      </c>
      <c r="AI392" s="42"/>
      <c r="AJ392" s="28">
        <v>1863.0</v>
      </c>
      <c r="AK392" s="28">
        <v>1729.0</v>
      </c>
      <c r="AL392" s="28">
        <v>0.0</v>
      </c>
      <c r="AM392" s="28">
        <v>0.0</v>
      </c>
      <c r="AN392" s="28">
        <v>0.0</v>
      </c>
      <c r="AO392" s="28">
        <v>392217.39</v>
      </c>
      <c r="AP392" s="28">
        <v>364819.0</v>
      </c>
      <c r="AQ392" s="28">
        <v>0.0</v>
      </c>
      <c r="AR392" s="28">
        <v>0.0</v>
      </c>
      <c r="AS392" s="28">
        <v>0.0</v>
      </c>
      <c r="AT392" s="28">
        <v>339525.6578947369</v>
      </c>
      <c r="AU392" s="28">
        <v>322813.04601</v>
      </c>
      <c r="AV392" s="28">
        <v>0.0</v>
      </c>
      <c r="AW392" s="28">
        <v>0.0</v>
      </c>
      <c r="AX392" s="5"/>
      <c r="AY392" s="5" t="str">
        <f t="array" ref="AY392">IFERROR(_xlfn.XLOOKUP($E392,'FW27'!$C$3:$C$1102,'FW27'!$AM$3:$AM$1102),"")</f>
        <v>Essentials</v>
      </c>
      <c r="AZ392" s="5" t="str">
        <f t="array" ref="AZ392">IFERROR(_xlfn.XLOOKUP($E392,'FW27'!$C$3:$C$1102,'FW27'!$AN$3:$AN$1102),"")</f>
        <v>Active Essentials</v>
      </c>
      <c r="BB392" s="5" t="str">
        <f t="array" ref="BB392">IFERROR(_xlfn.XLOOKUP($E392,'FW27'!$C$3:$C$1102,'FW27'!$AS$3:$AS$1102),"")</f>
        <v>Accessories</v>
      </c>
      <c r="BC392" s="5" t="str">
        <f t="array" ref="BC392">IFERROR(_xlfn.XLOOKUP($E392,'FW27'!$C$3:$C$1102,'FW27'!$AT$3:$AT$1102),"")</f>
        <v>Headwear</v>
      </c>
      <c r="BD392" s="5" t="str">
        <f t="array" ref="BD392">IFERROR(_xlfn.XLOOKUP($E392,'FW27'!$C$3:$C$1102,'FW27'!$AU$3:$AU$1102),"")</f>
        <v>Headband</v>
      </c>
      <c r="BE392" s="5" t="str">
        <f t="array" ref="BE392">IFERROR(_xlfn.XLOOKUP($E392,'FW27'!$C$3:$C$1102,'FW27'!$AV$3:$AV$1102),"")</f>
        <v>N</v>
      </c>
    </row>
    <row r="393" ht="16.5" hidden="1" customHeight="1">
      <c r="A393" s="5" t="s">
        <v>155</v>
      </c>
      <c r="B393" s="5" t="s">
        <v>215</v>
      </c>
      <c r="C393" s="5" t="b">
        <v>1</v>
      </c>
      <c r="D393" s="5" t="s">
        <v>1810</v>
      </c>
      <c r="E393" s="5" t="s">
        <v>1811</v>
      </c>
      <c r="F393" s="5"/>
      <c r="G393" s="5" t="s">
        <v>65</v>
      </c>
      <c r="H393" s="5" t="s">
        <v>76</v>
      </c>
      <c r="I393" s="5" t="s">
        <v>82</v>
      </c>
      <c r="J393" s="25"/>
      <c r="K393" s="25"/>
      <c r="L393" s="25"/>
      <c r="M393" s="5" t="s">
        <v>220</v>
      </c>
      <c r="N393" s="5" t="s">
        <v>270</v>
      </c>
      <c r="O393" s="5" t="s">
        <v>69</v>
      </c>
      <c r="P393" s="5" t="s">
        <v>70</v>
      </c>
      <c r="Q393" s="5" t="b">
        <v>1</v>
      </c>
      <c r="R393" s="5" t="b">
        <v>0</v>
      </c>
      <c r="S393" s="5"/>
      <c r="T393" s="5">
        <v>2200.0</v>
      </c>
      <c r="U393" s="26">
        <v>1.9</v>
      </c>
      <c r="V393" s="5">
        <v>1158.0</v>
      </c>
      <c r="W393" s="27">
        <v>0.0</v>
      </c>
      <c r="X393" s="28">
        <v>1158.0</v>
      </c>
      <c r="Y393" s="27">
        <v>1.0</v>
      </c>
      <c r="Z393" s="5" t="s">
        <v>117</v>
      </c>
      <c r="AA393" s="5">
        <v>0.629</v>
      </c>
      <c r="AB393" s="5"/>
      <c r="AC393" s="5" t="s">
        <v>273</v>
      </c>
      <c r="AD393" s="5" t="s">
        <v>81</v>
      </c>
      <c r="AE393" s="5">
        <v>2.0</v>
      </c>
      <c r="AF393" s="5">
        <v>2.0</v>
      </c>
      <c r="AG393" s="5" t="s">
        <v>1894</v>
      </c>
      <c r="AH393" s="5" t="s">
        <v>0</v>
      </c>
      <c r="AI393" s="42"/>
      <c r="AJ393" s="28">
        <v>1763.0</v>
      </c>
      <c r="AK393" s="28">
        <v>1995.0</v>
      </c>
      <c r="AL393" s="28">
        <v>0.0</v>
      </c>
      <c r="AM393" s="28">
        <v>0.0</v>
      </c>
      <c r="AN393" s="28">
        <v>0.0</v>
      </c>
      <c r="AO393" s="28">
        <v>2041360.0700000003</v>
      </c>
      <c r="AP393" s="28">
        <v>2310210.0</v>
      </c>
      <c r="AQ393" s="28">
        <v>0.0</v>
      </c>
      <c r="AR393" s="28">
        <v>0.0</v>
      </c>
      <c r="AS393" s="28">
        <v>0.0</v>
      </c>
      <c r="AT393" s="28">
        <v>1475152.7368421054</v>
      </c>
      <c r="AU393" s="28">
        <v>1586269.7331449997</v>
      </c>
      <c r="AV393" s="28">
        <v>0.0</v>
      </c>
      <c r="AW393" s="28">
        <v>0.0</v>
      </c>
      <c r="AX393" s="5"/>
      <c r="AY393" s="5" t="str">
        <f t="array" ref="AY393">IFERROR(_xlfn.XLOOKUP($E393,'FW27'!$C$3:$C$1102,'FW27'!$AM$3:$AM$1102),"")</f>
        <v>Skiing/Snowboarding</v>
      </c>
      <c r="AZ393" s="5" t="str">
        <f t="array" ref="AZ393">IFERROR(_xlfn.XLOOKUP($E393,'FW27'!$C$3:$C$1102,'FW27'!$AN$3:$AN$1102),"")</f>
        <v>Freeride</v>
      </c>
      <c r="BA393" s="5" t="s">
        <v>1878</v>
      </c>
      <c r="BB393" s="5" t="str">
        <f t="array" ref="BB393">IFERROR(_xlfn.XLOOKUP($E393,'FW27'!$C$3:$C$1102,'FW27'!$AS$3:$AS$1102),"")</f>
        <v>Fleece/Midlayer</v>
      </c>
      <c r="BC393" s="5" t="str">
        <f t="array" ref="BC393">IFERROR(_xlfn.XLOOKUP($E393,'FW27'!$C$3:$C$1102,'FW27'!$AT$3:$AT$1102),"")</f>
        <v>Hooded Jacket</v>
      </c>
      <c r="BD393" s="5" t="str">
        <f t="array" ref="BD393">IFERROR(_xlfn.XLOOKUP($E393,'FW27'!$C$3:$C$1102,'FW27'!$AU$3:$AU$1102),"")</f>
        <v>Lightweight</v>
      </c>
      <c r="BE393" s="5" t="str">
        <f t="array" ref="BE393">IFERROR(_xlfn.XLOOKUP($E393,'FW27'!$C$3:$C$1102,'FW27'!$AV$3:$AV$1102),"")</f>
        <v>N</v>
      </c>
    </row>
    <row r="394" ht="16.5" hidden="1" customHeight="1">
      <c r="A394" s="5" t="s">
        <v>155</v>
      </c>
      <c r="B394" s="5" t="s">
        <v>215</v>
      </c>
      <c r="C394" s="5" t="b">
        <v>1</v>
      </c>
      <c r="D394" s="5" t="s">
        <v>1812</v>
      </c>
      <c r="E394" s="5" t="s">
        <v>1813</v>
      </c>
      <c r="F394" s="5"/>
      <c r="G394" s="5" t="s">
        <v>65</v>
      </c>
      <c r="H394" s="5" t="s">
        <v>76</v>
      </c>
      <c r="I394" s="5" t="s">
        <v>82</v>
      </c>
      <c r="J394" s="25"/>
      <c r="K394" s="25"/>
      <c r="L394" s="25"/>
      <c r="M394" s="5" t="s">
        <v>220</v>
      </c>
      <c r="N394" s="5" t="s">
        <v>270</v>
      </c>
      <c r="O394" s="5" t="s">
        <v>69</v>
      </c>
      <c r="P394" s="5" t="s">
        <v>107</v>
      </c>
      <c r="Q394" s="5" t="b">
        <v>1</v>
      </c>
      <c r="R394" s="5" t="b">
        <v>0</v>
      </c>
      <c r="S394" s="5"/>
      <c r="T394" s="5">
        <v>2200.0</v>
      </c>
      <c r="U394" s="26">
        <v>1.9</v>
      </c>
      <c r="V394" s="5">
        <v>1158.0</v>
      </c>
      <c r="W394" s="27">
        <v>0.0</v>
      </c>
      <c r="X394" s="28">
        <v>1158.0</v>
      </c>
      <c r="Y394" s="27">
        <v>1.0</v>
      </c>
      <c r="Z394" s="5" t="s">
        <v>117</v>
      </c>
      <c r="AA394" s="5">
        <v>0.66</v>
      </c>
      <c r="AB394" s="5"/>
      <c r="AC394" s="5" t="s">
        <v>273</v>
      </c>
      <c r="AD394" s="5" t="s">
        <v>81</v>
      </c>
      <c r="AE394" s="5">
        <v>2.0</v>
      </c>
      <c r="AF394" s="5">
        <v>2.0</v>
      </c>
      <c r="AG394" s="5" t="s">
        <v>1894</v>
      </c>
      <c r="AH394" s="5" t="s">
        <v>0</v>
      </c>
      <c r="AI394" s="42"/>
      <c r="AJ394" s="28">
        <v>1314.0</v>
      </c>
      <c r="AK394" s="28">
        <v>1424.0</v>
      </c>
      <c r="AL394" s="28">
        <v>0.0</v>
      </c>
      <c r="AM394" s="28">
        <v>0.0</v>
      </c>
      <c r="AN394" s="28">
        <v>0.0</v>
      </c>
      <c r="AO394" s="28">
        <v>1521467.4600000002</v>
      </c>
      <c r="AP394" s="28">
        <v>1648992.0</v>
      </c>
      <c r="AQ394" s="28">
        <v>0.0</v>
      </c>
      <c r="AR394" s="28">
        <v>0.0</v>
      </c>
      <c r="AS394" s="28">
        <v>0.0</v>
      </c>
      <c r="AT394" s="28">
        <v>1161744.1421052632</v>
      </c>
      <c r="AU394" s="28">
        <v>1182663.4753249995</v>
      </c>
      <c r="AV394" s="28">
        <v>0.0</v>
      </c>
      <c r="AW394" s="28">
        <v>0.0</v>
      </c>
      <c r="AX394" s="5"/>
      <c r="AY394" s="5" t="str">
        <f t="array" ref="AY394">IFERROR(_xlfn.XLOOKUP($E394,'FW27'!$C$3:$C$1102,'FW27'!$AM$3:$AM$1102),"")</f>
        <v>Skiing/Snowboarding</v>
      </c>
      <c r="AZ394" s="5" t="str">
        <f t="array" ref="AZ394">IFERROR(_xlfn.XLOOKUP($E394,'FW27'!$C$3:$C$1102,'FW27'!$AN$3:$AN$1102),"")</f>
        <v>Freeride</v>
      </c>
      <c r="BA394" s="5" t="s">
        <v>1878</v>
      </c>
      <c r="BB394" s="5" t="str">
        <f t="array" ref="BB394">IFERROR(_xlfn.XLOOKUP($E394,'FW27'!$C$3:$C$1102,'FW27'!$AS$3:$AS$1102),"")</f>
        <v>Fleece/Midlayer</v>
      </c>
      <c r="BC394" s="5" t="str">
        <f t="array" ref="BC394">IFERROR(_xlfn.XLOOKUP($E394,'FW27'!$C$3:$C$1102,'FW27'!$AT$3:$AT$1102),"")</f>
        <v>Hooded Jacket</v>
      </c>
      <c r="BD394" s="5" t="str">
        <f t="array" ref="BD394">IFERROR(_xlfn.XLOOKUP($E394,'FW27'!$C$3:$C$1102,'FW27'!$AU$3:$AU$1102),"")</f>
        <v>Lightweight</v>
      </c>
      <c r="BE394" s="5" t="str">
        <f t="array" ref="BE394">IFERROR(_xlfn.XLOOKUP($E394,'FW27'!$C$3:$C$1102,'FW27'!$AV$3:$AV$1102),"")</f>
        <v>N</v>
      </c>
    </row>
    <row r="395" ht="16.5" hidden="1" customHeight="1">
      <c r="A395" s="5" t="s">
        <v>155</v>
      </c>
      <c r="B395" s="5" t="s">
        <v>137</v>
      </c>
      <c r="C395" s="5" t="b">
        <v>0</v>
      </c>
      <c r="D395" s="5" t="s">
        <v>965</v>
      </c>
      <c r="E395" s="5" t="s">
        <v>1895</v>
      </c>
      <c r="F395" s="5"/>
      <c r="G395" s="5" t="s">
        <v>65</v>
      </c>
      <c r="H395" s="5" t="s">
        <v>76</v>
      </c>
      <c r="I395" s="5" t="s">
        <v>106</v>
      </c>
      <c r="J395" s="25" t="s">
        <v>2141</v>
      </c>
      <c r="K395" s="25"/>
      <c r="L395" s="25" t="s">
        <v>110</v>
      </c>
      <c r="M395" s="5" t="s">
        <v>66</v>
      </c>
      <c r="N395" s="5" t="s">
        <v>68</v>
      </c>
      <c r="O395" s="5" t="s">
        <v>69</v>
      </c>
      <c r="P395" s="5" t="s">
        <v>70</v>
      </c>
      <c r="Q395" s="5" t="b">
        <v>1</v>
      </c>
      <c r="R395" s="5" t="b">
        <v>0</v>
      </c>
      <c r="S395" s="5"/>
      <c r="T395" s="5">
        <v>2500.0</v>
      </c>
      <c r="U395" s="26">
        <v>2.1</v>
      </c>
      <c r="V395" s="5">
        <v>1190.0</v>
      </c>
      <c r="W395" s="27">
        <v>0.0</v>
      </c>
      <c r="X395" s="28">
        <v>1190.0</v>
      </c>
      <c r="Y395" s="27">
        <v>1.0</v>
      </c>
      <c r="Z395" s="5" t="s">
        <v>78</v>
      </c>
      <c r="AA395" s="5">
        <v>0.5920000000000001</v>
      </c>
      <c r="AB395" s="5"/>
      <c r="AC395" s="5" t="s">
        <v>166</v>
      </c>
      <c r="AD395" s="5" t="s">
        <v>81</v>
      </c>
      <c r="AE395" s="5">
        <v>3.0</v>
      </c>
      <c r="AF395" s="5">
        <v>3.0</v>
      </c>
      <c r="AG395" s="5" t="s">
        <v>2142</v>
      </c>
      <c r="AH395" s="5" t="s">
        <v>156</v>
      </c>
      <c r="AI395" s="42"/>
      <c r="AJ395" s="28">
        <v>0.0</v>
      </c>
      <c r="AK395" s="28">
        <v>1025.0</v>
      </c>
      <c r="AL395" s="28">
        <v>0.0</v>
      </c>
      <c r="AM395" s="28">
        <v>0.0</v>
      </c>
      <c r="AN395" s="28">
        <v>0.0</v>
      </c>
      <c r="AO395" s="28">
        <v>0.0</v>
      </c>
      <c r="AP395" s="28">
        <v>1219750.0</v>
      </c>
      <c r="AQ395" s="28">
        <v>0.0</v>
      </c>
      <c r="AR395" s="28">
        <v>0.0</v>
      </c>
      <c r="AS395" s="28">
        <v>0.0</v>
      </c>
      <c r="AT395" s="28">
        <v>0.0</v>
      </c>
      <c r="AU395" s="28">
        <v>731137.5</v>
      </c>
      <c r="AV395" s="28">
        <v>0.0</v>
      </c>
      <c r="AW395" s="28">
        <v>0.0</v>
      </c>
      <c r="AX395" s="5"/>
      <c r="AY395" s="5" t="s">
        <v>125</v>
      </c>
      <c r="AZ395" s="5" t="s">
        <v>127</v>
      </c>
      <c r="BB395" s="5" t="s">
        <v>68</v>
      </c>
      <c r="BC395" s="5" t="s">
        <v>89</v>
      </c>
      <c r="BD395" s="5" t="s">
        <v>90</v>
      </c>
      <c r="BE395" s="5" t="s">
        <v>91</v>
      </c>
      <c r="BF395" s="5" t="s">
        <v>281</v>
      </c>
    </row>
    <row r="396" ht="16.5" hidden="1" customHeight="1">
      <c r="A396" s="5" t="s">
        <v>155</v>
      </c>
      <c r="B396" s="5" t="s">
        <v>137</v>
      </c>
      <c r="C396" s="5" t="b">
        <v>0</v>
      </c>
      <c r="D396" s="5" t="s">
        <v>967</v>
      </c>
      <c r="E396" s="5" t="s">
        <v>1898</v>
      </c>
      <c r="F396" s="5"/>
      <c r="G396" s="5" t="s">
        <v>65</v>
      </c>
      <c r="H396" s="5" t="s">
        <v>76</v>
      </c>
      <c r="I396" s="5" t="s">
        <v>106</v>
      </c>
      <c r="J396" s="25" t="s">
        <v>2141</v>
      </c>
      <c r="K396" s="25"/>
      <c r="L396" s="25" t="s">
        <v>110</v>
      </c>
      <c r="M396" s="5" t="s">
        <v>66</v>
      </c>
      <c r="N396" s="5" t="s">
        <v>68</v>
      </c>
      <c r="O396" s="5" t="s">
        <v>69</v>
      </c>
      <c r="P396" s="5" t="s">
        <v>107</v>
      </c>
      <c r="Q396" s="5" t="b">
        <v>1</v>
      </c>
      <c r="R396" s="5" t="b">
        <v>0</v>
      </c>
      <c r="S396" s="5"/>
      <c r="T396" s="5">
        <v>2500.0</v>
      </c>
      <c r="U396" s="26">
        <v>2.1</v>
      </c>
      <c r="V396" s="5">
        <v>1190.0</v>
      </c>
      <c r="W396" s="27">
        <v>0.0</v>
      </c>
      <c r="X396" s="28">
        <v>1190.0</v>
      </c>
      <c r="Y396" s="27">
        <v>1.0</v>
      </c>
      <c r="Z396" s="5" t="s">
        <v>78</v>
      </c>
      <c r="AA396" s="5">
        <v>0.575</v>
      </c>
      <c r="AB396" s="5"/>
      <c r="AC396" s="5" t="s">
        <v>166</v>
      </c>
      <c r="AD396" s="5" t="s">
        <v>81</v>
      </c>
      <c r="AE396" s="5">
        <v>3.0</v>
      </c>
      <c r="AF396" s="5">
        <v>3.0</v>
      </c>
      <c r="AG396" s="5" t="s">
        <v>2142</v>
      </c>
      <c r="AH396" s="5" t="s">
        <v>156</v>
      </c>
      <c r="AI396" s="42"/>
      <c r="AJ396" s="28">
        <v>0.0</v>
      </c>
      <c r="AK396" s="28">
        <v>1000.0</v>
      </c>
      <c r="AL396" s="28">
        <v>0.0</v>
      </c>
      <c r="AM396" s="28">
        <v>0.0</v>
      </c>
      <c r="AN396" s="28">
        <v>0.0</v>
      </c>
      <c r="AO396" s="28">
        <v>0.0</v>
      </c>
      <c r="AP396" s="28">
        <v>1190000.0</v>
      </c>
      <c r="AQ396" s="28">
        <v>0.0</v>
      </c>
      <c r="AR396" s="28">
        <v>0.0</v>
      </c>
      <c r="AS396" s="28">
        <v>0.0</v>
      </c>
      <c r="AT396" s="28">
        <v>0.0</v>
      </c>
      <c r="AU396" s="28">
        <v>713325.0</v>
      </c>
      <c r="AV396" s="28">
        <v>0.0</v>
      </c>
      <c r="AW396" s="28">
        <v>0.0</v>
      </c>
      <c r="AX396" s="5"/>
      <c r="AY396" s="5" t="s">
        <v>125</v>
      </c>
      <c r="AZ396" s="5" t="s">
        <v>127</v>
      </c>
      <c r="BB396" s="5" t="s">
        <v>68</v>
      </c>
      <c r="BC396" s="5" t="s">
        <v>89</v>
      </c>
      <c r="BD396" s="5" t="s">
        <v>90</v>
      </c>
      <c r="BE396" s="5" t="s">
        <v>91</v>
      </c>
      <c r="BF396" s="5" t="s">
        <v>281</v>
      </c>
    </row>
    <row r="397" ht="16.5" hidden="1" customHeight="1">
      <c r="A397" s="5" t="s">
        <v>155</v>
      </c>
      <c r="B397" s="5" t="s">
        <v>215</v>
      </c>
      <c r="C397" s="5" t="b">
        <v>1</v>
      </c>
      <c r="D397" s="5" t="s">
        <v>1817</v>
      </c>
      <c r="E397" s="5" t="s">
        <v>1818</v>
      </c>
      <c r="F397" s="5"/>
      <c r="G397" s="5" t="s">
        <v>65</v>
      </c>
      <c r="H397" s="5" t="s">
        <v>76</v>
      </c>
      <c r="I397" s="5" t="s">
        <v>82</v>
      </c>
      <c r="J397" s="25"/>
      <c r="K397" s="25"/>
      <c r="L397" s="25"/>
      <c r="M397" s="5" t="s">
        <v>66</v>
      </c>
      <c r="N397" s="5" t="s">
        <v>126</v>
      </c>
      <c r="O397" s="5" t="s">
        <v>69</v>
      </c>
      <c r="P397" s="5" t="s">
        <v>70</v>
      </c>
      <c r="Q397" s="5" t="b">
        <v>1</v>
      </c>
      <c r="R397" s="5" t="b">
        <v>0</v>
      </c>
      <c r="S397" s="5"/>
      <c r="T397" s="5">
        <v>2000.0</v>
      </c>
      <c r="U397" s="26">
        <v>2.1</v>
      </c>
      <c r="V397" s="5">
        <v>952.0</v>
      </c>
      <c r="W397" s="27">
        <v>0.0</v>
      </c>
      <c r="X397" s="28">
        <v>952.0</v>
      </c>
      <c r="Y397" s="27">
        <v>1.0</v>
      </c>
      <c r="Z397" s="5" t="s">
        <v>78</v>
      </c>
      <c r="AA397" s="5">
        <v>0.6</v>
      </c>
      <c r="AB397" s="5"/>
      <c r="AC397" s="5" t="s">
        <v>81</v>
      </c>
      <c r="AD397" s="5" t="s">
        <v>81</v>
      </c>
      <c r="AE397" s="5">
        <v>1.0</v>
      </c>
      <c r="AF397" s="5">
        <v>1.0</v>
      </c>
      <c r="AG397" s="5" t="s">
        <v>0</v>
      </c>
      <c r="AH397" s="5" t="s">
        <v>0</v>
      </c>
      <c r="AI397" s="42"/>
      <c r="AJ397" s="28">
        <v>3453.0</v>
      </c>
      <c r="AK397" s="28">
        <v>1709.0</v>
      </c>
      <c r="AL397" s="28">
        <v>0.0</v>
      </c>
      <c r="AM397" s="28">
        <v>0.0</v>
      </c>
      <c r="AN397" s="28">
        <v>0.0</v>
      </c>
      <c r="AO397" s="28">
        <v>3288568.14</v>
      </c>
      <c r="AP397" s="28">
        <v>1626968.0</v>
      </c>
      <c r="AQ397" s="28">
        <v>0.0</v>
      </c>
      <c r="AR397" s="28">
        <v>0.0</v>
      </c>
      <c r="AS397" s="28">
        <v>0.0</v>
      </c>
      <c r="AT397" s="28">
        <v>2216402.972978959</v>
      </c>
      <c r="AU397" s="28">
        <v>1279225.4455200017</v>
      </c>
      <c r="AV397" s="28">
        <v>0.0</v>
      </c>
      <c r="AW397" s="28">
        <v>0.0</v>
      </c>
      <c r="AX397" s="5"/>
      <c r="AY397" s="5" t="str">
        <f t="array" ref="AY397">IFERROR(_xlfn.XLOOKUP($E397,'FW27'!$C$3:$C$1102,'FW27'!$AM$3:$AM$1102),"")</f>
        <v>Essentials</v>
      </c>
      <c r="AZ397" s="5" t="str">
        <f t="array" ref="AZ397">IFERROR(_xlfn.XLOOKUP($E397,'FW27'!$C$3:$C$1102,'FW27'!$AN$3:$AN$1102),"")</f>
        <v>Active Essentials</v>
      </c>
      <c r="BA397" s="32" t="s">
        <v>264</v>
      </c>
      <c r="BB397" s="5" t="str">
        <f t="array" ref="BB397">IFERROR(_xlfn.XLOOKUP($E397,'FW27'!$C$3:$C$1102,'FW27'!$AS$3:$AS$1102),"")</f>
        <v>Softshell</v>
      </c>
      <c r="BC397" s="5" t="str">
        <f t="array" ref="BC397">IFERROR(_xlfn.XLOOKUP($E397,'FW27'!$C$3:$C$1102,'FW27'!$AT$3:$AT$1102),"")</f>
        <v>Pant</v>
      </c>
      <c r="BD397" s="5" t="str">
        <f t="array" ref="BD397">IFERROR(_xlfn.XLOOKUP($E397,'FW27'!$C$3:$C$1102,'FW27'!$AU$3:$AU$1102),"")</f>
        <v>Classic Softshell</v>
      </c>
      <c r="BE397" s="5" t="str">
        <f t="array" ref="BE397">IFERROR(_xlfn.XLOOKUP($E397,'FW27'!$C$3:$C$1102,'FW27'!$AV$3:$AV$1102),"")</f>
        <v>N</v>
      </c>
    </row>
    <row r="398" ht="16.5" hidden="1" customHeight="1">
      <c r="A398" s="5" t="s">
        <v>155</v>
      </c>
      <c r="B398" s="5" t="s">
        <v>215</v>
      </c>
      <c r="C398" s="5" t="b">
        <v>1</v>
      </c>
      <c r="D398" s="5" t="s">
        <v>1819</v>
      </c>
      <c r="E398" s="5" t="s">
        <v>1820</v>
      </c>
      <c r="F398" s="5"/>
      <c r="G398" s="5" t="s">
        <v>65</v>
      </c>
      <c r="H398" s="5" t="s">
        <v>76</v>
      </c>
      <c r="I398" s="5" t="s">
        <v>82</v>
      </c>
      <c r="J398" s="25"/>
      <c r="K398" s="25"/>
      <c r="L398" s="25"/>
      <c r="M398" s="5" t="s">
        <v>66</v>
      </c>
      <c r="N398" s="5" t="s">
        <v>126</v>
      </c>
      <c r="O398" s="5" t="s">
        <v>69</v>
      </c>
      <c r="P398" s="5" t="s">
        <v>107</v>
      </c>
      <c r="Q398" s="5" t="b">
        <v>1</v>
      </c>
      <c r="R398" s="5" t="b">
        <v>0</v>
      </c>
      <c r="S398" s="5"/>
      <c r="T398" s="5">
        <v>2000.0</v>
      </c>
      <c r="U398" s="26">
        <v>2.1</v>
      </c>
      <c r="V398" s="5">
        <v>952.0</v>
      </c>
      <c r="W398" s="27">
        <v>0.0</v>
      </c>
      <c r="X398" s="28">
        <v>952.0</v>
      </c>
      <c r="Y398" s="27">
        <v>1.0</v>
      </c>
      <c r="Z398" s="5" t="s">
        <v>78</v>
      </c>
      <c r="AA398" s="5">
        <v>0.62</v>
      </c>
      <c r="AB398" s="5"/>
      <c r="AC398" s="5" t="s">
        <v>81</v>
      </c>
      <c r="AD398" s="5" t="s">
        <v>81</v>
      </c>
      <c r="AE398" s="5">
        <v>1.0</v>
      </c>
      <c r="AF398" s="5">
        <v>1.0</v>
      </c>
      <c r="AG398" s="5" t="s">
        <v>0</v>
      </c>
      <c r="AH398" s="5" t="s">
        <v>0</v>
      </c>
      <c r="AI398" s="42"/>
      <c r="AJ398" s="28">
        <v>2923.0</v>
      </c>
      <c r="AK398" s="28">
        <v>1916.0</v>
      </c>
      <c r="AL398" s="28">
        <v>0.0</v>
      </c>
      <c r="AM398" s="28">
        <v>0.0</v>
      </c>
      <c r="AN398" s="28">
        <v>0.0</v>
      </c>
      <c r="AO398" s="28">
        <v>2783806.7399999998</v>
      </c>
      <c r="AP398" s="28">
        <v>1824032.0</v>
      </c>
      <c r="AQ398" s="28">
        <v>0.0</v>
      </c>
      <c r="AR398" s="28">
        <v>0.0</v>
      </c>
      <c r="AS398" s="28">
        <v>0.0</v>
      </c>
      <c r="AT398" s="28">
        <v>2032286.8777408637</v>
      </c>
      <c r="AU398" s="28">
        <v>1448022.6800550018</v>
      </c>
      <c r="AV398" s="28">
        <v>0.0</v>
      </c>
      <c r="AW398" s="28">
        <v>0.0</v>
      </c>
      <c r="AX398" s="5"/>
      <c r="AY398" s="5" t="str">
        <f t="array" ref="AY398">IFERROR(_xlfn.XLOOKUP($E398,'FW27'!$C$3:$C$1102,'FW27'!$AM$3:$AM$1102),"")</f>
        <v>Essentials</v>
      </c>
      <c r="AZ398" s="5" t="str">
        <f t="array" ref="AZ398">IFERROR(_xlfn.XLOOKUP($E398,'FW27'!$C$3:$C$1102,'FW27'!$AN$3:$AN$1102),"")</f>
        <v>Active Essentials</v>
      </c>
      <c r="BA398" s="32" t="s">
        <v>264</v>
      </c>
      <c r="BB398" s="5" t="str">
        <f t="array" ref="BB398">IFERROR(_xlfn.XLOOKUP($E398,'FW27'!$C$3:$C$1102,'FW27'!$AS$3:$AS$1102),"")</f>
        <v>Softshell</v>
      </c>
      <c r="BC398" s="5" t="str">
        <f t="array" ref="BC398">IFERROR(_xlfn.XLOOKUP($E398,'FW27'!$C$3:$C$1102,'FW27'!$AT$3:$AT$1102),"")</f>
        <v>Pant</v>
      </c>
      <c r="BD398" s="5" t="str">
        <f t="array" ref="BD398">IFERROR(_xlfn.XLOOKUP($E398,'FW27'!$C$3:$C$1102,'FW27'!$AU$3:$AU$1102),"")</f>
        <v>Classic Softshell</v>
      </c>
      <c r="BE398" s="5" t="str">
        <f t="array" ref="BE398">IFERROR(_xlfn.XLOOKUP($E398,'FW27'!$C$3:$C$1102,'FW27'!$AV$3:$AV$1102),"")</f>
        <v>N</v>
      </c>
    </row>
    <row r="399" ht="16.5" hidden="1" customHeight="1">
      <c r="A399" s="5" t="s">
        <v>155</v>
      </c>
      <c r="B399" s="5" t="s">
        <v>215</v>
      </c>
      <c r="C399" s="5" t="b">
        <v>1</v>
      </c>
      <c r="D399" s="5" t="s">
        <v>1821</v>
      </c>
      <c r="E399" s="5" t="s">
        <v>1822</v>
      </c>
      <c r="F399" s="5"/>
      <c r="G399" s="5" t="s">
        <v>65</v>
      </c>
      <c r="H399" s="5" t="s">
        <v>76</v>
      </c>
      <c r="I399" s="5" t="s">
        <v>82</v>
      </c>
      <c r="J399" s="25"/>
      <c r="K399" s="25"/>
      <c r="L399" s="25" t="s">
        <v>110</v>
      </c>
      <c r="M399" s="5" t="s">
        <v>247</v>
      </c>
      <c r="N399" s="5" t="s">
        <v>68</v>
      </c>
      <c r="O399" s="5" t="s">
        <v>69</v>
      </c>
      <c r="P399" s="5" t="s">
        <v>70</v>
      </c>
      <c r="Q399" s="5" t="b">
        <v>1</v>
      </c>
      <c r="R399" s="5" t="b">
        <v>0</v>
      </c>
      <c r="S399" s="5"/>
      <c r="T399" s="5">
        <v>4500.0</v>
      </c>
      <c r="U399" s="26">
        <v>2.1</v>
      </c>
      <c r="V399" s="5">
        <v>2143.0</v>
      </c>
      <c r="W399" s="27">
        <v>0.0</v>
      </c>
      <c r="X399" s="28">
        <v>2143.0</v>
      </c>
      <c r="Y399" s="27">
        <v>1.0</v>
      </c>
      <c r="Z399" s="5" t="s">
        <v>242</v>
      </c>
      <c r="AA399" s="5">
        <v>0.57</v>
      </c>
      <c r="AB399" s="5"/>
      <c r="AC399" s="5" t="s">
        <v>166</v>
      </c>
      <c r="AD399" s="5" t="s">
        <v>713</v>
      </c>
      <c r="AE399" s="5">
        <v>3.0</v>
      </c>
      <c r="AF399" s="5">
        <v>3.0</v>
      </c>
      <c r="AG399" s="5" t="s">
        <v>1901</v>
      </c>
      <c r="AH399" s="5" t="s">
        <v>0</v>
      </c>
      <c r="AI399" s="42"/>
      <c r="AJ399" s="28">
        <v>1265.0</v>
      </c>
      <c r="AK399" s="28">
        <v>1891.0</v>
      </c>
      <c r="AL399" s="28">
        <v>0.0</v>
      </c>
      <c r="AM399" s="28">
        <v>0.0</v>
      </c>
      <c r="AN399" s="28">
        <v>0.0</v>
      </c>
      <c r="AO399" s="28">
        <v>2710717.9</v>
      </c>
      <c r="AP399" s="28">
        <v>4052413.0</v>
      </c>
      <c r="AQ399" s="28">
        <v>0.0</v>
      </c>
      <c r="AR399" s="28">
        <v>0.0</v>
      </c>
      <c r="AS399" s="28">
        <v>0.0</v>
      </c>
      <c r="AT399" s="28">
        <v>2443090.350609081</v>
      </c>
      <c r="AU399" s="28">
        <v>3342652.6016249997</v>
      </c>
      <c r="AV399" s="28">
        <v>0.0</v>
      </c>
      <c r="AW399" s="28">
        <v>0.0</v>
      </c>
      <c r="AX399" s="5"/>
      <c r="AY399" s="5" t="str">
        <f t="array" ref="AY399">IFERROR(_xlfn.XLOOKUP($E399,'FW27'!$C$3:$C$1102,'FW27'!$AM$3:$AM$1102),"")</f>
        <v>Essentials</v>
      </c>
      <c r="AZ399" s="5" t="str">
        <f t="array" ref="AZ399">IFERROR(_xlfn.XLOOKUP($E399,'FW27'!$C$3:$C$1102,'FW27'!$AN$3:$AN$1102),"")</f>
        <v>Daily Essentials</v>
      </c>
      <c r="BA399" s="5" t="s">
        <v>237</v>
      </c>
      <c r="BB399" s="5" t="str">
        <f t="array" ref="BB399">IFERROR(_xlfn.XLOOKUP($E399,'FW27'!$C$3:$C$1102,'FW27'!$AS$3:$AS$1102),"")</f>
        <v>Shell</v>
      </c>
      <c r="BC399" s="5" t="str">
        <f t="array" ref="BC399">IFERROR(_xlfn.XLOOKUP($E399,'FW27'!$C$3:$C$1102,'FW27'!$AT$3:$AT$1102),"")</f>
        <v>Parka</v>
      </c>
      <c r="BD399" s="5" t="str">
        <f t="array" ref="BD399">IFERROR(_xlfn.XLOOKUP($E399,'FW27'!$C$3:$C$1102,'FW27'!$AU$3:$AU$1102),"")</f>
        <v>Insulated</v>
      </c>
      <c r="BE399" s="5" t="str">
        <f t="array" ref="BE399">IFERROR(_xlfn.XLOOKUP($E399,'FW27'!$C$3:$C$1102,'FW27'!$AV$3:$AV$1102),"")</f>
        <v>Y</v>
      </c>
    </row>
    <row r="400" ht="16.5" hidden="1" customHeight="1">
      <c r="A400" s="5" t="s">
        <v>155</v>
      </c>
      <c r="B400" s="5" t="s">
        <v>215</v>
      </c>
      <c r="C400" s="5" t="b">
        <v>1</v>
      </c>
      <c r="D400" s="5" t="s">
        <v>1823</v>
      </c>
      <c r="E400" s="5" t="s">
        <v>1824</v>
      </c>
      <c r="F400" s="5"/>
      <c r="G400" s="5" t="s">
        <v>65</v>
      </c>
      <c r="H400" s="5" t="s">
        <v>76</v>
      </c>
      <c r="I400" s="5" t="s">
        <v>82</v>
      </c>
      <c r="J400" s="25"/>
      <c r="K400" s="25"/>
      <c r="L400" s="25" t="s">
        <v>110</v>
      </c>
      <c r="M400" s="5" t="s">
        <v>247</v>
      </c>
      <c r="N400" s="5" t="s">
        <v>68</v>
      </c>
      <c r="O400" s="5" t="s">
        <v>69</v>
      </c>
      <c r="P400" s="5" t="s">
        <v>107</v>
      </c>
      <c r="Q400" s="5" t="b">
        <v>1</v>
      </c>
      <c r="R400" s="5" t="b">
        <v>0</v>
      </c>
      <c r="S400" s="5"/>
      <c r="T400" s="5">
        <v>4500.0</v>
      </c>
      <c r="U400" s="26">
        <v>2.1</v>
      </c>
      <c r="V400" s="5">
        <v>2143.0</v>
      </c>
      <c r="W400" s="27">
        <v>0.0</v>
      </c>
      <c r="X400" s="28">
        <v>2143.0</v>
      </c>
      <c r="Y400" s="27">
        <v>1.0</v>
      </c>
      <c r="Z400" s="5" t="s">
        <v>242</v>
      </c>
      <c r="AA400" s="5">
        <v>0.6</v>
      </c>
      <c r="AB400" s="5"/>
      <c r="AC400" s="5" t="s">
        <v>166</v>
      </c>
      <c r="AD400" s="5" t="s">
        <v>713</v>
      </c>
      <c r="AE400" s="5">
        <v>3.0</v>
      </c>
      <c r="AF400" s="5">
        <v>3.0</v>
      </c>
      <c r="AG400" s="5" t="s">
        <v>1901</v>
      </c>
      <c r="AH400" s="5" t="s">
        <v>0</v>
      </c>
      <c r="AI400" s="42"/>
      <c r="AJ400" s="28">
        <v>1149.0</v>
      </c>
      <c r="AK400" s="28">
        <v>1549.0</v>
      </c>
      <c r="AL400" s="28">
        <v>0.0</v>
      </c>
      <c r="AM400" s="28">
        <v>0.0</v>
      </c>
      <c r="AN400" s="28">
        <v>0.0</v>
      </c>
      <c r="AO400" s="28">
        <v>2462146.14</v>
      </c>
      <c r="AP400" s="28">
        <v>3319507.0</v>
      </c>
      <c r="AQ400" s="28">
        <v>0.0</v>
      </c>
      <c r="AR400" s="28">
        <v>0.0</v>
      </c>
      <c r="AS400" s="28">
        <v>0.0</v>
      </c>
      <c r="AT400" s="28">
        <v>2191908.3960132888</v>
      </c>
      <c r="AU400" s="28">
        <v>2492619.101189998</v>
      </c>
      <c r="AV400" s="28">
        <v>0.0</v>
      </c>
      <c r="AW400" s="28">
        <v>0.0</v>
      </c>
      <c r="AX400" s="5"/>
      <c r="AY400" s="5" t="str">
        <f t="array" ref="AY400">IFERROR(_xlfn.XLOOKUP($E400,'FW27'!$C$3:$C$1102,'FW27'!$AM$3:$AM$1102),"")</f>
        <v>Essentials</v>
      </c>
      <c r="AZ400" s="5" t="str">
        <f t="array" ref="AZ400">IFERROR(_xlfn.XLOOKUP($E400,'FW27'!$C$3:$C$1102,'FW27'!$AN$3:$AN$1102),"")</f>
        <v>Daily Essentials</v>
      </c>
      <c r="BA400" s="5" t="s">
        <v>237</v>
      </c>
      <c r="BB400" s="5" t="str">
        <f t="array" ref="BB400">IFERROR(_xlfn.XLOOKUP($E400,'FW27'!$C$3:$C$1102,'FW27'!$AS$3:$AS$1102),"")</f>
        <v>Shell</v>
      </c>
      <c r="BC400" s="5" t="str">
        <f t="array" ref="BC400">IFERROR(_xlfn.XLOOKUP($E400,'FW27'!$C$3:$C$1102,'FW27'!$AT$3:$AT$1102),"")</f>
        <v>Parka</v>
      </c>
      <c r="BD400" s="5" t="str">
        <f t="array" ref="BD400">IFERROR(_xlfn.XLOOKUP($E400,'FW27'!$C$3:$C$1102,'FW27'!$AU$3:$AU$1102),"")</f>
        <v>Insulated</v>
      </c>
      <c r="BE400" s="5" t="str">
        <f t="array" ref="BE400">IFERROR(_xlfn.XLOOKUP($E400,'FW27'!$C$3:$C$1102,'FW27'!$AV$3:$AV$1102),"")</f>
        <v>Y</v>
      </c>
    </row>
    <row r="401" ht="16.5" hidden="1" customHeight="1">
      <c r="A401" s="5" t="s">
        <v>155</v>
      </c>
      <c r="B401" s="5" t="s">
        <v>137</v>
      </c>
      <c r="C401" s="5" t="b">
        <v>0</v>
      </c>
      <c r="D401" s="5" t="s">
        <v>968</v>
      </c>
      <c r="E401" s="5" t="s">
        <v>969</v>
      </c>
      <c r="F401" s="5"/>
      <c r="G401" s="5" t="s">
        <v>65</v>
      </c>
      <c r="H401" s="5" t="s">
        <v>76</v>
      </c>
      <c r="I401" s="5" t="s">
        <v>106</v>
      </c>
      <c r="J401" s="25" t="s">
        <v>530</v>
      </c>
      <c r="K401" s="25"/>
      <c r="L401" s="25" t="s">
        <v>110</v>
      </c>
      <c r="M401" s="5" t="s">
        <v>66</v>
      </c>
      <c r="N401" s="5" t="s">
        <v>68</v>
      </c>
      <c r="O401" s="5" t="s">
        <v>69</v>
      </c>
      <c r="P401" s="5" t="s">
        <v>70</v>
      </c>
      <c r="Q401" s="5" t="b">
        <v>1</v>
      </c>
      <c r="R401" s="5" t="b">
        <v>0</v>
      </c>
      <c r="S401" s="5"/>
      <c r="T401" s="5">
        <v>2800.0</v>
      </c>
      <c r="U401" s="26">
        <v>2.1</v>
      </c>
      <c r="V401" s="5">
        <v>1333.0</v>
      </c>
      <c r="W401" s="27">
        <v>0.0</v>
      </c>
      <c r="X401" s="28">
        <v>1333.0</v>
      </c>
      <c r="Y401" s="27">
        <v>1.0</v>
      </c>
      <c r="Z401" s="5" t="s">
        <v>78</v>
      </c>
      <c r="AA401" s="5">
        <v>0.5920000000000001</v>
      </c>
      <c r="AB401" s="5"/>
      <c r="AC401" s="5" t="s">
        <v>166</v>
      </c>
      <c r="AD401" s="5" t="s">
        <v>81</v>
      </c>
      <c r="AE401" s="5">
        <v>3.0</v>
      </c>
      <c r="AF401" s="5">
        <v>3.0</v>
      </c>
      <c r="AG401" s="5" t="s">
        <v>1564</v>
      </c>
      <c r="AH401" s="5" t="s">
        <v>156</v>
      </c>
      <c r="AI401" s="42"/>
      <c r="AJ401" s="28">
        <v>0.0</v>
      </c>
      <c r="AK401" s="28">
        <v>0.0</v>
      </c>
      <c r="AL401" s="28">
        <v>0.0</v>
      </c>
      <c r="AM401" s="28">
        <v>300.0</v>
      </c>
      <c r="AN401" s="28">
        <v>0.0</v>
      </c>
      <c r="AO401" s="28">
        <v>0.0</v>
      </c>
      <c r="AP401" s="28">
        <v>0.0</v>
      </c>
      <c r="AQ401" s="28">
        <v>0.0</v>
      </c>
      <c r="AR401" s="28">
        <v>399999.0</v>
      </c>
      <c r="AS401" s="28">
        <v>0.0</v>
      </c>
      <c r="AT401" s="28">
        <v>0.0</v>
      </c>
      <c r="AU401" s="28">
        <v>0.0</v>
      </c>
      <c r="AV401" s="28">
        <v>0.0</v>
      </c>
      <c r="AW401" s="28">
        <v>321200.0</v>
      </c>
      <c r="AX401" s="5"/>
      <c r="AY401" s="5" t="s">
        <v>125</v>
      </c>
      <c r="AZ401" s="5" t="s">
        <v>127</v>
      </c>
      <c r="BB401" s="5" t="s">
        <v>68</v>
      </c>
      <c r="BC401" s="5" t="s">
        <v>89</v>
      </c>
      <c r="BD401" s="5" t="s">
        <v>90</v>
      </c>
      <c r="BE401" s="5" t="s">
        <v>91</v>
      </c>
      <c r="BF401" s="5" t="s">
        <v>281</v>
      </c>
    </row>
    <row r="402" ht="16.5" hidden="1" customHeight="1">
      <c r="A402" s="5" t="s">
        <v>155</v>
      </c>
      <c r="B402" s="5" t="s">
        <v>137</v>
      </c>
      <c r="C402" s="5" t="b">
        <v>0</v>
      </c>
      <c r="D402" s="5" t="s">
        <v>972</v>
      </c>
      <c r="E402" s="5" t="s">
        <v>973</v>
      </c>
      <c r="F402" s="5"/>
      <c r="G402" s="5" t="s">
        <v>65</v>
      </c>
      <c r="H402" s="5" t="s">
        <v>76</v>
      </c>
      <c r="I402" s="5" t="s">
        <v>106</v>
      </c>
      <c r="J402" s="25" t="s">
        <v>530</v>
      </c>
      <c r="K402" s="25"/>
      <c r="L402" s="25" t="s">
        <v>110</v>
      </c>
      <c r="M402" s="5" t="s">
        <v>66</v>
      </c>
      <c r="N402" s="5" t="s">
        <v>68</v>
      </c>
      <c r="O402" s="5" t="s">
        <v>69</v>
      </c>
      <c r="P402" s="5" t="s">
        <v>107</v>
      </c>
      <c r="Q402" s="5" t="b">
        <v>1</v>
      </c>
      <c r="R402" s="5" t="b">
        <v>0</v>
      </c>
      <c r="S402" s="5"/>
      <c r="T402" s="5">
        <v>2800.0</v>
      </c>
      <c r="U402" s="26">
        <v>2.1</v>
      </c>
      <c r="V402" s="5">
        <v>1333.0</v>
      </c>
      <c r="W402" s="27">
        <v>0.0</v>
      </c>
      <c r="X402" s="28">
        <v>1333.0</v>
      </c>
      <c r="Y402" s="27">
        <v>1.0</v>
      </c>
      <c r="Z402" s="5" t="s">
        <v>78</v>
      </c>
      <c r="AA402" s="5">
        <v>0.575</v>
      </c>
      <c r="AB402" s="5"/>
      <c r="AC402" s="5" t="s">
        <v>166</v>
      </c>
      <c r="AD402" s="5" t="s">
        <v>81</v>
      </c>
      <c r="AE402" s="5">
        <v>3.0</v>
      </c>
      <c r="AF402" s="5">
        <v>3.0</v>
      </c>
      <c r="AG402" s="5" t="s">
        <v>1564</v>
      </c>
      <c r="AH402" s="5" t="s">
        <v>156</v>
      </c>
      <c r="AI402" s="42"/>
      <c r="AJ402" s="28">
        <v>40.0</v>
      </c>
      <c r="AK402" s="28">
        <v>0.0</v>
      </c>
      <c r="AL402" s="28">
        <v>0.0</v>
      </c>
      <c r="AM402" s="28">
        <v>150.0</v>
      </c>
      <c r="AN402" s="28">
        <v>0.0</v>
      </c>
      <c r="AO402" s="28">
        <v>53333.2</v>
      </c>
      <c r="AP402" s="28">
        <v>0.0</v>
      </c>
      <c r="AQ402" s="28">
        <v>0.0</v>
      </c>
      <c r="AR402" s="28">
        <v>199999.5</v>
      </c>
      <c r="AS402" s="28">
        <v>0.0</v>
      </c>
      <c r="AT402" s="28">
        <v>42270.47619047618</v>
      </c>
      <c r="AU402" s="28">
        <v>0.0</v>
      </c>
      <c r="AV402" s="28">
        <v>0.0</v>
      </c>
      <c r="AW402" s="28">
        <v>160600.0</v>
      </c>
      <c r="AX402" s="5"/>
      <c r="AY402" s="5" t="s">
        <v>125</v>
      </c>
      <c r="AZ402" s="5" t="s">
        <v>127</v>
      </c>
      <c r="BB402" s="5" t="s">
        <v>68</v>
      </c>
      <c r="BC402" s="5" t="s">
        <v>89</v>
      </c>
      <c r="BD402" s="5" t="s">
        <v>90</v>
      </c>
      <c r="BE402" s="5" t="s">
        <v>91</v>
      </c>
      <c r="BF402" s="5" t="s">
        <v>281</v>
      </c>
    </row>
    <row r="403" ht="16.5" hidden="1" customHeight="1">
      <c r="A403" s="5" t="s">
        <v>155</v>
      </c>
      <c r="B403" s="5" t="s">
        <v>137</v>
      </c>
      <c r="C403" s="5" t="b">
        <v>1</v>
      </c>
      <c r="D403" s="5" t="s">
        <v>637</v>
      </c>
      <c r="E403" s="5" t="s">
        <v>638</v>
      </c>
      <c r="F403" s="5"/>
      <c r="G403" s="5" t="s">
        <v>65</v>
      </c>
      <c r="H403" s="5" t="s">
        <v>84</v>
      </c>
      <c r="I403" s="5" t="s">
        <v>82</v>
      </c>
      <c r="J403" s="25" t="s">
        <v>2150</v>
      </c>
      <c r="K403" s="25"/>
      <c r="L403" s="25"/>
      <c r="M403" s="5" t="s">
        <v>66</v>
      </c>
      <c r="N403" s="5" t="s">
        <v>113</v>
      </c>
      <c r="O403" s="5" t="s">
        <v>141</v>
      </c>
      <c r="P403" s="5" t="s">
        <v>70</v>
      </c>
      <c r="Q403" s="5" t="b">
        <v>1</v>
      </c>
      <c r="R403" s="5" t="b">
        <v>0</v>
      </c>
      <c r="S403" s="5"/>
      <c r="T403" s="5">
        <v>2000.0</v>
      </c>
      <c r="U403" s="26">
        <v>2.1</v>
      </c>
      <c r="V403" s="5">
        <v>952.0</v>
      </c>
      <c r="W403" s="27">
        <v>0.0</v>
      </c>
      <c r="X403" s="28">
        <v>952.0</v>
      </c>
      <c r="Y403" s="27">
        <v>1.0</v>
      </c>
      <c r="Z403" s="5" t="s">
        <v>117</v>
      </c>
      <c r="AA403" s="5">
        <v>0.65</v>
      </c>
      <c r="AB403" s="5"/>
      <c r="AC403" s="5" t="s">
        <v>81</v>
      </c>
      <c r="AD403" s="5" t="s">
        <v>81</v>
      </c>
      <c r="AE403" s="24">
        <v>0.0</v>
      </c>
      <c r="AF403" s="5">
        <v>3.0</v>
      </c>
      <c r="AG403" s="5" t="s">
        <v>2094</v>
      </c>
      <c r="AH403" s="5" t="s">
        <v>0</v>
      </c>
      <c r="AI403" s="42"/>
      <c r="AJ403" s="28">
        <v>0.0</v>
      </c>
      <c r="AK403" s="28">
        <v>0.0</v>
      </c>
      <c r="AL403" s="28">
        <v>0.0</v>
      </c>
      <c r="AM403" s="28">
        <v>0.0</v>
      </c>
      <c r="AN403" s="28">
        <v>0.0</v>
      </c>
      <c r="AO403" s="28">
        <v>0.0</v>
      </c>
      <c r="AP403" s="28">
        <v>0.0</v>
      </c>
      <c r="AQ403" s="28">
        <v>0.0</v>
      </c>
      <c r="AR403" s="28">
        <v>0.0</v>
      </c>
      <c r="AS403" s="28">
        <v>0.0</v>
      </c>
      <c r="AT403" s="28">
        <v>0.0</v>
      </c>
      <c r="AU403" s="28">
        <v>0.0</v>
      </c>
      <c r="AV403" s="28">
        <v>0.0</v>
      </c>
      <c r="AW403" s="28">
        <v>0.0</v>
      </c>
      <c r="AX403" s="5"/>
      <c r="AY403" s="5" t="str">
        <f t="array" ref="AY403">IFERROR(_xlfn.XLOOKUP($E403,'FW27'!$C$3:$C$1102,'FW27'!$AM$3:$AM$1102),"")</f>
        <v>Outdoor</v>
      </c>
      <c r="AZ403" s="5" t="str">
        <f t="array" ref="AZ403">IFERROR(_xlfn.XLOOKUP($E403,'FW27'!$C$3:$C$1102,'FW27'!$AN$3:$AN$1102),"")</f>
        <v>Day Hiking</v>
      </c>
      <c r="BA403" s="32" t="s">
        <v>429</v>
      </c>
      <c r="BB403" s="5" t="str">
        <f t="array" ref="BB403">IFERROR(_xlfn.XLOOKUP($E403,'FW27'!$C$3:$C$1102,'FW27'!$AS$3:$AS$1102),"")</f>
        <v>Legwear</v>
      </c>
      <c r="BC403" s="5" t="str">
        <f t="array" ref="BC403">IFERROR(_xlfn.XLOOKUP($E403,'FW27'!$C$3:$C$1102,'FW27'!$AT$3:$AT$1102),"")</f>
        <v>Pant</v>
      </c>
      <c r="BD403" s="5" t="str">
        <f t="array" ref="BD403">IFERROR(_xlfn.XLOOKUP($E403,'FW27'!$C$3:$C$1102,'FW27'!$AU$3:$AU$1102),"")</f>
        <v>Classic Softshell</v>
      </c>
      <c r="BE403" s="5" t="str">
        <f t="array" ref="BE403">IFERROR(_xlfn.XLOOKUP($E403,'FW27'!$C$3:$C$1102,'FW27'!$AV$3:$AV$1102),"")</f>
        <v>N</v>
      </c>
    </row>
    <row r="404" ht="16.5" hidden="1" customHeight="1">
      <c r="A404" s="5" t="s">
        <v>155</v>
      </c>
      <c r="B404" s="5" t="s">
        <v>137</v>
      </c>
      <c r="C404" s="5" t="b">
        <v>1</v>
      </c>
      <c r="D404" s="5" t="s">
        <v>650</v>
      </c>
      <c r="E404" s="5" t="s">
        <v>651</v>
      </c>
      <c r="F404" s="5"/>
      <c r="G404" s="5" t="s">
        <v>65</v>
      </c>
      <c r="H404" s="5" t="s">
        <v>84</v>
      </c>
      <c r="I404" s="5" t="s">
        <v>82</v>
      </c>
      <c r="J404" s="25" t="s">
        <v>2150</v>
      </c>
      <c r="K404" s="25"/>
      <c r="L404" s="25"/>
      <c r="M404" s="5" t="s">
        <v>66</v>
      </c>
      <c r="N404" s="5" t="s">
        <v>113</v>
      </c>
      <c r="O404" s="5" t="s">
        <v>141</v>
      </c>
      <c r="P404" s="5" t="s">
        <v>107</v>
      </c>
      <c r="Q404" s="5" t="b">
        <v>1</v>
      </c>
      <c r="R404" s="5" t="b">
        <v>0</v>
      </c>
      <c r="S404" s="5"/>
      <c r="T404" s="5">
        <v>2000.0</v>
      </c>
      <c r="U404" s="26">
        <v>2.1</v>
      </c>
      <c r="V404" s="5">
        <v>952.0</v>
      </c>
      <c r="W404" s="27">
        <v>0.0</v>
      </c>
      <c r="X404" s="28">
        <v>952.0</v>
      </c>
      <c r="Y404" s="27">
        <v>1.0</v>
      </c>
      <c r="Z404" s="5" t="s">
        <v>117</v>
      </c>
      <c r="AA404" s="5">
        <v>0.66</v>
      </c>
      <c r="AB404" s="5"/>
      <c r="AC404" s="5" t="s">
        <v>81</v>
      </c>
      <c r="AD404" s="5" t="s">
        <v>81</v>
      </c>
      <c r="AE404" s="24">
        <v>0.0</v>
      </c>
      <c r="AF404" s="5">
        <v>3.0</v>
      </c>
      <c r="AG404" s="5" t="s">
        <v>2094</v>
      </c>
      <c r="AH404" s="5" t="s">
        <v>0</v>
      </c>
      <c r="AI404" s="42"/>
      <c r="AJ404" s="28">
        <v>0.0</v>
      </c>
      <c r="AK404" s="28">
        <v>0.0</v>
      </c>
      <c r="AL404" s="28">
        <v>0.0</v>
      </c>
      <c r="AM404" s="28">
        <v>0.0</v>
      </c>
      <c r="AN404" s="28">
        <v>0.0</v>
      </c>
      <c r="AO404" s="28">
        <v>0.0</v>
      </c>
      <c r="AP404" s="28">
        <v>0.0</v>
      </c>
      <c r="AQ404" s="28">
        <v>0.0</v>
      </c>
      <c r="AR404" s="28">
        <v>0.0</v>
      </c>
      <c r="AS404" s="28">
        <v>0.0</v>
      </c>
      <c r="AT404" s="28">
        <v>0.0</v>
      </c>
      <c r="AU404" s="28">
        <v>0.0</v>
      </c>
      <c r="AV404" s="28">
        <v>0.0</v>
      </c>
      <c r="AW404" s="28">
        <v>0.0</v>
      </c>
      <c r="AX404" s="5"/>
      <c r="AY404" s="5" t="str">
        <f t="array" ref="AY404">IFERROR(_xlfn.XLOOKUP($E404,'FW27'!$C$3:$C$1102,'FW27'!$AM$3:$AM$1102),"")</f>
        <v>Outdoor</v>
      </c>
      <c r="AZ404" s="5" t="str">
        <f t="array" ref="AZ404">IFERROR(_xlfn.XLOOKUP($E404,'FW27'!$C$3:$C$1102,'FW27'!$AN$3:$AN$1102),"")</f>
        <v>Day Hiking</v>
      </c>
      <c r="BA404" s="32" t="s">
        <v>429</v>
      </c>
      <c r="BB404" s="5" t="str">
        <f t="array" ref="BB404">IFERROR(_xlfn.XLOOKUP($E404,'FW27'!$C$3:$C$1102,'FW27'!$AS$3:$AS$1102),"")</f>
        <v>Legwear</v>
      </c>
      <c r="BC404" s="5" t="str">
        <f t="array" ref="BC404">IFERROR(_xlfn.XLOOKUP($E404,'FW27'!$C$3:$C$1102,'FW27'!$AT$3:$AT$1102),"")</f>
        <v>Pant</v>
      </c>
      <c r="BD404" s="5" t="str">
        <f t="array" ref="BD404">IFERROR(_xlfn.XLOOKUP($E404,'FW27'!$C$3:$C$1102,'FW27'!$AU$3:$AU$1102),"")</f>
        <v>Classic Softshell</v>
      </c>
      <c r="BE404" s="5" t="str">
        <f t="array" ref="BE404">IFERROR(_xlfn.XLOOKUP($E404,'FW27'!$C$3:$C$1102,'FW27'!$AV$3:$AV$1102),"")</f>
        <v>N</v>
      </c>
    </row>
    <row r="405" ht="16.5" hidden="1" customHeight="1">
      <c r="A405" s="5" t="s">
        <v>155</v>
      </c>
      <c r="B405" s="5" t="s">
        <v>200</v>
      </c>
      <c r="C405" s="5" t="b">
        <v>0</v>
      </c>
      <c r="D405" s="5" t="s">
        <v>974</v>
      </c>
      <c r="E405" s="5" t="s">
        <v>975</v>
      </c>
      <c r="F405" s="5"/>
      <c r="G405" s="5" t="s">
        <v>65</v>
      </c>
      <c r="H405" s="5" t="s">
        <v>74</v>
      </c>
      <c r="I405" s="5" t="s">
        <v>106</v>
      </c>
      <c r="J405" s="25" t="s">
        <v>530</v>
      </c>
      <c r="K405" s="25"/>
      <c r="L405" s="25"/>
      <c r="M405" s="5" t="s">
        <v>66</v>
      </c>
      <c r="N405" s="5" t="s">
        <v>113</v>
      </c>
      <c r="O405" s="5" t="s">
        <v>69</v>
      </c>
      <c r="P405" s="5" t="s">
        <v>70</v>
      </c>
      <c r="Q405" s="5" t="b">
        <v>1</v>
      </c>
      <c r="R405" s="5" t="b">
        <v>0</v>
      </c>
      <c r="S405" s="5"/>
      <c r="T405" s="5">
        <v>1700.0</v>
      </c>
      <c r="U405" s="26">
        <v>2.1</v>
      </c>
      <c r="V405" s="5">
        <v>810.0</v>
      </c>
      <c r="W405" s="27">
        <v>0.0</v>
      </c>
      <c r="X405" s="28">
        <v>810.0</v>
      </c>
      <c r="Y405" s="27">
        <v>1.0</v>
      </c>
      <c r="Z405" s="5" t="s">
        <v>117</v>
      </c>
      <c r="AA405" s="27">
        <v>0.65</v>
      </c>
      <c r="AB405" s="5"/>
      <c r="AC405" s="5" t="s">
        <v>81</v>
      </c>
      <c r="AD405" s="5" t="s">
        <v>81</v>
      </c>
      <c r="AE405" s="5">
        <v>4.0</v>
      </c>
      <c r="AF405" s="5">
        <v>4.0</v>
      </c>
      <c r="AG405" s="5" t="s">
        <v>0</v>
      </c>
      <c r="AH405" s="5" t="s">
        <v>156</v>
      </c>
      <c r="AI405" s="56"/>
      <c r="AJ405" s="28">
        <v>0.0</v>
      </c>
      <c r="AK405" s="28">
        <v>0.0</v>
      </c>
      <c r="AL405" s="28">
        <v>0.0</v>
      </c>
      <c r="AM405" s="28">
        <v>0.0</v>
      </c>
      <c r="AN405" s="28">
        <v>0.0</v>
      </c>
      <c r="AO405" s="28">
        <v>0.0</v>
      </c>
      <c r="AP405" s="28">
        <v>0.0</v>
      </c>
      <c r="AQ405" s="28">
        <v>0.0</v>
      </c>
      <c r="AR405" s="28">
        <v>0.0</v>
      </c>
      <c r="AS405" s="28">
        <v>0.0</v>
      </c>
      <c r="AT405" s="28">
        <v>0.0</v>
      </c>
      <c r="AU405" s="28">
        <v>0.0</v>
      </c>
      <c r="AV405" s="28">
        <v>0.0</v>
      </c>
      <c r="AW405" s="28">
        <v>0.0</v>
      </c>
      <c r="AX405" s="5"/>
      <c r="AY405" s="5" t="s">
        <v>86</v>
      </c>
      <c r="AZ405" s="5" t="s">
        <v>87</v>
      </c>
      <c r="BB405" s="5" t="s">
        <v>126</v>
      </c>
      <c r="BC405" s="5" t="s">
        <v>147</v>
      </c>
      <c r="BD405" s="5" t="s">
        <v>130</v>
      </c>
      <c r="BE405" s="5" t="s">
        <v>131</v>
      </c>
      <c r="BF405" s="5" t="s">
        <v>1506</v>
      </c>
    </row>
    <row r="406" ht="16.5" hidden="1" customHeight="1">
      <c r="A406" s="5" t="s">
        <v>155</v>
      </c>
      <c r="B406" s="5" t="s">
        <v>200</v>
      </c>
      <c r="C406" s="5" t="b">
        <v>0</v>
      </c>
      <c r="D406" s="5" t="s">
        <v>976</v>
      </c>
      <c r="E406" s="5" t="s">
        <v>977</v>
      </c>
      <c r="F406" s="5"/>
      <c r="G406" s="5" t="s">
        <v>65</v>
      </c>
      <c r="H406" s="5" t="s">
        <v>74</v>
      </c>
      <c r="I406" s="5" t="s">
        <v>106</v>
      </c>
      <c r="J406" s="25" t="s">
        <v>530</v>
      </c>
      <c r="K406" s="25"/>
      <c r="L406" s="25"/>
      <c r="M406" s="5" t="s">
        <v>66</v>
      </c>
      <c r="N406" s="5" t="s">
        <v>113</v>
      </c>
      <c r="O406" s="5" t="s">
        <v>69</v>
      </c>
      <c r="P406" s="5" t="s">
        <v>107</v>
      </c>
      <c r="Q406" s="5" t="b">
        <v>1</v>
      </c>
      <c r="R406" s="5" t="b">
        <v>0</v>
      </c>
      <c r="S406" s="5"/>
      <c r="T406" s="5">
        <v>1700.0</v>
      </c>
      <c r="U406" s="26">
        <v>2.1</v>
      </c>
      <c r="V406" s="5">
        <v>810.0</v>
      </c>
      <c r="W406" s="27">
        <v>0.0</v>
      </c>
      <c r="X406" s="28">
        <v>810.0</v>
      </c>
      <c r="Y406" s="27">
        <v>1.0</v>
      </c>
      <c r="Z406" s="5" t="s">
        <v>117</v>
      </c>
      <c r="AA406" s="27">
        <v>0.66</v>
      </c>
      <c r="AB406" s="5"/>
      <c r="AC406" s="5" t="s">
        <v>81</v>
      </c>
      <c r="AD406" s="5" t="s">
        <v>81</v>
      </c>
      <c r="AE406" s="5">
        <v>4.0</v>
      </c>
      <c r="AF406" s="5">
        <v>4.0</v>
      </c>
      <c r="AG406" s="5" t="s">
        <v>0</v>
      </c>
      <c r="AH406" s="5" t="s">
        <v>156</v>
      </c>
      <c r="AI406" s="56"/>
      <c r="AJ406" s="28">
        <v>0.0</v>
      </c>
      <c r="AK406" s="28">
        <v>0.0</v>
      </c>
      <c r="AL406" s="28">
        <v>0.0</v>
      </c>
      <c r="AM406" s="28">
        <v>0.0</v>
      </c>
      <c r="AN406" s="28">
        <v>0.0</v>
      </c>
      <c r="AO406" s="28">
        <v>0.0</v>
      </c>
      <c r="AP406" s="28">
        <v>0.0</v>
      </c>
      <c r="AQ406" s="28">
        <v>0.0</v>
      </c>
      <c r="AR406" s="28">
        <v>0.0</v>
      </c>
      <c r="AS406" s="28">
        <v>0.0</v>
      </c>
      <c r="AT406" s="28">
        <v>0.0</v>
      </c>
      <c r="AU406" s="28">
        <v>0.0</v>
      </c>
      <c r="AV406" s="28">
        <v>0.0</v>
      </c>
      <c r="AW406" s="28">
        <v>0.0</v>
      </c>
      <c r="AX406" s="5"/>
      <c r="AY406" s="5" t="s">
        <v>86</v>
      </c>
      <c r="AZ406" s="5" t="s">
        <v>87</v>
      </c>
      <c r="BB406" s="5" t="s">
        <v>126</v>
      </c>
      <c r="BC406" s="5" t="s">
        <v>147</v>
      </c>
      <c r="BD406" s="5" t="s">
        <v>130</v>
      </c>
      <c r="BE406" s="5" t="s">
        <v>131</v>
      </c>
      <c r="BF406" s="5" t="s">
        <v>1506</v>
      </c>
    </row>
    <row r="407" ht="16.5" hidden="1" customHeight="1">
      <c r="A407" s="5" t="s">
        <v>155</v>
      </c>
      <c r="B407" s="5" t="s">
        <v>137</v>
      </c>
      <c r="C407" s="5" t="b">
        <v>1</v>
      </c>
      <c r="D407" s="5" t="s">
        <v>734</v>
      </c>
      <c r="E407" s="5" t="s">
        <v>735</v>
      </c>
      <c r="F407" s="5"/>
      <c r="G407" s="5" t="s">
        <v>65</v>
      </c>
      <c r="H407" s="5" t="s">
        <v>84</v>
      </c>
      <c r="I407" s="5" t="s">
        <v>82</v>
      </c>
      <c r="J407" s="25" t="s">
        <v>2151</v>
      </c>
      <c r="K407" s="25"/>
      <c r="L407" s="25" t="s">
        <v>110</v>
      </c>
      <c r="M407" s="5" t="s">
        <v>66</v>
      </c>
      <c r="N407" s="5" t="s">
        <v>68</v>
      </c>
      <c r="O407" s="5" t="s">
        <v>141</v>
      </c>
      <c r="P407" s="5" t="s">
        <v>70</v>
      </c>
      <c r="Q407" s="5" t="b">
        <v>1</v>
      </c>
      <c r="R407" s="5" t="b">
        <v>0</v>
      </c>
      <c r="S407" s="5"/>
      <c r="T407" s="5">
        <v>2500.0</v>
      </c>
      <c r="U407" s="26">
        <v>2.1</v>
      </c>
      <c r="V407" s="5">
        <v>1190.0</v>
      </c>
      <c r="W407" s="27">
        <v>0.0</v>
      </c>
      <c r="X407" s="28">
        <v>1190.0</v>
      </c>
      <c r="Y407" s="27">
        <v>1.0</v>
      </c>
      <c r="Z407" s="5" t="s">
        <v>78</v>
      </c>
      <c r="AA407" s="5">
        <v>0.5920000000000001</v>
      </c>
      <c r="AB407" s="5"/>
      <c r="AC407" s="5" t="s">
        <v>166</v>
      </c>
      <c r="AD407" s="5" t="s">
        <v>81</v>
      </c>
      <c r="AE407" s="24">
        <v>0.0</v>
      </c>
      <c r="AF407" s="5">
        <v>3.0</v>
      </c>
      <c r="AG407" s="5" t="s">
        <v>2094</v>
      </c>
      <c r="AH407" s="5" t="s">
        <v>0</v>
      </c>
      <c r="AI407" s="42"/>
      <c r="AJ407" s="28">
        <v>0.0</v>
      </c>
      <c r="AK407" s="28">
        <v>0.0</v>
      </c>
      <c r="AL407" s="28">
        <v>0.0</v>
      </c>
      <c r="AM407" s="28">
        <v>0.0</v>
      </c>
      <c r="AN407" s="28">
        <v>0.0</v>
      </c>
      <c r="AO407" s="28">
        <v>0.0</v>
      </c>
      <c r="AP407" s="28">
        <v>0.0</v>
      </c>
      <c r="AQ407" s="28">
        <v>0.0</v>
      </c>
      <c r="AR407" s="28">
        <v>0.0</v>
      </c>
      <c r="AS407" s="28">
        <v>0.0</v>
      </c>
      <c r="AT407" s="28">
        <v>0.0</v>
      </c>
      <c r="AU407" s="28">
        <v>0.0</v>
      </c>
      <c r="AV407" s="28">
        <v>0.0</v>
      </c>
      <c r="AW407" s="28">
        <v>0.0</v>
      </c>
      <c r="AX407" s="5"/>
      <c r="AY407" s="5" t="str">
        <f t="array" ref="AY407">IFERROR(_xlfn.XLOOKUP($E407,'FW27'!$C$3:$C$1102,'FW27'!$AM$3:$AM$1102),"")</f>
        <v>Essentials</v>
      </c>
      <c r="AZ407" s="5" t="str">
        <f t="array" ref="AZ407">IFERROR(_xlfn.XLOOKUP($E407,'FW27'!$C$3:$C$1102,'FW27'!$AN$3:$AN$1102),"")</f>
        <v>Active Essentials</v>
      </c>
      <c r="BB407" s="5" t="str">
        <f t="array" ref="BB407">IFERROR(_xlfn.XLOOKUP($E407,'FW27'!$C$3:$C$1102,'FW27'!$AS$3:$AS$1102),"")</f>
        <v>Shell</v>
      </c>
      <c r="BC407" s="5" t="str">
        <f t="array" ref="BC407">IFERROR(_xlfn.XLOOKUP($E407,'FW27'!$C$3:$C$1102,'FW27'!$AT$3:$AT$1102),"")</f>
        <v>Jacket</v>
      </c>
      <c r="BD407" s="5" t="str">
        <f t="array" ref="BD407">IFERROR(_xlfn.XLOOKUP($E407,'FW27'!$C$3:$C$1102,'FW27'!$AU$3:$AU$1102),"")</f>
        <v>2.5L</v>
      </c>
      <c r="BE407" s="5" t="str">
        <f t="array" ref="BE407">IFERROR(_xlfn.XLOOKUP($E407,'FW27'!$C$3:$C$1102,'FW27'!$AV$3:$AV$1102),"")</f>
        <v>Y</v>
      </c>
    </row>
    <row r="408" ht="16.5" hidden="1" customHeight="1">
      <c r="A408" s="5" t="s">
        <v>155</v>
      </c>
      <c r="B408" s="5" t="s">
        <v>137</v>
      </c>
      <c r="C408" s="5" t="b">
        <v>1</v>
      </c>
      <c r="D408" s="5" t="s">
        <v>741</v>
      </c>
      <c r="E408" s="5" t="s">
        <v>742</v>
      </c>
      <c r="F408" s="5"/>
      <c r="G408" s="5" t="s">
        <v>65</v>
      </c>
      <c r="H408" s="5" t="s">
        <v>84</v>
      </c>
      <c r="I408" s="5" t="s">
        <v>82</v>
      </c>
      <c r="J408" s="25" t="s">
        <v>2151</v>
      </c>
      <c r="K408" s="25"/>
      <c r="L408" s="25" t="s">
        <v>110</v>
      </c>
      <c r="M408" s="5" t="s">
        <v>66</v>
      </c>
      <c r="N408" s="5" t="s">
        <v>68</v>
      </c>
      <c r="O408" s="5" t="s">
        <v>141</v>
      </c>
      <c r="P408" s="5" t="s">
        <v>107</v>
      </c>
      <c r="Q408" s="5" t="b">
        <v>1</v>
      </c>
      <c r="R408" s="5" t="b">
        <v>0</v>
      </c>
      <c r="S408" s="5"/>
      <c r="T408" s="5">
        <v>2500.0</v>
      </c>
      <c r="U408" s="26">
        <v>2.1</v>
      </c>
      <c r="V408" s="5">
        <v>1190.0</v>
      </c>
      <c r="W408" s="27">
        <v>0.0</v>
      </c>
      <c r="X408" s="28">
        <v>1190.0</v>
      </c>
      <c r="Y408" s="27">
        <v>1.0</v>
      </c>
      <c r="Z408" s="5" t="s">
        <v>78</v>
      </c>
      <c r="AA408" s="5">
        <v>0.575</v>
      </c>
      <c r="AB408" s="5"/>
      <c r="AC408" s="5" t="s">
        <v>166</v>
      </c>
      <c r="AD408" s="5" t="s">
        <v>81</v>
      </c>
      <c r="AE408" s="24">
        <v>0.0</v>
      </c>
      <c r="AF408" s="5">
        <v>3.0</v>
      </c>
      <c r="AG408" s="5" t="s">
        <v>2094</v>
      </c>
      <c r="AH408" s="5" t="s">
        <v>0</v>
      </c>
      <c r="AI408" s="42"/>
      <c r="AJ408" s="28">
        <v>0.0</v>
      </c>
      <c r="AK408" s="28">
        <v>0.0</v>
      </c>
      <c r="AL408" s="28">
        <v>0.0</v>
      </c>
      <c r="AM408" s="28">
        <v>0.0</v>
      </c>
      <c r="AN408" s="28">
        <v>0.0</v>
      </c>
      <c r="AO408" s="28">
        <v>0.0</v>
      </c>
      <c r="AP408" s="28">
        <v>0.0</v>
      </c>
      <c r="AQ408" s="28">
        <v>0.0</v>
      </c>
      <c r="AR408" s="28">
        <v>0.0</v>
      </c>
      <c r="AS408" s="28">
        <v>0.0</v>
      </c>
      <c r="AT408" s="28">
        <v>0.0</v>
      </c>
      <c r="AU408" s="28">
        <v>0.0</v>
      </c>
      <c r="AV408" s="28">
        <v>0.0</v>
      </c>
      <c r="AW408" s="28">
        <v>0.0</v>
      </c>
      <c r="AX408" s="5"/>
      <c r="AY408" s="5" t="str">
        <f t="array" ref="AY408">IFERROR(_xlfn.XLOOKUP($E408,'FW27'!$C$3:$C$1102,'FW27'!$AM$3:$AM$1102),"")</f>
        <v>Essentials</v>
      </c>
      <c r="AZ408" s="5" t="str">
        <f t="array" ref="AZ408">IFERROR(_xlfn.XLOOKUP($E408,'FW27'!$C$3:$C$1102,'FW27'!$AN$3:$AN$1102),"")</f>
        <v>Active Essentials</v>
      </c>
      <c r="BB408" s="5" t="str">
        <f t="array" ref="BB408">IFERROR(_xlfn.XLOOKUP($E408,'FW27'!$C$3:$C$1102,'FW27'!$AS$3:$AS$1102),"")</f>
        <v>Shell</v>
      </c>
      <c r="BC408" s="5" t="str">
        <f t="array" ref="BC408">IFERROR(_xlfn.XLOOKUP($E408,'FW27'!$C$3:$C$1102,'FW27'!$AT$3:$AT$1102),"")</f>
        <v>Jacket</v>
      </c>
      <c r="BD408" s="5" t="str">
        <f t="array" ref="BD408">IFERROR(_xlfn.XLOOKUP($E408,'FW27'!$C$3:$C$1102,'FW27'!$AU$3:$AU$1102),"")</f>
        <v>2.5L</v>
      </c>
      <c r="BE408" s="5" t="str">
        <f t="array" ref="BE408">IFERROR(_xlfn.XLOOKUP($E408,'FW27'!$C$3:$C$1102,'FW27'!$AV$3:$AV$1102),"")</f>
        <v>Y</v>
      </c>
    </row>
    <row r="409" ht="16.5" hidden="1" customHeight="1">
      <c r="A409" s="5" t="s">
        <v>155</v>
      </c>
      <c r="B409" s="5" t="s">
        <v>137</v>
      </c>
      <c r="C409" s="5" t="b">
        <v>0</v>
      </c>
      <c r="D409" s="5" t="s">
        <v>978</v>
      </c>
      <c r="E409" s="5" t="s">
        <v>1908</v>
      </c>
      <c r="F409" s="5"/>
      <c r="G409" s="5" t="s">
        <v>65</v>
      </c>
      <c r="H409" s="5" t="s">
        <v>76</v>
      </c>
      <c r="I409" s="5" t="s">
        <v>106</v>
      </c>
      <c r="J409" s="25" t="s">
        <v>2152</v>
      </c>
      <c r="K409" s="25"/>
      <c r="L409" s="25"/>
      <c r="M409" s="5" t="s">
        <v>66</v>
      </c>
      <c r="N409" s="5" t="s">
        <v>113</v>
      </c>
      <c r="O409" s="5" t="s">
        <v>69</v>
      </c>
      <c r="P409" s="5" t="s">
        <v>70</v>
      </c>
      <c r="Q409" s="5" t="b">
        <v>1</v>
      </c>
      <c r="R409" s="5" t="b">
        <v>0</v>
      </c>
      <c r="S409" s="5"/>
      <c r="T409" s="5">
        <v>2000.0</v>
      </c>
      <c r="U409" s="26">
        <v>2.1</v>
      </c>
      <c r="V409" s="5">
        <v>952.0</v>
      </c>
      <c r="W409" s="27">
        <v>0.0</v>
      </c>
      <c r="X409" s="28">
        <v>952.0</v>
      </c>
      <c r="Y409" s="27">
        <v>1.0</v>
      </c>
      <c r="Z409" s="5" t="s">
        <v>117</v>
      </c>
      <c r="AA409" s="5">
        <v>0.65</v>
      </c>
      <c r="AB409" s="5"/>
      <c r="AC409" s="5" t="s">
        <v>81</v>
      </c>
      <c r="AD409" s="5" t="s">
        <v>81</v>
      </c>
      <c r="AE409" s="5">
        <v>3.0</v>
      </c>
      <c r="AF409" s="5">
        <v>3.0</v>
      </c>
      <c r="AG409" s="5" t="s">
        <v>1564</v>
      </c>
      <c r="AH409" s="5" t="s">
        <v>156</v>
      </c>
      <c r="AI409" s="42"/>
      <c r="AJ409" s="28">
        <v>400.0</v>
      </c>
      <c r="AK409" s="28">
        <v>0.0</v>
      </c>
      <c r="AL409" s="28">
        <v>0.0</v>
      </c>
      <c r="AM409" s="28">
        <v>100.0</v>
      </c>
      <c r="AN409" s="28">
        <v>0.0</v>
      </c>
      <c r="AO409" s="28">
        <v>380952.0</v>
      </c>
      <c r="AP409" s="28">
        <v>0.0</v>
      </c>
      <c r="AQ409" s="28">
        <v>0.0</v>
      </c>
      <c r="AR409" s="28">
        <v>95238.0</v>
      </c>
      <c r="AS409" s="28">
        <v>0.0</v>
      </c>
      <c r="AT409" s="28">
        <v>295893.3333333333</v>
      </c>
      <c r="AU409" s="28">
        <v>0.0</v>
      </c>
      <c r="AV409" s="28">
        <v>0.0</v>
      </c>
      <c r="AW409" s="28">
        <v>74946.66666666667</v>
      </c>
      <c r="AX409" s="5"/>
      <c r="AY409" s="5" t="s">
        <v>125</v>
      </c>
      <c r="AZ409" s="5" t="s">
        <v>87</v>
      </c>
      <c r="BB409" s="5" t="s">
        <v>126</v>
      </c>
      <c r="BC409" s="5" t="s">
        <v>128</v>
      </c>
      <c r="BD409" s="5" t="s">
        <v>130</v>
      </c>
      <c r="BE409" s="5" t="s">
        <v>131</v>
      </c>
      <c r="BF409" s="5" t="s">
        <v>2098</v>
      </c>
    </row>
    <row r="410" ht="16.5" hidden="1" customHeight="1">
      <c r="A410" s="5" t="s">
        <v>155</v>
      </c>
      <c r="B410" s="5" t="s">
        <v>137</v>
      </c>
      <c r="C410" s="5" t="b">
        <v>0</v>
      </c>
      <c r="D410" s="5" t="s">
        <v>982</v>
      </c>
      <c r="E410" s="5" t="s">
        <v>1912</v>
      </c>
      <c r="F410" s="5"/>
      <c r="G410" s="5" t="s">
        <v>65</v>
      </c>
      <c r="H410" s="5" t="s">
        <v>76</v>
      </c>
      <c r="I410" s="5" t="s">
        <v>106</v>
      </c>
      <c r="J410" s="25" t="s">
        <v>2152</v>
      </c>
      <c r="K410" s="25"/>
      <c r="L410" s="25"/>
      <c r="M410" s="5" t="s">
        <v>66</v>
      </c>
      <c r="N410" s="5" t="s">
        <v>113</v>
      </c>
      <c r="O410" s="5" t="s">
        <v>69</v>
      </c>
      <c r="P410" s="5" t="s">
        <v>107</v>
      </c>
      <c r="Q410" s="5" t="b">
        <v>1</v>
      </c>
      <c r="R410" s="5" t="b">
        <v>0</v>
      </c>
      <c r="S410" s="5"/>
      <c r="T410" s="5">
        <v>2000.0</v>
      </c>
      <c r="U410" s="26">
        <v>2.1</v>
      </c>
      <c r="V410" s="5">
        <v>952.0</v>
      </c>
      <c r="W410" s="27">
        <v>0.0</v>
      </c>
      <c r="X410" s="28">
        <v>952.0</v>
      </c>
      <c r="Y410" s="27">
        <v>1.0</v>
      </c>
      <c r="Z410" s="5" t="s">
        <v>117</v>
      </c>
      <c r="AA410" s="5">
        <v>0.66</v>
      </c>
      <c r="AB410" s="5"/>
      <c r="AC410" s="5" t="s">
        <v>81</v>
      </c>
      <c r="AD410" s="5" t="s">
        <v>81</v>
      </c>
      <c r="AE410" s="5">
        <v>3.0</v>
      </c>
      <c r="AF410" s="5">
        <v>3.0</v>
      </c>
      <c r="AG410" s="5" t="s">
        <v>1564</v>
      </c>
      <c r="AH410" s="5" t="s">
        <v>156</v>
      </c>
      <c r="AI410" s="42"/>
      <c r="AJ410" s="28">
        <v>400.0</v>
      </c>
      <c r="AK410" s="28">
        <v>0.0</v>
      </c>
      <c r="AL410" s="28">
        <v>0.0</v>
      </c>
      <c r="AM410" s="28">
        <v>0.0</v>
      </c>
      <c r="AN410" s="28">
        <v>0.0</v>
      </c>
      <c r="AO410" s="28">
        <v>380952.0</v>
      </c>
      <c r="AP410" s="28">
        <v>0.0</v>
      </c>
      <c r="AQ410" s="28">
        <v>0.0</v>
      </c>
      <c r="AR410" s="28">
        <v>0.0</v>
      </c>
      <c r="AS410" s="28">
        <v>0.0</v>
      </c>
      <c r="AT410" s="28">
        <v>295893.3333333333</v>
      </c>
      <c r="AU410" s="28">
        <v>0.0</v>
      </c>
      <c r="AV410" s="28">
        <v>0.0</v>
      </c>
      <c r="AW410" s="28">
        <v>0.0</v>
      </c>
      <c r="AX410" s="5"/>
      <c r="AY410" s="5" t="s">
        <v>125</v>
      </c>
      <c r="AZ410" s="5" t="s">
        <v>87</v>
      </c>
      <c r="BB410" s="5" t="s">
        <v>126</v>
      </c>
      <c r="BC410" s="5" t="s">
        <v>128</v>
      </c>
      <c r="BD410" s="5" t="s">
        <v>130</v>
      </c>
      <c r="BE410" s="5" t="s">
        <v>131</v>
      </c>
      <c r="BF410" s="5" t="s">
        <v>2098</v>
      </c>
    </row>
    <row r="411" ht="16.5" hidden="1" customHeight="1">
      <c r="A411" s="5" t="s">
        <v>155</v>
      </c>
      <c r="B411" s="5" t="s">
        <v>137</v>
      </c>
      <c r="C411" s="5" t="b">
        <v>0</v>
      </c>
      <c r="D411" s="5" t="s">
        <v>984</v>
      </c>
      <c r="E411" s="5" t="s">
        <v>1914</v>
      </c>
      <c r="F411" s="5"/>
      <c r="G411" s="5" t="s">
        <v>65</v>
      </c>
      <c r="H411" s="5" t="s">
        <v>76</v>
      </c>
      <c r="I411" s="5" t="s">
        <v>106</v>
      </c>
      <c r="J411" s="25" t="s">
        <v>2153</v>
      </c>
      <c r="K411" s="25"/>
      <c r="L411" s="25" t="s">
        <v>110</v>
      </c>
      <c r="M411" s="5" t="s">
        <v>66</v>
      </c>
      <c r="N411" s="5" t="s">
        <v>68</v>
      </c>
      <c r="O411" s="5" t="s">
        <v>69</v>
      </c>
      <c r="P411" s="5" t="s">
        <v>70</v>
      </c>
      <c r="Q411" s="5" t="b">
        <v>1</v>
      </c>
      <c r="R411" s="5" t="b">
        <v>0</v>
      </c>
      <c r="S411" s="5"/>
      <c r="T411" s="5">
        <v>4000.0</v>
      </c>
      <c r="U411" s="26">
        <v>2.1</v>
      </c>
      <c r="V411" s="5">
        <v>1905.0</v>
      </c>
      <c r="W411" s="27">
        <v>0.0</v>
      </c>
      <c r="X411" s="28">
        <v>1905.0</v>
      </c>
      <c r="Y411" s="27">
        <v>1.0</v>
      </c>
      <c r="Z411" s="5" t="s">
        <v>117</v>
      </c>
      <c r="AA411" s="5">
        <v>0.5920000000000001</v>
      </c>
      <c r="AB411" s="5"/>
      <c r="AC411" s="5" t="s">
        <v>80</v>
      </c>
      <c r="AD411" s="5" t="s">
        <v>81</v>
      </c>
      <c r="AE411" s="5">
        <v>3.0</v>
      </c>
      <c r="AF411" s="5">
        <v>3.0</v>
      </c>
      <c r="AG411" s="5" t="s">
        <v>1564</v>
      </c>
      <c r="AH411" s="5" t="s">
        <v>156</v>
      </c>
      <c r="AI411" s="42"/>
      <c r="AJ411" s="28">
        <v>0.0</v>
      </c>
      <c r="AK411" s="28">
        <v>0.0</v>
      </c>
      <c r="AL411" s="28">
        <v>0.0</v>
      </c>
      <c r="AM411" s="28">
        <v>0.0</v>
      </c>
      <c r="AN411" s="28">
        <v>0.0</v>
      </c>
      <c r="AO411" s="28">
        <v>0.0</v>
      </c>
      <c r="AP411" s="28">
        <v>0.0</v>
      </c>
      <c r="AQ411" s="28">
        <v>0.0</v>
      </c>
      <c r="AR411" s="28">
        <v>0.0</v>
      </c>
      <c r="AS411" s="28">
        <v>0.0</v>
      </c>
      <c r="AT411" s="28">
        <v>0.0</v>
      </c>
      <c r="AU411" s="28">
        <v>0.0</v>
      </c>
      <c r="AV411" s="28">
        <v>0.0</v>
      </c>
      <c r="AW411" s="28">
        <v>0.0</v>
      </c>
      <c r="AX411" s="5"/>
      <c r="AY411" s="5" t="s">
        <v>125</v>
      </c>
      <c r="AZ411" s="5" t="s">
        <v>127</v>
      </c>
      <c r="BB411" s="5" t="s">
        <v>68</v>
      </c>
      <c r="BC411" s="5" t="s">
        <v>89</v>
      </c>
      <c r="BD411" s="5" t="s">
        <v>90</v>
      </c>
      <c r="BE411" s="5" t="s">
        <v>91</v>
      </c>
      <c r="BF411" s="5" t="s">
        <v>1491</v>
      </c>
    </row>
    <row r="412" ht="16.5" hidden="1" customHeight="1">
      <c r="A412" s="5" t="s">
        <v>155</v>
      </c>
      <c r="B412" s="5" t="s">
        <v>137</v>
      </c>
      <c r="C412" s="5" t="b">
        <v>0</v>
      </c>
      <c r="D412" s="5" t="s">
        <v>988</v>
      </c>
      <c r="E412" s="5" t="s">
        <v>1916</v>
      </c>
      <c r="F412" s="5"/>
      <c r="G412" s="5" t="s">
        <v>65</v>
      </c>
      <c r="H412" s="5" t="s">
        <v>76</v>
      </c>
      <c r="I412" s="5" t="s">
        <v>106</v>
      </c>
      <c r="J412" s="25" t="s">
        <v>2153</v>
      </c>
      <c r="K412" s="25"/>
      <c r="L412" s="25" t="s">
        <v>110</v>
      </c>
      <c r="M412" s="5" t="s">
        <v>66</v>
      </c>
      <c r="N412" s="5" t="s">
        <v>68</v>
      </c>
      <c r="O412" s="5" t="s">
        <v>69</v>
      </c>
      <c r="P412" s="5" t="s">
        <v>107</v>
      </c>
      <c r="Q412" s="5" t="b">
        <v>1</v>
      </c>
      <c r="R412" s="5" t="b">
        <v>0</v>
      </c>
      <c r="S412" s="5"/>
      <c r="T412" s="5">
        <v>4000.0</v>
      </c>
      <c r="U412" s="26">
        <v>2.1</v>
      </c>
      <c r="V412" s="5">
        <v>1905.0</v>
      </c>
      <c r="W412" s="27">
        <v>0.0</v>
      </c>
      <c r="X412" s="28">
        <v>1905.0</v>
      </c>
      <c r="Y412" s="27">
        <v>1.0</v>
      </c>
      <c r="Z412" s="5" t="s">
        <v>117</v>
      </c>
      <c r="AA412" s="5">
        <v>0.575</v>
      </c>
      <c r="AB412" s="5"/>
      <c r="AC412" s="5" t="s">
        <v>80</v>
      </c>
      <c r="AD412" s="5" t="s">
        <v>81</v>
      </c>
      <c r="AE412" s="5">
        <v>3.0</v>
      </c>
      <c r="AF412" s="5">
        <v>3.0</v>
      </c>
      <c r="AG412" s="5" t="s">
        <v>1564</v>
      </c>
      <c r="AH412" s="5" t="s">
        <v>156</v>
      </c>
      <c r="AI412" s="42"/>
      <c r="AJ412" s="28">
        <v>0.0</v>
      </c>
      <c r="AK412" s="28">
        <v>0.0</v>
      </c>
      <c r="AL412" s="28">
        <v>0.0</v>
      </c>
      <c r="AM412" s="28">
        <v>0.0</v>
      </c>
      <c r="AN412" s="28">
        <v>0.0</v>
      </c>
      <c r="AO412" s="28">
        <v>0.0</v>
      </c>
      <c r="AP412" s="28">
        <v>0.0</v>
      </c>
      <c r="AQ412" s="28">
        <v>0.0</v>
      </c>
      <c r="AR412" s="28">
        <v>0.0</v>
      </c>
      <c r="AS412" s="28">
        <v>0.0</v>
      </c>
      <c r="AT412" s="28">
        <v>0.0</v>
      </c>
      <c r="AU412" s="28">
        <v>0.0</v>
      </c>
      <c r="AV412" s="28">
        <v>0.0</v>
      </c>
      <c r="AW412" s="28">
        <v>0.0</v>
      </c>
      <c r="AX412" s="5"/>
      <c r="AY412" s="5" t="s">
        <v>125</v>
      </c>
      <c r="AZ412" s="5" t="s">
        <v>127</v>
      </c>
      <c r="BB412" s="5" t="s">
        <v>68</v>
      </c>
      <c r="BC412" s="5" t="s">
        <v>89</v>
      </c>
      <c r="BD412" s="5" t="s">
        <v>90</v>
      </c>
      <c r="BE412" s="5" t="s">
        <v>91</v>
      </c>
      <c r="BF412" s="5" t="s">
        <v>1491</v>
      </c>
    </row>
    <row r="413" ht="16.5" hidden="1" customHeight="1">
      <c r="A413" s="5" t="s">
        <v>155</v>
      </c>
      <c r="B413" s="5" t="s">
        <v>137</v>
      </c>
      <c r="C413" s="5" t="b">
        <v>1</v>
      </c>
      <c r="D413" s="68" t="s">
        <v>663</v>
      </c>
      <c r="E413" s="68" t="s">
        <v>664</v>
      </c>
      <c r="F413" s="68"/>
      <c r="G413" s="68" t="s">
        <v>65</v>
      </c>
      <c r="H413" s="68" t="s">
        <v>76</v>
      </c>
      <c r="I413" s="68" t="s">
        <v>82</v>
      </c>
      <c r="J413" s="69" t="s">
        <v>530</v>
      </c>
      <c r="K413" s="25"/>
      <c r="L413" s="25"/>
      <c r="M413" s="5" t="s">
        <v>66</v>
      </c>
      <c r="N413" s="5" t="s">
        <v>270</v>
      </c>
      <c r="O413" s="5" t="s">
        <v>141</v>
      </c>
      <c r="P413" s="5" t="s">
        <v>70</v>
      </c>
      <c r="Q413" s="5" t="b">
        <v>1</v>
      </c>
      <c r="R413" s="5" t="b">
        <v>0</v>
      </c>
      <c r="S413" s="5"/>
      <c r="T413" s="5">
        <v>1300.0</v>
      </c>
      <c r="U413" s="26">
        <v>2.1</v>
      </c>
      <c r="V413" s="5">
        <v>619.0</v>
      </c>
      <c r="W413" s="27">
        <v>0.0</v>
      </c>
      <c r="X413" s="28">
        <v>619.0</v>
      </c>
      <c r="Y413" s="27">
        <v>1.0</v>
      </c>
      <c r="Z413" s="5" t="s">
        <v>78</v>
      </c>
      <c r="AA413" s="5">
        <v>0.629</v>
      </c>
      <c r="AB413" s="5"/>
      <c r="AC413" s="5" t="s">
        <v>81</v>
      </c>
      <c r="AD413" s="5" t="s">
        <v>81</v>
      </c>
      <c r="AE413" s="5">
        <v>3.0</v>
      </c>
      <c r="AF413" s="5">
        <v>3.0</v>
      </c>
      <c r="AG413" s="5" t="s">
        <v>1918</v>
      </c>
      <c r="AH413" s="5" t="s">
        <v>156</v>
      </c>
      <c r="AI413" s="42"/>
      <c r="AJ413" s="28">
        <v>800.0</v>
      </c>
      <c r="AK413" s="28">
        <v>0.0</v>
      </c>
      <c r="AL413" s="28">
        <v>0.0</v>
      </c>
      <c r="AM413" s="28">
        <v>0.0</v>
      </c>
      <c r="AN413" s="28">
        <v>0.0</v>
      </c>
      <c r="AO413" s="28">
        <v>495239.99999999994</v>
      </c>
      <c r="AP413" s="28">
        <v>0.0</v>
      </c>
      <c r="AQ413" s="28">
        <v>0.0</v>
      </c>
      <c r="AR413" s="28">
        <v>0.0</v>
      </c>
      <c r="AS413" s="28">
        <v>0.0</v>
      </c>
      <c r="AT413" s="28">
        <v>399497.14285714284</v>
      </c>
      <c r="AU413" s="28">
        <v>0.0</v>
      </c>
      <c r="AV413" s="28">
        <v>0.0</v>
      </c>
      <c r="AW413" s="28">
        <v>0.0</v>
      </c>
      <c r="AX413" s="5"/>
      <c r="AY413" s="5" t="str">
        <f t="array" ref="AY413">IFERROR(_xlfn.XLOOKUP($E413,'FW27'!$C$3:$C$1102,'FW27'!$AM$3:$AM$1102),"")</f>
        <v>Essentials</v>
      </c>
      <c r="AZ413" s="5" t="str">
        <f t="array" ref="AZ413">IFERROR(_xlfn.XLOOKUP($E413,'FW27'!$C$3:$C$1102,'FW27'!$AN$3:$AN$1102),"")</f>
        <v>Active Essentials</v>
      </c>
      <c r="BB413" s="5" t="str">
        <f t="array" ref="BB413">IFERROR(_xlfn.XLOOKUP($E413,'FW27'!$C$3:$C$1102,'FW27'!$AS$3:$AS$1102),"")</f>
        <v>Fleece/Midlayer</v>
      </c>
      <c r="BC413" s="5" t="str">
        <f t="array" ref="BC413">IFERROR(_xlfn.XLOOKUP($E413,'FW27'!$C$3:$C$1102,'FW27'!$AT$3:$AT$1102),"")</f>
        <v>Jacket</v>
      </c>
      <c r="BD413" s="5" t="str">
        <f t="array" ref="BD413">IFERROR(_xlfn.XLOOKUP($E413,'FW27'!$C$3:$C$1102,'FW27'!$AU$3:$AU$1102),"")</f>
        <v>Midweight</v>
      </c>
      <c r="BE413" s="5" t="str">
        <f t="array" ref="BE413">IFERROR(_xlfn.XLOOKUP($E413,'FW27'!$C$3:$C$1102,'FW27'!$AV$3:$AV$1102),"")</f>
        <v>N</v>
      </c>
    </row>
    <row r="414" ht="16.5" hidden="1" customHeight="1">
      <c r="A414" s="5" t="s">
        <v>155</v>
      </c>
      <c r="B414" s="5" t="s">
        <v>137</v>
      </c>
      <c r="C414" s="5" t="b">
        <v>1</v>
      </c>
      <c r="D414" s="68" t="s">
        <v>676</v>
      </c>
      <c r="E414" s="68" t="s">
        <v>677</v>
      </c>
      <c r="F414" s="68"/>
      <c r="G414" s="68" t="s">
        <v>65</v>
      </c>
      <c r="H414" s="68" t="s">
        <v>76</v>
      </c>
      <c r="I414" s="68" t="s">
        <v>82</v>
      </c>
      <c r="J414" s="69" t="s">
        <v>530</v>
      </c>
      <c r="K414" s="25"/>
      <c r="L414" s="25"/>
      <c r="M414" s="5" t="s">
        <v>66</v>
      </c>
      <c r="N414" s="5" t="s">
        <v>270</v>
      </c>
      <c r="O414" s="5" t="s">
        <v>141</v>
      </c>
      <c r="P414" s="5" t="s">
        <v>107</v>
      </c>
      <c r="Q414" s="5" t="b">
        <v>1</v>
      </c>
      <c r="R414" s="5" t="b">
        <v>0</v>
      </c>
      <c r="S414" s="5"/>
      <c r="T414" s="5">
        <v>1300.0</v>
      </c>
      <c r="U414" s="26">
        <v>2.1</v>
      </c>
      <c r="V414" s="5">
        <v>619.0</v>
      </c>
      <c r="W414" s="27">
        <v>0.0</v>
      </c>
      <c r="X414" s="28">
        <v>619.0</v>
      </c>
      <c r="Y414" s="27">
        <v>1.0</v>
      </c>
      <c r="Z414" s="5" t="s">
        <v>78</v>
      </c>
      <c r="AA414" s="5">
        <v>0.66</v>
      </c>
      <c r="AB414" s="5"/>
      <c r="AC414" s="5" t="s">
        <v>81</v>
      </c>
      <c r="AD414" s="5" t="s">
        <v>81</v>
      </c>
      <c r="AE414" s="5">
        <v>3.0</v>
      </c>
      <c r="AF414" s="5">
        <v>3.0</v>
      </c>
      <c r="AG414" s="5" t="s">
        <v>1918</v>
      </c>
      <c r="AH414" s="5" t="s">
        <v>156</v>
      </c>
      <c r="AI414" s="42"/>
      <c r="AJ414" s="28">
        <v>500.0</v>
      </c>
      <c r="AK414" s="28">
        <v>0.0</v>
      </c>
      <c r="AL414" s="28">
        <v>0.0</v>
      </c>
      <c r="AM414" s="28">
        <v>0.0</v>
      </c>
      <c r="AN414" s="28">
        <v>0.0</v>
      </c>
      <c r="AO414" s="28">
        <v>309525.0</v>
      </c>
      <c r="AP414" s="28">
        <v>0.0</v>
      </c>
      <c r="AQ414" s="28">
        <v>0.0</v>
      </c>
      <c r="AR414" s="28">
        <v>0.0</v>
      </c>
      <c r="AS414" s="28">
        <v>0.0</v>
      </c>
      <c r="AT414" s="28">
        <v>247302.8571428571</v>
      </c>
      <c r="AU414" s="28">
        <v>0.0</v>
      </c>
      <c r="AV414" s="28">
        <v>0.0</v>
      </c>
      <c r="AW414" s="28">
        <v>0.0</v>
      </c>
      <c r="AX414" s="5"/>
      <c r="AY414" s="5" t="str">
        <f t="array" ref="AY414">IFERROR(_xlfn.XLOOKUP($E414,'FW27'!$C$3:$C$1102,'FW27'!$AM$3:$AM$1102),"")</f>
        <v>Essentials</v>
      </c>
      <c r="AZ414" s="5" t="str">
        <f t="array" ref="AZ414">IFERROR(_xlfn.XLOOKUP($E414,'FW27'!$C$3:$C$1102,'FW27'!$AN$3:$AN$1102),"")</f>
        <v>Active Essentials</v>
      </c>
      <c r="BB414" s="5" t="str">
        <f t="array" ref="BB414">IFERROR(_xlfn.XLOOKUP($E414,'FW27'!$C$3:$C$1102,'FW27'!$AS$3:$AS$1102),"")</f>
        <v>Fleece/Midlayer</v>
      </c>
      <c r="BC414" s="5" t="str">
        <f t="array" ref="BC414">IFERROR(_xlfn.XLOOKUP($E414,'FW27'!$C$3:$C$1102,'FW27'!$AT$3:$AT$1102),"")</f>
        <v>Jacket</v>
      </c>
      <c r="BD414" s="5" t="str">
        <f t="array" ref="BD414">IFERROR(_xlfn.XLOOKUP($E414,'FW27'!$C$3:$C$1102,'FW27'!$AU$3:$AU$1102),"")</f>
        <v>Midweight</v>
      </c>
      <c r="BE414" s="5" t="str">
        <f t="array" ref="BE414">IFERROR(_xlfn.XLOOKUP($E414,'FW27'!$C$3:$C$1102,'FW27'!$AV$3:$AV$1102),"")</f>
        <v>N</v>
      </c>
    </row>
    <row r="415" ht="16.5" hidden="1" customHeight="1">
      <c r="A415" s="5" t="s">
        <v>155</v>
      </c>
      <c r="B415" s="5" t="s">
        <v>137</v>
      </c>
      <c r="C415" s="5" t="b">
        <v>1</v>
      </c>
      <c r="D415" s="5" t="s">
        <v>1000</v>
      </c>
      <c r="E415" s="5" t="s">
        <v>1001</v>
      </c>
      <c r="F415" s="5"/>
      <c r="G415" s="5" t="s">
        <v>1002</v>
      </c>
      <c r="H415" s="5" t="s">
        <v>84</v>
      </c>
      <c r="I415" s="5" t="s">
        <v>82</v>
      </c>
      <c r="J415" s="25"/>
      <c r="K415" s="25"/>
      <c r="L415" s="25"/>
      <c r="M415" s="5" t="s">
        <v>66</v>
      </c>
      <c r="N415" s="5" t="s">
        <v>1003</v>
      </c>
      <c r="O415" s="5" t="s">
        <v>69</v>
      </c>
      <c r="P415" s="5" t="s">
        <v>70</v>
      </c>
      <c r="Q415" s="5" t="b">
        <v>1</v>
      </c>
      <c r="R415" s="5" t="b">
        <v>0</v>
      </c>
      <c r="S415" s="5"/>
      <c r="T415" s="5">
        <v>1700.0</v>
      </c>
      <c r="U415" s="26">
        <v>2.08</v>
      </c>
      <c r="V415" s="5">
        <v>817.0</v>
      </c>
      <c r="W415" s="27">
        <v>0.0</v>
      </c>
      <c r="X415" s="28">
        <v>817.0</v>
      </c>
      <c r="Y415" s="27">
        <v>1.0</v>
      </c>
      <c r="Z415" s="5" t="s">
        <v>117</v>
      </c>
      <c r="AA415" s="5">
        <v>0.589</v>
      </c>
      <c r="AB415" s="5"/>
      <c r="AC415" s="5" t="s">
        <v>81</v>
      </c>
      <c r="AD415" s="5" t="s">
        <v>81</v>
      </c>
      <c r="AE415" s="24">
        <v>0.0</v>
      </c>
      <c r="AF415" s="5">
        <v>2.0</v>
      </c>
      <c r="AG415" s="5" t="s">
        <v>0</v>
      </c>
      <c r="AH415" s="5" t="s">
        <v>0</v>
      </c>
      <c r="AI415" s="42"/>
      <c r="AJ415" s="28">
        <v>1234.0</v>
      </c>
      <c r="AK415" s="28">
        <v>0.0</v>
      </c>
      <c r="AL415" s="28">
        <v>0.0</v>
      </c>
      <c r="AM415" s="28">
        <v>1815.0</v>
      </c>
      <c r="AN415" s="28">
        <v>0.0</v>
      </c>
      <c r="AO415" s="28">
        <v>1008560.5399999999</v>
      </c>
      <c r="AP415" s="28">
        <v>0.0</v>
      </c>
      <c r="AQ415" s="28">
        <v>0.0</v>
      </c>
      <c r="AR415" s="28">
        <v>1483417.65</v>
      </c>
      <c r="AS415" s="28">
        <v>0.0</v>
      </c>
      <c r="AT415" s="28">
        <v>678025.4265934065</v>
      </c>
      <c r="AU415" s="28">
        <v>0.0</v>
      </c>
      <c r="AV415" s="28">
        <v>0.0</v>
      </c>
      <c r="AW415" s="28">
        <v>1028644.916194332</v>
      </c>
      <c r="AX415" s="5"/>
      <c r="AY415" s="5" t="str">
        <f t="array" ref="AY415">IFERROR(_xlfn.XLOOKUP($E415,'FW27'!$C$3:$C$1102,'FW27'!$AM$3:$AM$1102),"")</f>
        <v>Outdoor</v>
      </c>
      <c r="AZ415" s="5" t="str">
        <f t="array" ref="AZ415">IFERROR(_xlfn.XLOOKUP($E415,'FW27'!$C$3:$C$1102,'FW27'!$AN$3:$AN$1102),"")</f>
        <v>Trail Run &amp; Fast Hike</v>
      </c>
      <c r="BB415" s="5" t="str">
        <f t="array" ref="BB415">IFERROR(_xlfn.XLOOKUP($E415,'FW27'!$C$3:$C$1102,'FW27'!$AS$3:$AS$1102),"")</f>
        <v>Footwear</v>
      </c>
      <c r="BC415" s="5" t="str">
        <f t="array" ref="BC415">IFERROR(_xlfn.XLOOKUP($E415,'FW27'!$C$3:$C$1102,'FW27'!$AT$3:$AT$1102),"")</f>
        <v>Shoe (Low)</v>
      </c>
      <c r="BD415" s="5" t="str">
        <f t="array" ref="BD415">IFERROR(_xlfn.XLOOKUP($E415,'FW27'!$C$3:$C$1102,'FW27'!$AU$3:$AU$1102),"")</f>
        <v>Non-waterproof</v>
      </c>
      <c r="BE415" s="5" t="str">
        <f t="array" ref="BE415">IFERROR(_xlfn.XLOOKUP($E415,'FW27'!$C$3:$C$1102,'FW27'!$AV$3:$AV$1102),"")</f>
        <v>N</v>
      </c>
    </row>
    <row r="416" ht="16.5" hidden="1" customHeight="1">
      <c r="A416" s="5" t="s">
        <v>155</v>
      </c>
      <c r="B416" s="5" t="s">
        <v>137</v>
      </c>
      <c r="C416" s="5" t="b">
        <v>1</v>
      </c>
      <c r="D416" s="5" t="s">
        <v>1007</v>
      </c>
      <c r="E416" s="5" t="s">
        <v>1008</v>
      </c>
      <c r="F416" s="5"/>
      <c r="G416" s="5" t="s">
        <v>1002</v>
      </c>
      <c r="H416" s="5" t="s">
        <v>84</v>
      </c>
      <c r="I416" s="5" t="s">
        <v>82</v>
      </c>
      <c r="J416" s="25"/>
      <c r="K416" s="25"/>
      <c r="L416" s="25"/>
      <c r="M416" s="5" t="s">
        <v>66</v>
      </c>
      <c r="N416" s="5" t="s">
        <v>1003</v>
      </c>
      <c r="O416" s="5" t="s">
        <v>69</v>
      </c>
      <c r="P416" s="5" t="s">
        <v>107</v>
      </c>
      <c r="Q416" s="5" t="b">
        <v>1</v>
      </c>
      <c r="R416" s="5" t="b">
        <v>0</v>
      </c>
      <c r="S416" s="5"/>
      <c r="T416" s="5">
        <v>1700.0</v>
      </c>
      <c r="U416" s="26">
        <v>2.08</v>
      </c>
      <c r="V416" s="5">
        <v>817.0</v>
      </c>
      <c r="W416" s="27">
        <v>0.0</v>
      </c>
      <c r="X416" s="28">
        <v>817.0</v>
      </c>
      <c r="Y416" s="27">
        <v>1.0</v>
      </c>
      <c r="Z416" s="5" t="s">
        <v>117</v>
      </c>
      <c r="AA416" s="5">
        <v>0.0</v>
      </c>
      <c r="AB416" s="5"/>
      <c r="AC416" s="5" t="s">
        <v>81</v>
      </c>
      <c r="AD416" s="5" t="s">
        <v>81</v>
      </c>
      <c r="AE416" s="24">
        <v>0.0</v>
      </c>
      <c r="AF416" s="5">
        <v>2.0</v>
      </c>
      <c r="AG416" s="5" t="s">
        <v>0</v>
      </c>
      <c r="AH416" s="5" t="s">
        <v>0</v>
      </c>
      <c r="AI416" s="42"/>
      <c r="AJ416" s="28">
        <v>913.0</v>
      </c>
      <c r="AK416" s="28">
        <v>0.0</v>
      </c>
      <c r="AL416" s="28">
        <v>0.0</v>
      </c>
      <c r="AM416" s="28">
        <v>1288.0</v>
      </c>
      <c r="AN416" s="28">
        <v>0.0</v>
      </c>
      <c r="AO416" s="28">
        <v>746204.03</v>
      </c>
      <c r="AP416" s="28">
        <v>0.0</v>
      </c>
      <c r="AQ416" s="28">
        <v>0.0</v>
      </c>
      <c r="AR416" s="28">
        <v>1052695.28</v>
      </c>
      <c r="AS416" s="28">
        <v>0.0</v>
      </c>
      <c r="AT416" s="28">
        <v>519336.8542857142</v>
      </c>
      <c r="AU416" s="28">
        <v>0.0</v>
      </c>
      <c r="AV416" s="28">
        <v>0.0</v>
      </c>
      <c r="AW416" s="28">
        <v>770826.5949489106</v>
      </c>
      <c r="AX416" s="5"/>
      <c r="AY416" s="5" t="str">
        <f t="array" ref="AY416">IFERROR(_xlfn.XLOOKUP($E416,'FW27'!$C$3:$C$1102,'FW27'!$AM$3:$AM$1102),"")</f>
        <v>Outdoor</v>
      </c>
      <c r="AZ416" s="5" t="str">
        <f t="array" ref="AZ416">IFERROR(_xlfn.XLOOKUP($E416,'FW27'!$C$3:$C$1102,'FW27'!$AN$3:$AN$1102),"")</f>
        <v>Trail Run &amp; Fast Hike</v>
      </c>
      <c r="BB416" s="5" t="str">
        <f t="array" ref="BB416">IFERROR(_xlfn.XLOOKUP($E416,'FW27'!$C$3:$C$1102,'FW27'!$AS$3:$AS$1102),"")</f>
        <v>Footwear</v>
      </c>
      <c r="BC416" s="5" t="str">
        <f t="array" ref="BC416">IFERROR(_xlfn.XLOOKUP($E416,'FW27'!$C$3:$C$1102,'FW27'!$AT$3:$AT$1102),"")</f>
        <v>Shoe (Low)</v>
      </c>
      <c r="BD416" s="5" t="str">
        <f t="array" ref="BD416">IFERROR(_xlfn.XLOOKUP($E416,'FW27'!$C$3:$C$1102,'FW27'!$AU$3:$AU$1102),"")</f>
        <v>Non-waterproof</v>
      </c>
      <c r="BE416" s="5" t="str">
        <f t="array" ref="BE416">IFERROR(_xlfn.XLOOKUP($E416,'FW27'!$C$3:$C$1102,'FW27'!$AV$3:$AV$1102),"")</f>
        <v>N</v>
      </c>
    </row>
    <row r="417" ht="16.5" hidden="1" customHeight="1">
      <c r="A417" s="5" t="s">
        <v>155</v>
      </c>
      <c r="B417" s="5" t="s">
        <v>137</v>
      </c>
      <c r="C417" s="5" t="b">
        <v>1</v>
      </c>
      <c r="D417" s="5" t="s">
        <v>1696</v>
      </c>
      <c r="E417" s="5" t="s">
        <v>1697</v>
      </c>
      <c r="F417" s="5"/>
      <c r="G417" s="5" t="s">
        <v>1002</v>
      </c>
      <c r="H417" s="5" t="s">
        <v>84</v>
      </c>
      <c r="I417" s="5" t="s">
        <v>82</v>
      </c>
      <c r="J417" s="25"/>
      <c r="K417" s="25"/>
      <c r="L417" s="25"/>
      <c r="M417" s="5" t="s">
        <v>66</v>
      </c>
      <c r="N417" s="5" t="s">
        <v>1003</v>
      </c>
      <c r="O417" s="5" t="s">
        <v>69</v>
      </c>
      <c r="P417" s="5" t="s">
        <v>70</v>
      </c>
      <c r="Q417" s="5" t="b">
        <v>1</v>
      </c>
      <c r="R417" s="5" t="b">
        <v>0</v>
      </c>
      <c r="S417" s="5"/>
      <c r="T417" s="5">
        <v>1900.0</v>
      </c>
      <c r="U417" s="26">
        <v>2.08</v>
      </c>
      <c r="V417" s="5">
        <v>913.0</v>
      </c>
      <c r="W417" s="27">
        <v>0.0</v>
      </c>
      <c r="X417" s="28">
        <v>913.0</v>
      </c>
      <c r="Y417" s="27">
        <v>1.0</v>
      </c>
      <c r="Z417" s="24" t="s">
        <v>0</v>
      </c>
      <c r="AA417" s="5">
        <v>0.0</v>
      </c>
      <c r="AB417" s="5"/>
      <c r="AC417" s="5" t="s">
        <v>166</v>
      </c>
      <c r="AD417" s="5" t="s">
        <v>81</v>
      </c>
      <c r="AE417" s="24">
        <v>0.0</v>
      </c>
      <c r="AF417" s="5">
        <v>2.0</v>
      </c>
      <c r="AG417" s="5" t="s">
        <v>0</v>
      </c>
      <c r="AH417" s="5" t="s">
        <v>0</v>
      </c>
      <c r="AI417" s="42"/>
      <c r="AJ417" s="28">
        <v>0.0</v>
      </c>
      <c r="AK417" s="28">
        <v>0.0</v>
      </c>
      <c r="AL417" s="28">
        <v>0.0</v>
      </c>
      <c r="AM417" s="28">
        <v>0.0</v>
      </c>
      <c r="AN417" s="28">
        <v>0.0</v>
      </c>
      <c r="AO417" s="28">
        <v>0.0</v>
      </c>
      <c r="AP417" s="28">
        <v>0.0</v>
      </c>
      <c r="AQ417" s="28">
        <v>0.0</v>
      </c>
      <c r="AR417" s="28">
        <v>0.0</v>
      </c>
      <c r="AS417" s="28">
        <v>0.0</v>
      </c>
      <c r="AT417" s="28">
        <v>0.0</v>
      </c>
      <c r="AU417" s="28">
        <v>0.0</v>
      </c>
      <c r="AV417" s="28">
        <v>0.0</v>
      </c>
      <c r="AW417" s="28">
        <v>0.0</v>
      </c>
      <c r="AX417" s="5"/>
      <c r="AY417" s="5" t="str">
        <f t="array" ref="AY417">IFERROR(_xlfn.XLOOKUP($E417,'FW27'!$C$3:$C$1102,'FW27'!$AM$3:$AM$1102),"")</f>
        <v>Outdoor</v>
      </c>
      <c r="AZ417" s="5" t="str">
        <f t="array" ref="AZ417">IFERROR(_xlfn.XLOOKUP($E417,'FW27'!$C$3:$C$1102,'FW27'!$AN$3:$AN$1102),"")</f>
        <v>Trail Run &amp; Fast Hike</v>
      </c>
      <c r="BB417" s="5" t="str">
        <f t="array" ref="BB417">IFERROR(_xlfn.XLOOKUP($E417,'FW27'!$C$3:$C$1102,'FW27'!$AS$3:$AS$1102),"")</f>
        <v>Footwear</v>
      </c>
      <c r="BC417" s="5" t="str">
        <f t="array" ref="BC417">IFERROR(_xlfn.XLOOKUP($E417,'FW27'!$C$3:$C$1102,'FW27'!$AT$3:$AT$1102),"")</f>
        <v>Shoe (Low)</v>
      </c>
      <c r="BD417" s="5" t="str">
        <f t="array" ref="BD417">IFERROR(_xlfn.XLOOKUP($E417,'FW27'!$C$3:$C$1102,'FW27'!$AU$3:$AU$1102),"")</f>
        <v>Waterproof (GTX/Proof)</v>
      </c>
      <c r="BE417" s="5" t="str">
        <f t="array" ref="BE417">IFERROR(_xlfn.XLOOKUP($E417,'FW27'!$C$3:$C$1102,'FW27'!$AV$3:$AV$1102),"")</f>
        <v>Y</v>
      </c>
    </row>
    <row r="418" ht="16.5" hidden="1" customHeight="1">
      <c r="A418" s="5" t="s">
        <v>155</v>
      </c>
      <c r="B418" s="5" t="s">
        <v>137</v>
      </c>
      <c r="C418" s="5" t="b">
        <v>1</v>
      </c>
      <c r="D418" s="5" t="s">
        <v>1698</v>
      </c>
      <c r="E418" s="5" t="s">
        <v>1699</v>
      </c>
      <c r="F418" s="5"/>
      <c r="G418" s="5" t="s">
        <v>1002</v>
      </c>
      <c r="H418" s="5" t="s">
        <v>84</v>
      </c>
      <c r="I418" s="5" t="s">
        <v>82</v>
      </c>
      <c r="J418" s="25"/>
      <c r="K418" s="25"/>
      <c r="L418" s="25"/>
      <c r="M418" s="5" t="s">
        <v>66</v>
      </c>
      <c r="N418" s="5" t="s">
        <v>1003</v>
      </c>
      <c r="O418" s="5" t="s">
        <v>69</v>
      </c>
      <c r="P418" s="5" t="s">
        <v>107</v>
      </c>
      <c r="Q418" s="5" t="b">
        <v>1</v>
      </c>
      <c r="R418" s="5" t="b">
        <v>0</v>
      </c>
      <c r="S418" s="5"/>
      <c r="T418" s="5">
        <v>1900.0</v>
      </c>
      <c r="U418" s="26">
        <v>2.08</v>
      </c>
      <c r="V418" s="5">
        <v>913.0</v>
      </c>
      <c r="W418" s="27">
        <v>0.0</v>
      </c>
      <c r="X418" s="28">
        <v>913.0</v>
      </c>
      <c r="Y418" s="27">
        <v>1.0</v>
      </c>
      <c r="Z418" s="24" t="s">
        <v>0</v>
      </c>
      <c r="AA418" s="5">
        <v>0.0</v>
      </c>
      <c r="AB418" s="5"/>
      <c r="AC418" s="5" t="s">
        <v>166</v>
      </c>
      <c r="AD418" s="5" t="s">
        <v>81</v>
      </c>
      <c r="AE418" s="24">
        <v>0.0</v>
      </c>
      <c r="AF418" s="5">
        <v>2.0</v>
      </c>
      <c r="AG418" s="5" t="s">
        <v>0</v>
      </c>
      <c r="AH418" s="5" t="s">
        <v>0</v>
      </c>
      <c r="AI418" s="42"/>
      <c r="AJ418" s="28">
        <v>0.0</v>
      </c>
      <c r="AK418" s="28">
        <v>0.0</v>
      </c>
      <c r="AL418" s="28">
        <v>0.0</v>
      </c>
      <c r="AM418" s="28">
        <v>0.0</v>
      </c>
      <c r="AN418" s="28">
        <v>0.0</v>
      </c>
      <c r="AO418" s="28">
        <v>0.0</v>
      </c>
      <c r="AP418" s="28">
        <v>0.0</v>
      </c>
      <c r="AQ418" s="28">
        <v>0.0</v>
      </c>
      <c r="AR418" s="28">
        <v>0.0</v>
      </c>
      <c r="AS418" s="28">
        <v>0.0</v>
      </c>
      <c r="AT418" s="28">
        <v>0.0</v>
      </c>
      <c r="AU418" s="28">
        <v>0.0</v>
      </c>
      <c r="AV418" s="28">
        <v>0.0</v>
      </c>
      <c r="AW418" s="28">
        <v>0.0</v>
      </c>
      <c r="AX418" s="5"/>
      <c r="AY418" s="5" t="str">
        <f t="array" ref="AY418">IFERROR(_xlfn.XLOOKUP($E418,'FW27'!$C$3:$C$1102,'FW27'!$AM$3:$AM$1102),"")</f>
        <v>Outdoor</v>
      </c>
      <c r="AZ418" s="5" t="str">
        <f t="array" ref="AZ418">IFERROR(_xlfn.XLOOKUP($E418,'FW27'!$C$3:$C$1102,'FW27'!$AN$3:$AN$1102),"")</f>
        <v>Trail Run &amp; Fast Hike</v>
      </c>
      <c r="BB418" s="5" t="str">
        <f t="array" ref="BB418">IFERROR(_xlfn.XLOOKUP($E418,'FW27'!$C$3:$C$1102,'FW27'!$AS$3:$AS$1102),"")</f>
        <v>Footwear</v>
      </c>
      <c r="BC418" s="5" t="str">
        <f t="array" ref="BC418">IFERROR(_xlfn.XLOOKUP($E418,'FW27'!$C$3:$C$1102,'FW27'!$AT$3:$AT$1102),"")</f>
        <v>Shoe (Low)</v>
      </c>
      <c r="BD418" s="5" t="str">
        <f t="array" ref="BD418">IFERROR(_xlfn.XLOOKUP($E418,'FW27'!$C$3:$C$1102,'FW27'!$AU$3:$AU$1102),"")</f>
        <v>Waterproof (GTX/Proof)</v>
      </c>
      <c r="BE418" s="5" t="str">
        <f t="array" ref="BE418">IFERROR(_xlfn.XLOOKUP($E418,'FW27'!$C$3:$C$1102,'FW27'!$AV$3:$AV$1102),"")</f>
        <v>Y</v>
      </c>
    </row>
    <row r="419" ht="16.5" hidden="1" customHeight="1">
      <c r="A419" s="5" t="s">
        <v>155</v>
      </c>
      <c r="B419" s="5" t="s">
        <v>137</v>
      </c>
      <c r="C419" s="5" t="b">
        <v>0</v>
      </c>
      <c r="D419" s="5" t="s">
        <v>1922</v>
      </c>
      <c r="E419" s="5" t="s">
        <v>1923</v>
      </c>
      <c r="F419" s="5"/>
      <c r="G419" s="5" t="s">
        <v>1002</v>
      </c>
      <c r="H419" s="5" t="s">
        <v>74</v>
      </c>
      <c r="I419" s="5" t="s">
        <v>106</v>
      </c>
      <c r="J419" s="25" t="s">
        <v>2154</v>
      </c>
      <c r="K419" s="25" t="s">
        <v>272</v>
      </c>
      <c r="L419" s="25"/>
      <c r="M419" s="5" t="s">
        <v>66</v>
      </c>
      <c r="N419" s="5" t="s">
        <v>1003</v>
      </c>
      <c r="O419" s="5" t="s">
        <v>96</v>
      </c>
      <c r="P419" s="5" t="s">
        <v>70</v>
      </c>
      <c r="Q419" s="5" t="b">
        <v>1</v>
      </c>
      <c r="R419" s="5" t="b">
        <v>0</v>
      </c>
      <c r="S419" s="5"/>
      <c r="T419" s="5">
        <v>2500.0</v>
      </c>
      <c r="U419" s="26">
        <v>2.08</v>
      </c>
      <c r="V419" s="5">
        <v>1202.0</v>
      </c>
      <c r="W419" s="27">
        <v>0.0</v>
      </c>
      <c r="X419" s="28">
        <v>1202.0</v>
      </c>
      <c r="Y419" s="27">
        <v>1.0</v>
      </c>
      <c r="Z419" s="5" t="s">
        <v>242</v>
      </c>
      <c r="AA419" s="27">
        <v>0.6</v>
      </c>
      <c r="AB419" s="5"/>
      <c r="AC419" s="5" t="s">
        <v>80</v>
      </c>
      <c r="AD419" s="5" t="s">
        <v>81</v>
      </c>
      <c r="AE419" s="5">
        <v>1.0</v>
      </c>
      <c r="AF419" s="5">
        <v>1.0</v>
      </c>
      <c r="AG419" s="5" t="s">
        <v>0</v>
      </c>
      <c r="AH419" s="5" t="s">
        <v>386</v>
      </c>
      <c r="AI419" s="56"/>
      <c r="AJ419" s="28">
        <v>0.0</v>
      </c>
      <c r="AK419" s="28">
        <v>0.0</v>
      </c>
      <c r="AL419" s="28">
        <v>0.0</v>
      </c>
      <c r="AM419" s="28">
        <v>0.0</v>
      </c>
      <c r="AN419" s="28">
        <v>0.0</v>
      </c>
      <c r="AO419" s="28">
        <v>0.0</v>
      </c>
      <c r="AP419" s="28">
        <v>0.0</v>
      </c>
      <c r="AQ419" s="28">
        <v>0.0</v>
      </c>
      <c r="AR419" s="28">
        <v>0.0</v>
      </c>
      <c r="AS419" s="28">
        <v>0.0</v>
      </c>
      <c r="AT419" s="28">
        <v>0.0</v>
      </c>
      <c r="AU419" s="28">
        <v>0.0</v>
      </c>
      <c r="AV419" s="28">
        <v>0.0</v>
      </c>
      <c r="AW419" s="28">
        <v>0.0</v>
      </c>
      <c r="AX419" s="5"/>
      <c r="AY419" s="5" t="s">
        <v>125</v>
      </c>
      <c r="AZ419" s="5" t="s">
        <v>127</v>
      </c>
      <c r="BB419" s="5" t="s">
        <v>1002</v>
      </c>
      <c r="BC419" s="5" t="s">
        <v>1005</v>
      </c>
      <c r="BD419" s="5" t="s">
        <v>1016</v>
      </c>
      <c r="BE419" s="5" t="s">
        <v>91</v>
      </c>
      <c r="BF419" s="5" t="s">
        <v>2155</v>
      </c>
    </row>
    <row r="420" ht="16.5" hidden="1" customHeight="1">
      <c r="A420" s="5" t="s">
        <v>155</v>
      </c>
      <c r="B420" s="5" t="s">
        <v>137</v>
      </c>
      <c r="C420" s="5" t="b">
        <v>0</v>
      </c>
      <c r="D420" s="5" t="s">
        <v>1927</v>
      </c>
      <c r="E420" s="5" t="s">
        <v>1928</v>
      </c>
      <c r="F420" s="5"/>
      <c r="G420" s="5" t="s">
        <v>1002</v>
      </c>
      <c r="H420" s="5" t="s">
        <v>74</v>
      </c>
      <c r="I420" s="5" t="s">
        <v>106</v>
      </c>
      <c r="J420" s="25" t="s">
        <v>2154</v>
      </c>
      <c r="K420" s="25" t="s">
        <v>272</v>
      </c>
      <c r="L420" s="25"/>
      <c r="M420" s="5" t="s">
        <v>66</v>
      </c>
      <c r="N420" s="5" t="s">
        <v>1003</v>
      </c>
      <c r="O420" s="5" t="s">
        <v>96</v>
      </c>
      <c r="P420" s="5" t="s">
        <v>107</v>
      </c>
      <c r="Q420" s="5" t="b">
        <v>1</v>
      </c>
      <c r="R420" s="5" t="b">
        <v>0</v>
      </c>
      <c r="S420" s="5"/>
      <c r="T420" s="5">
        <v>2500.0</v>
      </c>
      <c r="U420" s="26">
        <v>2.08</v>
      </c>
      <c r="V420" s="5">
        <v>1202.0</v>
      </c>
      <c r="W420" s="27">
        <v>0.0</v>
      </c>
      <c r="X420" s="28">
        <v>1202.0</v>
      </c>
      <c r="Y420" s="27">
        <v>1.0</v>
      </c>
      <c r="Z420" s="5" t="s">
        <v>242</v>
      </c>
      <c r="AA420" s="27">
        <v>0.6</v>
      </c>
      <c r="AB420" s="5"/>
      <c r="AC420" s="5" t="s">
        <v>80</v>
      </c>
      <c r="AD420" s="5" t="s">
        <v>81</v>
      </c>
      <c r="AE420" s="5">
        <v>1.0</v>
      </c>
      <c r="AF420" s="5">
        <v>1.0</v>
      </c>
      <c r="AG420" s="5" t="s">
        <v>0</v>
      </c>
      <c r="AH420" s="5" t="s">
        <v>386</v>
      </c>
      <c r="AI420" s="56"/>
      <c r="AJ420" s="28">
        <v>0.0</v>
      </c>
      <c r="AK420" s="28">
        <v>0.0</v>
      </c>
      <c r="AL420" s="28">
        <v>0.0</v>
      </c>
      <c r="AM420" s="28">
        <v>0.0</v>
      </c>
      <c r="AN420" s="28">
        <v>0.0</v>
      </c>
      <c r="AO420" s="28">
        <v>0.0</v>
      </c>
      <c r="AP420" s="28">
        <v>0.0</v>
      </c>
      <c r="AQ420" s="28">
        <v>0.0</v>
      </c>
      <c r="AR420" s="28">
        <v>0.0</v>
      </c>
      <c r="AS420" s="28">
        <v>0.0</v>
      </c>
      <c r="AT420" s="28">
        <v>0.0</v>
      </c>
      <c r="AU420" s="28">
        <v>0.0</v>
      </c>
      <c r="AV420" s="28">
        <v>0.0</v>
      </c>
      <c r="AW420" s="28">
        <v>0.0</v>
      </c>
      <c r="AX420" s="5"/>
      <c r="AY420" s="5" t="s">
        <v>125</v>
      </c>
      <c r="AZ420" s="5" t="s">
        <v>127</v>
      </c>
      <c r="BB420" s="5" t="s">
        <v>1002</v>
      </c>
      <c r="BC420" s="5" t="s">
        <v>1005</v>
      </c>
      <c r="BD420" s="5" t="s">
        <v>1016</v>
      </c>
      <c r="BE420" s="5" t="s">
        <v>91</v>
      </c>
      <c r="BF420" s="5" t="s">
        <v>2155</v>
      </c>
    </row>
    <row r="421" ht="16.5" hidden="1" customHeight="1">
      <c r="A421" s="5" t="s">
        <v>155</v>
      </c>
      <c r="B421" s="24" t="s">
        <v>0</v>
      </c>
      <c r="C421" s="5" t="b">
        <v>0</v>
      </c>
      <c r="D421" s="5" t="s">
        <v>2156</v>
      </c>
      <c r="E421" s="5" t="s">
        <v>2157</v>
      </c>
      <c r="F421" s="5"/>
      <c r="G421" s="5" t="s">
        <v>1002</v>
      </c>
      <c r="H421" s="5" t="s">
        <v>84</v>
      </c>
      <c r="I421" s="5" t="s">
        <v>106</v>
      </c>
      <c r="J421" s="25"/>
      <c r="K421" s="25"/>
      <c r="L421" s="25"/>
      <c r="M421" s="5" t="s">
        <v>66</v>
      </c>
      <c r="N421" s="5" t="s">
        <v>1003</v>
      </c>
      <c r="O421" s="5" t="s">
        <v>69</v>
      </c>
      <c r="P421" s="5" t="s">
        <v>70</v>
      </c>
      <c r="Q421" s="5" t="b">
        <v>1</v>
      </c>
      <c r="R421" s="5" t="b">
        <v>0</v>
      </c>
      <c r="S421" s="5"/>
      <c r="T421" s="5">
        <v>2200.0</v>
      </c>
      <c r="U421" s="26">
        <v>2.08</v>
      </c>
      <c r="V421" s="5">
        <v>1058.0</v>
      </c>
      <c r="W421" s="27">
        <v>0.0</v>
      </c>
      <c r="X421" s="28">
        <v>1058.0</v>
      </c>
      <c r="Y421" s="27">
        <v>1.0</v>
      </c>
      <c r="Z421" s="5" t="s">
        <v>117</v>
      </c>
      <c r="AA421" s="5">
        <v>0.0</v>
      </c>
      <c r="AB421" s="5"/>
      <c r="AC421" s="5" t="s">
        <v>80</v>
      </c>
      <c r="AD421" s="24" t="s">
        <v>0</v>
      </c>
      <c r="AE421" s="24">
        <v>0.0</v>
      </c>
      <c r="AF421" s="5">
        <v>0.0</v>
      </c>
      <c r="AG421" s="5" t="s">
        <v>0</v>
      </c>
      <c r="AH421" s="5" t="s">
        <v>0</v>
      </c>
      <c r="AI421" s="42"/>
      <c r="AJ421" s="28">
        <v>0.0</v>
      </c>
      <c r="AK421" s="28">
        <v>0.0</v>
      </c>
      <c r="AL421" s="28">
        <v>0.0</v>
      </c>
      <c r="AM421" s="28">
        <v>0.0</v>
      </c>
      <c r="AN421" s="28">
        <v>0.0</v>
      </c>
      <c r="AO421" s="28">
        <v>0.0</v>
      </c>
      <c r="AP421" s="28">
        <v>0.0</v>
      </c>
      <c r="AQ421" s="28">
        <v>0.0</v>
      </c>
      <c r="AR421" s="28">
        <v>0.0</v>
      </c>
      <c r="AS421" s="28">
        <v>0.0</v>
      </c>
      <c r="AT421" s="28">
        <v>0.0</v>
      </c>
      <c r="AU421" s="28">
        <v>0.0</v>
      </c>
      <c r="AV421" s="28">
        <v>0.0</v>
      </c>
      <c r="AW421" s="28">
        <v>0.0</v>
      </c>
      <c r="AX421" s="5"/>
      <c r="AY421" s="5" t="s">
        <v>125</v>
      </c>
      <c r="AZ421" s="5" t="s">
        <v>127</v>
      </c>
      <c r="BB421" s="5" t="s">
        <v>1002</v>
      </c>
      <c r="BC421" s="5" t="s">
        <v>1005</v>
      </c>
      <c r="BD421" s="5" t="s">
        <v>1016</v>
      </c>
      <c r="BE421" s="5" t="s">
        <v>91</v>
      </c>
      <c r="BF421" s="5" t="s">
        <v>2158</v>
      </c>
    </row>
    <row r="422" ht="16.5" hidden="1" customHeight="1">
      <c r="A422" s="5" t="s">
        <v>155</v>
      </c>
      <c r="B422" s="24" t="s">
        <v>0</v>
      </c>
      <c r="C422" s="5" t="b">
        <v>0</v>
      </c>
      <c r="D422" s="5" t="s">
        <v>2159</v>
      </c>
      <c r="E422" s="5" t="s">
        <v>2160</v>
      </c>
      <c r="F422" s="5"/>
      <c r="G422" s="5" t="s">
        <v>1002</v>
      </c>
      <c r="H422" s="5" t="s">
        <v>84</v>
      </c>
      <c r="I422" s="5" t="s">
        <v>106</v>
      </c>
      <c r="J422" s="25"/>
      <c r="K422" s="25"/>
      <c r="L422" s="25"/>
      <c r="M422" s="5" t="s">
        <v>66</v>
      </c>
      <c r="N422" s="5" t="s">
        <v>1003</v>
      </c>
      <c r="O422" s="5" t="s">
        <v>69</v>
      </c>
      <c r="P422" s="5" t="s">
        <v>107</v>
      </c>
      <c r="Q422" s="5" t="b">
        <v>1</v>
      </c>
      <c r="R422" s="5" t="b">
        <v>0</v>
      </c>
      <c r="S422" s="5"/>
      <c r="T422" s="5">
        <v>2200.0</v>
      </c>
      <c r="U422" s="26">
        <v>2.08</v>
      </c>
      <c r="V422" s="5">
        <v>1058.0</v>
      </c>
      <c r="W422" s="27">
        <v>0.0</v>
      </c>
      <c r="X422" s="28">
        <v>1058.0</v>
      </c>
      <c r="Y422" s="27">
        <v>1.0</v>
      </c>
      <c r="Z422" s="5" t="s">
        <v>117</v>
      </c>
      <c r="AA422" s="5">
        <v>0.0</v>
      </c>
      <c r="AB422" s="5"/>
      <c r="AC422" s="5" t="s">
        <v>80</v>
      </c>
      <c r="AD422" s="24" t="s">
        <v>0</v>
      </c>
      <c r="AE422" s="24">
        <v>0.0</v>
      </c>
      <c r="AF422" s="5">
        <v>0.0</v>
      </c>
      <c r="AG422" s="5" t="s">
        <v>0</v>
      </c>
      <c r="AH422" s="5" t="s">
        <v>0</v>
      </c>
      <c r="AI422" s="42"/>
      <c r="AJ422" s="28">
        <v>0.0</v>
      </c>
      <c r="AK422" s="28">
        <v>0.0</v>
      </c>
      <c r="AL422" s="28">
        <v>0.0</v>
      </c>
      <c r="AM422" s="28">
        <v>0.0</v>
      </c>
      <c r="AN422" s="28">
        <v>0.0</v>
      </c>
      <c r="AO422" s="28">
        <v>0.0</v>
      </c>
      <c r="AP422" s="28">
        <v>0.0</v>
      </c>
      <c r="AQ422" s="28">
        <v>0.0</v>
      </c>
      <c r="AR422" s="28">
        <v>0.0</v>
      </c>
      <c r="AS422" s="28">
        <v>0.0</v>
      </c>
      <c r="AT422" s="28">
        <v>0.0</v>
      </c>
      <c r="AU422" s="28">
        <v>0.0</v>
      </c>
      <c r="AV422" s="28">
        <v>0.0</v>
      </c>
      <c r="AW422" s="28">
        <v>0.0</v>
      </c>
      <c r="AX422" s="5"/>
      <c r="AY422" s="5" t="s">
        <v>125</v>
      </c>
      <c r="AZ422" s="5" t="s">
        <v>127</v>
      </c>
      <c r="BB422" s="5" t="s">
        <v>1002</v>
      </c>
      <c r="BC422" s="5" t="s">
        <v>1005</v>
      </c>
      <c r="BD422" s="5" t="s">
        <v>1016</v>
      </c>
      <c r="BE422" s="5" t="s">
        <v>91</v>
      </c>
      <c r="BF422" s="5" t="s">
        <v>2158</v>
      </c>
    </row>
    <row r="423" ht="16.5" hidden="1" customHeight="1">
      <c r="A423" s="5" t="s">
        <v>155</v>
      </c>
      <c r="B423" s="24" t="s">
        <v>0</v>
      </c>
      <c r="C423" s="5" t="b">
        <v>0</v>
      </c>
      <c r="D423" s="5" t="s">
        <v>2161</v>
      </c>
      <c r="E423" s="5" t="s">
        <v>2162</v>
      </c>
      <c r="F423" s="5"/>
      <c r="G423" s="5" t="s">
        <v>1002</v>
      </c>
      <c r="H423" s="5" t="s">
        <v>84</v>
      </c>
      <c r="I423" s="5" t="s">
        <v>106</v>
      </c>
      <c r="J423" s="25"/>
      <c r="K423" s="25"/>
      <c r="L423" s="25"/>
      <c r="M423" s="5" t="s">
        <v>66</v>
      </c>
      <c r="N423" s="5" t="s">
        <v>1003</v>
      </c>
      <c r="O423" s="5" t="s">
        <v>69</v>
      </c>
      <c r="P423" s="5" t="s">
        <v>70</v>
      </c>
      <c r="Q423" s="5" t="b">
        <v>1</v>
      </c>
      <c r="R423" s="5" t="b">
        <v>0</v>
      </c>
      <c r="S423" s="5"/>
      <c r="T423" s="5">
        <v>2200.0</v>
      </c>
      <c r="U423" s="26">
        <v>2.08</v>
      </c>
      <c r="V423" s="5">
        <v>1058.0</v>
      </c>
      <c r="W423" s="27">
        <v>0.0</v>
      </c>
      <c r="X423" s="28">
        <v>1058.0</v>
      </c>
      <c r="Y423" s="27">
        <v>1.0</v>
      </c>
      <c r="Z423" s="5" t="s">
        <v>117</v>
      </c>
      <c r="AA423" s="5">
        <v>0.0</v>
      </c>
      <c r="AB423" s="5"/>
      <c r="AC423" s="5" t="s">
        <v>80</v>
      </c>
      <c r="AD423" s="24" t="s">
        <v>0</v>
      </c>
      <c r="AE423" s="24">
        <v>0.0</v>
      </c>
      <c r="AF423" s="5">
        <v>0.0</v>
      </c>
      <c r="AG423" s="5" t="s">
        <v>0</v>
      </c>
      <c r="AH423" s="5" t="s">
        <v>0</v>
      </c>
      <c r="AI423" s="42"/>
      <c r="AJ423" s="28">
        <v>0.0</v>
      </c>
      <c r="AK423" s="28">
        <v>0.0</v>
      </c>
      <c r="AL423" s="28">
        <v>0.0</v>
      </c>
      <c r="AM423" s="28">
        <v>0.0</v>
      </c>
      <c r="AN423" s="28">
        <v>0.0</v>
      </c>
      <c r="AO423" s="28">
        <v>0.0</v>
      </c>
      <c r="AP423" s="28">
        <v>0.0</v>
      </c>
      <c r="AQ423" s="28">
        <v>0.0</v>
      </c>
      <c r="AR423" s="28">
        <v>0.0</v>
      </c>
      <c r="AS423" s="28">
        <v>0.0</v>
      </c>
      <c r="AT423" s="28">
        <v>0.0</v>
      </c>
      <c r="AU423" s="28">
        <v>0.0</v>
      </c>
      <c r="AV423" s="28">
        <v>0.0</v>
      </c>
      <c r="AW423" s="28">
        <v>0.0</v>
      </c>
      <c r="AX423" s="5"/>
      <c r="AY423" s="5" t="s">
        <v>125</v>
      </c>
      <c r="AZ423" s="5" t="s">
        <v>127</v>
      </c>
      <c r="BB423" s="5" t="s">
        <v>1002</v>
      </c>
      <c r="BC423" s="5" t="s">
        <v>1005</v>
      </c>
      <c r="BD423" s="5" t="s">
        <v>1016</v>
      </c>
      <c r="BE423" s="5" t="s">
        <v>91</v>
      </c>
      <c r="BF423" s="5" t="s">
        <v>2158</v>
      </c>
    </row>
    <row r="424" ht="16.5" hidden="1" customHeight="1">
      <c r="A424" s="5" t="s">
        <v>155</v>
      </c>
      <c r="B424" s="24" t="s">
        <v>0</v>
      </c>
      <c r="C424" s="5" t="b">
        <v>0</v>
      </c>
      <c r="D424" s="5" t="s">
        <v>2163</v>
      </c>
      <c r="E424" s="5" t="s">
        <v>2164</v>
      </c>
      <c r="F424" s="5"/>
      <c r="G424" s="5" t="s">
        <v>1002</v>
      </c>
      <c r="H424" s="5" t="s">
        <v>84</v>
      </c>
      <c r="I424" s="5" t="s">
        <v>106</v>
      </c>
      <c r="J424" s="25"/>
      <c r="K424" s="25"/>
      <c r="L424" s="25"/>
      <c r="M424" s="5" t="s">
        <v>66</v>
      </c>
      <c r="N424" s="5" t="s">
        <v>1003</v>
      </c>
      <c r="O424" s="5" t="s">
        <v>69</v>
      </c>
      <c r="P424" s="5" t="s">
        <v>107</v>
      </c>
      <c r="Q424" s="5" t="b">
        <v>1</v>
      </c>
      <c r="R424" s="5" t="b">
        <v>0</v>
      </c>
      <c r="S424" s="5"/>
      <c r="T424" s="5">
        <v>2200.0</v>
      </c>
      <c r="U424" s="26">
        <v>2.08</v>
      </c>
      <c r="V424" s="5">
        <v>1058.0</v>
      </c>
      <c r="W424" s="27">
        <v>0.0</v>
      </c>
      <c r="X424" s="28">
        <v>1058.0</v>
      </c>
      <c r="Y424" s="27">
        <v>1.0</v>
      </c>
      <c r="Z424" s="5" t="s">
        <v>117</v>
      </c>
      <c r="AA424" s="27">
        <v>0.0</v>
      </c>
      <c r="AB424" s="26"/>
      <c r="AC424" s="5" t="s">
        <v>80</v>
      </c>
      <c r="AD424" s="24" t="s">
        <v>0</v>
      </c>
      <c r="AE424" s="24">
        <v>0.0</v>
      </c>
      <c r="AF424" s="5">
        <v>0.0</v>
      </c>
      <c r="AG424" s="5" t="s">
        <v>0</v>
      </c>
      <c r="AH424" s="5" t="s">
        <v>0</v>
      </c>
      <c r="AI424" s="42"/>
      <c r="AJ424" s="28">
        <v>0.0</v>
      </c>
      <c r="AK424" s="28">
        <v>0.0</v>
      </c>
      <c r="AL424" s="28">
        <v>0.0</v>
      </c>
      <c r="AM424" s="28">
        <v>0.0</v>
      </c>
      <c r="AN424" s="28">
        <v>0.0</v>
      </c>
      <c r="AO424" s="28">
        <v>0.0</v>
      </c>
      <c r="AP424" s="28">
        <v>0.0</v>
      </c>
      <c r="AQ424" s="28">
        <v>0.0</v>
      </c>
      <c r="AR424" s="28">
        <v>0.0</v>
      </c>
      <c r="AS424" s="28">
        <v>0.0</v>
      </c>
      <c r="AT424" s="28">
        <v>0.0</v>
      </c>
      <c r="AU424" s="28">
        <v>0.0</v>
      </c>
      <c r="AV424" s="28">
        <v>0.0</v>
      </c>
      <c r="AW424" s="28">
        <v>0.0</v>
      </c>
      <c r="AX424" s="5"/>
      <c r="AY424" s="5" t="s">
        <v>125</v>
      </c>
      <c r="AZ424" s="5" t="s">
        <v>127</v>
      </c>
      <c r="BB424" s="5" t="s">
        <v>1002</v>
      </c>
      <c r="BC424" s="5" t="s">
        <v>1005</v>
      </c>
      <c r="BD424" s="5" t="s">
        <v>1016</v>
      </c>
      <c r="BE424" s="5" t="s">
        <v>91</v>
      </c>
      <c r="BF424" s="5" t="s">
        <v>2158</v>
      </c>
    </row>
    <row r="425" ht="16.5" hidden="1" customHeight="1">
      <c r="A425" s="5" t="s">
        <v>155</v>
      </c>
      <c r="B425" s="24" t="s">
        <v>0</v>
      </c>
      <c r="C425" s="5" t="b">
        <v>0</v>
      </c>
      <c r="D425" s="5" t="s">
        <v>2165</v>
      </c>
      <c r="E425" s="5" t="s">
        <v>2166</v>
      </c>
      <c r="F425" s="5"/>
      <c r="G425" s="5" t="s">
        <v>1002</v>
      </c>
      <c r="H425" s="5" t="s">
        <v>84</v>
      </c>
      <c r="I425" s="5" t="s">
        <v>106</v>
      </c>
      <c r="J425" s="25"/>
      <c r="K425" s="25"/>
      <c r="L425" s="25"/>
      <c r="M425" s="5" t="s">
        <v>66</v>
      </c>
      <c r="N425" s="5" t="s">
        <v>1003</v>
      </c>
      <c r="O425" s="5" t="s">
        <v>69</v>
      </c>
      <c r="P425" s="5" t="s">
        <v>70</v>
      </c>
      <c r="Q425" s="5" t="b">
        <v>1</v>
      </c>
      <c r="R425" s="5" t="b">
        <v>0</v>
      </c>
      <c r="S425" s="5"/>
      <c r="T425" s="5">
        <v>2500.0</v>
      </c>
      <c r="U425" s="26">
        <v>2.08</v>
      </c>
      <c r="V425" s="5">
        <v>1202.0</v>
      </c>
      <c r="W425" s="27">
        <v>0.0</v>
      </c>
      <c r="X425" s="28">
        <v>1202.0</v>
      </c>
      <c r="Y425" s="27">
        <v>1.0</v>
      </c>
      <c r="Z425" s="5" t="s">
        <v>117</v>
      </c>
      <c r="AA425" s="27">
        <v>0.0</v>
      </c>
      <c r="AB425" s="26"/>
      <c r="AC425" s="5" t="s">
        <v>80</v>
      </c>
      <c r="AD425" s="24" t="s">
        <v>0</v>
      </c>
      <c r="AE425" s="24">
        <v>0.0</v>
      </c>
      <c r="AF425" s="5">
        <v>0.0</v>
      </c>
      <c r="AG425" s="5" t="s">
        <v>0</v>
      </c>
      <c r="AH425" s="5" t="s">
        <v>0</v>
      </c>
      <c r="AI425" s="42"/>
      <c r="AJ425" s="28">
        <v>0.0</v>
      </c>
      <c r="AK425" s="28">
        <v>0.0</v>
      </c>
      <c r="AL425" s="28">
        <v>0.0</v>
      </c>
      <c r="AM425" s="28">
        <v>0.0</v>
      </c>
      <c r="AN425" s="28">
        <v>0.0</v>
      </c>
      <c r="AO425" s="28">
        <v>0.0</v>
      </c>
      <c r="AP425" s="28">
        <v>0.0</v>
      </c>
      <c r="AQ425" s="28">
        <v>0.0</v>
      </c>
      <c r="AR425" s="28">
        <v>0.0</v>
      </c>
      <c r="AS425" s="28">
        <v>0.0</v>
      </c>
      <c r="AT425" s="28">
        <v>0.0</v>
      </c>
      <c r="AU425" s="28">
        <v>0.0</v>
      </c>
      <c r="AV425" s="28">
        <v>0.0</v>
      </c>
      <c r="AW425" s="28">
        <v>0.0</v>
      </c>
      <c r="AX425" s="5"/>
      <c r="AY425" s="5" t="s">
        <v>125</v>
      </c>
      <c r="AZ425" s="5" t="s">
        <v>127</v>
      </c>
      <c r="BB425" s="5" t="s">
        <v>1002</v>
      </c>
      <c r="BC425" s="5" t="s">
        <v>1015</v>
      </c>
      <c r="BD425" s="5" t="s">
        <v>1016</v>
      </c>
      <c r="BE425" s="5" t="s">
        <v>91</v>
      </c>
      <c r="BF425" s="5" t="s">
        <v>2167</v>
      </c>
    </row>
    <row r="426" ht="16.5" hidden="1" customHeight="1">
      <c r="A426" s="5" t="s">
        <v>155</v>
      </c>
      <c r="B426" s="24" t="s">
        <v>0</v>
      </c>
      <c r="C426" s="5" t="b">
        <v>0</v>
      </c>
      <c r="D426" s="5" t="s">
        <v>2168</v>
      </c>
      <c r="E426" s="5" t="s">
        <v>2169</v>
      </c>
      <c r="F426" s="5"/>
      <c r="G426" s="5" t="s">
        <v>1002</v>
      </c>
      <c r="H426" s="5" t="s">
        <v>84</v>
      </c>
      <c r="I426" s="5" t="s">
        <v>106</v>
      </c>
      <c r="J426" s="25"/>
      <c r="K426" s="25"/>
      <c r="L426" s="25"/>
      <c r="M426" s="5" t="s">
        <v>66</v>
      </c>
      <c r="N426" s="5" t="s">
        <v>1003</v>
      </c>
      <c r="O426" s="5" t="s">
        <v>69</v>
      </c>
      <c r="P426" s="5" t="s">
        <v>107</v>
      </c>
      <c r="Q426" s="5" t="b">
        <v>1</v>
      </c>
      <c r="R426" s="5" t="b">
        <v>0</v>
      </c>
      <c r="S426" s="5"/>
      <c r="T426" s="5">
        <v>2500.0</v>
      </c>
      <c r="U426" s="26">
        <v>2.08</v>
      </c>
      <c r="V426" s="5">
        <v>1202.0</v>
      </c>
      <c r="W426" s="27">
        <v>0.0</v>
      </c>
      <c r="X426" s="28">
        <v>1202.0</v>
      </c>
      <c r="Y426" s="27">
        <v>1.0</v>
      </c>
      <c r="Z426" s="5" t="s">
        <v>117</v>
      </c>
      <c r="AA426" s="5">
        <v>0.0</v>
      </c>
      <c r="AB426" s="5"/>
      <c r="AC426" s="5" t="s">
        <v>80</v>
      </c>
      <c r="AD426" s="24" t="s">
        <v>0</v>
      </c>
      <c r="AE426" s="24">
        <v>0.0</v>
      </c>
      <c r="AF426" s="5">
        <v>0.0</v>
      </c>
      <c r="AG426" s="5" t="s">
        <v>0</v>
      </c>
      <c r="AH426" s="5" t="s">
        <v>0</v>
      </c>
      <c r="AI426" s="42"/>
      <c r="AJ426" s="28">
        <v>0.0</v>
      </c>
      <c r="AK426" s="28">
        <v>0.0</v>
      </c>
      <c r="AL426" s="28">
        <v>0.0</v>
      </c>
      <c r="AM426" s="28">
        <v>0.0</v>
      </c>
      <c r="AN426" s="28">
        <v>0.0</v>
      </c>
      <c r="AO426" s="28">
        <v>0.0</v>
      </c>
      <c r="AP426" s="28">
        <v>0.0</v>
      </c>
      <c r="AQ426" s="28">
        <v>0.0</v>
      </c>
      <c r="AR426" s="28">
        <v>0.0</v>
      </c>
      <c r="AS426" s="28">
        <v>0.0</v>
      </c>
      <c r="AT426" s="28">
        <v>0.0</v>
      </c>
      <c r="AU426" s="28">
        <v>0.0</v>
      </c>
      <c r="AV426" s="28">
        <v>0.0</v>
      </c>
      <c r="AW426" s="28">
        <v>0.0</v>
      </c>
      <c r="AX426" s="5"/>
      <c r="AY426" s="5" t="s">
        <v>125</v>
      </c>
      <c r="AZ426" s="5" t="s">
        <v>127</v>
      </c>
      <c r="BB426" s="5" t="s">
        <v>1002</v>
      </c>
      <c r="BC426" s="5" t="s">
        <v>1015</v>
      </c>
      <c r="BD426" s="5" t="s">
        <v>1016</v>
      </c>
      <c r="BE426" s="5" t="s">
        <v>91</v>
      </c>
      <c r="BF426" s="5" t="s">
        <v>2167</v>
      </c>
    </row>
    <row r="427" ht="16.5" hidden="1" customHeight="1">
      <c r="A427" s="5" t="s">
        <v>155</v>
      </c>
      <c r="B427" s="5" t="s">
        <v>215</v>
      </c>
      <c r="C427" s="5" t="b">
        <v>1</v>
      </c>
      <c r="D427" s="5" t="s">
        <v>1700</v>
      </c>
      <c r="E427" s="5" t="s">
        <v>1701</v>
      </c>
      <c r="F427" s="5"/>
      <c r="G427" s="5" t="s">
        <v>1002</v>
      </c>
      <c r="H427" s="5" t="s">
        <v>76</v>
      </c>
      <c r="I427" s="5" t="s">
        <v>82</v>
      </c>
      <c r="J427" s="25"/>
      <c r="K427" s="25"/>
      <c r="L427" s="25"/>
      <c r="M427" s="5" t="s">
        <v>66</v>
      </c>
      <c r="N427" s="5" t="s">
        <v>1003</v>
      </c>
      <c r="O427" s="5" t="s">
        <v>69</v>
      </c>
      <c r="P427" s="5" t="s">
        <v>70</v>
      </c>
      <c r="Q427" s="5" t="b">
        <v>1</v>
      </c>
      <c r="R427" s="5" t="b">
        <v>0</v>
      </c>
      <c r="S427" s="5"/>
      <c r="T427" s="5">
        <v>2600.0</v>
      </c>
      <c r="U427" s="26">
        <v>2.08</v>
      </c>
      <c r="V427" s="5">
        <v>1250.0</v>
      </c>
      <c r="W427" s="27">
        <v>0.0</v>
      </c>
      <c r="X427" s="28">
        <v>1250.0</v>
      </c>
      <c r="Y427" s="27">
        <v>1.0</v>
      </c>
      <c r="Z427" s="5" t="s">
        <v>117</v>
      </c>
      <c r="AA427" s="5">
        <v>0.6</v>
      </c>
      <c r="AB427" s="5"/>
      <c r="AC427" s="5" t="s">
        <v>80</v>
      </c>
      <c r="AD427" s="5" t="s">
        <v>81</v>
      </c>
      <c r="AE427" s="24">
        <v>0.0</v>
      </c>
      <c r="AF427" s="5">
        <v>2.0</v>
      </c>
      <c r="AG427" s="5" t="s">
        <v>0</v>
      </c>
      <c r="AH427" s="5" t="s">
        <v>0</v>
      </c>
      <c r="AI427" s="42"/>
      <c r="AJ427" s="28">
        <v>898.0</v>
      </c>
      <c r="AK427" s="28">
        <v>966.0</v>
      </c>
      <c r="AL427" s="28">
        <v>0.0</v>
      </c>
      <c r="AM427" s="28">
        <v>0.0</v>
      </c>
      <c r="AN427" s="28">
        <v>0.0</v>
      </c>
      <c r="AO427" s="28">
        <v>1122500.0</v>
      </c>
      <c r="AP427" s="28">
        <v>1207500.0</v>
      </c>
      <c r="AQ427" s="28">
        <v>0.0</v>
      </c>
      <c r="AR427" s="28">
        <v>0.0</v>
      </c>
      <c r="AS427" s="28">
        <v>0.0</v>
      </c>
      <c r="AT427" s="28">
        <v>945678.0504144978</v>
      </c>
      <c r="AU427" s="28">
        <v>1078970.36115</v>
      </c>
      <c r="AV427" s="28">
        <v>0.0</v>
      </c>
      <c r="AW427" s="28">
        <v>0.0</v>
      </c>
      <c r="AX427" s="5"/>
      <c r="AY427" s="5" t="str">
        <f t="array" ref="AY427">IFERROR(_xlfn.XLOOKUP($E427,'FW27'!$C$3:$C$1102,'FW27'!$AM$3:$AM$1102),"")</f>
        <v>Outdoor</v>
      </c>
      <c r="AZ427" s="5" t="str">
        <f t="array" ref="AZ427">IFERROR(_xlfn.XLOOKUP($E427,'FW27'!$C$3:$C$1102,'FW27'!$AN$3:$AN$1102),"")</f>
        <v>Day Hiking</v>
      </c>
      <c r="BB427" s="5" t="str">
        <f t="array" ref="BB427">IFERROR(_xlfn.XLOOKUP($E427,'FW27'!$C$3:$C$1102,'FW27'!$AS$3:$AS$1102),"")</f>
        <v>Footwear</v>
      </c>
      <c r="BC427" s="5" t="str">
        <f t="array" ref="BC427">IFERROR(_xlfn.XLOOKUP($E427,'FW27'!$C$3:$C$1102,'FW27'!$AT$3:$AT$1102),"")</f>
        <v>Boot (Mid)</v>
      </c>
      <c r="BD427" s="5" t="str">
        <f t="array" ref="BD427">IFERROR(_xlfn.XLOOKUP($E427,'FW27'!$C$3:$C$1102,'FW27'!$AU$3:$AU$1102),"")</f>
        <v>Waterproof (GTX/Proof)</v>
      </c>
      <c r="BE427" s="5" t="str">
        <f t="array" ref="BE427">IFERROR(_xlfn.XLOOKUP($E427,'FW27'!$C$3:$C$1102,'FW27'!$AV$3:$AV$1102),"")</f>
        <v>Y</v>
      </c>
    </row>
    <row r="428" ht="16.5" hidden="1" customHeight="1">
      <c r="A428" s="5" t="s">
        <v>155</v>
      </c>
      <c r="B428" s="5" t="s">
        <v>215</v>
      </c>
      <c r="C428" s="5" t="b">
        <v>1</v>
      </c>
      <c r="D428" s="5" t="s">
        <v>1703</v>
      </c>
      <c r="E428" s="5" t="s">
        <v>1704</v>
      </c>
      <c r="F428" s="5"/>
      <c r="G428" s="5" t="s">
        <v>1002</v>
      </c>
      <c r="H428" s="5" t="s">
        <v>76</v>
      </c>
      <c r="I428" s="5" t="s">
        <v>82</v>
      </c>
      <c r="J428" s="25"/>
      <c r="K428" s="25"/>
      <c r="L428" s="25"/>
      <c r="M428" s="5" t="s">
        <v>66</v>
      </c>
      <c r="N428" s="5" t="s">
        <v>1003</v>
      </c>
      <c r="O428" s="5" t="s">
        <v>69</v>
      </c>
      <c r="P428" s="5" t="s">
        <v>107</v>
      </c>
      <c r="Q428" s="5" t="b">
        <v>1</v>
      </c>
      <c r="R428" s="5" t="b">
        <v>0</v>
      </c>
      <c r="S428" s="5"/>
      <c r="T428" s="5">
        <v>2600.0</v>
      </c>
      <c r="U428" s="26">
        <v>2.08</v>
      </c>
      <c r="V428" s="5">
        <v>1250.0</v>
      </c>
      <c r="W428" s="27">
        <v>0.0</v>
      </c>
      <c r="X428" s="28">
        <v>1250.0</v>
      </c>
      <c r="Y428" s="27">
        <v>1.0</v>
      </c>
      <c r="Z428" s="5" t="s">
        <v>117</v>
      </c>
      <c r="AA428" s="5">
        <v>0.6</v>
      </c>
      <c r="AB428" s="5"/>
      <c r="AC428" s="5" t="s">
        <v>80</v>
      </c>
      <c r="AD428" s="5" t="s">
        <v>81</v>
      </c>
      <c r="AE428" s="24">
        <v>0.0</v>
      </c>
      <c r="AF428" s="5">
        <v>2.0</v>
      </c>
      <c r="AG428" s="5" t="s">
        <v>0</v>
      </c>
      <c r="AH428" s="5" t="s">
        <v>0</v>
      </c>
      <c r="AI428" s="42"/>
      <c r="AJ428" s="28">
        <v>685.0</v>
      </c>
      <c r="AK428" s="28">
        <v>715.0</v>
      </c>
      <c r="AL428" s="28">
        <v>0.0</v>
      </c>
      <c r="AM428" s="28">
        <v>0.0</v>
      </c>
      <c r="AN428" s="28">
        <v>0.0</v>
      </c>
      <c r="AO428" s="28">
        <v>856250.0</v>
      </c>
      <c r="AP428" s="28">
        <v>893750.0</v>
      </c>
      <c r="AQ428" s="28">
        <v>0.0</v>
      </c>
      <c r="AR428" s="28">
        <v>0.0</v>
      </c>
      <c r="AS428" s="28">
        <v>0.0</v>
      </c>
      <c r="AT428" s="28">
        <v>735653.6119144014</v>
      </c>
      <c r="AU428" s="28">
        <v>825028.57538</v>
      </c>
      <c r="AV428" s="28">
        <v>0.0</v>
      </c>
      <c r="AW428" s="28">
        <v>0.0</v>
      </c>
      <c r="AX428" s="5"/>
      <c r="AY428" s="5" t="str">
        <f t="array" ref="AY428">IFERROR(_xlfn.XLOOKUP($E428,'FW27'!$C$3:$C$1102,'FW27'!$AM$3:$AM$1102),"")</f>
        <v>Outdoor</v>
      </c>
      <c r="AZ428" s="5" t="str">
        <f t="array" ref="AZ428">IFERROR(_xlfn.XLOOKUP($E428,'FW27'!$C$3:$C$1102,'FW27'!$AN$3:$AN$1102),"")</f>
        <v>Day Hiking</v>
      </c>
      <c r="BB428" s="5" t="str">
        <f t="array" ref="BB428">IFERROR(_xlfn.XLOOKUP($E428,'FW27'!$C$3:$C$1102,'FW27'!$AS$3:$AS$1102),"")</f>
        <v>Footwear</v>
      </c>
      <c r="BC428" s="5" t="str">
        <f t="array" ref="BC428">IFERROR(_xlfn.XLOOKUP($E428,'FW27'!$C$3:$C$1102,'FW27'!$AT$3:$AT$1102),"")</f>
        <v>Boot (Mid)</v>
      </c>
      <c r="BD428" s="5" t="str">
        <f t="array" ref="BD428">IFERROR(_xlfn.XLOOKUP($E428,'FW27'!$C$3:$C$1102,'FW27'!$AU$3:$AU$1102),"")</f>
        <v>Waterproof (GTX/Proof)</v>
      </c>
      <c r="BE428" s="5" t="str">
        <f t="array" ref="BE428">IFERROR(_xlfn.XLOOKUP($E428,'FW27'!$C$3:$C$1102,'FW27'!$AV$3:$AV$1102),"")</f>
        <v>Y</v>
      </c>
    </row>
    <row r="429" ht="16.5" hidden="1" customHeight="1">
      <c r="A429" s="5" t="s">
        <v>155</v>
      </c>
      <c r="B429" s="24" t="s">
        <v>0</v>
      </c>
      <c r="C429" s="5" t="b">
        <v>1</v>
      </c>
      <c r="D429" s="5" t="s">
        <v>2170</v>
      </c>
      <c r="E429" s="5" t="s">
        <v>2171</v>
      </c>
      <c r="F429" s="5"/>
      <c r="G429" s="5" t="s">
        <v>1002</v>
      </c>
      <c r="H429" s="5" t="s">
        <v>84</v>
      </c>
      <c r="I429" s="5" t="s">
        <v>82</v>
      </c>
      <c r="J429" s="25"/>
      <c r="K429" s="25"/>
      <c r="L429" s="25"/>
      <c r="M429" s="5" t="s">
        <v>66</v>
      </c>
      <c r="N429" s="5" t="s">
        <v>1003</v>
      </c>
      <c r="O429" s="5" t="s">
        <v>69</v>
      </c>
      <c r="P429" s="5" t="s">
        <v>70</v>
      </c>
      <c r="Q429" s="5" t="b">
        <v>1</v>
      </c>
      <c r="R429" s="5" t="b">
        <v>0</v>
      </c>
      <c r="S429" s="5"/>
      <c r="T429" s="5">
        <v>1800.0</v>
      </c>
      <c r="U429" s="26">
        <v>2.08</v>
      </c>
      <c r="V429" s="5">
        <v>865.0</v>
      </c>
      <c r="W429" s="27">
        <v>0.0</v>
      </c>
      <c r="X429" s="28">
        <v>865.0</v>
      </c>
      <c r="Y429" s="27">
        <v>1.0</v>
      </c>
      <c r="Z429" s="5" t="s">
        <v>117</v>
      </c>
      <c r="AA429" s="5">
        <v>0.0</v>
      </c>
      <c r="AB429" s="5"/>
      <c r="AC429" s="5" t="s">
        <v>81</v>
      </c>
      <c r="AD429" s="24" t="s">
        <v>0</v>
      </c>
      <c r="AE429" s="24">
        <v>0.0</v>
      </c>
      <c r="AF429" s="5">
        <v>0.0</v>
      </c>
      <c r="AG429" s="5" t="s">
        <v>0</v>
      </c>
      <c r="AH429" s="5" t="s">
        <v>0</v>
      </c>
      <c r="AI429" s="42"/>
      <c r="AJ429" s="28">
        <v>0.0</v>
      </c>
      <c r="AK429" s="28">
        <v>0.0</v>
      </c>
      <c r="AL429" s="28">
        <v>0.0</v>
      </c>
      <c r="AM429" s="28">
        <v>0.0</v>
      </c>
      <c r="AN429" s="28">
        <v>0.0</v>
      </c>
      <c r="AO429" s="28">
        <v>0.0</v>
      </c>
      <c r="AP429" s="28">
        <v>0.0</v>
      </c>
      <c r="AQ429" s="28">
        <v>0.0</v>
      </c>
      <c r="AR429" s="28">
        <v>0.0</v>
      </c>
      <c r="AS429" s="28">
        <v>0.0</v>
      </c>
      <c r="AT429" s="28">
        <v>0.0</v>
      </c>
      <c r="AU429" s="28">
        <v>0.0</v>
      </c>
      <c r="AV429" s="28">
        <v>0.0</v>
      </c>
      <c r="AW429" s="28">
        <v>0.0</v>
      </c>
      <c r="AX429" s="5"/>
      <c r="AY429" s="5" t="s">
        <v>125</v>
      </c>
      <c r="AZ429" s="5" t="s">
        <v>127</v>
      </c>
      <c r="BB429" s="5" t="s">
        <v>1002</v>
      </c>
      <c r="BC429" s="5" t="s">
        <v>1005</v>
      </c>
      <c r="BD429" s="5" t="s">
        <v>1006</v>
      </c>
      <c r="BE429" s="5" t="s">
        <v>131</v>
      </c>
    </row>
    <row r="430" ht="16.5" hidden="1" customHeight="1">
      <c r="A430" s="5" t="s">
        <v>155</v>
      </c>
      <c r="B430" s="24" t="s">
        <v>0</v>
      </c>
      <c r="C430" s="5" t="b">
        <v>1</v>
      </c>
      <c r="D430" s="5" t="s">
        <v>2172</v>
      </c>
      <c r="E430" s="5" t="s">
        <v>2173</v>
      </c>
      <c r="F430" s="5"/>
      <c r="G430" s="5" t="s">
        <v>1002</v>
      </c>
      <c r="H430" s="5" t="s">
        <v>84</v>
      </c>
      <c r="I430" s="5" t="s">
        <v>82</v>
      </c>
      <c r="J430" s="25"/>
      <c r="K430" s="25"/>
      <c r="L430" s="25"/>
      <c r="M430" s="5" t="s">
        <v>66</v>
      </c>
      <c r="N430" s="5" t="s">
        <v>1003</v>
      </c>
      <c r="O430" s="5" t="s">
        <v>69</v>
      </c>
      <c r="P430" s="5" t="s">
        <v>107</v>
      </c>
      <c r="Q430" s="5" t="b">
        <v>1</v>
      </c>
      <c r="R430" s="5" t="b">
        <v>0</v>
      </c>
      <c r="S430" s="5"/>
      <c r="T430" s="5">
        <v>1800.0</v>
      </c>
      <c r="U430" s="26">
        <v>2.08</v>
      </c>
      <c r="V430" s="5">
        <v>865.0</v>
      </c>
      <c r="W430" s="27">
        <v>0.0</v>
      </c>
      <c r="X430" s="28">
        <v>865.0</v>
      </c>
      <c r="Y430" s="27">
        <v>1.0</v>
      </c>
      <c r="Z430" s="5" t="s">
        <v>117</v>
      </c>
      <c r="AA430" s="5">
        <v>0.0</v>
      </c>
      <c r="AB430" s="5"/>
      <c r="AC430" s="5" t="s">
        <v>81</v>
      </c>
      <c r="AD430" s="24" t="s">
        <v>0</v>
      </c>
      <c r="AE430" s="24">
        <v>0.0</v>
      </c>
      <c r="AF430" s="5">
        <v>0.0</v>
      </c>
      <c r="AG430" s="5" t="s">
        <v>0</v>
      </c>
      <c r="AH430" s="5" t="s">
        <v>0</v>
      </c>
      <c r="AI430" s="42"/>
      <c r="AJ430" s="28">
        <v>0.0</v>
      </c>
      <c r="AK430" s="28">
        <v>0.0</v>
      </c>
      <c r="AL430" s="28">
        <v>0.0</v>
      </c>
      <c r="AM430" s="28">
        <v>0.0</v>
      </c>
      <c r="AN430" s="28">
        <v>0.0</v>
      </c>
      <c r="AO430" s="28">
        <v>0.0</v>
      </c>
      <c r="AP430" s="28">
        <v>0.0</v>
      </c>
      <c r="AQ430" s="28">
        <v>0.0</v>
      </c>
      <c r="AR430" s="28">
        <v>0.0</v>
      </c>
      <c r="AS430" s="28">
        <v>0.0</v>
      </c>
      <c r="AT430" s="28">
        <v>0.0</v>
      </c>
      <c r="AU430" s="28">
        <v>0.0</v>
      </c>
      <c r="AV430" s="28">
        <v>0.0</v>
      </c>
      <c r="AW430" s="28">
        <v>0.0</v>
      </c>
      <c r="AX430" s="5"/>
      <c r="AY430" s="5" t="s">
        <v>125</v>
      </c>
      <c r="AZ430" s="5" t="s">
        <v>127</v>
      </c>
      <c r="BB430" s="5" t="s">
        <v>1002</v>
      </c>
      <c r="BC430" s="5" t="s">
        <v>1005</v>
      </c>
      <c r="BD430" s="5" t="s">
        <v>1006</v>
      </c>
      <c r="BE430" s="5" t="s">
        <v>131</v>
      </c>
    </row>
    <row r="431" ht="16.5" hidden="1" customHeight="1">
      <c r="A431" s="5" t="s">
        <v>155</v>
      </c>
      <c r="B431" s="5" t="s">
        <v>137</v>
      </c>
      <c r="C431" s="5" t="b">
        <v>1</v>
      </c>
      <c r="D431" s="5" t="s">
        <v>1010</v>
      </c>
      <c r="E431" s="5" t="s">
        <v>1011</v>
      </c>
      <c r="F431" s="5"/>
      <c r="G431" s="5" t="s">
        <v>1002</v>
      </c>
      <c r="H431" s="5" t="s">
        <v>84</v>
      </c>
      <c r="I431" s="5" t="s">
        <v>82</v>
      </c>
      <c r="J431" s="25"/>
      <c r="K431" s="25"/>
      <c r="L431" s="25"/>
      <c r="M431" s="5" t="s">
        <v>66</v>
      </c>
      <c r="N431" s="5" t="s">
        <v>1012</v>
      </c>
      <c r="O431" s="5" t="s">
        <v>69</v>
      </c>
      <c r="P431" s="5" t="s">
        <v>249</v>
      </c>
      <c r="Q431" s="5" t="b">
        <v>1</v>
      </c>
      <c r="R431" s="5" t="b">
        <v>0</v>
      </c>
      <c r="S431" s="5"/>
      <c r="T431" s="5">
        <v>3000.0</v>
      </c>
      <c r="U431" s="26">
        <v>2.08</v>
      </c>
      <c r="V431" s="5">
        <v>1442.0</v>
      </c>
      <c r="W431" s="27">
        <v>0.0</v>
      </c>
      <c r="X431" s="28">
        <v>1442.0</v>
      </c>
      <c r="Y431" s="27">
        <v>1.0</v>
      </c>
      <c r="Z431" s="5" t="s">
        <v>117</v>
      </c>
      <c r="AA431" s="5">
        <v>0.0</v>
      </c>
      <c r="AB431" s="5"/>
      <c r="AC431" s="5" t="s">
        <v>80</v>
      </c>
      <c r="AD431" s="5" t="s">
        <v>81</v>
      </c>
      <c r="AE431" s="24">
        <v>0.0</v>
      </c>
      <c r="AF431" s="5">
        <v>1.0</v>
      </c>
      <c r="AG431" s="5" t="s">
        <v>0</v>
      </c>
      <c r="AH431" s="5" t="s">
        <v>0</v>
      </c>
      <c r="AI431" s="42"/>
      <c r="AJ431" s="28">
        <v>133.0</v>
      </c>
      <c r="AK431" s="28">
        <v>140.0</v>
      </c>
      <c r="AL431" s="28">
        <v>0.0</v>
      </c>
      <c r="AM431" s="28">
        <v>79.0</v>
      </c>
      <c r="AN431" s="28">
        <v>0.0</v>
      </c>
      <c r="AO431" s="28">
        <v>191827.22999999998</v>
      </c>
      <c r="AP431" s="28">
        <v>201880.0</v>
      </c>
      <c r="AQ431" s="28">
        <v>0.0</v>
      </c>
      <c r="AR431" s="28">
        <v>113942.48999999999</v>
      </c>
      <c r="AS431" s="28">
        <v>0.0</v>
      </c>
      <c r="AT431" s="28">
        <v>180501.012145749</v>
      </c>
      <c r="AU431" s="28">
        <v>204859.80000000002</v>
      </c>
      <c r="AV431" s="28">
        <v>0.0</v>
      </c>
      <c r="AW431" s="28">
        <v>107146.76113360323</v>
      </c>
      <c r="AX431" s="5"/>
      <c r="AY431" s="5" t="str">
        <f t="array" ref="AY431">IFERROR(_xlfn.XLOOKUP($E431,'FW27'!$C$3:$C$1102,'FW27'!$AM$3:$AM$1102),"")</f>
        <v>Outdoor</v>
      </c>
      <c r="AZ431" s="5" t="str">
        <f t="array" ref="AZ431">IFERROR(_xlfn.XLOOKUP($E431,'FW27'!$C$3:$C$1102,'FW27'!$AN$3:$AN$1102),"")</f>
        <v>Trekking</v>
      </c>
      <c r="BB431" s="5" t="str">
        <f t="array" ref="BB431">IFERROR(_xlfn.XLOOKUP($E431,'FW27'!$C$3:$C$1102,'FW27'!$AS$3:$AS$1102),"")</f>
        <v>Footwear</v>
      </c>
      <c r="BC431" s="5" t="str">
        <f t="array" ref="BC431">IFERROR(_xlfn.XLOOKUP($E431,'FW27'!$C$3:$C$1102,'FW27'!$AT$3:$AT$1102),"")</f>
        <v>Boot (Mid)</v>
      </c>
      <c r="BD431" s="5" t="str">
        <f t="array" ref="BD431">IFERROR(_xlfn.XLOOKUP($E431,'FW27'!$C$3:$C$1102,'FW27'!$AU$3:$AU$1102),"")</f>
        <v>Waterproof (GTX/Proof)</v>
      </c>
      <c r="BE431" s="5" t="str">
        <f t="array" ref="BE431">IFERROR(_xlfn.XLOOKUP($E431,'FW27'!$C$3:$C$1102,'FW27'!$AV$3:$AV$1102),"")</f>
        <v>Y</v>
      </c>
    </row>
    <row r="432" ht="16.5" hidden="1" customHeight="1">
      <c r="A432" s="5" t="s">
        <v>155</v>
      </c>
      <c r="B432" s="5" t="s">
        <v>137</v>
      </c>
      <c r="C432" s="5" t="b">
        <v>1</v>
      </c>
      <c r="D432" s="5" t="s">
        <v>1017</v>
      </c>
      <c r="E432" s="5" t="s">
        <v>1018</v>
      </c>
      <c r="F432" s="5"/>
      <c r="G432" s="5" t="s">
        <v>1002</v>
      </c>
      <c r="H432" s="5" t="s">
        <v>84</v>
      </c>
      <c r="I432" s="5" t="s">
        <v>82</v>
      </c>
      <c r="J432" s="25"/>
      <c r="K432" s="25"/>
      <c r="L432" s="25"/>
      <c r="M432" s="5" t="s">
        <v>500</v>
      </c>
      <c r="N432" s="5" t="s">
        <v>1012</v>
      </c>
      <c r="O432" s="5" t="s">
        <v>69</v>
      </c>
      <c r="P432" s="5" t="s">
        <v>249</v>
      </c>
      <c r="Q432" s="5" t="b">
        <v>1</v>
      </c>
      <c r="R432" s="5" t="b">
        <v>0</v>
      </c>
      <c r="S432" s="5"/>
      <c r="T432" s="5">
        <v>3800.0</v>
      </c>
      <c r="U432" s="26">
        <v>2.08</v>
      </c>
      <c r="V432" s="5">
        <v>1827.0</v>
      </c>
      <c r="W432" s="27">
        <v>0.0</v>
      </c>
      <c r="X432" s="28">
        <v>1827.0</v>
      </c>
      <c r="Y432" s="27">
        <v>1.0</v>
      </c>
      <c r="Z432" s="5" t="s">
        <v>242</v>
      </c>
      <c r="AA432" s="5">
        <v>0.48</v>
      </c>
      <c r="AB432" s="5"/>
      <c r="AC432" s="5" t="s">
        <v>80</v>
      </c>
      <c r="AD432" s="5" t="s">
        <v>81</v>
      </c>
      <c r="AE432" s="24">
        <v>0.0</v>
      </c>
      <c r="AF432" s="5">
        <v>1.0</v>
      </c>
      <c r="AG432" s="5" t="s">
        <v>0</v>
      </c>
      <c r="AH432" s="5" t="s">
        <v>0</v>
      </c>
      <c r="AI432" s="42"/>
      <c r="AJ432" s="28">
        <v>81.0</v>
      </c>
      <c r="AK432" s="28">
        <v>67.0</v>
      </c>
      <c r="AL432" s="28">
        <v>0.0</v>
      </c>
      <c r="AM432" s="28">
        <v>77.0</v>
      </c>
      <c r="AN432" s="28">
        <v>0.0</v>
      </c>
      <c r="AO432" s="28">
        <v>147980.52000000002</v>
      </c>
      <c r="AP432" s="28">
        <v>122409.0</v>
      </c>
      <c r="AQ432" s="28">
        <v>0.0</v>
      </c>
      <c r="AR432" s="28">
        <v>140672.84</v>
      </c>
      <c r="AS432" s="28">
        <v>0.0</v>
      </c>
      <c r="AT432" s="28">
        <v>143488.3076923077</v>
      </c>
      <c r="AU432" s="28">
        <v>118858.30628</v>
      </c>
      <c r="AV432" s="28">
        <v>0.0</v>
      </c>
      <c r="AW432" s="28">
        <v>136629.86153846153</v>
      </c>
      <c r="AX432" s="5"/>
      <c r="AY432" s="5" t="str">
        <f t="array" ref="AY432">IFERROR(_xlfn.XLOOKUP($E432,'FW27'!$C$3:$C$1102,'FW27'!$AM$3:$AM$1102),"")</f>
        <v>Outdoor</v>
      </c>
      <c r="AZ432" s="5" t="str">
        <f t="array" ref="AZ432">IFERROR(_xlfn.XLOOKUP($E432,'FW27'!$C$3:$C$1102,'FW27'!$AN$3:$AN$1102),"")</f>
        <v>Trekking</v>
      </c>
      <c r="BB432" s="5" t="str">
        <f t="array" ref="BB432">IFERROR(_xlfn.XLOOKUP($E432,'FW27'!$C$3:$C$1102,'FW27'!$AS$3:$AS$1102),"")</f>
        <v>Footwear</v>
      </c>
      <c r="BC432" s="5" t="str">
        <f t="array" ref="BC432">IFERROR(_xlfn.XLOOKUP($E432,'FW27'!$C$3:$C$1102,'FW27'!$AT$3:$AT$1102),"")</f>
        <v>Boot (High)</v>
      </c>
      <c r="BD432" s="5" t="str">
        <f t="array" ref="BD432">IFERROR(_xlfn.XLOOKUP($E432,'FW27'!$C$3:$C$1102,'FW27'!$AU$3:$AU$1102),"")</f>
        <v>Waterproof (GTX/Proof)</v>
      </c>
      <c r="BE432" s="5" t="str">
        <f t="array" ref="BE432">IFERROR(_xlfn.XLOOKUP($E432,'FW27'!$C$3:$C$1102,'FW27'!$AV$3:$AV$1102),"")</f>
        <v>Y</v>
      </c>
    </row>
    <row r="433" ht="16.5" hidden="1" customHeight="1">
      <c r="A433" s="5" t="s">
        <v>155</v>
      </c>
      <c r="B433" s="5" t="s">
        <v>137</v>
      </c>
      <c r="C433" s="5" t="b">
        <v>1</v>
      </c>
      <c r="D433" s="43" t="s">
        <v>1020</v>
      </c>
      <c r="E433" s="43" t="s">
        <v>1021</v>
      </c>
      <c r="F433" s="43"/>
      <c r="G433" s="43" t="s">
        <v>1002</v>
      </c>
      <c r="H433" s="43" t="s">
        <v>84</v>
      </c>
      <c r="I433" s="43" t="s">
        <v>82</v>
      </c>
      <c r="J433" s="44" t="s">
        <v>2174</v>
      </c>
      <c r="K433" s="25"/>
      <c r="L433" s="25"/>
      <c r="M433" s="5" t="s">
        <v>66</v>
      </c>
      <c r="N433" s="5" t="s">
        <v>1003</v>
      </c>
      <c r="O433" s="5" t="s">
        <v>141</v>
      </c>
      <c r="P433" s="5" t="s">
        <v>70</v>
      </c>
      <c r="Q433" s="5" t="b">
        <v>1</v>
      </c>
      <c r="R433" s="5" t="b">
        <v>0</v>
      </c>
      <c r="S433" s="5"/>
      <c r="T433" s="5">
        <v>2000.0</v>
      </c>
      <c r="U433" s="26">
        <v>2.08</v>
      </c>
      <c r="V433" s="5">
        <v>962.0</v>
      </c>
      <c r="W433" s="27">
        <v>0.0</v>
      </c>
      <c r="X433" s="28">
        <v>962.0</v>
      </c>
      <c r="Y433" s="27">
        <v>1.0</v>
      </c>
      <c r="Z433" s="5" t="s">
        <v>78</v>
      </c>
      <c r="AA433" s="5">
        <v>0.5589999999999999</v>
      </c>
      <c r="AB433" s="5"/>
      <c r="AC433" s="5" t="s">
        <v>80</v>
      </c>
      <c r="AD433" s="5" t="s">
        <v>81</v>
      </c>
      <c r="AE433" s="24">
        <v>0.0</v>
      </c>
      <c r="AF433" s="5">
        <v>1.0</v>
      </c>
      <c r="AG433" s="5" t="s">
        <v>0</v>
      </c>
      <c r="AH433" s="5" t="s">
        <v>146</v>
      </c>
      <c r="AI433" s="42"/>
      <c r="AJ433" s="28">
        <v>1560.0</v>
      </c>
      <c r="AK433" s="28">
        <v>1590.0</v>
      </c>
      <c r="AL433" s="28">
        <v>0.0</v>
      </c>
      <c r="AM433" s="28">
        <v>2050.0</v>
      </c>
      <c r="AN433" s="28">
        <v>0.0</v>
      </c>
      <c r="AO433" s="28">
        <v>1500002.4</v>
      </c>
      <c r="AP433" s="28">
        <v>1529580.0</v>
      </c>
      <c r="AQ433" s="28">
        <v>0.0</v>
      </c>
      <c r="AR433" s="28">
        <v>1971157.0</v>
      </c>
      <c r="AS433" s="28">
        <v>0.0</v>
      </c>
      <c r="AT433" s="28">
        <v>1178052.6315789474</v>
      </c>
      <c r="AU433" s="28">
        <v>1057953.0</v>
      </c>
      <c r="AV433" s="28">
        <v>0.0</v>
      </c>
      <c r="AW433" s="28">
        <v>1544210.5263157894</v>
      </c>
      <c r="AX433" s="5"/>
      <c r="AY433" s="5" t="str">
        <f t="array" ref="AY433">IFERROR(_xlfn.XLOOKUP($E433,'FW27'!$C$3:$C$1102,'FW27'!$AM$3:$AM$1102),"")</f>
        <v>Outdoor</v>
      </c>
      <c r="AZ433" s="5" t="str">
        <f t="array" ref="AZ433">IFERROR(_xlfn.XLOOKUP($E433,'FW27'!$C$3:$C$1102,'FW27'!$AN$3:$AN$1102),"")</f>
        <v>Day Hiking</v>
      </c>
      <c r="BB433" s="5" t="str">
        <f t="array" ref="BB433">IFERROR(_xlfn.XLOOKUP($E433,'FW27'!$C$3:$C$1102,'FW27'!$AS$3:$AS$1102),"")</f>
        <v>Footwear</v>
      </c>
      <c r="BC433" s="5" t="str">
        <f t="array" ref="BC433">IFERROR(_xlfn.XLOOKUP($E433,'FW27'!$C$3:$C$1102,'FW27'!$AT$3:$AT$1102),"")</f>
        <v>Shoe (Low)</v>
      </c>
      <c r="BD433" s="5" t="str">
        <f t="array" ref="BD433">IFERROR(_xlfn.XLOOKUP($E433,'FW27'!$C$3:$C$1102,'FW27'!$AU$3:$AU$1102),"")</f>
        <v>Waterproof (GTX/Proof)</v>
      </c>
      <c r="BE433" s="5" t="str">
        <f t="array" ref="BE433">IFERROR(_xlfn.XLOOKUP($E433,'FW27'!$C$3:$C$1102,'FW27'!$AV$3:$AV$1102),"")</f>
        <v>Y</v>
      </c>
    </row>
    <row r="434" ht="16.5" hidden="1" customHeight="1">
      <c r="A434" s="5" t="s">
        <v>155</v>
      </c>
      <c r="B434" s="5" t="s">
        <v>137</v>
      </c>
      <c r="C434" s="5" t="b">
        <v>1</v>
      </c>
      <c r="D434" s="43" t="s">
        <v>1023</v>
      </c>
      <c r="E434" s="43" t="s">
        <v>1024</v>
      </c>
      <c r="F434" s="43"/>
      <c r="G434" s="43" t="s">
        <v>1002</v>
      </c>
      <c r="H434" s="43" t="s">
        <v>84</v>
      </c>
      <c r="I434" s="43" t="s">
        <v>82</v>
      </c>
      <c r="J434" s="44" t="s">
        <v>2174</v>
      </c>
      <c r="K434" s="25"/>
      <c r="L434" s="25"/>
      <c r="M434" s="5" t="s">
        <v>66</v>
      </c>
      <c r="N434" s="5" t="s">
        <v>1003</v>
      </c>
      <c r="O434" s="5" t="s">
        <v>141</v>
      </c>
      <c r="P434" s="5" t="s">
        <v>107</v>
      </c>
      <c r="Q434" s="5" t="b">
        <v>1</v>
      </c>
      <c r="R434" s="5" t="b">
        <v>0</v>
      </c>
      <c r="S434" s="5"/>
      <c r="T434" s="5">
        <v>2000.0</v>
      </c>
      <c r="U434" s="26">
        <v>2.08</v>
      </c>
      <c r="V434" s="5">
        <v>962.0</v>
      </c>
      <c r="W434" s="27">
        <v>0.0</v>
      </c>
      <c r="X434" s="28">
        <v>962.0</v>
      </c>
      <c r="Y434" s="27">
        <v>1.0</v>
      </c>
      <c r="Z434" s="5" t="s">
        <v>78</v>
      </c>
      <c r="AA434" s="27">
        <v>0.583</v>
      </c>
      <c r="AB434" s="26"/>
      <c r="AC434" s="5" t="s">
        <v>80</v>
      </c>
      <c r="AD434" s="5" t="s">
        <v>81</v>
      </c>
      <c r="AE434" s="24">
        <v>0.0</v>
      </c>
      <c r="AF434" s="5">
        <v>1.0</v>
      </c>
      <c r="AG434" s="5" t="s">
        <v>0</v>
      </c>
      <c r="AH434" s="5" t="s">
        <v>146</v>
      </c>
      <c r="AI434" s="42"/>
      <c r="AJ434" s="28">
        <v>600.0</v>
      </c>
      <c r="AK434" s="28">
        <v>446.0</v>
      </c>
      <c r="AL434" s="28">
        <v>0.0</v>
      </c>
      <c r="AM434" s="28">
        <v>1000.0</v>
      </c>
      <c r="AN434" s="28">
        <v>0.0</v>
      </c>
      <c r="AO434" s="28">
        <v>576924.0</v>
      </c>
      <c r="AP434" s="28">
        <v>429052.0</v>
      </c>
      <c r="AQ434" s="28">
        <v>0.0</v>
      </c>
      <c r="AR434" s="28">
        <v>961540.0</v>
      </c>
      <c r="AS434" s="28">
        <v>0.0</v>
      </c>
      <c r="AT434" s="28">
        <v>450000.0</v>
      </c>
      <c r="AU434" s="28">
        <v>289900.0</v>
      </c>
      <c r="AV434" s="28">
        <v>0.0</v>
      </c>
      <c r="AW434" s="28">
        <v>750000.0</v>
      </c>
      <c r="AX434" s="5"/>
      <c r="AY434" s="5" t="str">
        <f t="array" ref="AY434">IFERROR(_xlfn.XLOOKUP($E434,'FW27'!$C$3:$C$1102,'FW27'!$AM$3:$AM$1102),"")</f>
        <v>Outdoor</v>
      </c>
      <c r="AZ434" s="5" t="str">
        <f t="array" ref="AZ434">IFERROR(_xlfn.XLOOKUP($E434,'FW27'!$C$3:$C$1102,'FW27'!$AN$3:$AN$1102),"")</f>
        <v>Day Hiking</v>
      </c>
      <c r="BB434" s="5" t="str">
        <f t="array" ref="BB434">IFERROR(_xlfn.XLOOKUP($E434,'FW27'!$C$3:$C$1102,'FW27'!$AS$3:$AS$1102),"")</f>
        <v>Footwear</v>
      </c>
      <c r="BC434" s="5" t="str">
        <f t="array" ref="BC434">IFERROR(_xlfn.XLOOKUP($E434,'FW27'!$C$3:$C$1102,'FW27'!$AT$3:$AT$1102),"")</f>
        <v>Shoe (Low)</v>
      </c>
      <c r="BD434" s="5" t="str">
        <f t="array" ref="BD434">IFERROR(_xlfn.XLOOKUP($E434,'FW27'!$C$3:$C$1102,'FW27'!$AU$3:$AU$1102),"")</f>
        <v>Waterproof (GTX/Proof)</v>
      </c>
      <c r="BE434" s="5" t="str">
        <f t="array" ref="BE434">IFERROR(_xlfn.XLOOKUP($E434,'FW27'!$C$3:$C$1102,'FW27'!$AV$3:$AV$1102),"")</f>
        <v>Y</v>
      </c>
    </row>
    <row r="435" ht="16.5" hidden="1" customHeight="1">
      <c r="A435" s="5" t="s">
        <v>155</v>
      </c>
      <c r="B435" s="5" t="s">
        <v>137</v>
      </c>
      <c r="C435" s="5" t="b">
        <v>1</v>
      </c>
      <c r="D435" s="5" t="s">
        <v>1025</v>
      </c>
      <c r="E435" s="5" t="s">
        <v>1026</v>
      </c>
      <c r="F435" s="5"/>
      <c r="G435" s="5" t="s">
        <v>1002</v>
      </c>
      <c r="H435" s="5" t="s">
        <v>76</v>
      </c>
      <c r="I435" s="5" t="s">
        <v>82</v>
      </c>
      <c r="J435" s="25" t="s">
        <v>2175</v>
      </c>
      <c r="K435" s="25"/>
      <c r="L435" s="25"/>
      <c r="M435" s="5" t="s">
        <v>109</v>
      </c>
      <c r="N435" s="5" t="s">
        <v>1027</v>
      </c>
      <c r="O435" s="5" t="s">
        <v>69</v>
      </c>
      <c r="P435" s="5" t="s">
        <v>70</v>
      </c>
      <c r="Q435" s="5" t="b">
        <v>1</v>
      </c>
      <c r="R435" s="5" t="b">
        <v>0</v>
      </c>
      <c r="S435" s="5"/>
      <c r="T435" s="5">
        <v>2200.0</v>
      </c>
      <c r="U435" s="26">
        <v>2.08</v>
      </c>
      <c r="V435" s="5">
        <v>1058.0</v>
      </c>
      <c r="W435" s="27">
        <v>0.0</v>
      </c>
      <c r="X435" s="28">
        <v>1058.0</v>
      </c>
      <c r="Y435" s="27">
        <v>1.0</v>
      </c>
      <c r="Z435" s="5" t="s">
        <v>117</v>
      </c>
      <c r="AA435" s="5">
        <v>0.0</v>
      </c>
      <c r="AB435" s="5"/>
      <c r="AC435" s="5" t="s">
        <v>80</v>
      </c>
      <c r="AD435" s="5" t="s">
        <v>81</v>
      </c>
      <c r="AE435" s="24">
        <v>0.0</v>
      </c>
      <c r="AF435" s="5">
        <v>3.0</v>
      </c>
      <c r="AG435" s="5" t="s">
        <v>0</v>
      </c>
      <c r="AH435" s="5" t="s">
        <v>0</v>
      </c>
      <c r="AI435" s="42"/>
      <c r="AJ435" s="28">
        <v>1075.0</v>
      </c>
      <c r="AK435" s="28">
        <v>969.0</v>
      </c>
      <c r="AL435" s="28">
        <v>0.0</v>
      </c>
      <c r="AM435" s="28">
        <v>2150.0</v>
      </c>
      <c r="AN435" s="28">
        <v>0.0</v>
      </c>
      <c r="AO435" s="28">
        <v>1137016.75</v>
      </c>
      <c r="AP435" s="28">
        <v>1025202.0</v>
      </c>
      <c r="AQ435" s="28">
        <v>0.0</v>
      </c>
      <c r="AR435" s="28">
        <v>2274033.4999999995</v>
      </c>
      <c r="AS435" s="28">
        <v>0.0</v>
      </c>
      <c r="AT435" s="28">
        <v>870451.7509543089</v>
      </c>
      <c r="AU435" s="28">
        <v>840449.5368999998</v>
      </c>
      <c r="AV435" s="28">
        <v>0.0</v>
      </c>
      <c r="AW435" s="28">
        <v>1645366.2068941586</v>
      </c>
      <c r="AX435" s="5"/>
      <c r="AY435" s="5" t="str">
        <f t="array" ref="AY435">IFERROR(_xlfn.XLOOKUP($E435,'FW27'!$C$3:$C$1102,'FW27'!$AM$3:$AM$1102),"")</f>
        <v>Outdoor</v>
      </c>
      <c r="AZ435" s="5" t="str">
        <f t="array" ref="AZ435">IFERROR(_xlfn.XLOOKUP($E435,'FW27'!$C$3:$C$1102,'FW27'!$AN$3:$AN$1102),"")</f>
        <v>Trail Run &amp; Fast Hike</v>
      </c>
      <c r="BB435" s="5" t="str">
        <f t="array" ref="BB435">IFERROR(_xlfn.XLOOKUP($E435,'FW27'!$C$3:$C$1102,'FW27'!$AS$3:$AS$1102),"")</f>
        <v>Footwear</v>
      </c>
      <c r="BC435" s="5" t="str">
        <f t="array" ref="BC435">IFERROR(_xlfn.XLOOKUP($E435,'FW27'!$C$3:$C$1102,'FW27'!$AT$3:$AT$1102),"")</f>
        <v>Shoe (Low)</v>
      </c>
      <c r="BD435" s="5" t="str">
        <f t="array" ref="BD435">IFERROR(_xlfn.XLOOKUP($E435,'FW27'!$C$3:$C$1102,'FW27'!$AU$3:$AU$1102),"")</f>
        <v>Waterproof (GTX/Proof)</v>
      </c>
      <c r="BE435" s="5" t="str">
        <f t="array" ref="BE435">IFERROR(_xlfn.XLOOKUP($E435,'FW27'!$C$3:$C$1102,'FW27'!$AV$3:$AV$1102),"")</f>
        <v>Y</v>
      </c>
    </row>
    <row r="436" ht="16.5" hidden="1" customHeight="1">
      <c r="A436" s="5" t="s">
        <v>155</v>
      </c>
      <c r="B436" s="5" t="s">
        <v>137</v>
      </c>
      <c r="C436" s="5" t="b">
        <v>1</v>
      </c>
      <c r="D436" s="5" t="s">
        <v>1030</v>
      </c>
      <c r="E436" s="5" t="s">
        <v>1031</v>
      </c>
      <c r="F436" s="5"/>
      <c r="G436" s="5" t="s">
        <v>1002</v>
      </c>
      <c r="H436" s="5" t="s">
        <v>76</v>
      </c>
      <c r="I436" s="5" t="s">
        <v>82</v>
      </c>
      <c r="J436" s="25" t="s">
        <v>2175</v>
      </c>
      <c r="K436" s="25"/>
      <c r="L436" s="25"/>
      <c r="M436" s="5" t="s">
        <v>109</v>
      </c>
      <c r="N436" s="5" t="s">
        <v>1027</v>
      </c>
      <c r="O436" s="5" t="s">
        <v>69</v>
      </c>
      <c r="P436" s="5" t="s">
        <v>107</v>
      </c>
      <c r="Q436" s="5" t="b">
        <v>1</v>
      </c>
      <c r="R436" s="5" t="b">
        <v>0</v>
      </c>
      <c r="S436" s="5"/>
      <c r="T436" s="5">
        <v>2200.0</v>
      </c>
      <c r="U436" s="26">
        <v>2.08</v>
      </c>
      <c r="V436" s="5">
        <v>1058.0</v>
      </c>
      <c r="W436" s="27">
        <v>0.0</v>
      </c>
      <c r="X436" s="28">
        <v>1058.0</v>
      </c>
      <c r="Y436" s="27">
        <v>1.0</v>
      </c>
      <c r="Z436" s="5" t="s">
        <v>117</v>
      </c>
      <c r="AA436" s="5">
        <v>0.0</v>
      </c>
      <c r="AB436" s="5"/>
      <c r="AC436" s="5" t="s">
        <v>80</v>
      </c>
      <c r="AD436" s="5" t="s">
        <v>81</v>
      </c>
      <c r="AE436" s="24">
        <v>0.0</v>
      </c>
      <c r="AF436" s="5">
        <v>3.0</v>
      </c>
      <c r="AG436" s="5" t="s">
        <v>0</v>
      </c>
      <c r="AH436" s="5" t="s">
        <v>0</v>
      </c>
      <c r="AI436" s="42"/>
      <c r="AJ436" s="28">
        <v>815.0</v>
      </c>
      <c r="AK436" s="28">
        <v>681.0</v>
      </c>
      <c r="AL436" s="28">
        <v>0.0</v>
      </c>
      <c r="AM436" s="28">
        <v>1655.0</v>
      </c>
      <c r="AN436" s="28">
        <v>0.0</v>
      </c>
      <c r="AO436" s="28">
        <v>862017.3500000001</v>
      </c>
      <c r="AP436" s="28">
        <v>720498.0</v>
      </c>
      <c r="AQ436" s="28">
        <v>0.0</v>
      </c>
      <c r="AR436" s="28">
        <v>1750476.9500000002</v>
      </c>
      <c r="AS436" s="28">
        <v>0.0</v>
      </c>
      <c r="AT436" s="28">
        <v>660055.2474262579</v>
      </c>
      <c r="AU436" s="28">
        <v>606948.10789</v>
      </c>
      <c r="AV436" s="28">
        <v>0.0</v>
      </c>
      <c r="AW436" s="28">
        <v>1256058.0651243492</v>
      </c>
      <c r="AX436" s="5"/>
      <c r="AY436" s="5" t="str">
        <f t="array" ref="AY436">IFERROR(_xlfn.XLOOKUP($E436,'FW27'!$C$3:$C$1102,'FW27'!$AM$3:$AM$1102),"")</f>
        <v>Outdoor</v>
      </c>
      <c r="AZ436" s="5" t="str">
        <f t="array" ref="AZ436">IFERROR(_xlfn.XLOOKUP($E436,'FW27'!$C$3:$C$1102,'FW27'!$AN$3:$AN$1102),"")</f>
        <v>Trail Run &amp; Fast Hike</v>
      </c>
      <c r="BB436" s="5" t="str">
        <f t="array" ref="BB436">IFERROR(_xlfn.XLOOKUP($E436,'FW27'!$C$3:$C$1102,'FW27'!$AS$3:$AS$1102),"")</f>
        <v>Footwear</v>
      </c>
      <c r="BC436" s="5" t="str">
        <f t="array" ref="BC436">IFERROR(_xlfn.XLOOKUP($E436,'FW27'!$C$3:$C$1102,'FW27'!$AT$3:$AT$1102),"")</f>
        <v>Shoe (Low)</v>
      </c>
      <c r="BD436" s="5" t="str">
        <f t="array" ref="BD436">IFERROR(_xlfn.XLOOKUP($E436,'FW27'!$C$3:$C$1102,'FW27'!$AU$3:$AU$1102),"")</f>
        <v>Waterproof (GTX/Proof)</v>
      </c>
      <c r="BE436" s="5" t="str">
        <f t="array" ref="BE436">IFERROR(_xlfn.XLOOKUP($E436,'FW27'!$C$3:$C$1102,'FW27'!$AV$3:$AV$1102),"")</f>
        <v>Y</v>
      </c>
    </row>
    <row r="437" ht="16.5" hidden="1" customHeight="1">
      <c r="A437" s="5" t="s">
        <v>155</v>
      </c>
      <c r="B437" s="5" t="s">
        <v>137</v>
      </c>
      <c r="C437" s="5" t="b">
        <v>1</v>
      </c>
      <c r="D437" s="5" t="s">
        <v>1033</v>
      </c>
      <c r="E437" s="5" t="s">
        <v>1034</v>
      </c>
      <c r="F437" s="5"/>
      <c r="G437" s="5" t="s">
        <v>1002</v>
      </c>
      <c r="H437" s="5" t="s">
        <v>76</v>
      </c>
      <c r="I437" s="5" t="s">
        <v>82</v>
      </c>
      <c r="J437" s="25"/>
      <c r="K437" s="25"/>
      <c r="L437" s="25"/>
      <c r="M437" s="5" t="s">
        <v>109</v>
      </c>
      <c r="N437" s="5" t="s">
        <v>1003</v>
      </c>
      <c r="O437" s="5" t="s">
        <v>69</v>
      </c>
      <c r="P437" s="5" t="s">
        <v>70</v>
      </c>
      <c r="Q437" s="5" t="b">
        <v>1</v>
      </c>
      <c r="R437" s="5" t="b">
        <v>0</v>
      </c>
      <c r="S437" s="5"/>
      <c r="T437" s="5">
        <v>2200.0</v>
      </c>
      <c r="U437" s="26">
        <v>2.08</v>
      </c>
      <c r="V437" s="5">
        <v>1058.0</v>
      </c>
      <c r="W437" s="27">
        <v>0.0</v>
      </c>
      <c r="X437" s="28">
        <v>1058.0</v>
      </c>
      <c r="Y437" s="27">
        <v>1.0</v>
      </c>
      <c r="Z437" s="5" t="s">
        <v>117</v>
      </c>
      <c r="AA437" s="5">
        <v>0.0</v>
      </c>
      <c r="AB437" s="5"/>
      <c r="AC437" s="5" t="s">
        <v>80</v>
      </c>
      <c r="AD437" s="5" t="s">
        <v>81</v>
      </c>
      <c r="AE437" s="24">
        <v>0.0</v>
      </c>
      <c r="AF437" s="5">
        <v>3.0</v>
      </c>
      <c r="AG437" s="5" t="s">
        <v>0</v>
      </c>
      <c r="AH437" s="5" t="s">
        <v>0</v>
      </c>
      <c r="AI437" s="42"/>
      <c r="AJ437" s="28">
        <v>2557.0</v>
      </c>
      <c r="AK437" s="28">
        <v>1567.0</v>
      </c>
      <c r="AL437" s="28">
        <v>0.0</v>
      </c>
      <c r="AM437" s="28">
        <v>3687.0</v>
      </c>
      <c r="AN437" s="28">
        <v>0.0</v>
      </c>
      <c r="AO437" s="28">
        <v>2704513.3300000005</v>
      </c>
      <c r="AP437" s="28">
        <v>1657886.0</v>
      </c>
      <c r="AQ437" s="28">
        <v>0.0</v>
      </c>
      <c r="AR437" s="28">
        <v>3899703.0300000007</v>
      </c>
      <c r="AS437" s="28">
        <v>0.0</v>
      </c>
      <c r="AT437" s="28">
        <v>1959106.0331598222</v>
      </c>
      <c r="AU437" s="28">
        <v>1375553.6990399999</v>
      </c>
      <c r="AV437" s="28">
        <v>0.0</v>
      </c>
      <c r="AW437" s="28">
        <v>2941287.2055619815</v>
      </c>
      <c r="AX437" s="5"/>
      <c r="AY437" s="5" t="str">
        <f t="array" ref="AY437">IFERROR(_xlfn.XLOOKUP($E437,'FW27'!$C$3:$C$1102,'FW27'!$AM$3:$AM$1102),"")</f>
        <v>Outdoor</v>
      </c>
      <c r="AZ437" s="5" t="str">
        <f t="array" ref="AZ437">IFERROR(_xlfn.XLOOKUP($E437,'FW27'!$C$3:$C$1102,'FW27'!$AN$3:$AN$1102),"")</f>
        <v>Trail Run &amp; Fast Hike</v>
      </c>
      <c r="BB437" s="5" t="str">
        <f t="array" ref="BB437">IFERROR(_xlfn.XLOOKUP($E437,'FW27'!$C$3:$C$1102,'FW27'!$AS$3:$AS$1102),"")</f>
        <v>Footwear</v>
      </c>
      <c r="BC437" s="5" t="str">
        <f t="array" ref="BC437">IFERROR(_xlfn.XLOOKUP($E437,'FW27'!$C$3:$C$1102,'FW27'!$AT$3:$AT$1102),"")</f>
        <v>Shoe (Low)</v>
      </c>
      <c r="BD437" s="5" t="str">
        <f t="array" ref="BD437">IFERROR(_xlfn.XLOOKUP($E437,'FW27'!$C$3:$C$1102,'FW27'!$AU$3:$AU$1102),"")</f>
        <v>Waterproof (GTX/Proof)</v>
      </c>
      <c r="BE437" s="5" t="str">
        <f t="array" ref="BE437">IFERROR(_xlfn.XLOOKUP($E437,'FW27'!$C$3:$C$1102,'FW27'!$AV$3:$AV$1102),"")</f>
        <v>Y</v>
      </c>
    </row>
    <row r="438" ht="16.5" hidden="1" customHeight="1">
      <c r="A438" s="5" t="s">
        <v>155</v>
      </c>
      <c r="B438" s="5" t="s">
        <v>137</v>
      </c>
      <c r="C438" s="5" t="b">
        <v>1</v>
      </c>
      <c r="D438" s="5" t="s">
        <v>1036</v>
      </c>
      <c r="E438" s="5" t="s">
        <v>1037</v>
      </c>
      <c r="F438" s="5"/>
      <c r="G438" s="5" t="s">
        <v>1002</v>
      </c>
      <c r="H438" s="5" t="s">
        <v>76</v>
      </c>
      <c r="I438" s="5" t="s">
        <v>82</v>
      </c>
      <c r="J438" s="25"/>
      <c r="K438" s="25"/>
      <c r="L438" s="25"/>
      <c r="M438" s="5" t="s">
        <v>109</v>
      </c>
      <c r="N438" s="5" t="s">
        <v>1003</v>
      </c>
      <c r="O438" s="5" t="s">
        <v>69</v>
      </c>
      <c r="P438" s="5" t="s">
        <v>107</v>
      </c>
      <c r="Q438" s="5" t="b">
        <v>1</v>
      </c>
      <c r="R438" s="5" t="b">
        <v>0</v>
      </c>
      <c r="S438" s="5"/>
      <c r="T438" s="5">
        <v>2200.0</v>
      </c>
      <c r="U438" s="26">
        <v>2.08</v>
      </c>
      <c r="V438" s="5">
        <v>1058.0</v>
      </c>
      <c r="W438" s="27">
        <v>0.0</v>
      </c>
      <c r="X438" s="28">
        <v>1058.0</v>
      </c>
      <c r="Y438" s="27">
        <v>1.0</v>
      </c>
      <c r="Z438" s="5" t="s">
        <v>117</v>
      </c>
      <c r="AA438" s="5">
        <v>0.0</v>
      </c>
      <c r="AB438" s="5"/>
      <c r="AC438" s="5" t="s">
        <v>80</v>
      </c>
      <c r="AD438" s="5" t="s">
        <v>81</v>
      </c>
      <c r="AE438" s="24">
        <v>0.0</v>
      </c>
      <c r="AF438" s="5">
        <v>3.0</v>
      </c>
      <c r="AG438" s="5" t="s">
        <v>0</v>
      </c>
      <c r="AH438" s="5" t="s">
        <v>0</v>
      </c>
      <c r="AI438" s="42"/>
      <c r="AJ438" s="28">
        <v>1737.0</v>
      </c>
      <c r="AK438" s="28">
        <v>978.0</v>
      </c>
      <c r="AL438" s="28">
        <v>0.0</v>
      </c>
      <c r="AM438" s="28">
        <v>2446.0</v>
      </c>
      <c r="AN438" s="28">
        <v>0.0</v>
      </c>
      <c r="AO438" s="28">
        <v>1837207.53</v>
      </c>
      <c r="AP438" s="28">
        <v>1034724.0</v>
      </c>
      <c r="AQ438" s="28">
        <v>0.0</v>
      </c>
      <c r="AR438" s="28">
        <v>2587109.74</v>
      </c>
      <c r="AS438" s="28">
        <v>0.0</v>
      </c>
      <c r="AT438" s="28">
        <v>1356952.2790823213</v>
      </c>
      <c r="AU438" s="28">
        <v>859715.4010700001</v>
      </c>
      <c r="AV438" s="28">
        <v>0.0</v>
      </c>
      <c r="AW438" s="28">
        <v>1974888.5735203393</v>
      </c>
      <c r="AX438" s="5"/>
      <c r="AY438" s="5" t="str">
        <f t="array" ref="AY438">IFERROR(_xlfn.XLOOKUP($E438,'FW27'!$C$3:$C$1102,'FW27'!$AM$3:$AM$1102),"")</f>
        <v>Outdoor</v>
      </c>
      <c r="AZ438" s="5" t="str">
        <f t="array" ref="AZ438">IFERROR(_xlfn.XLOOKUP($E438,'FW27'!$C$3:$C$1102,'FW27'!$AN$3:$AN$1102),"")</f>
        <v>Trail Run &amp; Fast Hike</v>
      </c>
      <c r="BB438" s="5" t="str">
        <f t="array" ref="BB438">IFERROR(_xlfn.XLOOKUP($E438,'FW27'!$C$3:$C$1102,'FW27'!$AS$3:$AS$1102),"")</f>
        <v>Footwear</v>
      </c>
      <c r="BC438" s="5" t="str">
        <f t="array" ref="BC438">IFERROR(_xlfn.XLOOKUP($E438,'FW27'!$C$3:$C$1102,'FW27'!$AT$3:$AT$1102),"")</f>
        <v>Shoe (Low)</v>
      </c>
      <c r="BD438" s="5" t="str">
        <f t="array" ref="BD438">IFERROR(_xlfn.XLOOKUP($E438,'FW27'!$C$3:$C$1102,'FW27'!$AU$3:$AU$1102),"")</f>
        <v>Waterproof (GTX/Proof)</v>
      </c>
      <c r="BE438" s="5" t="str">
        <f t="array" ref="BE438">IFERROR(_xlfn.XLOOKUP($E438,'FW27'!$C$3:$C$1102,'FW27'!$AV$3:$AV$1102),"")</f>
        <v>Y</v>
      </c>
    </row>
    <row r="439" ht="16.5" hidden="1" customHeight="1">
      <c r="A439" s="5" t="s">
        <v>155</v>
      </c>
      <c r="B439" s="5" t="s">
        <v>137</v>
      </c>
      <c r="C439" s="5" t="b">
        <v>1</v>
      </c>
      <c r="D439" s="5" t="s">
        <v>1041</v>
      </c>
      <c r="E439" s="5" t="s">
        <v>1042</v>
      </c>
      <c r="F439" s="5"/>
      <c r="G439" s="5" t="s">
        <v>1002</v>
      </c>
      <c r="H439" s="5" t="s">
        <v>76</v>
      </c>
      <c r="I439" s="5" t="s">
        <v>82</v>
      </c>
      <c r="J439" s="25"/>
      <c r="K439" s="25"/>
      <c r="L439" s="25"/>
      <c r="M439" s="5" t="s">
        <v>109</v>
      </c>
      <c r="N439" s="5" t="s">
        <v>1003</v>
      </c>
      <c r="O439" s="5" t="s">
        <v>69</v>
      </c>
      <c r="P439" s="5" t="s">
        <v>70</v>
      </c>
      <c r="Q439" s="5" t="b">
        <v>1</v>
      </c>
      <c r="R439" s="5" t="b">
        <v>0</v>
      </c>
      <c r="S439" s="5"/>
      <c r="T439" s="5">
        <v>2500.0</v>
      </c>
      <c r="U439" s="26">
        <v>2.08</v>
      </c>
      <c r="V439" s="5">
        <v>1202.0</v>
      </c>
      <c r="W439" s="27">
        <v>0.0</v>
      </c>
      <c r="X439" s="28">
        <v>1202.0</v>
      </c>
      <c r="Y439" s="27">
        <v>1.0</v>
      </c>
      <c r="Z439" s="5" t="s">
        <v>117</v>
      </c>
      <c r="AA439" s="5">
        <v>0.0</v>
      </c>
      <c r="AB439" s="5"/>
      <c r="AC439" s="5" t="s">
        <v>80</v>
      </c>
      <c r="AD439" s="5" t="s">
        <v>81</v>
      </c>
      <c r="AE439" s="24">
        <v>0.0</v>
      </c>
      <c r="AF439" s="5">
        <v>3.0</v>
      </c>
      <c r="AG439" s="5" t="s">
        <v>0</v>
      </c>
      <c r="AH439" s="5" t="s">
        <v>0</v>
      </c>
      <c r="AI439" s="42"/>
      <c r="AJ439" s="28">
        <v>1451.0</v>
      </c>
      <c r="AK439" s="28">
        <v>885.0</v>
      </c>
      <c r="AL439" s="28">
        <v>0.0</v>
      </c>
      <c r="AM439" s="28">
        <v>1739.0</v>
      </c>
      <c r="AN439" s="28">
        <v>0.0</v>
      </c>
      <c r="AO439" s="28">
        <v>1743985.9200000002</v>
      </c>
      <c r="AP439" s="28">
        <v>1063770.0</v>
      </c>
      <c r="AQ439" s="28">
        <v>0.0</v>
      </c>
      <c r="AR439" s="28">
        <v>2090138.88</v>
      </c>
      <c r="AS439" s="28">
        <v>0.0</v>
      </c>
      <c r="AT439" s="28">
        <v>1295355.1667052247</v>
      </c>
      <c r="AU439" s="28">
        <v>885886.95939</v>
      </c>
      <c r="AV439" s="28">
        <v>0.0</v>
      </c>
      <c r="AW439" s="28">
        <v>1665519.646045884</v>
      </c>
      <c r="AX439" s="5"/>
      <c r="AY439" s="5" t="str">
        <f t="array" ref="AY439">IFERROR(_xlfn.XLOOKUP($E439,'FW27'!$C$3:$C$1102,'FW27'!$AM$3:$AM$1102),"")</f>
        <v>Outdoor</v>
      </c>
      <c r="AZ439" s="5" t="str">
        <f t="array" ref="AZ439">IFERROR(_xlfn.XLOOKUP($E439,'FW27'!$C$3:$C$1102,'FW27'!$AN$3:$AN$1102),"")</f>
        <v>Trail Run &amp; Fast Hike</v>
      </c>
      <c r="BB439" s="5" t="str">
        <f t="array" ref="BB439">IFERROR(_xlfn.XLOOKUP($E439,'FW27'!$C$3:$C$1102,'FW27'!$AS$3:$AS$1102),"")</f>
        <v>Footwear</v>
      </c>
      <c r="BC439" s="5" t="str">
        <f t="array" ref="BC439">IFERROR(_xlfn.XLOOKUP($E439,'FW27'!$C$3:$C$1102,'FW27'!$AT$3:$AT$1102),"")</f>
        <v>Boot (Mid)</v>
      </c>
      <c r="BD439" s="5" t="str">
        <f t="array" ref="BD439">IFERROR(_xlfn.XLOOKUP($E439,'FW27'!$C$3:$C$1102,'FW27'!$AU$3:$AU$1102),"")</f>
        <v>Waterproof (GTX/Proof)</v>
      </c>
      <c r="BE439" s="5" t="str">
        <f t="array" ref="BE439">IFERROR(_xlfn.XLOOKUP($E439,'FW27'!$C$3:$C$1102,'FW27'!$AV$3:$AV$1102),"")</f>
        <v>Y</v>
      </c>
    </row>
    <row r="440" ht="16.5" hidden="1" customHeight="1">
      <c r="A440" s="5" t="s">
        <v>155</v>
      </c>
      <c r="B440" s="5" t="s">
        <v>137</v>
      </c>
      <c r="C440" s="5" t="b">
        <v>1</v>
      </c>
      <c r="D440" s="5" t="s">
        <v>1043</v>
      </c>
      <c r="E440" s="5" t="s">
        <v>1044</v>
      </c>
      <c r="F440" s="5"/>
      <c r="G440" s="5" t="s">
        <v>1002</v>
      </c>
      <c r="H440" s="5" t="s">
        <v>76</v>
      </c>
      <c r="I440" s="5" t="s">
        <v>82</v>
      </c>
      <c r="J440" s="25"/>
      <c r="K440" s="25"/>
      <c r="L440" s="25"/>
      <c r="M440" s="5" t="s">
        <v>109</v>
      </c>
      <c r="N440" s="5" t="s">
        <v>1003</v>
      </c>
      <c r="O440" s="5" t="s">
        <v>69</v>
      </c>
      <c r="P440" s="5" t="s">
        <v>107</v>
      </c>
      <c r="Q440" s="5" t="b">
        <v>1</v>
      </c>
      <c r="R440" s="5" t="b">
        <v>0</v>
      </c>
      <c r="S440" s="5"/>
      <c r="T440" s="5">
        <v>2500.0</v>
      </c>
      <c r="U440" s="26">
        <v>2.08</v>
      </c>
      <c r="V440" s="5">
        <v>1202.0</v>
      </c>
      <c r="W440" s="27">
        <v>0.0</v>
      </c>
      <c r="X440" s="28">
        <v>1202.0</v>
      </c>
      <c r="Y440" s="27">
        <v>1.0</v>
      </c>
      <c r="Z440" s="5" t="s">
        <v>117</v>
      </c>
      <c r="AA440" s="5">
        <v>0.0</v>
      </c>
      <c r="AB440" s="5"/>
      <c r="AC440" s="5" t="s">
        <v>80</v>
      </c>
      <c r="AD440" s="5" t="s">
        <v>81</v>
      </c>
      <c r="AE440" s="24">
        <v>0.0</v>
      </c>
      <c r="AF440" s="5">
        <v>3.0</v>
      </c>
      <c r="AG440" s="5" t="s">
        <v>0</v>
      </c>
      <c r="AH440" s="5" t="s">
        <v>0</v>
      </c>
      <c r="AI440" s="42"/>
      <c r="AJ440" s="28">
        <v>1112.0</v>
      </c>
      <c r="AK440" s="28">
        <v>620.0</v>
      </c>
      <c r="AL440" s="28">
        <v>0.0</v>
      </c>
      <c r="AM440" s="28">
        <v>1457.0</v>
      </c>
      <c r="AN440" s="28">
        <v>0.0</v>
      </c>
      <c r="AO440" s="28">
        <v>1336535.04</v>
      </c>
      <c r="AP440" s="28">
        <v>745240.0</v>
      </c>
      <c r="AQ440" s="28">
        <v>0.0</v>
      </c>
      <c r="AR440" s="28">
        <v>1751197.44</v>
      </c>
      <c r="AS440" s="28">
        <v>0.0</v>
      </c>
      <c r="AT440" s="28">
        <v>1019021.0573742047</v>
      </c>
      <c r="AU440" s="28">
        <v>617496.242975</v>
      </c>
      <c r="AV440" s="28">
        <v>0.0</v>
      </c>
      <c r="AW440" s="28">
        <v>1388236.5896086367</v>
      </c>
      <c r="AX440" s="5"/>
      <c r="AY440" s="5" t="str">
        <f t="array" ref="AY440">IFERROR(_xlfn.XLOOKUP($E440,'FW27'!$C$3:$C$1102,'FW27'!$AM$3:$AM$1102),"")</f>
        <v>Outdoor</v>
      </c>
      <c r="AZ440" s="5" t="str">
        <f t="array" ref="AZ440">IFERROR(_xlfn.XLOOKUP($E440,'FW27'!$C$3:$C$1102,'FW27'!$AN$3:$AN$1102),"")</f>
        <v>Trail Run &amp; Fast Hike</v>
      </c>
      <c r="BB440" s="5" t="str">
        <f t="array" ref="BB440">IFERROR(_xlfn.XLOOKUP($E440,'FW27'!$C$3:$C$1102,'FW27'!$AS$3:$AS$1102),"")</f>
        <v>Footwear</v>
      </c>
      <c r="BC440" s="5" t="str">
        <f t="array" ref="BC440">IFERROR(_xlfn.XLOOKUP($E440,'FW27'!$C$3:$C$1102,'FW27'!$AT$3:$AT$1102),"")</f>
        <v>Boot (Mid)</v>
      </c>
      <c r="BD440" s="5" t="str">
        <f t="array" ref="BD440">IFERROR(_xlfn.XLOOKUP($E440,'FW27'!$C$3:$C$1102,'FW27'!$AU$3:$AU$1102),"")</f>
        <v>Waterproof (GTX/Proof)</v>
      </c>
      <c r="BE440" s="5" t="str">
        <f t="array" ref="BE440">IFERROR(_xlfn.XLOOKUP($E440,'FW27'!$C$3:$C$1102,'FW27'!$AV$3:$AV$1102),"")</f>
        <v>Y</v>
      </c>
    </row>
    <row r="441" ht="16.5" hidden="1" customHeight="1">
      <c r="A441" s="5" t="s">
        <v>155</v>
      </c>
      <c r="B441" s="5" t="s">
        <v>137</v>
      </c>
      <c r="C441" s="5" t="b">
        <v>0</v>
      </c>
      <c r="D441" s="5" t="s">
        <v>1045</v>
      </c>
      <c r="E441" s="5" t="s">
        <v>1046</v>
      </c>
      <c r="F441" s="5"/>
      <c r="G441" s="5" t="s">
        <v>1002</v>
      </c>
      <c r="H441" s="5" t="s">
        <v>76</v>
      </c>
      <c r="I441" s="5" t="s">
        <v>106</v>
      </c>
      <c r="J441" s="25"/>
      <c r="K441" s="25"/>
      <c r="L441" s="25"/>
      <c r="M441" s="5" t="s">
        <v>109</v>
      </c>
      <c r="N441" s="5" t="s">
        <v>1003</v>
      </c>
      <c r="O441" s="5" t="s">
        <v>69</v>
      </c>
      <c r="P441" s="5" t="s">
        <v>70</v>
      </c>
      <c r="Q441" s="5" t="b">
        <v>1</v>
      </c>
      <c r="R441" s="5" t="b">
        <v>0</v>
      </c>
      <c r="S441" s="5"/>
      <c r="T441" s="5">
        <v>2000.0</v>
      </c>
      <c r="U441" s="26">
        <v>2.08</v>
      </c>
      <c r="V441" s="5">
        <v>962.0</v>
      </c>
      <c r="W441" s="27">
        <v>0.0</v>
      </c>
      <c r="X441" s="28">
        <v>962.0</v>
      </c>
      <c r="Y441" s="27">
        <v>1.0</v>
      </c>
      <c r="Z441" s="5" t="s">
        <v>117</v>
      </c>
      <c r="AA441" s="5">
        <v>0.0</v>
      </c>
      <c r="AB441" s="5"/>
      <c r="AC441" s="5" t="s">
        <v>81</v>
      </c>
      <c r="AD441" s="5" t="s">
        <v>81</v>
      </c>
      <c r="AE441" s="24">
        <v>0.0</v>
      </c>
      <c r="AF441" s="5">
        <v>2.0</v>
      </c>
      <c r="AG441" s="5" t="s">
        <v>0</v>
      </c>
      <c r="AH441" s="5" t="s">
        <v>0</v>
      </c>
      <c r="AI441" s="42"/>
      <c r="AJ441" s="28">
        <v>204.0</v>
      </c>
      <c r="AK441" s="28">
        <v>183.0</v>
      </c>
      <c r="AL441" s="28">
        <v>0.0</v>
      </c>
      <c r="AM441" s="28">
        <v>590.0</v>
      </c>
      <c r="AN441" s="28">
        <v>0.0</v>
      </c>
      <c r="AO441" s="28">
        <v>196154.15999999997</v>
      </c>
      <c r="AP441" s="28">
        <v>176046.0</v>
      </c>
      <c r="AQ441" s="28">
        <v>0.0</v>
      </c>
      <c r="AR441" s="28">
        <v>567308.6000000001</v>
      </c>
      <c r="AS441" s="28">
        <v>0.0</v>
      </c>
      <c r="AT441" s="28">
        <v>178155.7326007326</v>
      </c>
      <c r="AU441" s="28">
        <v>175863.0</v>
      </c>
      <c r="AV441" s="28">
        <v>0.0</v>
      </c>
      <c r="AW441" s="28">
        <v>534508.3302197802</v>
      </c>
      <c r="AX441" s="5"/>
      <c r="AY441" s="5" t="str">
        <f t="array" ref="AY441">IFERROR(_xlfn.XLOOKUP($E441,'FW27'!$C$3:$C$1102,'FW27'!$AM$3:$AM$1102),"")</f>
        <v>Outdoor</v>
      </c>
      <c r="AZ441" s="5" t="str">
        <f t="array" ref="AZ441">IFERROR(_xlfn.XLOOKUP($E441,'FW27'!$C$3:$C$1102,'FW27'!$AN$3:$AN$1102),"")</f>
        <v>Trail Run &amp; Fast Hike</v>
      </c>
      <c r="BB441" s="5" t="str">
        <f t="array" ref="BB441">IFERROR(_xlfn.XLOOKUP($E441,'FW27'!$C$3:$C$1102,'FW27'!$AS$3:$AS$1102),"")</f>
        <v>Footwear</v>
      </c>
      <c r="BC441" s="5" t="str">
        <f t="array" ref="BC441">IFERROR(_xlfn.XLOOKUP($E441,'FW27'!$C$3:$C$1102,'FW27'!$AT$3:$AT$1102),"")</f>
        <v>Boot (Mid)</v>
      </c>
      <c r="BD441" s="5" t="str">
        <f t="array" ref="BD441">IFERROR(_xlfn.XLOOKUP($E441,'FW27'!$C$3:$C$1102,'FW27'!$AU$3:$AU$1102),"")</f>
        <v>Non-waterproof</v>
      </c>
      <c r="BE441" s="5" t="str">
        <f t="array" ref="BE441">IFERROR(_xlfn.XLOOKUP($E441,'FW27'!$C$3:$C$1102,'FW27'!$AV$3:$AV$1102),"")</f>
        <v>N</v>
      </c>
    </row>
    <row r="442" ht="16.5" hidden="1" customHeight="1">
      <c r="A442" s="5" t="s">
        <v>155</v>
      </c>
      <c r="B442" s="5" t="s">
        <v>137</v>
      </c>
      <c r="C442" s="5" t="b">
        <v>0</v>
      </c>
      <c r="D442" s="5" t="s">
        <v>1051</v>
      </c>
      <c r="E442" s="5" t="s">
        <v>1052</v>
      </c>
      <c r="F442" s="5"/>
      <c r="G442" s="5" t="s">
        <v>1002</v>
      </c>
      <c r="H442" s="5" t="s">
        <v>76</v>
      </c>
      <c r="I442" s="5" t="s">
        <v>106</v>
      </c>
      <c r="J442" s="25"/>
      <c r="K442" s="25"/>
      <c r="L442" s="25"/>
      <c r="M442" s="5" t="s">
        <v>109</v>
      </c>
      <c r="N442" s="5" t="s">
        <v>1003</v>
      </c>
      <c r="O442" s="5" t="s">
        <v>69</v>
      </c>
      <c r="P442" s="5" t="s">
        <v>107</v>
      </c>
      <c r="Q442" s="5" t="b">
        <v>1</v>
      </c>
      <c r="R442" s="5" t="b">
        <v>0</v>
      </c>
      <c r="S442" s="5"/>
      <c r="T442" s="5">
        <v>2000.0</v>
      </c>
      <c r="U442" s="26">
        <v>2.08</v>
      </c>
      <c r="V442" s="5">
        <v>962.0</v>
      </c>
      <c r="W442" s="27">
        <v>0.0</v>
      </c>
      <c r="X442" s="28">
        <v>962.0</v>
      </c>
      <c r="Y442" s="27">
        <v>1.0</v>
      </c>
      <c r="Z442" s="5" t="s">
        <v>117</v>
      </c>
      <c r="AA442" s="5">
        <v>0.0</v>
      </c>
      <c r="AB442" s="5"/>
      <c r="AC442" s="5" t="s">
        <v>81</v>
      </c>
      <c r="AD442" s="5" t="s">
        <v>81</v>
      </c>
      <c r="AE442" s="24">
        <v>0.0</v>
      </c>
      <c r="AF442" s="5">
        <v>2.0</v>
      </c>
      <c r="AG442" s="5" t="s">
        <v>0</v>
      </c>
      <c r="AH442" s="5" t="s">
        <v>0</v>
      </c>
      <c r="AI442" s="42"/>
      <c r="AJ442" s="28">
        <v>191.0</v>
      </c>
      <c r="AK442" s="28">
        <v>138.0</v>
      </c>
      <c r="AL442" s="28">
        <v>0.0</v>
      </c>
      <c r="AM442" s="28">
        <v>553.0</v>
      </c>
      <c r="AN442" s="28">
        <v>0.0</v>
      </c>
      <c r="AO442" s="28">
        <v>183654.14</v>
      </c>
      <c r="AP442" s="28">
        <v>132756.0</v>
      </c>
      <c r="AQ442" s="28">
        <v>0.0</v>
      </c>
      <c r="AR442" s="28">
        <v>531731.62</v>
      </c>
      <c r="AS442" s="28">
        <v>0.0</v>
      </c>
      <c r="AT442" s="28">
        <v>169255.35531135532</v>
      </c>
      <c r="AU442" s="28">
        <v>132618.0</v>
      </c>
      <c r="AV442" s="28">
        <v>0.0</v>
      </c>
      <c r="AW442" s="28">
        <v>506693.4648351649</v>
      </c>
      <c r="AX442" s="5"/>
      <c r="AY442" s="5" t="str">
        <f t="array" ref="AY442">IFERROR(_xlfn.XLOOKUP($E442,'FW27'!$C$3:$C$1102,'FW27'!$AM$3:$AM$1102),"")</f>
        <v>Outdoor</v>
      </c>
      <c r="AZ442" s="5" t="str">
        <f t="array" ref="AZ442">IFERROR(_xlfn.XLOOKUP($E442,'FW27'!$C$3:$C$1102,'FW27'!$AN$3:$AN$1102),"")</f>
        <v>Trail Run &amp; Fast Hike</v>
      </c>
      <c r="BB442" s="5" t="str">
        <f t="array" ref="BB442">IFERROR(_xlfn.XLOOKUP($E442,'FW27'!$C$3:$C$1102,'FW27'!$AS$3:$AS$1102),"")</f>
        <v>Footwear</v>
      </c>
      <c r="BC442" s="5" t="str">
        <f t="array" ref="BC442">IFERROR(_xlfn.XLOOKUP($E442,'FW27'!$C$3:$C$1102,'FW27'!$AT$3:$AT$1102),"")</f>
        <v>Boot (Mid)</v>
      </c>
      <c r="BD442" s="5" t="str">
        <f t="array" ref="BD442">IFERROR(_xlfn.XLOOKUP($E442,'FW27'!$C$3:$C$1102,'FW27'!$AU$3:$AU$1102),"")</f>
        <v>Non-waterproof</v>
      </c>
      <c r="BE442" s="5" t="str">
        <f t="array" ref="BE442">IFERROR(_xlfn.XLOOKUP($E442,'FW27'!$C$3:$C$1102,'FW27'!$AV$3:$AV$1102),"")</f>
        <v>N</v>
      </c>
    </row>
    <row r="443" ht="16.5" hidden="1" customHeight="1">
      <c r="A443" s="5" t="s">
        <v>155</v>
      </c>
      <c r="B443" s="5" t="s">
        <v>137</v>
      </c>
      <c r="C443" s="5" t="b">
        <v>1</v>
      </c>
      <c r="D443" s="5" t="s">
        <v>1053</v>
      </c>
      <c r="E443" s="5" t="s">
        <v>1054</v>
      </c>
      <c r="F443" s="5"/>
      <c r="G443" s="5" t="s">
        <v>1002</v>
      </c>
      <c r="H443" s="5" t="s">
        <v>76</v>
      </c>
      <c r="I443" s="5" t="s">
        <v>82</v>
      </c>
      <c r="J443" s="25"/>
      <c r="K443" s="25"/>
      <c r="L443" s="25"/>
      <c r="M443" s="5" t="s">
        <v>109</v>
      </c>
      <c r="N443" s="5" t="s">
        <v>1027</v>
      </c>
      <c r="O443" s="5" t="s">
        <v>69</v>
      </c>
      <c r="P443" s="5" t="s">
        <v>70</v>
      </c>
      <c r="Q443" s="5" t="b">
        <v>1</v>
      </c>
      <c r="R443" s="5" t="b">
        <v>0</v>
      </c>
      <c r="S443" s="5"/>
      <c r="T443" s="5">
        <v>1800.0</v>
      </c>
      <c r="U443" s="26">
        <v>2.08</v>
      </c>
      <c r="V443" s="5">
        <v>865.0</v>
      </c>
      <c r="W443" s="27">
        <v>0.0</v>
      </c>
      <c r="X443" s="28">
        <v>865.0</v>
      </c>
      <c r="Y443" s="27">
        <v>1.0</v>
      </c>
      <c r="Z443" s="5" t="s">
        <v>117</v>
      </c>
      <c r="AA443" s="5">
        <v>0.0</v>
      </c>
      <c r="AB443" s="5"/>
      <c r="AC443" s="5" t="s">
        <v>81</v>
      </c>
      <c r="AD443" s="5" t="s">
        <v>81</v>
      </c>
      <c r="AE443" s="24">
        <v>0.0</v>
      </c>
      <c r="AF443" s="5">
        <v>3.0</v>
      </c>
      <c r="AG443" s="5" t="s">
        <v>0</v>
      </c>
      <c r="AH443" s="5" t="s">
        <v>0</v>
      </c>
      <c r="AI443" s="42"/>
      <c r="AJ443" s="28">
        <v>537.0</v>
      </c>
      <c r="AK443" s="28">
        <v>444.0</v>
      </c>
      <c r="AL443" s="28">
        <v>0.0</v>
      </c>
      <c r="AM443" s="28">
        <v>1855.0</v>
      </c>
      <c r="AN443" s="28">
        <v>0.0</v>
      </c>
      <c r="AO443" s="28">
        <v>464709.05999999994</v>
      </c>
      <c r="AP443" s="28">
        <v>384060.0</v>
      </c>
      <c r="AQ443" s="28">
        <v>0.0</v>
      </c>
      <c r="AR443" s="28">
        <v>1605279.9</v>
      </c>
      <c r="AS443" s="28">
        <v>0.0</v>
      </c>
      <c r="AT443" s="28">
        <v>367197.84523809527</v>
      </c>
      <c r="AU443" s="28">
        <v>340468.24468</v>
      </c>
      <c r="AV443" s="28">
        <v>0.0</v>
      </c>
      <c r="AW443" s="28">
        <v>1268532.0886080586</v>
      </c>
      <c r="AX443" s="5"/>
      <c r="AY443" s="5" t="str">
        <f t="array" ref="AY443">IFERROR(_xlfn.XLOOKUP($E443,'FW27'!$C$3:$C$1102,'FW27'!$AM$3:$AM$1102),"")</f>
        <v>Outdoor</v>
      </c>
      <c r="AZ443" s="5" t="str">
        <f t="array" ref="AZ443">IFERROR(_xlfn.XLOOKUP($E443,'FW27'!$C$3:$C$1102,'FW27'!$AN$3:$AN$1102),"")</f>
        <v>Trail Run &amp; Fast Hike</v>
      </c>
      <c r="BB443" s="5" t="str">
        <f t="array" ref="BB443">IFERROR(_xlfn.XLOOKUP($E443,'FW27'!$C$3:$C$1102,'FW27'!$AS$3:$AS$1102),"")</f>
        <v>Footwear</v>
      </c>
      <c r="BC443" s="5" t="str">
        <f t="array" ref="BC443">IFERROR(_xlfn.XLOOKUP($E443,'FW27'!$C$3:$C$1102,'FW27'!$AT$3:$AT$1102),"")</f>
        <v>Shoe (Low)</v>
      </c>
      <c r="BD443" s="5" t="str">
        <f t="array" ref="BD443">IFERROR(_xlfn.XLOOKUP($E443,'FW27'!$C$3:$C$1102,'FW27'!$AU$3:$AU$1102),"")</f>
        <v>Non-waterproof</v>
      </c>
      <c r="BE443" s="5" t="str">
        <f t="array" ref="BE443">IFERROR(_xlfn.XLOOKUP($E443,'FW27'!$C$3:$C$1102,'FW27'!$AV$3:$AV$1102),"")</f>
        <v>N</v>
      </c>
    </row>
    <row r="444" ht="16.5" hidden="1" customHeight="1">
      <c r="A444" s="5" t="s">
        <v>155</v>
      </c>
      <c r="B444" s="5" t="s">
        <v>137</v>
      </c>
      <c r="C444" s="5" t="b">
        <v>1</v>
      </c>
      <c r="D444" s="5" t="s">
        <v>1055</v>
      </c>
      <c r="E444" s="5" t="s">
        <v>1056</v>
      </c>
      <c r="F444" s="5"/>
      <c r="G444" s="5" t="s">
        <v>1002</v>
      </c>
      <c r="H444" s="5" t="s">
        <v>76</v>
      </c>
      <c r="I444" s="5" t="s">
        <v>82</v>
      </c>
      <c r="J444" s="25"/>
      <c r="K444" s="25"/>
      <c r="L444" s="25"/>
      <c r="M444" s="5" t="s">
        <v>109</v>
      </c>
      <c r="N444" s="5" t="s">
        <v>1027</v>
      </c>
      <c r="O444" s="5" t="s">
        <v>69</v>
      </c>
      <c r="P444" s="5" t="s">
        <v>107</v>
      </c>
      <c r="Q444" s="5" t="b">
        <v>1</v>
      </c>
      <c r="R444" s="5" t="b">
        <v>0</v>
      </c>
      <c r="S444" s="5"/>
      <c r="T444" s="5">
        <v>1800.0</v>
      </c>
      <c r="U444" s="26">
        <v>2.08</v>
      </c>
      <c r="V444" s="5">
        <v>865.0</v>
      </c>
      <c r="W444" s="27">
        <v>0.0</v>
      </c>
      <c r="X444" s="28">
        <v>865.0</v>
      </c>
      <c r="Y444" s="27">
        <v>1.0</v>
      </c>
      <c r="Z444" s="5" t="s">
        <v>117</v>
      </c>
      <c r="AA444" s="5">
        <v>0.0</v>
      </c>
      <c r="AB444" s="5"/>
      <c r="AC444" s="5" t="s">
        <v>81</v>
      </c>
      <c r="AD444" s="5" t="s">
        <v>81</v>
      </c>
      <c r="AE444" s="24">
        <v>0.0</v>
      </c>
      <c r="AF444" s="5">
        <v>3.0</v>
      </c>
      <c r="AG444" s="5" t="s">
        <v>0</v>
      </c>
      <c r="AH444" s="5" t="s">
        <v>0</v>
      </c>
      <c r="AI444" s="42"/>
      <c r="AJ444" s="28">
        <v>492.0</v>
      </c>
      <c r="AK444" s="28">
        <v>402.0</v>
      </c>
      <c r="AL444" s="28">
        <v>0.0</v>
      </c>
      <c r="AM444" s="28">
        <v>1411.0</v>
      </c>
      <c r="AN444" s="28">
        <v>0.0</v>
      </c>
      <c r="AO444" s="28">
        <v>425766.95999999996</v>
      </c>
      <c r="AP444" s="28">
        <v>347730.0</v>
      </c>
      <c r="AQ444" s="28">
        <v>0.0</v>
      </c>
      <c r="AR444" s="28">
        <v>1221051.1800000002</v>
      </c>
      <c r="AS444" s="28">
        <v>0.0</v>
      </c>
      <c r="AT444" s="28">
        <v>341154.254029304</v>
      </c>
      <c r="AU444" s="28">
        <v>316738.5614</v>
      </c>
      <c r="AV444" s="28">
        <v>0.0</v>
      </c>
      <c r="AW444" s="28">
        <v>984069.9494505494</v>
      </c>
      <c r="AX444" s="5"/>
      <c r="AY444" s="5" t="str">
        <f t="array" ref="AY444">IFERROR(_xlfn.XLOOKUP($E444,'FW27'!$C$3:$C$1102,'FW27'!$AM$3:$AM$1102),"")</f>
        <v>Outdoor</v>
      </c>
      <c r="AZ444" s="5" t="str">
        <f t="array" ref="AZ444">IFERROR(_xlfn.XLOOKUP($E444,'FW27'!$C$3:$C$1102,'FW27'!$AN$3:$AN$1102),"")</f>
        <v>Trail Run &amp; Fast Hike</v>
      </c>
      <c r="BB444" s="5" t="str">
        <f t="array" ref="BB444">IFERROR(_xlfn.XLOOKUP($E444,'FW27'!$C$3:$C$1102,'FW27'!$AS$3:$AS$1102),"")</f>
        <v>Footwear</v>
      </c>
      <c r="BC444" s="5" t="str">
        <f t="array" ref="BC444">IFERROR(_xlfn.XLOOKUP($E444,'FW27'!$C$3:$C$1102,'FW27'!$AT$3:$AT$1102),"")</f>
        <v>Shoe (Low)</v>
      </c>
      <c r="BD444" s="5" t="str">
        <f t="array" ref="BD444">IFERROR(_xlfn.XLOOKUP($E444,'FW27'!$C$3:$C$1102,'FW27'!$AU$3:$AU$1102),"")</f>
        <v>Non-waterproof</v>
      </c>
      <c r="BE444" s="5" t="str">
        <f t="array" ref="BE444">IFERROR(_xlfn.XLOOKUP($E444,'FW27'!$C$3:$C$1102,'FW27'!$AV$3:$AV$1102),"")</f>
        <v>N</v>
      </c>
    </row>
    <row r="445" ht="16.5" hidden="1" customHeight="1">
      <c r="A445" s="5" t="s">
        <v>155</v>
      </c>
      <c r="B445" s="5" t="s">
        <v>137</v>
      </c>
      <c r="C445" s="5" t="b">
        <v>1</v>
      </c>
      <c r="D445" s="5" t="s">
        <v>1058</v>
      </c>
      <c r="E445" s="5" t="s">
        <v>1059</v>
      </c>
      <c r="F445" s="5"/>
      <c r="G445" s="5" t="s">
        <v>1002</v>
      </c>
      <c r="H445" s="5" t="s">
        <v>84</v>
      </c>
      <c r="I445" s="5" t="s">
        <v>82</v>
      </c>
      <c r="J445" s="25"/>
      <c r="K445" s="25"/>
      <c r="L445" s="25"/>
      <c r="M445" s="5" t="s">
        <v>66</v>
      </c>
      <c r="N445" s="5" t="s">
        <v>1003</v>
      </c>
      <c r="O445" s="5" t="s">
        <v>141</v>
      </c>
      <c r="P445" s="5" t="s">
        <v>70</v>
      </c>
      <c r="Q445" s="5" t="b">
        <v>1</v>
      </c>
      <c r="R445" s="5" t="b">
        <v>0</v>
      </c>
      <c r="S445" s="5"/>
      <c r="T445" s="5">
        <v>2100.0</v>
      </c>
      <c r="U445" s="26">
        <v>2.08</v>
      </c>
      <c r="V445" s="5">
        <v>1010.0</v>
      </c>
      <c r="W445" s="27">
        <v>0.0</v>
      </c>
      <c r="X445" s="28">
        <v>1010.0</v>
      </c>
      <c r="Y445" s="27">
        <v>1.0</v>
      </c>
      <c r="Z445" s="5" t="s">
        <v>117</v>
      </c>
      <c r="AA445" s="27">
        <v>0.5489999999999999</v>
      </c>
      <c r="AB445" s="26"/>
      <c r="AC445" s="5" t="s">
        <v>80</v>
      </c>
      <c r="AD445" s="5" t="s">
        <v>81</v>
      </c>
      <c r="AE445" s="24">
        <v>0.0</v>
      </c>
      <c r="AF445" s="5">
        <v>1.0</v>
      </c>
      <c r="AG445" s="5" t="s">
        <v>0</v>
      </c>
      <c r="AH445" s="5" t="s">
        <v>1062</v>
      </c>
      <c r="AI445" s="42"/>
      <c r="AJ445" s="28">
        <v>1150.0</v>
      </c>
      <c r="AK445" s="28">
        <v>1255.0</v>
      </c>
      <c r="AL445" s="28">
        <v>0.0</v>
      </c>
      <c r="AM445" s="28">
        <v>1050.0</v>
      </c>
      <c r="AN445" s="28">
        <v>0.0</v>
      </c>
      <c r="AO445" s="28">
        <v>1161063.0</v>
      </c>
      <c r="AP445" s="28">
        <v>1267550.0</v>
      </c>
      <c r="AQ445" s="28">
        <v>0.0</v>
      </c>
      <c r="AR445" s="28">
        <v>1060101.0</v>
      </c>
      <c r="AS445" s="28">
        <v>0.0</v>
      </c>
      <c r="AT445" s="28">
        <v>891396.1538461539</v>
      </c>
      <c r="AU445" s="28">
        <v>927660.56</v>
      </c>
      <c r="AV445" s="28">
        <v>0.0</v>
      </c>
      <c r="AW445" s="28">
        <v>816085.576923077</v>
      </c>
      <c r="AX445" s="5"/>
      <c r="AY445" s="5" t="str">
        <f t="array" ref="AY445">IFERROR(_xlfn.XLOOKUP($E445,'FW27'!$C$3:$C$1102,'FW27'!$AM$3:$AM$1102),"")</f>
        <v>Outdoor</v>
      </c>
      <c r="AZ445" s="5" t="str">
        <f t="array" ref="AZ445">IFERROR(_xlfn.XLOOKUP($E445,'FW27'!$C$3:$C$1102,'FW27'!$AN$3:$AN$1102),"")</f>
        <v>Day Hiking</v>
      </c>
      <c r="BB445" s="5" t="str">
        <f t="array" ref="BB445">IFERROR(_xlfn.XLOOKUP($E445,'FW27'!$C$3:$C$1102,'FW27'!$AS$3:$AS$1102),"")</f>
        <v>Footwear</v>
      </c>
      <c r="BC445" s="5" t="str">
        <f t="array" ref="BC445">IFERROR(_xlfn.XLOOKUP($E445,'FW27'!$C$3:$C$1102,'FW27'!$AT$3:$AT$1102),"")</f>
        <v>Shoe (Low)</v>
      </c>
      <c r="BD445" s="5" t="str">
        <f t="array" ref="BD445">IFERROR(_xlfn.XLOOKUP($E445,'FW27'!$C$3:$C$1102,'FW27'!$AU$3:$AU$1102),"")</f>
        <v>Waterproof (GTX/Proof)</v>
      </c>
      <c r="BE445" s="5" t="str">
        <f t="array" ref="BE445">IFERROR(_xlfn.XLOOKUP($E445,'FW27'!$C$3:$C$1102,'FW27'!$AV$3:$AV$1102),"")</f>
        <v>Y</v>
      </c>
    </row>
    <row r="446" ht="16.5" hidden="1" customHeight="1">
      <c r="A446" s="5" t="s">
        <v>155</v>
      </c>
      <c r="B446" s="5" t="s">
        <v>137</v>
      </c>
      <c r="C446" s="5" t="b">
        <v>1</v>
      </c>
      <c r="D446" s="5" t="s">
        <v>1063</v>
      </c>
      <c r="E446" s="5" t="s">
        <v>1064</v>
      </c>
      <c r="F446" s="5"/>
      <c r="G446" s="5" t="s">
        <v>1002</v>
      </c>
      <c r="H446" s="5" t="s">
        <v>84</v>
      </c>
      <c r="I446" s="5" t="s">
        <v>82</v>
      </c>
      <c r="J446" s="25"/>
      <c r="K446" s="25"/>
      <c r="L446" s="25"/>
      <c r="M446" s="5" t="s">
        <v>66</v>
      </c>
      <c r="N446" s="5" t="s">
        <v>1003</v>
      </c>
      <c r="O446" s="5" t="s">
        <v>141</v>
      </c>
      <c r="P446" s="5" t="s">
        <v>107</v>
      </c>
      <c r="Q446" s="5" t="b">
        <v>1</v>
      </c>
      <c r="R446" s="5" t="b">
        <v>0</v>
      </c>
      <c r="S446" s="5"/>
      <c r="T446" s="5">
        <v>2100.0</v>
      </c>
      <c r="U446" s="26">
        <v>2.08</v>
      </c>
      <c r="V446" s="5">
        <v>1010.0</v>
      </c>
      <c r="W446" s="27">
        <v>0.0</v>
      </c>
      <c r="X446" s="28">
        <v>1010.0</v>
      </c>
      <c r="Y446" s="27">
        <v>1.0</v>
      </c>
      <c r="Z446" s="5" t="s">
        <v>117</v>
      </c>
      <c r="AA446" s="5">
        <v>0.5489999999999999</v>
      </c>
      <c r="AB446" s="5"/>
      <c r="AC446" s="5" t="s">
        <v>80</v>
      </c>
      <c r="AD446" s="5" t="s">
        <v>81</v>
      </c>
      <c r="AE446" s="24">
        <v>0.0</v>
      </c>
      <c r="AF446" s="5">
        <v>1.0</v>
      </c>
      <c r="AG446" s="5" t="s">
        <v>0</v>
      </c>
      <c r="AH446" s="5" t="s">
        <v>1062</v>
      </c>
      <c r="AI446" s="42"/>
      <c r="AJ446" s="28">
        <v>900.0</v>
      </c>
      <c r="AK446" s="28">
        <v>767.0</v>
      </c>
      <c r="AL446" s="28">
        <v>0.0</v>
      </c>
      <c r="AM446" s="28">
        <v>700.0</v>
      </c>
      <c r="AN446" s="28">
        <v>0.0</v>
      </c>
      <c r="AO446" s="28">
        <v>908658.0</v>
      </c>
      <c r="AP446" s="28">
        <v>774670.0</v>
      </c>
      <c r="AQ446" s="28">
        <v>0.0</v>
      </c>
      <c r="AR446" s="28">
        <v>706734.0</v>
      </c>
      <c r="AS446" s="28">
        <v>0.0</v>
      </c>
      <c r="AT446" s="28">
        <v>696553.8461538461</v>
      </c>
      <c r="AU446" s="28">
        <v>565456.8799999999</v>
      </c>
      <c r="AV446" s="28">
        <v>0.0</v>
      </c>
      <c r="AW446" s="28">
        <v>542001.9230769231</v>
      </c>
      <c r="AX446" s="5"/>
      <c r="AY446" s="5" t="str">
        <f t="array" ref="AY446">IFERROR(_xlfn.XLOOKUP($E446,'FW27'!$C$3:$C$1102,'FW27'!$AM$3:$AM$1102),"")</f>
        <v>Outdoor</v>
      </c>
      <c r="AZ446" s="5" t="str">
        <f t="array" ref="AZ446">IFERROR(_xlfn.XLOOKUP($E446,'FW27'!$C$3:$C$1102,'FW27'!$AN$3:$AN$1102),"")</f>
        <v>Day Hiking</v>
      </c>
      <c r="BB446" s="5" t="str">
        <f t="array" ref="BB446">IFERROR(_xlfn.XLOOKUP($E446,'FW27'!$C$3:$C$1102,'FW27'!$AS$3:$AS$1102),"")</f>
        <v>Footwear</v>
      </c>
      <c r="BC446" s="5" t="str">
        <f t="array" ref="BC446">IFERROR(_xlfn.XLOOKUP($E446,'FW27'!$C$3:$C$1102,'FW27'!$AT$3:$AT$1102),"")</f>
        <v>Shoe (Low)</v>
      </c>
      <c r="BD446" s="5" t="str">
        <f t="array" ref="BD446">IFERROR(_xlfn.XLOOKUP($E446,'FW27'!$C$3:$C$1102,'FW27'!$AU$3:$AU$1102),"")</f>
        <v>Waterproof (GTX/Proof)</v>
      </c>
      <c r="BE446" s="5" t="str">
        <f t="array" ref="BE446">IFERROR(_xlfn.XLOOKUP($E446,'FW27'!$C$3:$C$1102,'FW27'!$AV$3:$AV$1102),"")</f>
        <v>Y</v>
      </c>
    </row>
    <row r="447" ht="16.5" hidden="1" customHeight="1">
      <c r="A447" s="5" t="s">
        <v>155</v>
      </c>
      <c r="B447" s="5" t="s">
        <v>137</v>
      </c>
      <c r="C447" s="5" t="b">
        <v>1</v>
      </c>
      <c r="D447" s="5" t="s">
        <v>1065</v>
      </c>
      <c r="E447" s="5" t="s">
        <v>1066</v>
      </c>
      <c r="F447" s="5"/>
      <c r="G447" s="5" t="s">
        <v>1002</v>
      </c>
      <c r="H447" s="5" t="s">
        <v>84</v>
      </c>
      <c r="I447" s="5" t="s">
        <v>82</v>
      </c>
      <c r="J447" s="25"/>
      <c r="K447" s="25"/>
      <c r="L447" s="25"/>
      <c r="M447" s="5" t="s">
        <v>66</v>
      </c>
      <c r="N447" s="5" t="s">
        <v>1003</v>
      </c>
      <c r="O447" s="5" t="s">
        <v>69</v>
      </c>
      <c r="P447" s="5" t="s">
        <v>70</v>
      </c>
      <c r="Q447" s="5" t="b">
        <v>1</v>
      </c>
      <c r="R447" s="5" t="b">
        <v>0</v>
      </c>
      <c r="S447" s="5"/>
      <c r="T447" s="5">
        <v>2200.0</v>
      </c>
      <c r="U447" s="26">
        <v>2.08</v>
      </c>
      <c r="V447" s="5">
        <v>1058.0</v>
      </c>
      <c r="W447" s="27">
        <v>0.0</v>
      </c>
      <c r="X447" s="28">
        <v>1058.0</v>
      </c>
      <c r="Y447" s="27">
        <v>1.0</v>
      </c>
      <c r="Z447" s="5" t="s">
        <v>117</v>
      </c>
      <c r="AA447" s="5">
        <v>0.524</v>
      </c>
      <c r="AB447" s="5"/>
      <c r="AC447" s="5" t="s">
        <v>80</v>
      </c>
      <c r="AD447" s="5" t="s">
        <v>81</v>
      </c>
      <c r="AE447" s="24">
        <v>0.0</v>
      </c>
      <c r="AF447" s="5">
        <v>1.0</v>
      </c>
      <c r="AG447" s="5" t="s">
        <v>0</v>
      </c>
      <c r="AH447" s="5" t="s">
        <v>0</v>
      </c>
      <c r="AI447" s="42"/>
      <c r="AJ447" s="28">
        <v>1755.0</v>
      </c>
      <c r="AK447" s="28">
        <v>1613.0</v>
      </c>
      <c r="AL447" s="28">
        <v>0.0</v>
      </c>
      <c r="AM447" s="28">
        <v>2447.0</v>
      </c>
      <c r="AN447" s="28">
        <v>0.0</v>
      </c>
      <c r="AO447" s="28">
        <v>1856245.95</v>
      </c>
      <c r="AP447" s="28">
        <v>1706554.0</v>
      </c>
      <c r="AQ447" s="28">
        <v>0.0</v>
      </c>
      <c r="AR447" s="28">
        <v>2588167.43</v>
      </c>
      <c r="AS447" s="28">
        <v>0.0</v>
      </c>
      <c r="AT447" s="28">
        <v>1507239.8315018313</v>
      </c>
      <c r="AU447" s="28">
        <v>1422589.7068899998</v>
      </c>
      <c r="AV447" s="28">
        <v>0.0</v>
      </c>
      <c r="AW447" s="28">
        <v>2048217.6332658571</v>
      </c>
      <c r="AX447" s="5"/>
      <c r="AY447" s="5" t="str">
        <f t="array" ref="AY447">IFERROR(_xlfn.XLOOKUP($E447,'FW27'!$C$3:$C$1102,'FW27'!$AM$3:$AM$1102),"")</f>
        <v>Outdoor</v>
      </c>
      <c r="AZ447" s="5" t="str">
        <f t="array" ref="AZ447">IFERROR(_xlfn.XLOOKUP($E447,'FW27'!$C$3:$C$1102,'FW27'!$AN$3:$AN$1102),"")</f>
        <v>Day Hiking</v>
      </c>
      <c r="BB447" s="5" t="str">
        <f t="array" ref="BB447">IFERROR(_xlfn.XLOOKUP($E447,'FW27'!$C$3:$C$1102,'FW27'!$AS$3:$AS$1102),"")</f>
        <v>Footwear</v>
      </c>
      <c r="BC447" s="5" t="str">
        <f t="array" ref="BC447">IFERROR(_xlfn.XLOOKUP($E447,'FW27'!$C$3:$C$1102,'FW27'!$AT$3:$AT$1102),"")</f>
        <v>Shoe (Low)</v>
      </c>
      <c r="BD447" s="5" t="str">
        <f t="array" ref="BD447">IFERROR(_xlfn.XLOOKUP($E447,'FW27'!$C$3:$C$1102,'FW27'!$AU$3:$AU$1102),"")</f>
        <v>Waterproof (GTX/Proof)</v>
      </c>
      <c r="BE447" s="5" t="str">
        <f t="array" ref="BE447">IFERROR(_xlfn.XLOOKUP($E447,'FW27'!$C$3:$C$1102,'FW27'!$AV$3:$AV$1102),"")</f>
        <v>Y</v>
      </c>
    </row>
    <row r="448" ht="16.5" hidden="1" customHeight="1">
      <c r="A448" s="5" t="s">
        <v>155</v>
      </c>
      <c r="B448" s="5" t="s">
        <v>137</v>
      </c>
      <c r="C448" s="5" t="b">
        <v>1</v>
      </c>
      <c r="D448" s="5" t="s">
        <v>1067</v>
      </c>
      <c r="E448" s="5" t="s">
        <v>1068</v>
      </c>
      <c r="F448" s="5"/>
      <c r="G448" s="5" t="s">
        <v>1002</v>
      </c>
      <c r="H448" s="5" t="s">
        <v>84</v>
      </c>
      <c r="I448" s="5" t="s">
        <v>82</v>
      </c>
      <c r="J448" s="25"/>
      <c r="K448" s="25"/>
      <c r="L448" s="25"/>
      <c r="M448" s="5" t="s">
        <v>66</v>
      </c>
      <c r="N448" s="5" t="s">
        <v>1003</v>
      </c>
      <c r="O448" s="5" t="s">
        <v>69</v>
      </c>
      <c r="P448" s="5" t="s">
        <v>107</v>
      </c>
      <c r="Q448" s="5" t="b">
        <v>1</v>
      </c>
      <c r="R448" s="5" t="b">
        <v>0</v>
      </c>
      <c r="S448" s="5"/>
      <c r="T448" s="5">
        <v>2200.0</v>
      </c>
      <c r="U448" s="26">
        <v>2.08</v>
      </c>
      <c r="V448" s="5">
        <v>1058.0</v>
      </c>
      <c r="W448" s="27">
        <v>0.0</v>
      </c>
      <c r="X448" s="28">
        <v>1058.0</v>
      </c>
      <c r="Y448" s="27">
        <v>1.0</v>
      </c>
      <c r="Z448" s="5" t="s">
        <v>117</v>
      </c>
      <c r="AA448" s="5">
        <v>0.524</v>
      </c>
      <c r="AB448" s="5"/>
      <c r="AC448" s="5" t="s">
        <v>80</v>
      </c>
      <c r="AD448" s="5" t="s">
        <v>81</v>
      </c>
      <c r="AE448" s="24">
        <v>0.0</v>
      </c>
      <c r="AF448" s="5">
        <v>1.0</v>
      </c>
      <c r="AG448" s="5" t="s">
        <v>0</v>
      </c>
      <c r="AH448" s="5" t="s">
        <v>0</v>
      </c>
      <c r="AI448" s="42"/>
      <c r="AJ448" s="28">
        <v>1043.0</v>
      </c>
      <c r="AK448" s="28">
        <v>808.0</v>
      </c>
      <c r="AL448" s="28">
        <v>0.0</v>
      </c>
      <c r="AM448" s="28">
        <v>1188.0</v>
      </c>
      <c r="AN448" s="28">
        <v>0.0</v>
      </c>
      <c r="AO448" s="28">
        <v>1103170.67</v>
      </c>
      <c r="AP448" s="28">
        <v>854864.0</v>
      </c>
      <c r="AQ448" s="28">
        <v>0.0</v>
      </c>
      <c r="AR448" s="28">
        <v>1256535.72</v>
      </c>
      <c r="AS448" s="28">
        <v>0.0</v>
      </c>
      <c r="AT448" s="28">
        <v>927596.846153846</v>
      </c>
      <c r="AU448" s="28">
        <v>726980.28263</v>
      </c>
      <c r="AV448" s="28">
        <v>0.0</v>
      </c>
      <c r="AW448" s="28">
        <v>1013472.0100250626</v>
      </c>
      <c r="AX448" s="5"/>
      <c r="AY448" s="5" t="str">
        <f t="array" ref="AY448">IFERROR(_xlfn.XLOOKUP($E448,'FW27'!$C$3:$C$1102,'FW27'!$AM$3:$AM$1102),"")</f>
        <v>Outdoor</v>
      </c>
      <c r="AZ448" s="5" t="str">
        <f t="array" ref="AZ448">IFERROR(_xlfn.XLOOKUP($E448,'FW27'!$C$3:$C$1102,'FW27'!$AN$3:$AN$1102),"")</f>
        <v>Day Hiking</v>
      </c>
      <c r="BB448" s="5" t="str">
        <f t="array" ref="BB448">IFERROR(_xlfn.XLOOKUP($E448,'FW27'!$C$3:$C$1102,'FW27'!$AS$3:$AS$1102),"")</f>
        <v>Footwear</v>
      </c>
      <c r="BC448" s="5" t="str">
        <f t="array" ref="BC448">IFERROR(_xlfn.XLOOKUP($E448,'FW27'!$C$3:$C$1102,'FW27'!$AT$3:$AT$1102),"")</f>
        <v>Shoe (Low)</v>
      </c>
      <c r="BD448" s="5" t="str">
        <f t="array" ref="BD448">IFERROR(_xlfn.XLOOKUP($E448,'FW27'!$C$3:$C$1102,'FW27'!$AU$3:$AU$1102),"")</f>
        <v>Waterproof (GTX/Proof)</v>
      </c>
      <c r="BE448" s="5" t="str">
        <f t="array" ref="BE448">IFERROR(_xlfn.XLOOKUP($E448,'FW27'!$C$3:$C$1102,'FW27'!$AV$3:$AV$1102),"")</f>
        <v>Y</v>
      </c>
    </row>
    <row r="449" ht="16.5" hidden="1" customHeight="1">
      <c r="A449" s="5" t="s">
        <v>155</v>
      </c>
      <c r="B449" s="5" t="s">
        <v>137</v>
      </c>
      <c r="C449" s="5" t="b">
        <v>1</v>
      </c>
      <c r="D449" s="5" t="s">
        <v>1073</v>
      </c>
      <c r="E449" s="5" t="s">
        <v>1074</v>
      </c>
      <c r="F449" s="5"/>
      <c r="G449" s="5" t="s">
        <v>1002</v>
      </c>
      <c r="H449" s="5" t="s">
        <v>84</v>
      </c>
      <c r="I449" s="5" t="s">
        <v>82</v>
      </c>
      <c r="J449" s="25"/>
      <c r="K449" s="25"/>
      <c r="L449" s="25"/>
      <c r="M449" s="5" t="s">
        <v>66</v>
      </c>
      <c r="N449" s="5" t="s">
        <v>1003</v>
      </c>
      <c r="O449" s="5" t="s">
        <v>69</v>
      </c>
      <c r="P449" s="5" t="s">
        <v>70</v>
      </c>
      <c r="Q449" s="5" t="b">
        <v>1</v>
      </c>
      <c r="R449" s="5" t="b">
        <v>0</v>
      </c>
      <c r="S449" s="5"/>
      <c r="T449" s="5">
        <v>2500.0</v>
      </c>
      <c r="U449" s="26">
        <v>2.08</v>
      </c>
      <c r="V449" s="5">
        <v>1202.0</v>
      </c>
      <c r="W449" s="27">
        <v>0.0</v>
      </c>
      <c r="X449" s="28">
        <v>1202.0</v>
      </c>
      <c r="Y449" s="27">
        <v>1.0</v>
      </c>
      <c r="Z449" s="5" t="s">
        <v>117</v>
      </c>
      <c r="AA449" s="5">
        <v>0.539</v>
      </c>
      <c r="AB449" s="5"/>
      <c r="AC449" s="5" t="s">
        <v>80</v>
      </c>
      <c r="AD449" s="5" t="s">
        <v>81</v>
      </c>
      <c r="AE449" s="24">
        <v>0.0</v>
      </c>
      <c r="AF449" s="5">
        <v>2.0</v>
      </c>
      <c r="AG449" s="5" t="s">
        <v>0</v>
      </c>
      <c r="AH449" s="5" t="s">
        <v>0</v>
      </c>
      <c r="AI449" s="42"/>
      <c r="AJ449" s="28">
        <v>976.0</v>
      </c>
      <c r="AK449" s="28">
        <v>564.0</v>
      </c>
      <c r="AL449" s="28">
        <v>0.0</v>
      </c>
      <c r="AM449" s="28">
        <v>602.0</v>
      </c>
      <c r="AN449" s="28">
        <v>0.0</v>
      </c>
      <c r="AO449" s="28">
        <v>1173073.92</v>
      </c>
      <c r="AP449" s="28">
        <v>677928.0</v>
      </c>
      <c r="AQ449" s="28">
        <v>0.0</v>
      </c>
      <c r="AR449" s="28">
        <v>723555.84</v>
      </c>
      <c r="AS449" s="28">
        <v>0.0</v>
      </c>
      <c r="AT449" s="28">
        <v>1018751.9846153846</v>
      </c>
      <c r="AU449" s="28">
        <v>611028.53338</v>
      </c>
      <c r="AV449" s="28">
        <v>0.0</v>
      </c>
      <c r="AW449" s="28">
        <v>631985.9884615385</v>
      </c>
      <c r="AX449" s="5"/>
      <c r="AY449" s="5" t="str">
        <f t="array" ref="AY449">IFERROR(_xlfn.XLOOKUP($E449,'FW27'!$C$3:$C$1102,'FW27'!$AM$3:$AM$1102),"")</f>
        <v>Outdoor</v>
      </c>
      <c r="AZ449" s="5" t="str">
        <f t="array" ref="AZ449">IFERROR(_xlfn.XLOOKUP($E449,'FW27'!$C$3:$C$1102,'FW27'!$AN$3:$AN$1102),"")</f>
        <v>Day Hiking</v>
      </c>
      <c r="BB449" s="5" t="str">
        <f t="array" ref="BB449">IFERROR(_xlfn.XLOOKUP($E449,'FW27'!$C$3:$C$1102,'FW27'!$AS$3:$AS$1102),"")</f>
        <v>Footwear</v>
      </c>
      <c r="BC449" s="5" t="str">
        <f t="array" ref="BC449">IFERROR(_xlfn.XLOOKUP($E449,'FW27'!$C$3:$C$1102,'FW27'!$AT$3:$AT$1102),"")</f>
        <v>Boot (Mid)</v>
      </c>
      <c r="BD449" s="5" t="str">
        <f t="array" ref="BD449">IFERROR(_xlfn.XLOOKUP($E449,'FW27'!$C$3:$C$1102,'FW27'!$AU$3:$AU$1102),"")</f>
        <v>Waterproof (GTX/Proof)</v>
      </c>
      <c r="BE449" s="5" t="str">
        <f t="array" ref="BE449">IFERROR(_xlfn.XLOOKUP($E449,'FW27'!$C$3:$C$1102,'FW27'!$AV$3:$AV$1102),"")</f>
        <v>Y</v>
      </c>
    </row>
    <row r="450" ht="16.5" hidden="1" customHeight="1">
      <c r="A450" s="5" t="s">
        <v>155</v>
      </c>
      <c r="B450" s="5" t="s">
        <v>137</v>
      </c>
      <c r="C450" s="5" t="b">
        <v>1</v>
      </c>
      <c r="D450" s="5" t="s">
        <v>1075</v>
      </c>
      <c r="E450" s="5" t="s">
        <v>1076</v>
      </c>
      <c r="F450" s="5"/>
      <c r="G450" s="5" t="s">
        <v>1002</v>
      </c>
      <c r="H450" s="5" t="s">
        <v>84</v>
      </c>
      <c r="I450" s="5" t="s">
        <v>82</v>
      </c>
      <c r="J450" s="25"/>
      <c r="K450" s="25"/>
      <c r="L450" s="25"/>
      <c r="M450" s="5" t="s">
        <v>66</v>
      </c>
      <c r="N450" s="5" t="s">
        <v>1003</v>
      </c>
      <c r="O450" s="5" t="s">
        <v>69</v>
      </c>
      <c r="P450" s="5" t="s">
        <v>107</v>
      </c>
      <c r="Q450" s="5" t="b">
        <v>1</v>
      </c>
      <c r="R450" s="5" t="b">
        <v>0</v>
      </c>
      <c r="S450" s="5"/>
      <c r="T450" s="5">
        <v>2500.0</v>
      </c>
      <c r="U450" s="26">
        <v>2.08</v>
      </c>
      <c r="V450" s="5">
        <v>1202.0</v>
      </c>
      <c r="W450" s="27">
        <v>0.0</v>
      </c>
      <c r="X450" s="28">
        <v>1202.0</v>
      </c>
      <c r="Y450" s="27">
        <v>1.0</v>
      </c>
      <c r="Z450" s="5" t="s">
        <v>117</v>
      </c>
      <c r="AA450" s="5">
        <v>0.534</v>
      </c>
      <c r="AB450" s="5"/>
      <c r="AC450" s="5" t="s">
        <v>80</v>
      </c>
      <c r="AD450" s="5" t="s">
        <v>81</v>
      </c>
      <c r="AE450" s="24">
        <v>0.0</v>
      </c>
      <c r="AF450" s="5">
        <v>2.0</v>
      </c>
      <c r="AG450" s="5" t="s">
        <v>0</v>
      </c>
      <c r="AH450" s="5" t="s">
        <v>0</v>
      </c>
      <c r="AI450" s="42"/>
      <c r="AJ450" s="28">
        <v>714.0</v>
      </c>
      <c r="AK450" s="28">
        <v>413.0</v>
      </c>
      <c r="AL450" s="28">
        <v>0.0</v>
      </c>
      <c r="AM450" s="28">
        <v>477.0</v>
      </c>
      <c r="AN450" s="28">
        <v>0.0</v>
      </c>
      <c r="AO450" s="28">
        <v>858170.8800000001</v>
      </c>
      <c r="AP450" s="28">
        <v>496426.0</v>
      </c>
      <c r="AQ450" s="28">
        <v>0.0</v>
      </c>
      <c r="AR450" s="28">
        <v>573315.8400000001</v>
      </c>
      <c r="AS450" s="28">
        <v>0.0</v>
      </c>
      <c r="AT450" s="28">
        <v>751062.9461538461</v>
      </c>
      <c r="AU450" s="28">
        <v>454460.3868</v>
      </c>
      <c r="AV450" s="28">
        <v>0.0</v>
      </c>
      <c r="AW450" s="28">
        <v>498318.8538461539</v>
      </c>
      <c r="AX450" s="5"/>
      <c r="AY450" s="5" t="str">
        <f t="array" ref="AY450">IFERROR(_xlfn.XLOOKUP($E450,'FW27'!$C$3:$C$1102,'FW27'!$AM$3:$AM$1102),"")</f>
        <v>Outdoor</v>
      </c>
      <c r="AZ450" s="5" t="str">
        <f t="array" ref="AZ450">IFERROR(_xlfn.XLOOKUP($E450,'FW27'!$C$3:$C$1102,'FW27'!$AN$3:$AN$1102),"")</f>
        <v>Day Hiking</v>
      </c>
      <c r="BB450" s="5" t="str">
        <f t="array" ref="BB450">IFERROR(_xlfn.XLOOKUP($E450,'FW27'!$C$3:$C$1102,'FW27'!$AS$3:$AS$1102),"")</f>
        <v>Footwear</v>
      </c>
      <c r="BC450" s="5" t="str">
        <f t="array" ref="BC450">IFERROR(_xlfn.XLOOKUP($E450,'FW27'!$C$3:$C$1102,'FW27'!$AT$3:$AT$1102),"")</f>
        <v>Boot (Mid)</v>
      </c>
      <c r="BD450" s="5" t="str">
        <f t="array" ref="BD450">IFERROR(_xlfn.XLOOKUP($E450,'FW27'!$C$3:$C$1102,'FW27'!$AU$3:$AU$1102),"")</f>
        <v>Waterproof (GTX/Proof)</v>
      </c>
      <c r="BE450" s="5" t="str">
        <f t="array" ref="BE450">IFERROR(_xlfn.XLOOKUP($E450,'FW27'!$C$3:$C$1102,'FW27'!$AV$3:$AV$1102),"")</f>
        <v>Y</v>
      </c>
    </row>
    <row r="451" ht="16.5" hidden="1" customHeight="1">
      <c r="A451" s="5" t="s">
        <v>155</v>
      </c>
      <c r="B451" s="5" t="s">
        <v>137</v>
      </c>
      <c r="C451" s="5" t="b">
        <v>1</v>
      </c>
      <c r="D451" s="5" t="s">
        <v>1077</v>
      </c>
      <c r="E451" s="5" t="s">
        <v>1078</v>
      </c>
      <c r="F451" s="5"/>
      <c r="G451" s="5" t="s">
        <v>1002</v>
      </c>
      <c r="H451" s="5" t="s">
        <v>84</v>
      </c>
      <c r="I451" s="5" t="s">
        <v>82</v>
      </c>
      <c r="J451" s="25"/>
      <c r="K451" s="25"/>
      <c r="L451" s="25"/>
      <c r="M451" s="5" t="s">
        <v>66</v>
      </c>
      <c r="N451" s="5" t="s">
        <v>1003</v>
      </c>
      <c r="O451" s="5" t="s">
        <v>69</v>
      </c>
      <c r="P451" s="5" t="s">
        <v>70</v>
      </c>
      <c r="Q451" s="5" t="b">
        <v>1</v>
      </c>
      <c r="R451" s="5" t="b">
        <v>0</v>
      </c>
      <c r="S451" s="5"/>
      <c r="T451" s="5">
        <v>2200.0</v>
      </c>
      <c r="U451" s="26">
        <v>2.08</v>
      </c>
      <c r="V451" s="5">
        <v>1058.0</v>
      </c>
      <c r="W451" s="27">
        <v>0.0</v>
      </c>
      <c r="X451" s="28">
        <v>1058.0</v>
      </c>
      <c r="Y451" s="27">
        <v>1.0</v>
      </c>
      <c r="Z451" s="5" t="s">
        <v>117</v>
      </c>
      <c r="AA451" s="5">
        <v>0.0</v>
      </c>
      <c r="AB451" s="5"/>
      <c r="AC451" s="5" t="s">
        <v>166</v>
      </c>
      <c r="AD451" s="5" t="s">
        <v>81</v>
      </c>
      <c r="AE451" s="24">
        <v>0.0</v>
      </c>
      <c r="AF451" s="5">
        <v>2.0</v>
      </c>
      <c r="AG451" s="5" t="s">
        <v>0</v>
      </c>
      <c r="AH451" s="5" t="s">
        <v>0</v>
      </c>
      <c r="AI451" s="42"/>
      <c r="AJ451" s="28">
        <v>795.0</v>
      </c>
      <c r="AK451" s="28">
        <v>739.0</v>
      </c>
      <c r="AL451" s="28">
        <v>0.0</v>
      </c>
      <c r="AM451" s="28">
        <v>707.0</v>
      </c>
      <c r="AN451" s="28">
        <v>0.0</v>
      </c>
      <c r="AO451" s="28">
        <v>840863.55</v>
      </c>
      <c r="AP451" s="28">
        <v>781862.0</v>
      </c>
      <c r="AQ451" s="28">
        <v>0.0</v>
      </c>
      <c r="AR451" s="28">
        <v>747786.8300000001</v>
      </c>
      <c r="AS451" s="28">
        <v>0.0</v>
      </c>
      <c r="AT451" s="28">
        <v>703319.83805668</v>
      </c>
      <c r="AU451" s="28">
        <v>664656.6599999998</v>
      </c>
      <c r="AV451" s="28">
        <v>0.0</v>
      </c>
      <c r="AW451" s="28">
        <v>639151.5688259109</v>
      </c>
      <c r="AX451" s="5"/>
      <c r="AY451" s="5" t="str">
        <f t="array" ref="AY451">IFERROR(_xlfn.XLOOKUP($E451,'FW27'!$C$3:$C$1102,'FW27'!$AM$3:$AM$1102),"")</f>
        <v>Outdoor</v>
      </c>
      <c r="AZ451" s="5" t="str">
        <f t="array" ref="AZ451">IFERROR(_xlfn.XLOOKUP($E451,'FW27'!$C$3:$C$1102,'FW27'!$AN$3:$AN$1102),"")</f>
        <v>Day Hiking</v>
      </c>
      <c r="BB451" s="5" t="str">
        <f t="array" ref="BB451">IFERROR(_xlfn.XLOOKUP($E451,'FW27'!$C$3:$C$1102,'FW27'!$AS$3:$AS$1102),"")</f>
        <v>Footwear</v>
      </c>
      <c r="BC451" s="5" t="str">
        <f t="array" ref="BC451">IFERROR(_xlfn.XLOOKUP($E451,'FW27'!$C$3:$C$1102,'FW27'!$AT$3:$AT$1102),"")</f>
        <v>Boot (Mid)</v>
      </c>
      <c r="BD451" s="5" t="str">
        <f t="array" ref="BD451">IFERROR(_xlfn.XLOOKUP($E451,'FW27'!$C$3:$C$1102,'FW27'!$AU$3:$AU$1102),"")</f>
        <v>Waterproof (GTX/Proof)</v>
      </c>
      <c r="BE451" s="5" t="str">
        <f t="array" ref="BE451">IFERROR(_xlfn.XLOOKUP($E451,'FW27'!$C$3:$C$1102,'FW27'!$AV$3:$AV$1102),"")</f>
        <v>Y</v>
      </c>
    </row>
    <row r="452" ht="16.5" hidden="1" customHeight="1">
      <c r="A452" s="5" t="s">
        <v>155</v>
      </c>
      <c r="B452" s="5" t="s">
        <v>137</v>
      </c>
      <c r="C452" s="5" t="b">
        <v>1</v>
      </c>
      <c r="D452" s="5" t="s">
        <v>1079</v>
      </c>
      <c r="E452" s="5" t="s">
        <v>1080</v>
      </c>
      <c r="F452" s="5"/>
      <c r="G452" s="5" t="s">
        <v>1002</v>
      </c>
      <c r="H452" s="5" t="s">
        <v>84</v>
      </c>
      <c r="I452" s="5" t="s">
        <v>82</v>
      </c>
      <c r="J452" s="25"/>
      <c r="K452" s="25"/>
      <c r="L452" s="25"/>
      <c r="M452" s="5" t="s">
        <v>66</v>
      </c>
      <c r="N452" s="5" t="s">
        <v>1003</v>
      </c>
      <c r="O452" s="5" t="s">
        <v>69</v>
      </c>
      <c r="P452" s="5" t="s">
        <v>107</v>
      </c>
      <c r="Q452" s="5" t="b">
        <v>1</v>
      </c>
      <c r="R452" s="5" t="b">
        <v>0</v>
      </c>
      <c r="S452" s="5"/>
      <c r="T452" s="5">
        <v>2200.0</v>
      </c>
      <c r="U452" s="26">
        <v>2.08</v>
      </c>
      <c r="V452" s="5">
        <v>1058.0</v>
      </c>
      <c r="W452" s="27">
        <v>0.0</v>
      </c>
      <c r="X452" s="28">
        <v>1058.0</v>
      </c>
      <c r="Y452" s="27">
        <v>1.0</v>
      </c>
      <c r="Z452" s="5" t="s">
        <v>117</v>
      </c>
      <c r="AA452" s="5">
        <v>0.0</v>
      </c>
      <c r="AB452" s="5"/>
      <c r="AC452" s="5" t="s">
        <v>166</v>
      </c>
      <c r="AD452" s="5" t="s">
        <v>81</v>
      </c>
      <c r="AE452" s="24">
        <v>0.0</v>
      </c>
      <c r="AF452" s="5">
        <v>2.0</v>
      </c>
      <c r="AG452" s="5" t="s">
        <v>0</v>
      </c>
      <c r="AH452" s="5" t="s">
        <v>0</v>
      </c>
      <c r="AI452" s="42"/>
      <c r="AJ452" s="28">
        <v>685.0</v>
      </c>
      <c r="AK452" s="28">
        <v>611.0</v>
      </c>
      <c r="AL452" s="28">
        <v>0.0</v>
      </c>
      <c r="AM452" s="28">
        <v>632.0</v>
      </c>
      <c r="AN452" s="28">
        <v>0.0</v>
      </c>
      <c r="AO452" s="28">
        <v>724517.6499999999</v>
      </c>
      <c r="AP452" s="28">
        <v>646438.0</v>
      </c>
      <c r="AQ452" s="28">
        <v>0.0</v>
      </c>
      <c r="AR452" s="28">
        <v>668460.08</v>
      </c>
      <c r="AS452" s="28">
        <v>0.0</v>
      </c>
      <c r="AT452" s="28">
        <v>601210.5263157894</v>
      </c>
      <c r="AU452" s="28">
        <v>539152.84</v>
      </c>
      <c r="AV452" s="28">
        <v>0.0</v>
      </c>
      <c r="AW452" s="28">
        <v>571540.3340080972</v>
      </c>
      <c r="AX452" s="5"/>
      <c r="AY452" s="5" t="str">
        <f t="array" ref="AY452">IFERROR(_xlfn.XLOOKUP($E452,'FW27'!$C$3:$C$1102,'FW27'!$AM$3:$AM$1102),"")</f>
        <v>Outdoor</v>
      </c>
      <c r="AZ452" s="5" t="str">
        <f t="array" ref="AZ452">IFERROR(_xlfn.XLOOKUP($E452,'FW27'!$C$3:$C$1102,'FW27'!$AN$3:$AN$1102),"")</f>
        <v>Day Hiking</v>
      </c>
      <c r="BB452" s="5" t="str">
        <f t="array" ref="BB452">IFERROR(_xlfn.XLOOKUP($E452,'FW27'!$C$3:$C$1102,'FW27'!$AS$3:$AS$1102),"")</f>
        <v>Footwear</v>
      </c>
      <c r="BC452" s="5" t="str">
        <f t="array" ref="BC452">IFERROR(_xlfn.XLOOKUP($E452,'FW27'!$C$3:$C$1102,'FW27'!$AT$3:$AT$1102),"")</f>
        <v>Boot (Mid)</v>
      </c>
      <c r="BD452" s="5" t="str">
        <f t="array" ref="BD452">IFERROR(_xlfn.XLOOKUP($E452,'FW27'!$C$3:$C$1102,'FW27'!$AU$3:$AU$1102),"")</f>
        <v>Waterproof (GTX/Proof)</v>
      </c>
      <c r="BE452" s="5" t="str">
        <f t="array" ref="BE452">IFERROR(_xlfn.XLOOKUP($E452,'FW27'!$C$3:$C$1102,'FW27'!$AV$3:$AV$1102),"")</f>
        <v>Y</v>
      </c>
    </row>
    <row r="453" ht="16.5" hidden="1" customHeight="1">
      <c r="A453" s="5" t="s">
        <v>155</v>
      </c>
      <c r="B453" s="5" t="s">
        <v>137</v>
      </c>
      <c r="C453" s="5" t="b">
        <v>1</v>
      </c>
      <c r="D453" s="5" t="s">
        <v>1081</v>
      </c>
      <c r="E453" s="5" t="s">
        <v>1082</v>
      </c>
      <c r="F453" s="5"/>
      <c r="G453" s="5" t="s">
        <v>1002</v>
      </c>
      <c r="H453" s="5" t="s">
        <v>84</v>
      </c>
      <c r="I453" s="5" t="s">
        <v>82</v>
      </c>
      <c r="J453" s="25"/>
      <c r="K453" s="25"/>
      <c r="L453" s="25"/>
      <c r="M453" s="5" t="s">
        <v>66</v>
      </c>
      <c r="N453" s="5" t="s">
        <v>1003</v>
      </c>
      <c r="O453" s="5" t="s">
        <v>69</v>
      </c>
      <c r="P453" s="5" t="s">
        <v>70</v>
      </c>
      <c r="Q453" s="5" t="b">
        <v>1</v>
      </c>
      <c r="R453" s="5" t="b">
        <v>0</v>
      </c>
      <c r="S453" s="5"/>
      <c r="T453" s="5">
        <v>2000.0</v>
      </c>
      <c r="U453" s="26">
        <v>2.08</v>
      </c>
      <c r="V453" s="5">
        <v>962.0</v>
      </c>
      <c r="W453" s="27">
        <v>0.0</v>
      </c>
      <c r="X453" s="28">
        <v>962.0</v>
      </c>
      <c r="Y453" s="27">
        <v>1.0</v>
      </c>
      <c r="Z453" s="5" t="s">
        <v>117</v>
      </c>
      <c r="AA453" s="5">
        <v>0.534</v>
      </c>
      <c r="AB453" s="5"/>
      <c r="AC453" s="5" t="s">
        <v>166</v>
      </c>
      <c r="AD453" s="5" t="s">
        <v>81</v>
      </c>
      <c r="AE453" s="24">
        <v>0.0</v>
      </c>
      <c r="AF453" s="5">
        <v>3.0</v>
      </c>
      <c r="AG453" s="5" t="s">
        <v>0</v>
      </c>
      <c r="AH453" s="5" t="s">
        <v>0</v>
      </c>
      <c r="AI453" s="42"/>
      <c r="AJ453" s="28">
        <v>1580.0</v>
      </c>
      <c r="AK453" s="28">
        <v>1022.0</v>
      </c>
      <c r="AL453" s="28">
        <v>0.0</v>
      </c>
      <c r="AM453" s="28">
        <v>1018.0</v>
      </c>
      <c r="AN453" s="28">
        <v>0.0</v>
      </c>
      <c r="AO453" s="28">
        <v>1519233.2000000002</v>
      </c>
      <c r="AP453" s="28">
        <v>983164.0</v>
      </c>
      <c r="AQ453" s="28">
        <v>0.0</v>
      </c>
      <c r="AR453" s="28">
        <v>978847.7200000001</v>
      </c>
      <c r="AS453" s="28">
        <v>0.0</v>
      </c>
      <c r="AT453" s="28">
        <v>1092627.3076923077</v>
      </c>
      <c r="AU453" s="28">
        <v>886391.4400000002</v>
      </c>
      <c r="AV453" s="28">
        <v>0.0</v>
      </c>
      <c r="AW453" s="28">
        <v>859093.7104453442</v>
      </c>
      <c r="AX453" s="5"/>
      <c r="AY453" s="5" t="str">
        <f t="array" ref="AY453">IFERROR(_xlfn.XLOOKUP($E453,'FW27'!$C$3:$C$1102,'FW27'!$AM$3:$AM$1102),"")</f>
        <v>Outdoor</v>
      </c>
      <c r="AZ453" s="5" t="str">
        <f t="array" ref="AZ453">IFERROR(_xlfn.XLOOKUP($E453,'FW27'!$C$3:$C$1102,'FW27'!$AN$3:$AN$1102),"")</f>
        <v>Day Hiking</v>
      </c>
      <c r="BB453" s="5" t="str">
        <f t="array" ref="BB453">IFERROR(_xlfn.XLOOKUP($E453,'FW27'!$C$3:$C$1102,'FW27'!$AS$3:$AS$1102),"")</f>
        <v>Footwear</v>
      </c>
      <c r="BC453" s="5" t="str">
        <f t="array" ref="BC453">IFERROR(_xlfn.XLOOKUP($E453,'FW27'!$C$3:$C$1102,'FW27'!$AT$3:$AT$1102),"")</f>
        <v>Boot (Mid)</v>
      </c>
      <c r="BD453" s="5" t="str">
        <f t="array" ref="BD453">IFERROR(_xlfn.XLOOKUP($E453,'FW27'!$C$3:$C$1102,'FW27'!$AU$3:$AU$1102),"")</f>
        <v>Waterproof (GTX/Proof)</v>
      </c>
      <c r="BE453" s="5" t="str">
        <f t="array" ref="BE453">IFERROR(_xlfn.XLOOKUP($E453,'FW27'!$C$3:$C$1102,'FW27'!$AV$3:$AV$1102),"")</f>
        <v>Y</v>
      </c>
    </row>
    <row r="454" ht="16.5" hidden="1" customHeight="1">
      <c r="A454" s="5" t="s">
        <v>155</v>
      </c>
      <c r="B454" s="5" t="s">
        <v>137</v>
      </c>
      <c r="C454" s="5" t="b">
        <v>1</v>
      </c>
      <c r="D454" s="5" t="s">
        <v>1084</v>
      </c>
      <c r="E454" s="5" t="s">
        <v>1085</v>
      </c>
      <c r="F454" s="5"/>
      <c r="G454" s="5" t="s">
        <v>1002</v>
      </c>
      <c r="H454" s="5" t="s">
        <v>84</v>
      </c>
      <c r="I454" s="5" t="s">
        <v>82</v>
      </c>
      <c r="J454" s="25"/>
      <c r="K454" s="25"/>
      <c r="L454" s="25"/>
      <c r="M454" s="5" t="s">
        <v>66</v>
      </c>
      <c r="N454" s="5" t="s">
        <v>1003</v>
      </c>
      <c r="O454" s="5" t="s">
        <v>69</v>
      </c>
      <c r="P454" s="5" t="s">
        <v>107</v>
      </c>
      <c r="Q454" s="5" t="b">
        <v>1</v>
      </c>
      <c r="R454" s="5" t="b">
        <v>0</v>
      </c>
      <c r="S454" s="5"/>
      <c r="T454" s="5">
        <v>2000.0</v>
      </c>
      <c r="U454" s="26">
        <v>2.08</v>
      </c>
      <c r="V454" s="5">
        <v>962.0</v>
      </c>
      <c r="W454" s="27">
        <v>0.0</v>
      </c>
      <c r="X454" s="28">
        <v>962.0</v>
      </c>
      <c r="Y454" s="27">
        <v>1.0</v>
      </c>
      <c r="Z454" s="5" t="s">
        <v>117</v>
      </c>
      <c r="AA454" s="5">
        <v>0.562</v>
      </c>
      <c r="AB454" s="5"/>
      <c r="AC454" s="5" t="s">
        <v>166</v>
      </c>
      <c r="AD454" s="5" t="s">
        <v>81</v>
      </c>
      <c r="AE454" s="24">
        <v>0.0</v>
      </c>
      <c r="AF454" s="5">
        <v>3.0</v>
      </c>
      <c r="AG454" s="5" t="s">
        <v>0</v>
      </c>
      <c r="AH454" s="5" t="s">
        <v>0</v>
      </c>
      <c r="AI454" s="42"/>
      <c r="AJ454" s="28">
        <v>1196.0</v>
      </c>
      <c r="AK454" s="28">
        <v>899.0</v>
      </c>
      <c r="AL454" s="28">
        <v>0.0</v>
      </c>
      <c r="AM454" s="28">
        <v>874.0</v>
      </c>
      <c r="AN454" s="28">
        <v>0.0</v>
      </c>
      <c r="AO454" s="28">
        <v>1150001.84</v>
      </c>
      <c r="AP454" s="28">
        <v>864838.0</v>
      </c>
      <c r="AQ454" s="28">
        <v>0.0</v>
      </c>
      <c r="AR454" s="28">
        <v>840385.96</v>
      </c>
      <c r="AS454" s="28">
        <v>0.0</v>
      </c>
      <c r="AT454" s="28">
        <v>865397.6396761134</v>
      </c>
      <c r="AU454" s="28">
        <v>780232.18</v>
      </c>
      <c r="AV454" s="28">
        <v>0.0</v>
      </c>
      <c r="AW454" s="28">
        <v>735593.1174089069</v>
      </c>
      <c r="AX454" s="5"/>
      <c r="AY454" s="5" t="str">
        <f t="array" ref="AY454">IFERROR(_xlfn.XLOOKUP($E454,'FW27'!$C$3:$C$1102,'FW27'!$AM$3:$AM$1102),"")</f>
        <v>Outdoor</v>
      </c>
      <c r="AZ454" s="5" t="str">
        <f t="array" ref="AZ454">IFERROR(_xlfn.XLOOKUP($E454,'FW27'!$C$3:$C$1102,'FW27'!$AN$3:$AN$1102),"")</f>
        <v>Day Hiking</v>
      </c>
      <c r="BB454" s="5" t="str">
        <f t="array" ref="BB454">IFERROR(_xlfn.XLOOKUP($E454,'FW27'!$C$3:$C$1102,'FW27'!$AS$3:$AS$1102),"")</f>
        <v>Footwear</v>
      </c>
      <c r="BC454" s="5" t="str">
        <f t="array" ref="BC454">IFERROR(_xlfn.XLOOKUP($E454,'FW27'!$C$3:$C$1102,'FW27'!$AT$3:$AT$1102),"")</f>
        <v>Boot (Mid)</v>
      </c>
      <c r="BD454" s="5" t="str">
        <f t="array" ref="BD454">IFERROR(_xlfn.XLOOKUP($E454,'FW27'!$C$3:$C$1102,'FW27'!$AU$3:$AU$1102),"")</f>
        <v>Waterproof (GTX/Proof)</v>
      </c>
      <c r="BE454" s="5" t="str">
        <f t="array" ref="BE454">IFERROR(_xlfn.XLOOKUP($E454,'FW27'!$C$3:$C$1102,'FW27'!$AV$3:$AV$1102),"")</f>
        <v>Y</v>
      </c>
    </row>
    <row r="455" ht="16.5" hidden="1" customHeight="1">
      <c r="A455" s="5" t="s">
        <v>155</v>
      </c>
      <c r="B455" s="5" t="s">
        <v>137</v>
      </c>
      <c r="C455" s="5" t="b">
        <v>0</v>
      </c>
      <c r="D455" s="5" t="s">
        <v>1088</v>
      </c>
      <c r="E455" s="5" t="s">
        <v>1089</v>
      </c>
      <c r="F455" s="5"/>
      <c r="G455" s="5" t="s">
        <v>1002</v>
      </c>
      <c r="H455" s="5" t="s">
        <v>76</v>
      </c>
      <c r="I455" s="5" t="s">
        <v>106</v>
      </c>
      <c r="J455" s="25"/>
      <c r="K455" s="25"/>
      <c r="L455" s="25"/>
      <c r="M455" s="5" t="s">
        <v>66</v>
      </c>
      <c r="N455" s="5" t="s">
        <v>1012</v>
      </c>
      <c r="O455" s="5" t="s">
        <v>69</v>
      </c>
      <c r="P455" s="5" t="s">
        <v>249</v>
      </c>
      <c r="Q455" s="5" t="b">
        <v>1</v>
      </c>
      <c r="R455" s="5" t="b">
        <v>0</v>
      </c>
      <c r="S455" s="5"/>
      <c r="T455" s="5">
        <v>2500.0</v>
      </c>
      <c r="U455" s="26">
        <v>2.08</v>
      </c>
      <c r="V455" s="5">
        <v>1202.0</v>
      </c>
      <c r="W455" s="27">
        <v>0.0</v>
      </c>
      <c r="X455" s="28">
        <v>1202.0</v>
      </c>
      <c r="Y455" s="27">
        <v>1.0</v>
      </c>
      <c r="Z455" s="5" t="s">
        <v>117</v>
      </c>
      <c r="AA455" s="5">
        <v>0.0</v>
      </c>
      <c r="AB455" s="5"/>
      <c r="AC455" s="5" t="s">
        <v>80</v>
      </c>
      <c r="AD455" s="5" t="s">
        <v>81</v>
      </c>
      <c r="AE455" s="24">
        <v>0.0</v>
      </c>
      <c r="AF455" s="5">
        <v>1.0</v>
      </c>
      <c r="AG455" s="5" t="s">
        <v>0</v>
      </c>
      <c r="AH455" s="5" t="s">
        <v>0</v>
      </c>
      <c r="AI455" s="42"/>
      <c r="AJ455" s="28">
        <v>164.0</v>
      </c>
      <c r="AK455" s="28">
        <v>107.0</v>
      </c>
      <c r="AL455" s="28">
        <v>0.0</v>
      </c>
      <c r="AM455" s="28">
        <v>134.0</v>
      </c>
      <c r="AN455" s="28">
        <v>0.0</v>
      </c>
      <c r="AO455" s="28">
        <v>197114.88</v>
      </c>
      <c r="AP455" s="28">
        <v>128614.0</v>
      </c>
      <c r="AQ455" s="28">
        <v>0.0</v>
      </c>
      <c r="AR455" s="28">
        <v>161057.28000000003</v>
      </c>
      <c r="AS455" s="28">
        <v>0.0</v>
      </c>
      <c r="AT455" s="28">
        <v>182376.82914979756</v>
      </c>
      <c r="AU455" s="28">
        <v>125274.4162</v>
      </c>
      <c r="AV455" s="28">
        <v>0.0</v>
      </c>
      <c r="AW455" s="28">
        <v>148703.3141700405</v>
      </c>
      <c r="AX455" s="5"/>
      <c r="AY455" s="5" t="str">
        <f t="array" ref="AY455">IFERROR(_xlfn.XLOOKUP($E455,'FW27'!$C$3:$C$1102,'FW27'!$AM$3:$AM$1102),"")</f>
        <v>Outdoor</v>
      </c>
      <c r="AZ455" s="5" t="str">
        <f t="array" ref="AZ455">IFERROR(_xlfn.XLOOKUP($E455,'FW27'!$C$3:$C$1102,'FW27'!$AN$3:$AN$1102),"")</f>
        <v>Trekking</v>
      </c>
      <c r="BB455" s="5" t="str">
        <f t="array" ref="BB455">IFERROR(_xlfn.XLOOKUP($E455,'FW27'!$C$3:$C$1102,'FW27'!$AS$3:$AS$1102),"")</f>
        <v>Footwear</v>
      </c>
      <c r="BC455" s="5" t="str">
        <f t="array" ref="BC455">IFERROR(_xlfn.XLOOKUP($E455,'FW27'!$C$3:$C$1102,'FW27'!$AT$3:$AT$1102),"")</f>
        <v>Boot (Mid)</v>
      </c>
      <c r="BD455" s="5" t="str">
        <f t="array" ref="BD455">IFERROR(_xlfn.XLOOKUP($E455,'FW27'!$C$3:$C$1102,'FW27'!$AU$3:$AU$1102),"")</f>
        <v>Waterproof (GTX/Proof)</v>
      </c>
      <c r="BE455" s="5" t="str">
        <f t="array" ref="BE455">IFERROR(_xlfn.XLOOKUP($E455,'FW27'!$C$3:$C$1102,'FW27'!$AV$3:$AV$1102),"")</f>
        <v>Y</v>
      </c>
    </row>
    <row r="456" ht="16.5" hidden="1" customHeight="1">
      <c r="A456" s="5" t="s">
        <v>155</v>
      </c>
      <c r="B456" s="5" t="s">
        <v>137</v>
      </c>
      <c r="C456" s="5" t="b">
        <v>1</v>
      </c>
      <c r="D456" s="5" t="s">
        <v>1090</v>
      </c>
      <c r="E456" s="5" t="s">
        <v>1091</v>
      </c>
      <c r="F456" s="5"/>
      <c r="G456" s="5" t="s">
        <v>1002</v>
      </c>
      <c r="H456" s="5" t="s">
        <v>84</v>
      </c>
      <c r="I456" s="5" t="s">
        <v>82</v>
      </c>
      <c r="J456" s="25"/>
      <c r="K456" s="25"/>
      <c r="L456" s="25"/>
      <c r="M456" s="5" t="s">
        <v>66</v>
      </c>
      <c r="N456" s="5" t="s">
        <v>1012</v>
      </c>
      <c r="O456" s="5" t="s">
        <v>69</v>
      </c>
      <c r="P456" s="5" t="s">
        <v>249</v>
      </c>
      <c r="Q456" s="5" t="b">
        <v>1</v>
      </c>
      <c r="R456" s="5" t="b">
        <v>0</v>
      </c>
      <c r="S456" s="5"/>
      <c r="T456" s="5">
        <v>3500.0</v>
      </c>
      <c r="U456" s="26">
        <v>2.08</v>
      </c>
      <c r="V456" s="5">
        <v>1683.0</v>
      </c>
      <c r="W456" s="27">
        <v>0.0</v>
      </c>
      <c r="X456" s="28">
        <v>1683.0</v>
      </c>
      <c r="Y456" s="27">
        <v>1.0</v>
      </c>
      <c r="Z456" s="5" t="s">
        <v>78</v>
      </c>
      <c r="AA456" s="5">
        <v>0.0</v>
      </c>
      <c r="AB456" s="5"/>
      <c r="AC456" s="5" t="s">
        <v>80</v>
      </c>
      <c r="AD456" s="5" t="s">
        <v>81</v>
      </c>
      <c r="AE456" s="24">
        <v>0.0</v>
      </c>
      <c r="AF456" s="5">
        <v>2.0</v>
      </c>
      <c r="AG456" s="5" t="s">
        <v>0</v>
      </c>
      <c r="AH456" s="5" t="s">
        <v>0</v>
      </c>
      <c r="AI456" s="42"/>
      <c r="AJ456" s="28">
        <v>219.0</v>
      </c>
      <c r="AK456" s="28">
        <v>324.0</v>
      </c>
      <c r="AL456" s="28">
        <v>0.0</v>
      </c>
      <c r="AM456" s="28">
        <v>176.0</v>
      </c>
      <c r="AN456" s="28">
        <v>0.0</v>
      </c>
      <c r="AO456" s="28">
        <v>368509.11</v>
      </c>
      <c r="AP456" s="28">
        <v>545292.0</v>
      </c>
      <c r="AQ456" s="28">
        <v>0.0</v>
      </c>
      <c r="AR456" s="28">
        <v>296153.44</v>
      </c>
      <c r="AS456" s="28">
        <v>0.0</v>
      </c>
      <c r="AT456" s="28">
        <v>350000.0</v>
      </c>
      <c r="AU456" s="28">
        <v>524481.24</v>
      </c>
      <c r="AV456" s="28">
        <v>0.0</v>
      </c>
      <c r="AW456" s="28">
        <v>278335.02024291496</v>
      </c>
      <c r="AX456" s="5"/>
      <c r="AY456" s="5" t="str">
        <f t="array" ref="AY456">IFERROR(_xlfn.XLOOKUP($E456,'FW27'!$C$3:$C$1102,'FW27'!$AM$3:$AM$1102),"")</f>
        <v>Outdoor</v>
      </c>
      <c r="AZ456" s="5" t="str">
        <f t="array" ref="AZ456">IFERROR(_xlfn.XLOOKUP($E456,'FW27'!$C$3:$C$1102,'FW27'!$AN$3:$AN$1102),"")</f>
        <v>Trekking</v>
      </c>
      <c r="BB456" s="5" t="str">
        <f t="array" ref="BB456">IFERROR(_xlfn.XLOOKUP($E456,'FW27'!$C$3:$C$1102,'FW27'!$AS$3:$AS$1102),"")</f>
        <v>Footwear</v>
      </c>
      <c r="BC456" s="5" t="str">
        <f t="array" ref="BC456">IFERROR(_xlfn.XLOOKUP($E456,'FW27'!$C$3:$C$1102,'FW27'!$AT$3:$AT$1102),"")</f>
        <v>Boot (Mid)</v>
      </c>
      <c r="BD456" s="5" t="str">
        <f t="array" ref="BD456">IFERROR(_xlfn.XLOOKUP($E456,'FW27'!$C$3:$C$1102,'FW27'!$AU$3:$AU$1102),"")</f>
        <v>Waterproof (GTX/Proof)</v>
      </c>
      <c r="BE456" s="5" t="str">
        <f t="array" ref="BE456">IFERROR(_xlfn.XLOOKUP($E456,'FW27'!$C$3:$C$1102,'FW27'!$AV$3:$AV$1102),"")</f>
        <v>Y</v>
      </c>
    </row>
    <row r="457" ht="16.5" hidden="1" customHeight="1">
      <c r="A457" s="5" t="s">
        <v>155</v>
      </c>
      <c r="B457" s="5" t="s">
        <v>215</v>
      </c>
      <c r="C457" s="5" t="b">
        <v>1</v>
      </c>
      <c r="D457" s="5" t="s">
        <v>1709</v>
      </c>
      <c r="E457" s="5" t="s">
        <v>1710</v>
      </c>
      <c r="F457" s="5"/>
      <c r="G457" s="5" t="s">
        <v>1002</v>
      </c>
      <c r="H457" s="5" t="s">
        <v>76</v>
      </c>
      <c r="I457" s="5" t="s">
        <v>82</v>
      </c>
      <c r="J457" s="25"/>
      <c r="K457" s="25"/>
      <c r="L457" s="25"/>
      <c r="M457" s="5" t="s">
        <v>66</v>
      </c>
      <c r="N457" s="5" t="s">
        <v>1012</v>
      </c>
      <c r="O457" s="5" t="s">
        <v>69</v>
      </c>
      <c r="P457" s="5" t="s">
        <v>249</v>
      </c>
      <c r="Q457" s="5" t="b">
        <v>1</v>
      </c>
      <c r="R457" s="5" t="b">
        <v>0</v>
      </c>
      <c r="S457" s="5"/>
      <c r="T457" s="5">
        <v>3600.0</v>
      </c>
      <c r="U457" s="26">
        <v>2.08</v>
      </c>
      <c r="V457" s="5">
        <v>1731.0</v>
      </c>
      <c r="W457" s="27">
        <v>0.0</v>
      </c>
      <c r="X457" s="28">
        <v>1731.0</v>
      </c>
      <c r="Y457" s="27">
        <v>1.0</v>
      </c>
      <c r="Z457" s="5" t="s">
        <v>242</v>
      </c>
      <c r="AA457" s="5">
        <v>0.598</v>
      </c>
      <c r="AB457" s="5"/>
      <c r="AC457" s="5" t="s">
        <v>80</v>
      </c>
      <c r="AD457" s="5" t="s">
        <v>81</v>
      </c>
      <c r="AE457" s="24">
        <v>0.0</v>
      </c>
      <c r="AF457" s="5">
        <v>2.0</v>
      </c>
      <c r="AG457" s="5" t="s">
        <v>0</v>
      </c>
      <c r="AH457" s="5" t="s">
        <v>0</v>
      </c>
      <c r="AI457" s="42"/>
      <c r="AJ457" s="28">
        <v>305.0</v>
      </c>
      <c r="AK457" s="28">
        <v>551.0</v>
      </c>
      <c r="AL457" s="28">
        <v>0.0</v>
      </c>
      <c r="AM457" s="28">
        <v>0.0</v>
      </c>
      <c r="AN457" s="28">
        <v>0.0</v>
      </c>
      <c r="AO457" s="28">
        <v>527884.85</v>
      </c>
      <c r="AP457" s="28">
        <v>953781.0</v>
      </c>
      <c r="AQ457" s="28">
        <v>0.0</v>
      </c>
      <c r="AR457" s="28">
        <v>0.0</v>
      </c>
      <c r="AS457" s="28">
        <v>0.0</v>
      </c>
      <c r="AT457" s="28">
        <v>508846.1538461538</v>
      </c>
      <c r="AU457" s="28">
        <v>924170.98</v>
      </c>
      <c r="AV457" s="28">
        <v>0.0</v>
      </c>
      <c r="AW457" s="28">
        <v>0.0</v>
      </c>
      <c r="AX457" s="5"/>
      <c r="AY457" s="5" t="str">
        <f t="array" ref="AY457">IFERROR(_xlfn.XLOOKUP($E457,'FW27'!$C$3:$C$1102,'FW27'!$AM$3:$AM$1102),"")</f>
        <v>Outdoor</v>
      </c>
      <c r="AZ457" s="5" t="str">
        <f t="array" ref="AZ457">IFERROR(_xlfn.XLOOKUP($E457,'FW27'!$C$3:$C$1102,'FW27'!$AN$3:$AN$1102),"")</f>
        <v>Trekking</v>
      </c>
      <c r="BB457" s="5" t="str">
        <f t="array" ref="BB457">IFERROR(_xlfn.XLOOKUP($E457,'FW27'!$C$3:$C$1102,'FW27'!$AS$3:$AS$1102),"")</f>
        <v>Footwear</v>
      </c>
      <c r="BC457" s="5" t="str">
        <f t="array" ref="BC457">IFERROR(_xlfn.XLOOKUP($E457,'FW27'!$C$3:$C$1102,'FW27'!$AT$3:$AT$1102),"")</f>
        <v>Boot (Mid)</v>
      </c>
      <c r="BD457" s="5" t="str">
        <f t="array" ref="BD457">IFERROR(_xlfn.XLOOKUP($E457,'FW27'!$C$3:$C$1102,'FW27'!$AU$3:$AU$1102),"")</f>
        <v>Waterproof (GTX/Proof)</v>
      </c>
      <c r="BE457" s="5" t="str">
        <f t="array" ref="BE457">IFERROR(_xlfn.XLOOKUP($E457,'FW27'!$C$3:$C$1102,'FW27'!$AV$3:$AV$1102),"")</f>
        <v>Y</v>
      </c>
    </row>
    <row r="458" ht="16.5" hidden="1" customHeight="1">
      <c r="A458" s="5" t="s">
        <v>155</v>
      </c>
      <c r="B458" s="5" t="s">
        <v>137</v>
      </c>
      <c r="C458" s="5" t="b">
        <v>1</v>
      </c>
      <c r="D458" s="5" t="s">
        <v>1712</v>
      </c>
      <c r="E458" s="5" t="s">
        <v>1713</v>
      </c>
      <c r="F458" s="5"/>
      <c r="G458" s="5" t="s">
        <v>1002</v>
      </c>
      <c r="H458" s="5" t="s">
        <v>84</v>
      </c>
      <c r="I458" s="5" t="s">
        <v>82</v>
      </c>
      <c r="J458" s="25"/>
      <c r="K458" s="25"/>
      <c r="L458" s="25"/>
      <c r="M458" s="5" t="s">
        <v>66</v>
      </c>
      <c r="N458" s="5" t="s">
        <v>1003</v>
      </c>
      <c r="O458" s="5" t="s">
        <v>69</v>
      </c>
      <c r="P458" s="5" t="s">
        <v>70</v>
      </c>
      <c r="Q458" s="5" t="b">
        <v>1</v>
      </c>
      <c r="R458" s="5" t="b">
        <v>0</v>
      </c>
      <c r="S458" s="5"/>
      <c r="T458" s="5">
        <v>2200.0</v>
      </c>
      <c r="U458" s="26">
        <v>2.08</v>
      </c>
      <c r="V458" s="5">
        <v>1058.0</v>
      </c>
      <c r="W458" s="27">
        <v>0.0</v>
      </c>
      <c r="X458" s="28">
        <v>1058.0</v>
      </c>
      <c r="Y458" s="27">
        <v>1.0</v>
      </c>
      <c r="Z458" s="5" t="s">
        <v>117</v>
      </c>
      <c r="AA458" s="5">
        <v>0.599</v>
      </c>
      <c r="AB458" s="5"/>
      <c r="AC458" s="5" t="s">
        <v>166</v>
      </c>
      <c r="AD458" s="5" t="s">
        <v>81</v>
      </c>
      <c r="AE458" s="24">
        <v>0.0</v>
      </c>
      <c r="AF458" s="5">
        <v>2.0</v>
      </c>
      <c r="AG458" s="5" t="s">
        <v>0</v>
      </c>
      <c r="AH458" s="5" t="s">
        <v>0</v>
      </c>
      <c r="AI458" s="42"/>
      <c r="AJ458" s="28">
        <v>899.0</v>
      </c>
      <c r="AK458" s="28">
        <v>0.0</v>
      </c>
      <c r="AL458" s="28">
        <v>0.0</v>
      </c>
      <c r="AM458" s="28">
        <v>0.0</v>
      </c>
      <c r="AN458" s="28">
        <v>0.0</v>
      </c>
      <c r="AO458" s="28">
        <v>950863.31</v>
      </c>
      <c r="AP458" s="28">
        <v>0.0</v>
      </c>
      <c r="AQ458" s="28">
        <v>0.0</v>
      </c>
      <c r="AR458" s="28">
        <v>0.0</v>
      </c>
      <c r="AS458" s="28">
        <v>0.0</v>
      </c>
      <c r="AT458" s="28">
        <v>825667.4357046462</v>
      </c>
      <c r="AU458" s="28">
        <v>0.0</v>
      </c>
      <c r="AV458" s="28">
        <v>0.0</v>
      </c>
      <c r="AW458" s="28">
        <v>0.0</v>
      </c>
      <c r="AX458" s="5"/>
      <c r="AY458" s="5" t="str">
        <f t="array" ref="AY458">IFERROR(_xlfn.XLOOKUP($E458,'FW27'!$C$3:$C$1102,'FW27'!$AM$3:$AM$1102),"")</f>
        <v>Outdoor</v>
      </c>
      <c r="AZ458" s="5" t="str">
        <f t="array" ref="AZ458">IFERROR(_xlfn.XLOOKUP($E458,'FW27'!$C$3:$C$1102,'FW27'!$AN$3:$AN$1102),"")</f>
        <v>Day Hiking</v>
      </c>
      <c r="BB458" s="5" t="str">
        <f t="array" ref="BB458">IFERROR(_xlfn.XLOOKUP($E458,'FW27'!$C$3:$C$1102,'FW27'!$AS$3:$AS$1102),"")</f>
        <v>Footwear</v>
      </c>
      <c r="BC458" s="5" t="str">
        <f t="array" ref="BC458">IFERROR(_xlfn.XLOOKUP($E458,'FW27'!$C$3:$C$1102,'FW27'!$AT$3:$AT$1102),"")</f>
        <v>Shoe (Low)</v>
      </c>
      <c r="BD458" s="5" t="str">
        <f t="array" ref="BD458">IFERROR(_xlfn.XLOOKUP($E458,'FW27'!$C$3:$C$1102,'FW27'!$AU$3:$AU$1102),"")</f>
        <v>Waterproof (GTX/Proof)</v>
      </c>
      <c r="BE458" s="5" t="str">
        <f t="array" ref="BE458">IFERROR(_xlfn.XLOOKUP($E458,'FW27'!$C$3:$C$1102,'FW27'!$AV$3:$AV$1102),"")</f>
        <v>Y</v>
      </c>
    </row>
    <row r="459" ht="16.5" hidden="1" customHeight="1">
      <c r="A459" s="5" t="s">
        <v>155</v>
      </c>
      <c r="B459" s="5" t="s">
        <v>137</v>
      </c>
      <c r="C459" s="5" t="b">
        <v>1</v>
      </c>
      <c r="D459" s="5" t="s">
        <v>1714</v>
      </c>
      <c r="E459" s="5" t="s">
        <v>1715</v>
      </c>
      <c r="F459" s="5"/>
      <c r="G459" s="5" t="s">
        <v>1002</v>
      </c>
      <c r="H459" s="5" t="s">
        <v>84</v>
      </c>
      <c r="I459" s="5" t="s">
        <v>82</v>
      </c>
      <c r="J459" s="25"/>
      <c r="K459" s="25"/>
      <c r="L459" s="25"/>
      <c r="M459" s="5" t="s">
        <v>66</v>
      </c>
      <c r="N459" s="5" t="s">
        <v>1003</v>
      </c>
      <c r="O459" s="5" t="s">
        <v>69</v>
      </c>
      <c r="P459" s="5" t="s">
        <v>107</v>
      </c>
      <c r="Q459" s="5" t="b">
        <v>1</v>
      </c>
      <c r="R459" s="5" t="b">
        <v>0</v>
      </c>
      <c r="S459" s="5"/>
      <c r="T459" s="5">
        <v>2200.0</v>
      </c>
      <c r="U459" s="26">
        <v>2.08</v>
      </c>
      <c r="V459" s="5">
        <v>1058.0</v>
      </c>
      <c r="W459" s="27">
        <v>0.0</v>
      </c>
      <c r="X459" s="28">
        <v>1058.0</v>
      </c>
      <c r="Y459" s="27">
        <v>1.0</v>
      </c>
      <c r="Z459" s="5" t="s">
        <v>117</v>
      </c>
      <c r="AA459" s="5">
        <v>0.599</v>
      </c>
      <c r="AB459" s="5"/>
      <c r="AC459" s="5" t="s">
        <v>166</v>
      </c>
      <c r="AD459" s="5" t="s">
        <v>81</v>
      </c>
      <c r="AE459" s="24">
        <v>0.0</v>
      </c>
      <c r="AF459" s="5">
        <v>2.0</v>
      </c>
      <c r="AG459" s="5" t="s">
        <v>0</v>
      </c>
      <c r="AH459" s="5" t="s">
        <v>0</v>
      </c>
      <c r="AI459" s="42"/>
      <c r="AJ459" s="28">
        <v>576.0</v>
      </c>
      <c r="AK459" s="28">
        <v>0.0</v>
      </c>
      <c r="AL459" s="28">
        <v>0.0</v>
      </c>
      <c r="AM459" s="28">
        <v>0.0</v>
      </c>
      <c r="AN459" s="28">
        <v>0.0</v>
      </c>
      <c r="AO459" s="28">
        <v>609229.4400000001</v>
      </c>
      <c r="AP459" s="28">
        <v>0.0</v>
      </c>
      <c r="AQ459" s="28">
        <v>0.0</v>
      </c>
      <c r="AR459" s="28">
        <v>0.0</v>
      </c>
      <c r="AS459" s="28">
        <v>0.0</v>
      </c>
      <c r="AT459" s="28">
        <v>535997.8848852902</v>
      </c>
      <c r="AU459" s="28">
        <v>0.0</v>
      </c>
      <c r="AV459" s="28">
        <v>0.0</v>
      </c>
      <c r="AW459" s="28">
        <v>0.0</v>
      </c>
      <c r="AX459" s="5"/>
      <c r="AY459" s="5" t="str">
        <f t="array" ref="AY459">IFERROR(_xlfn.XLOOKUP($E459,'FW27'!$C$3:$C$1102,'FW27'!$AM$3:$AM$1102),"")</f>
        <v>Outdoor</v>
      </c>
      <c r="AZ459" s="5" t="str">
        <f t="array" ref="AZ459">IFERROR(_xlfn.XLOOKUP($E459,'FW27'!$C$3:$C$1102,'FW27'!$AN$3:$AN$1102),"")</f>
        <v>Day Hiking</v>
      </c>
      <c r="BB459" s="5" t="str">
        <f t="array" ref="BB459">IFERROR(_xlfn.XLOOKUP($E459,'FW27'!$C$3:$C$1102,'FW27'!$AS$3:$AS$1102),"")</f>
        <v>Footwear</v>
      </c>
      <c r="BC459" s="5" t="str">
        <f t="array" ref="BC459">IFERROR(_xlfn.XLOOKUP($E459,'FW27'!$C$3:$C$1102,'FW27'!$AT$3:$AT$1102),"")</f>
        <v>Shoe (Low)</v>
      </c>
      <c r="BD459" s="5" t="str">
        <f t="array" ref="BD459">IFERROR(_xlfn.XLOOKUP($E459,'FW27'!$C$3:$C$1102,'FW27'!$AU$3:$AU$1102),"")</f>
        <v>Waterproof (GTX/Proof)</v>
      </c>
      <c r="BE459" s="5" t="str">
        <f t="array" ref="BE459">IFERROR(_xlfn.XLOOKUP($E459,'FW27'!$C$3:$C$1102,'FW27'!$AV$3:$AV$1102),"")</f>
        <v>Y</v>
      </c>
    </row>
    <row r="460" ht="16.5" hidden="1" customHeight="1">
      <c r="A460" s="5" t="s">
        <v>155</v>
      </c>
      <c r="B460" s="5" t="s">
        <v>200</v>
      </c>
      <c r="C460" s="5" t="b">
        <v>0</v>
      </c>
      <c r="D460" s="5" t="s">
        <v>1093</v>
      </c>
      <c r="E460" s="5" t="s">
        <v>1094</v>
      </c>
      <c r="F460" s="5"/>
      <c r="G460" s="5" t="s">
        <v>1002</v>
      </c>
      <c r="H460" s="5" t="s">
        <v>84</v>
      </c>
      <c r="I460" s="5" t="s">
        <v>106</v>
      </c>
      <c r="J460" s="25" t="s">
        <v>413</v>
      </c>
      <c r="K460" s="25"/>
      <c r="L460" s="25"/>
      <c r="M460" s="5" t="s">
        <v>66</v>
      </c>
      <c r="N460" s="5" t="s">
        <v>1096</v>
      </c>
      <c r="O460" s="5" t="s">
        <v>69</v>
      </c>
      <c r="P460" s="5" t="s">
        <v>70</v>
      </c>
      <c r="Q460" s="5" t="b">
        <v>1</v>
      </c>
      <c r="R460" s="5" t="b">
        <v>0</v>
      </c>
      <c r="S460" s="5"/>
      <c r="T460" s="5">
        <v>1000.0</v>
      </c>
      <c r="U460" s="26">
        <v>2.08</v>
      </c>
      <c r="V460" s="5">
        <v>481.0</v>
      </c>
      <c r="W460" s="27">
        <v>0.0</v>
      </c>
      <c r="X460" s="28">
        <v>481.0</v>
      </c>
      <c r="Y460" s="27">
        <v>1.0</v>
      </c>
      <c r="Z460" s="5" t="s">
        <v>78</v>
      </c>
      <c r="AA460" s="5">
        <v>0.551</v>
      </c>
      <c r="AB460" s="5"/>
      <c r="AC460" s="5" t="s">
        <v>81</v>
      </c>
      <c r="AD460" s="5" t="s">
        <v>81</v>
      </c>
      <c r="AE460" s="24">
        <v>0.0</v>
      </c>
      <c r="AF460" s="5">
        <v>2.0</v>
      </c>
      <c r="AG460" s="5" t="s">
        <v>0</v>
      </c>
      <c r="AH460" s="5" t="s">
        <v>0</v>
      </c>
      <c r="AI460" s="42"/>
      <c r="AJ460" s="28">
        <v>0.0</v>
      </c>
      <c r="AK460" s="28">
        <v>0.0</v>
      </c>
      <c r="AL460" s="28">
        <v>0.0</v>
      </c>
      <c r="AM460" s="28">
        <v>2510.0</v>
      </c>
      <c r="AN460" s="28">
        <v>0.0</v>
      </c>
      <c r="AO460" s="28">
        <v>0.0</v>
      </c>
      <c r="AP460" s="28">
        <v>0.0</v>
      </c>
      <c r="AQ460" s="28">
        <v>0.0</v>
      </c>
      <c r="AR460" s="28">
        <v>1206732.6999999997</v>
      </c>
      <c r="AS460" s="28">
        <v>0.0</v>
      </c>
      <c r="AT460" s="28">
        <v>0.0</v>
      </c>
      <c r="AU460" s="28">
        <v>0.0</v>
      </c>
      <c r="AV460" s="28">
        <v>0.0</v>
      </c>
      <c r="AW460" s="28">
        <v>957287.7167582414</v>
      </c>
      <c r="AX460" s="5"/>
      <c r="AY460" s="5" t="s">
        <v>125</v>
      </c>
      <c r="AZ460" s="5" t="s">
        <v>127</v>
      </c>
      <c r="BB460" s="5" t="s">
        <v>1002</v>
      </c>
      <c r="BC460" s="5" t="s">
        <v>1098</v>
      </c>
      <c r="BD460" s="5" t="s">
        <v>1006</v>
      </c>
      <c r="BE460" s="5" t="s">
        <v>131</v>
      </c>
      <c r="BF460" s="5" t="s">
        <v>2176</v>
      </c>
    </row>
    <row r="461" ht="16.5" hidden="1" customHeight="1">
      <c r="A461" s="5" t="s">
        <v>155</v>
      </c>
      <c r="B461" s="5" t="s">
        <v>200</v>
      </c>
      <c r="C461" s="5" t="b">
        <v>0</v>
      </c>
      <c r="D461" s="5" t="s">
        <v>1099</v>
      </c>
      <c r="E461" s="5" t="s">
        <v>1100</v>
      </c>
      <c r="F461" s="5"/>
      <c r="G461" s="5" t="s">
        <v>1002</v>
      </c>
      <c r="H461" s="5" t="s">
        <v>84</v>
      </c>
      <c r="I461" s="5" t="s">
        <v>106</v>
      </c>
      <c r="J461" s="25" t="s">
        <v>413</v>
      </c>
      <c r="K461" s="25"/>
      <c r="L461" s="25"/>
      <c r="M461" s="5" t="s">
        <v>66</v>
      </c>
      <c r="N461" s="5" t="s">
        <v>1096</v>
      </c>
      <c r="O461" s="5" t="s">
        <v>69</v>
      </c>
      <c r="P461" s="5" t="s">
        <v>107</v>
      </c>
      <c r="Q461" s="5" t="b">
        <v>1</v>
      </c>
      <c r="R461" s="5" t="b">
        <v>0</v>
      </c>
      <c r="S461" s="5"/>
      <c r="T461" s="5">
        <v>1000.0</v>
      </c>
      <c r="U461" s="26">
        <v>2.08</v>
      </c>
      <c r="V461" s="5">
        <v>481.0</v>
      </c>
      <c r="W461" s="27">
        <v>0.0</v>
      </c>
      <c r="X461" s="28">
        <v>481.0</v>
      </c>
      <c r="Y461" s="27">
        <v>1.0</v>
      </c>
      <c r="Z461" s="5" t="s">
        <v>117</v>
      </c>
      <c r="AA461" s="5">
        <v>0.0</v>
      </c>
      <c r="AB461" s="5"/>
      <c r="AC461" s="5" t="s">
        <v>81</v>
      </c>
      <c r="AD461" s="5" t="s">
        <v>81</v>
      </c>
      <c r="AE461" s="24">
        <v>0.0</v>
      </c>
      <c r="AF461" s="5">
        <v>2.0</v>
      </c>
      <c r="AG461" s="5" t="s">
        <v>0</v>
      </c>
      <c r="AH461" s="5" t="s">
        <v>0</v>
      </c>
      <c r="AI461" s="42"/>
      <c r="AJ461" s="28">
        <v>0.0</v>
      </c>
      <c r="AK461" s="28">
        <v>0.0</v>
      </c>
      <c r="AL461" s="28">
        <v>0.0</v>
      </c>
      <c r="AM461" s="28">
        <v>1791.0</v>
      </c>
      <c r="AN461" s="28">
        <v>0.0</v>
      </c>
      <c r="AO461" s="28">
        <v>0.0</v>
      </c>
      <c r="AP461" s="28">
        <v>0.0</v>
      </c>
      <c r="AQ461" s="28">
        <v>0.0</v>
      </c>
      <c r="AR461" s="28">
        <v>861059.07</v>
      </c>
      <c r="AS461" s="28">
        <v>0.0</v>
      </c>
      <c r="AT461" s="28">
        <v>0.0</v>
      </c>
      <c r="AU461" s="28">
        <v>0.0</v>
      </c>
      <c r="AV461" s="28">
        <v>0.0</v>
      </c>
      <c r="AW461" s="28">
        <v>745600.6385164835</v>
      </c>
      <c r="AX461" s="5"/>
      <c r="AY461" s="5" t="s">
        <v>125</v>
      </c>
      <c r="AZ461" s="5" t="s">
        <v>127</v>
      </c>
      <c r="BB461" s="5" t="s">
        <v>1002</v>
      </c>
      <c r="BC461" s="5" t="s">
        <v>1098</v>
      </c>
      <c r="BD461" s="5" t="s">
        <v>1006</v>
      </c>
      <c r="BE461" s="5" t="s">
        <v>131</v>
      </c>
      <c r="BF461" s="5" t="s">
        <v>2176</v>
      </c>
    </row>
    <row r="462" ht="16.5" hidden="1" customHeight="1">
      <c r="A462" s="5" t="s">
        <v>155</v>
      </c>
      <c r="B462" s="5" t="s">
        <v>137</v>
      </c>
      <c r="C462" s="5" t="b">
        <v>1</v>
      </c>
      <c r="D462" s="5" t="s">
        <v>1705</v>
      </c>
      <c r="E462" s="5" t="s">
        <v>2075</v>
      </c>
      <c r="F462" s="5"/>
      <c r="G462" s="5" t="s">
        <v>1002</v>
      </c>
      <c r="H462" s="5" t="s">
        <v>76</v>
      </c>
      <c r="I462" s="5" t="s">
        <v>82</v>
      </c>
      <c r="J462" s="25" t="s">
        <v>2175</v>
      </c>
      <c r="K462" s="25"/>
      <c r="L462" s="25"/>
      <c r="M462" s="5" t="s">
        <v>109</v>
      </c>
      <c r="N462" s="5" t="s">
        <v>1027</v>
      </c>
      <c r="O462" s="5" t="s">
        <v>69</v>
      </c>
      <c r="P462" s="5" t="s">
        <v>70</v>
      </c>
      <c r="Q462" s="5" t="b">
        <v>1</v>
      </c>
      <c r="R462" s="5" t="b">
        <v>0</v>
      </c>
      <c r="S462" s="5"/>
      <c r="T462" s="5">
        <v>2300.0</v>
      </c>
      <c r="U462" s="26">
        <v>2.08</v>
      </c>
      <c r="V462" s="5">
        <v>1106.0</v>
      </c>
      <c r="W462" s="27">
        <v>0.0</v>
      </c>
      <c r="X462" s="28">
        <v>1106.0</v>
      </c>
      <c r="Y462" s="27">
        <v>1.0</v>
      </c>
      <c r="Z462" s="5" t="s">
        <v>242</v>
      </c>
      <c r="AA462" s="5">
        <v>0.56</v>
      </c>
      <c r="AB462" s="5"/>
      <c r="AC462" s="5" t="s">
        <v>80</v>
      </c>
      <c r="AD462" s="5" t="s">
        <v>81</v>
      </c>
      <c r="AE462" s="5">
        <v>2.0</v>
      </c>
      <c r="AF462" s="5">
        <v>2.0</v>
      </c>
      <c r="AG462" s="5" t="s">
        <v>0</v>
      </c>
      <c r="AH462" s="5" t="s">
        <v>0</v>
      </c>
      <c r="AI462" s="56"/>
      <c r="AJ462" s="28">
        <v>1245.0</v>
      </c>
      <c r="AK462" s="28">
        <v>0.0</v>
      </c>
      <c r="AL462" s="28">
        <v>0.0</v>
      </c>
      <c r="AM462" s="28">
        <v>0.0</v>
      </c>
      <c r="AN462" s="28">
        <v>0.0</v>
      </c>
      <c r="AO462" s="28">
        <v>1376683.6500000001</v>
      </c>
      <c r="AP462" s="28">
        <v>0.0</v>
      </c>
      <c r="AQ462" s="28">
        <v>0.0</v>
      </c>
      <c r="AR462" s="28">
        <v>0.0</v>
      </c>
      <c r="AS462" s="28">
        <v>0.0</v>
      </c>
      <c r="AT462" s="28">
        <v>1084316.3198419122</v>
      </c>
      <c r="AU462" s="28">
        <v>0.0</v>
      </c>
      <c r="AV462" s="28">
        <v>0.0</v>
      </c>
      <c r="AW462" s="28">
        <v>0.0</v>
      </c>
      <c r="AX462" s="5"/>
      <c r="AY462" s="5" t="str">
        <f t="array" ref="AY462">IFERROR(_xlfn.XLOOKUP($E462,'FW27'!$C$3:$C$1102,'FW27'!$AM$3:$AM$1102),"")</f>
        <v>Outdoor</v>
      </c>
      <c r="AZ462" s="5" t="str">
        <f t="array" ref="AZ462">IFERROR(_xlfn.XLOOKUP($E462,'FW27'!$C$3:$C$1102,'FW27'!$AN$3:$AN$1102),"")</f>
        <v>Trail Run &amp; Fast Hike</v>
      </c>
      <c r="BB462" s="5" t="str">
        <f t="array" ref="BB462">IFERROR(_xlfn.XLOOKUP($E462,'FW27'!$C$3:$C$1102,'FW27'!$AS$3:$AS$1102),"")</f>
        <v>Footwear</v>
      </c>
      <c r="BC462" s="5" t="str">
        <f t="array" ref="BC462">IFERROR(_xlfn.XLOOKUP($E462,'FW27'!$C$3:$C$1102,'FW27'!$AT$3:$AT$1102),"")</f>
        <v>Boot (Mid)</v>
      </c>
      <c r="BD462" s="5" t="str">
        <f t="array" ref="BD462">IFERROR(_xlfn.XLOOKUP($E462,'FW27'!$C$3:$C$1102,'FW27'!$AU$3:$AU$1102),"")</f>
        <v>Waterproof (GTX/Proof)</v>
      </c>
      <c r="BE462" s="5" t="str">
        <f t="array" ref="BE462">IFERROR(_xlfn.XLOOKUP($E462,'FW27'!$C$3:$C$1102,'FW27'!$AV$3:$AV$1102),"")</f>
        <v>Y</v>
      </c>
    </row>
    <row r="463" ht="16.5" hidden="1" customHeight="1">
      <c r="A463" s="5" t="s">
        <v>155</v>
      </c>
      <c r="B463" s="5" t="s">
        <v>137</v>
      </c>
      <c r="C463" s="5" t="b">
        <v>1</v>
      </c>
      <c r="D463" s="5" t="s">
        <v>1707</v>
      </c>
      <c r="E463" s="5" t="s">
        <v>2077</v>
      </c>
      <c r="F463" s="5"/>
      <c r="G463" s="5" t="s">
        <v>1002</v>
      </c>
      <c r="H463" s="5" t="s">
        <v>76</v>
      </c>
      <c r="I463" s="5" t="s">
        <v>82</v>
      </c>
      <c r="J463" s="25" t="s">
        <v>2175</v>
      </c>
      <c r="K463" s="25"/>
      <c r="L463" s="25"/>
      <c r="M463" s="5" t="s">
        <v>109</v>
      </c>
      <c r="N463" s="5" t="s">
        <v>1027</v>
      </c>
      <c r="O463" s="5" t="s">
        <v>69</v>
      </c>
      <c r="P463" s="5" t="s">
        <v>107</v>
      </c>
      <c r="Q463" s="5" t="b">
        <v>1</v>
      </c>
      <c r="R463" s="5" t="b">
        <v>0</v>
      </c>
      <c r="S463" s="5"/>
      <c r="T463" s="5">
        <v>2300.0</v>
      </c>
      <c r="U463" s="26">
        <v>2.08</v>
      </c>
      <c r="V463" s="5">
        <v>1106.0</v>
      </c>
      <c r="W463" s="27">
        <v>0.0</v>
      </c>
      <c r="X463" s="28">
        <v>1106.0</v>
      </c>
      <c r="Y463" s="27">
        <v>1.0</v>
      </c>
      <c r="Z463" s="5" t="s">
        <v>242</v>
      </c>
      <c r="AA463" s="5">
        <v>0.56</v>
      </c>
      <c r="AB463" s="5"/>
      <c r="AC463" s="5" t="s">
        <v>80</v>
      </c>
      <c r="AD463" s="5" t="s">
        <v>81</v>
      </c>
      <c r="AE463" s="5">
        <v>2.0</v>
      </c>
      <c r="AF463" s="5">
        <v>2.0</v>
      </c>
      <c r="AG463" s="5" t="s">
        <v>0</v>
      </c>
      <c r="AH463" s="5" t="s">
        <v>0</v>
      </c>
      <c r="AI463" s="56"/>
      <c r="AJ463" s="28">
        <v>820.0</v>
      </c>
      <c r="AK463" s="28">
        <v>0.0</v>
      </c>
      <c r="AL463" s="28">
        <v>0.0</v>
      </c>
      <c r="AM463" s="28">
        <v>0.0</v>
      </c>
      <c r="AN463" s="28">
        <v>0.0</v>
      </c>
      <c r="AO463" s="28">
        <v>906731.4</v>
      </c>
      <c r="AP463" s="28">
        <v>0.0</v>
      </c>
      <c r="AQ463" s="28">
        <v>0.0</v>
      </c>
      <c r="AR463" s="28">
        <v>0.0</v>
      </c>
      <c r="AS463" s="28">
        <v>0.0</v>
      </c>
      <c r="AT463" s="28">
        <v>722695.8701754387</v>
      </c>
      <c r="AU463" s="28">
        <v>0.0</v>
      </c>
      <c r="AV463" s="28">
        <v>0.0</v>
      </c>
      <c r="AW463" s="28">
        <v>0.0</v>
      </c>
      <c r="AX463" s="5"/>
      <c r="AY463" s="5" t="str">
        <f t="array" ref="AY463">IFERROR(_xlfn.XLOOKUP($E463,'FW27'!$C$3:$C$1102,'FW27'!$AM$3:$AM$1102),"")</f>
        <v>Outdoor</v>
      </c>
      <c r="AZ463" s="5" t="str">
        <f t="array" ref="AZ463">IFERROR(_xlfn.XLOOKUP($E463,'FW27'!$C$3:$C$1102,'FW27'!$AN$3:$AN$1102),"")</f>
        <v>Trail Run &amp; Fast Hike</v>
      </c>
      <c r="BB463" s="5" t="str">
        <f t="array" ref="BB463">IFERROR(_xlfn.XLOOKUP($E463,'FW27'!$C$3:$C$1102,'FW27'!$AS$3:$AS$1102),"")</f>
        <v>Footwear</v>
      </c>
      <c r="BC463" s="5" t="str">
        <f t="array" ref="BC463">IFERROR(_xlfn.XLOOKUP($E463,'FW27'!$C$3:$C$1102,'FW27'!$AT$3:$AT$1102),"")</f>
        <v>Boot (Mid)</v>
      </c>
      <c r="BD463" s="5" t="str">
        <f t="array" ref="BD463">IFERROR(_xlfn.XLOOKUP($E463,'FW27'!$C$3:$C$1102,'FW27'!$AU$3:$AU$1102),"")</f>
        <v>Waterproof (GTX/Proof)</v>
      </c>
      <c r="BE463" s="5" t="str">
        <f t="array" ref="BE463">IFERROR(_xlfn.XLOOKUP($E463,'FW27'!$C$3:$C$1102,'FW27'!$AV$3:$AV$1102),"")</f>
        <v>Y</v>
      </c>
    </row>
    <row r="464" ht="16.5" customHeight="1">
      <c r="A464" s="5" t="s">
        <v>155</v>
      </c>
      <c r="B464" s="24" t="s">
        <v>0</v>
      </c>
      <c r="C464" s="5" t="b">
        <v>1</v>
      </c>
      <c r="D464" s="5" t="s">
        <v>2049</v>
      </c>
      <c r="E464" s="5" t="s">
        <v>2050</v>
      </c>
      <c r="F464" s="5"/>
      <c r="G464" s="5" t="s">
        <v>1002</v>
      </c>
      <c r="H464" s="5" t="s">
        <v>84</v>
      </c>
      <c r="I464" s="5" t="s">
        <v>82</v>
      </c>
      <c r="J464" s="25" t="s">
        <v>164</v>
      </c>
      <c r="K464" s="25"/>
      <c r="L464" s="25"/>
      <c r="M464" s="5" t="s">
        <v>109</v>
      </c>
      <c r="N464" s="5" t="s">
        <v>1027</v>
      </c>
      <c r="O464" s="5" t="s">
        <v>69</v>
      </c>
      <c r="P464" s="5" t="s">
        <v>70</v>
      </c>
      <c r="Q464" s="5" t="b">
        <v>1</v>
      </c>
      <c r="R464" s="5" t="b">
        <v>0</v>
      </c>
      <c r="S464" s="5"/>
      <c r="T464" s="5">
        <v>2200.0</v>
      </c>
      <c r="U464" s="26">
        <v>2.08</v>
      </c>
      <c r="V464" s="5">
        <v>1058.0</v>
      </c>
      <c r="W464" s="27">
        <v>0.0</v>
      </c>
      <c r="X464" s="28">
        <v>1058.0</v>
      </c>
      <c r="Y464" s="27">
        <v>1.0</v>
      </c>
      <c r="Z464" s="5" t="s">
        <v>242</v>
      </c>
      <c r="AA464" s="5">
        <v>0.6</v>
      </c>
      <c r="AB464" s="5"/>
      <c r="AC464" s="5" t="s">
        <v>81</v>
      </c>
      <c r="AD464" s="24" t="s">
        <v>0</v>
      </c>
      <c r="AE464" s="24">
        <v>0.0</v>
      </c>
      <c r="AF464" s="5">
        <v>0.0</v>
      </c>
      <c r="AG464" s="5" t="s">
        <v>0</v>
      </c>
      <c r="AH464" s="5" t="s">
        <v>0</v>
      </c>
      <c r="AI464" s="42"/>
      <c r="AJ464" s="28">
        <v>0.0</v>
      </c>
      <c r="AK464" s="28">
        <v>0.0</v>
      </c>
      <c r="AL464" s="28">
        <v>0.0</v>
      </c>
      <c r="AM464" s="28">
        <v>0.0</v>
      </c>
      <c r="AN464" s="28">
        <v>0.0</v>
      </c>
      <c r="AO464" s="28">
        <v>0.0</v>
      </c>
      <c r="AP464" s="28">
        <v>0.0</v>
      </c>
      <c r="AQ464" s="28">
        <v>0.0</v>
      </c>
      <c r="AR464" s="28">
        <v>0.0</v>
      </c>
      <c r="AS464" s="28">
        <v>0.0</v>
      </c>
      <c r="AT464" s="28">
        <v>0.0</v>
      </c>
      <c r="AU464" s="28">
        <v>0.0</v>
      </c>
      <c r="AV464" s="28">
        <v>0.0</v>
      </c>
      <c r="AW464" s="28">
        <v>0.0</v>
      </c>
      <c r="AX464" s="5"/>
      <c r="AY464" s="5" t="s">
        <v>125</v>
      </c>
      <c r="AZ464" s="5" t="s">
        <v>127</v>
      </c>
      <c r="BB464" s="5" t="s">
        <v>1002</v>
      </c>
      <c r="BC464" s="5" t="s">
        <v>1005</v>
      </c>
      <c r="BD464" s="5" t="s">
        <v>1006</v>
      </c>
      <c r="BE464" s="5" t="s">
        <v>131</v>
      </c>
      <c r="BF464" s="5" t="s">
        <v>2177</v>
      </c>
    </row>
    <row r="465" ht="16.5" customHeight="1">
      <c r="A465" s="5" t="s">
        <v>155</v>
      </c>
      <c r="B465" s="24" t="s">
        <v>0</v>
      </c>
      <c r="C465" s="5" t="b">
        <v>1</v>
      </c>
      <c r="D465" s="5" t="s">
        <v>2051</v>
      </c>
      <c r="E465" s="5" t="s">
        <v>2052</v>
      </c>
      <c r="F465" s="5"/>
      <c r="G465" s="5" t="s">
        <v>1002</v>
      </c>
      <c r="H465" s="5" t="s">
        <v>84</v>
      </c>
      <c r="I465" s="5" t="s">
        <v>82</v>
      </c>
      <c r="J465" s="25" t="s">
        <v>164</v>
      </c>
      <c r="K465" s="25"/>
      <c r="L465" s="25"/>
      <c r="M465" s="5" t="s">
        <v>109</v>
      </c>
      <c r="N465" s="5" t="s">
        <v>1027</v>
      </c>
      <c r="O465" s="5" t="s">
        <v>69</v>
      </c>
      <c r="P465" s="5" t="s">
        <v>107</v>
      </c>
      <c r="Q465" s="5" t="b">
        <v>1</v>
      </c>
      <c r="R465" s="5" t="b">
        <v>0</v>
      </c>
      <c r="S465" s="5"/>
      <c r="T465" s="5">
        <v>2200.0</v>
      </c>
      <c r="U465" s="26">
        <v>2.08</v>
      </c>
      <c r="V465" s="5">
        <v>1058.0</v>
      </c>
      <c r="W465" s="27">
        <v>0.0</v>
      </c>
      <c r="X465" s="28">
        <v>1058.0</v>
      </c>
      <c r="Y465" s="27">
        <v>1.0</v>
      </c>
      <c r="Z465" s="5" t="s">
        <v>242</v>
      </c>
      <c r="AA465" s="5">
        <v>0.6</v>
      </c>
      <c r="AB465" s="5"/>
      <c r="AC465" s="5" t="s">
        <v>81</v>
      </c>
      <c r="AD465" s="24" t="s">
        <v>0</v>
      </c>
      <c r="AE465" s="24">
        <v>0.0</v>
      </c>
      <c r="AF465" s="5">
        <v>0.0</v>
      </c>
      <c r="AG465" s="5" t="s">
        <v>0</v>
      </c>
      <c r="AH465" s="5" t="s">
        <v>0</v>
      </c>
      <c r="AI465" s="42"/>
      <c r="AJ465" s="28">
        <v>0.0</v>
      </c>
      <c r="AK465" s="28">
        <v>0.0</v>
      </c>
      <c r="AL465" s="28">
        <v>0.0</v>
      </c>
      <c r="AM465" s="28">
        <v>0.0</v>
      </c>
      <c r="AN465" s="28">
        <v>0.0</v>
      </c>
      <c r="AO465" s="28">
        <v>0.0</v>
      </c>
      <c r="AP465" s="28">
        <v>0.0</v>
      </c>
      <c r="AQ465" s="28">
        <v>0.0</v>
      </c>
      <c r="AR465" s="28">
        <v>0.0</v>
      </c>
      <c r="AS465" s="28">
        <v>0.0</v>
      </c>
      <c r="AT465" s="28">
        <v>0.0</v>
      </c>
      <c r="AU465" s="28">
        <v>0.0</v>
      </c>
      <c r="AV465" s="28">
        <v>0.0</v>
      </c>
      <c r="AW465" s="28">
        <v>0.0</v>
      </c>
      <c r="AX465" s="5"/>
      <c r="AY465" s="5" t="s">
        <v>125</v>
      </c>
      <c r="AZ465" s="5" t="s">
        <v>127</v>
      </c>
      <c r="BB465" s="5" t="s">
        <v>1002</v>
      </c>
      <c r="BC465" s="5" t="s">
        <v>1005</v>
      </c>
      <c r="BD465" s="5" t="s">
        <v>1006</v>
      </c>
      <c r="BE465" s="5" t="s">
        <v>131</v>
      </c>
      <c r="BF465" s="5" t="s">
        <v>2177</v>
      </c>
    </row>
    <row r="466" ht="16.5" hidden="1" customHeight="1">
      <c r="A466" s="5" t="s">
        <v>155</v>
      </c>
      <c r="B466" s="24" t="s">
        <v>0</v>
      </c>
      <c r="C466" s="5" t="b">
        <v>1</v>
      </c>
      <c r="D466" s="5" t="s">
        <v>2053</v>
      </c>
      <c r="E466" s="5" t="s">
        <v>2054</v>
      </c>
      <c r="F466" s="5"/>
      <c r="G466" s="5" t="s">
        <v>1002</v>
      </c>
      <c r="H466" s="5" t="s">
        <v>84</v>
      </c>
      <c r="I466" s="5" t="s">
        <v>82</v>
      </c>
      <c r="J466" s="25" t="s">
        <v>164</v>
      </c>
      <c r="K466" s="25"/>
      <c r="L466" s="25"/>
      <c r="M466" s="5" t="s">
        <v>109</v>
      </c>
      <c r="N466" s="5" t="s">
        <v>1027</v>
      </c>
      <c r="O466" s="5" t="s">
        <v>69</v>
      </c>
      <c r="P466" s="5" t="s">
        <v>70</v>
      </c>
      <c r="Q466" s="5" t="b">
        <v>1</v>
      </c>
      <c r="R466" s="5" t="b">
        <v>0</v>
      </c>
      <c r="S466" s="5"/>
      <c r="T466" s="5">
        <v>2700.0</v>
      </c>
      <c r="U466" s="26">
        <v>2.08</v>
      </c>
      <c r="V466" s="5">
        <v>1298.0</v>
      </c>
      <c r="W466" s="27">
        <v>0.0</v>
      </c>
      <c r="X466" s="28">
        <v>1298.0</v>
      </c>
      <c r="Y466" s="27">
        <v>1.0</v>
      </c>
      <c r="Z466" s="5" t="s">
        <v>242</v>
      </c>
      <c r="AA466" s="5">
        <v>0.573</v>
      </c>
      <c r="AB466" s="5"/>
      <c r="AC466" s="5" t="s">
        <v>80</v>
      </c>
      <c r="AD466" s="24" t="s">
        <v>0</v>
      </c>
      <c r="AE466" s="24">
        <v>0.0</v>
      </c>
      <c r="AF466" s="5">
        <v>0.0</v>
      </c>
      <c r="AG466" s="5" t="s">
        <v>0</v>
      </c>
      <c r="AH466" s="5" t="s">
        <v>0</v>
      </c>
      <c r="AI466" s="42"/>
      <c r="AJ466" s="28">
        <v>0.0</v>
      </c>
      <c r="AK466" s="28">
        <v>0.0</v>
      </c>
      <c r="AL466" s="28">
        <v>0.0</v>
      </c>
      <c r="AM466" s="28">
        <v>0.0</v>
      </c>
      <c r="AN466" s="28">
        <v>0.0</v>
      </c>
      <c r="AO466" s="28">
        <v>0.0</v>
      </c>
      <c r="AP466" s="28">
        <v>0.0</v>
      </c>
      <c r="AQ466" s="28">
        <v>0.0</v>
      </c>
      <c r="AR466" s="28">
        <v>0.0</v>
      </c>
      <c r="AS466" s="28">
        <v>0.0</v>
      </c>
      <c r="AT466" s="28">
        <v>0.0</v>
      </c>
      <c r="AU466" s="28">
        <v>0.0</v>
      </c>
      <c r="AV466" s="28">
        <v>0.0</v>
      </c>
      <c r="AW466" s="28">
        <v>0.0</v>
      </c>
      <c r="AX466" s="5"/>
      <c r="AY466" s="5" t="s">
        <v>86</v>
      </c>
      <c r="AZ466" s="5" t="s">
        <v>512</v>
      </c>
      <c r="BB466" s="5" t="s">
        <v>1002</v>
      </c>
      <c r="BC466" s="5" t="s">
        <v>1005</v>
      </c>
      <c r="BD466" s="5" t="s">
        <v>1016</v>
      </c>
      <c r="BE466" s="5" t="s">
        <v>91</v>
      </c>
    </row>
    <row r="467" ht="16.5" hidden="1" customHeight="1">
      <c r="A467" s="5" t="s">
        <v>155</v>
      </c>
      <c r="B467" s="24" t="s">
        <v>0</v>
      </c>
      <c r="C467" s="5" t="b">
        <v>1</v>
      </c>
      <c r="D467" s="5" t="s">
        <v>2055</v>
      </c>
      <c r="E467" s="5" t="s">
        <v>2056</v>
      </c>
      <c r="F467" s="5"/>
      <c r="G467" s="5" t="s">
        <v>1002</v>
      </c>
      <c r="H467" s="5" t="s">
        <v>84</v>
      </c>
      <c r="I467" s="5" t="s">
        <v>82</v>
      </c>
      <c r="J467" s="25" t="s">
        <v>164</v>
      </c>
      <c r="K467" s="25"/>
      <c r="L467" s="25"/>
      <c r="M467" s="5" t="s">
        <v>109</v>
      </c>
      <c r="N467" s="5" t="s">
        <v>1027</v>
      </c>
      <c r="O467" s="5" t="s">
        <v>69</v>
      </c>
      <c r="P467" s="5" t="s">
        <v>107</v>
      </c>
      <c r="Q467" s="5" t="b">
        <v>1</v>
      </c>
      <c r="R467" s="5" t="b">
        <v>0</v>
      </c>
      <c r="S467" s="5"/>
      <c r="T467" s="5">
        <v>2700.0</v>
      </c>
      <c r="U467" s="26">
        <v>2.08</v>
      </c>
      <c r="V467" s="5">
        <v>1298.0</v>
      </c>
      <c r="W467" s="27">
        <v>0.0</v>
      </c>
      <c r="X467" s="28">
        <v>1298.0</v>
      </c>
      <c r="Y467" s="27">
        <v>1.0</v>
      </c>
      <c r="Z467" s="5" t="s">
        <v>242</v>
      </c>
      <c r="AA467" s="5">
        <v>0.573</v>
      </c>
      <c r="AB467" s="5"/>
      <c r="AC467" s="5" t="s">
        <v>80</v>
      </c>
      <c r="AD467" s="24" t="s">
        <v>0</v>
      </c>
      <c r="AE467" s="24">
        <v>0.0</v>
      </c>
      <c r="AF467" s="5">
        <v>0.0</v>
      </c>
      <c r="AG467" s="5" t="s">
        <v>0</v>
      </c>
      <c r="AH467" s="5" t="s">
        <v>0</v>
      </c>
      <c r="AI467" s="42"/>
      <c r="AJ467" s="28">
        <v>0.0</v>
      </c>
      <c r="AK467" s="28">
        <v>0.0</v>
      </c>
      <c r="AL467" s="28">
        <v>0.0</v>
      </c>
      <c r="AM467" s="28">
        <v>0.0</v>
      </c>
      <c r="AN467" s="28">
        <v>0.0</v>
      </c>
      <c r="AO467" s="28">
        <v>0.0</v>
      </c>
      <c r="AP467" s="28">
        <v>0.0</v>
      </c>
      <c r="AQ467" s="28">
        <v>0.0</v>
      </c>
      <c r="AR467" s="28">
        <v>0.0</v>
      </c>
      <c r="AS467" s="28">
        <v>0.0</v>
      </c>
      <c r="AT467" s="28">
        <v>0.0</v>
      </c>
      <c r="AU467" s="28">
        <v>0.0</v>
      </c>
      <c r="AV467" s="28">
        <v>0.0</v>
      </c>
      <c r="AW467" s="28">
        <v>0.0</v>
      </c>
      <c r="AX467" s="5"/>
      <c r="AY467" s="5" t="s">
        <v>86</v>
      </c>
      <c r="AZ467" s="5" t="s">
        <v>512</v>
      </c>
      <c r="BB467" s="5" t="s">
        <v>1002</v>
      </c>
      <c r="BC467" s="5" t="s">
        <v>1005</v>
      </c>
      <c r="BD467" s="5" t="s">
        <v>1016</v>
      </c>
      <c r="BE467" s="5" t="s">
        <v>91</v>
      </c>
    </row>
    <row r="468" ht="16.5" hidden="1" customHeight="1">
      <c r="A468" s="5" t="s">
        <v>155</v>
      </c>
      <c r="B468" s="24" t="s">
        <v>0</v>
      </c>
      <c r="C468" s="5" t="b">
        <v>1</v>
      </c>
      <c r="D468" s="5" t="s">
        <v>2057</v>
      </c>
      <c r="E468" s="5" t="s">
        <v>2058</v>
      </c>
      <c r="F468" s="5"/>
      <c r="G468" s="5" t="s">
        <v>1002</v>
      </c>
      <c r="H468" s="5" t="s">
        <v>84</v>
      </c>
      <c r="I468" s="5" t="s">
        <v>82</v>
      </c>
      <c r="J468" s="25" t="s">
        <v>164</v>
      </c>
      <c r="K468" s="25"/>
      <c r="L468" s="25"/>
      <c r="M468" s="5" t="s">
        <v>109</v>
      </c>
      <c r="N468" s="5" t="s">
        <v>1027</v>
      </c>
      <c r="O468" s="5" t="s">
        <v>69</v>
      </c>
      <c r="P468" s="5" t="s">
        <v>70</v>
      </c>
      <c r="Q468" s="5" t="b">
        <v>1</v>
      </c>
      <c r="R468" s="5" t="b">
        <v>0</v>
      </c>
      <c r="S468" s="5"/>
      <c r="T468" s="5">
        <v>2400.0</v>
      </c>
      <c r="U468" s="26">
        <v>2.08</v>
      </c>
      <c r="V468" s="5">
        <v>1154.0</v>
      </c>
      <c r="W468" s="27">
        <v>0.0</v>
      </c>
      <c r="X468" s="28">
        <v>1154.0</v>
      </c>
      <c r="Y468" s="27">
        <v>1.0</v>
      </c>
      <c r="Z468" s="5" t="s">
        <v>242</v>
      </c>
      <c r="AA468" s="5">
        <v>0.5670000000000001</v>
      </c>
      <c r="AB468" s="5"/>
      <c r="AC468" s="5" t="s">
        <v>81</v>
      </c>
      <c r="AD468" s="24" t="s">
        <v>0</v>
      </c>
      <c r="AE468" s="24">
        <v>0.0</v>
      </c>
      <c r="AF468" s="5">
        <v>0.0</v>
      </c>
      <c r="AG468" s="5" t="s">
        <v>0</v>
      </c>
      <c r="AH468" s="5" t="s">
        <v>0</v>
      </c>
      <c r="AI468" s="42"/>
      <c r="AJ468" s="28">
        <v>0.0</v>
      </c>
      <c r="AK468" s="28">
        <v>0.0</v>
      </c>
      <c r="AL468" s="28">
        <v>0.0</v>
      </c>
      <c r="AM468" s="28">
        <v>0.0</v>
      </c>
      <c r="AN468" s="28">
        <v>0.0</v>
      </c>
      <c r="AO468" s="28">
        <v>0.0</v>
      </c>
      <c r="AP468" s="28">
        <v>0.0</v>
      </c>
      <c r="AQ468" s="28">
        <v>0.0</v>
      </c>
      <c r="AR468" s="28">
        <v>0.0</v>
      </c>
      <c r="AS468" s="28">
        <v>0.0</v>
      </c>
      <c r="AT468" s="28">
        <v>0.0</v>
      </c>
      <c r="AU468" s="28">
        <v>0.0</v>
      </c>
      <c r="AV468" s="28">
        <v>0.0</v>
      </c>
      <c r="AW468" s="28">
        <v>0.0</v>
      </c>
      <c r="AX468" s="5"/>
      <c r="AY468" s="5" t="s">
        <v>86</v>
      </c>
      <c r="AZ468" s="5" t="s">
        <v>512</v>
      </c>
      <c r="BB468" s="5" t="s">
        <v>1002</v>
      </c>
      <c r="BC468" s="5" t="s">
        <v>1005</v>
      </c>
      <c r="BD468" s="5" t="s">
        <v>1006</v>
      </c>
      <c r="BE468" s="5" t="s">
        <v>131</v>
      </c>
    </row>
    <row r="469" ht="16.5" hidden="1" customHeight="1">
      <c r="A469" s="5" t="s">
        <v>155</v>
      </c>
      <c r="B469" s="24" t="s">
        <v>0</v>
      </c>
      <c r="C469" s="5" t="b">
        <v>1</v>
      </c>
      <c r="D469" s="5" t="s">
        <v>2059</v>
      </c>
      <c r="E469" s="5" t="s">
        <v>2060</v>
      </c>
      <c r="F469" s="5"/>
      <c r="G469" s="5" t="s">
        <v>1002</v>
      </c>
      <c r="H469" s="5" t="s">
        <v>84</v>
      </c>
      <c r="I469" s="5" t="s">
        <v>82</v>
      </c>
      <c r="J469" s="25" t="s">
        <v>164</v>
      </c>
      <c r="K469" s="25"/>
      <c r="L469" s="25"/>
      <c r="M469" s="5" t="s">
        <v>109</v>
      </c>
      <c r="N469" s="5" t="s">
        <v>1027</v>
      </c>
      <c r="O469" s="5" t="s">
        <v>69</v>
      </c>
      <c r="P469" s="5" t="s">
        <v>107</v>
      </c>
      <c r="Q469" s="5" t="b">
        <v>1</v>
      </c>
      <c r="R469" s="5" t="b">
        <v>0</v>
      </c>
      <c r="S469" s="5"/>
      <c r="T469" s="5">
        <v>2400.0</v>
      </c>
      <c r="U469" s="26">
        <v>2.08</v>
      </c>
      <c r="V469" s="5">
        <v>1154.0</v>
      </c>
      <c r="W469" s="27">
        <v>0.0</v>
      </c>
      <c r="X469" s="28">
        <v>1154.0</v>
      </c>
      <c r="Y469" s="27">
        <v>1.0</v>
      </c>
      <c r="Z469" s="5" t="s">
        <v>242</v>
      </c>
      <c r="AA469" s="5">
        <v>0.5670000000000001</v>
      </c>
      <c r="AB469" s="5"/>
      <c r="AC469" s="5" t="s">
        <v>81</v>
      </c>
      <c r="AD469" s="24" t="s">
        <v>0</v>
      </c>
      <c r="AE469" s="24">
        <v>0.0</v>
      </c>
      <c r="AF469" s="5">
        <v>0.0</v>
      </c>
      <c r="AG469" s="5" t="s">
        <v>0</v>
      </c>
      <c r="AH469" s="5" t="s">
        <v>0</v>
      </c>
      <c r="AI469" s="42"/>
      <c r="AJ469" s="28">
        <v>0.0</v>
      </c>
      <c r="AK469" s="28">
        <v>0.0</v>
      </c>
      <c r="AL469" s="28">
        <v>0.0</v>
      </c>
      <c r="AM469" s="28">
        <v>0.0</v>
      </c>
      <c r="AN469" s="28">
        <v>0.0</v>
      </c>
      <c r="AO469" s="28">
        <v>0.0</v>
      </c>
      <c r="AP469" s="28">
        <v>0.0</v>
      </c>
      <c r="AQ469" s="28">
        <v>0.0</v>
      </c>
      <c r="AR469" s="28">
        <v>0.0</v>
      </c>
      <c r="AS469" s="28">
        <v>0.0</v>
      </c>
      <c r="AT469" s="28">
        <v>0.0</v>
      </c>
      <c r="AU469" s="28">
        <v>0.0</v>
      </c>
      <c r="AV469" s="28">
        <v>0.0</v>
      </c>
      <c r="AW469" s="28">
        <v>0.0</v>
      </c>
      <c r="AX469" s="5"/>
      <c r="AY469" s="5" t="s">
        <v>86</v>
      </c>
      <c r="AZ469" s="5" t="s">
        <v>512</v>
      </c>
      <c r="BB469" s="5" t="s">
        <v>1002</v>
      </c>
      <c r="BC469" s="5" t="s">
        <v>1005</v>
      </c>
      <c r="BD469" s="5" t="s">
        <v>1006</v>
      </c>
      <c r="BE469" s="5" t="s">
        <v>131</v>
      </c>
    </row>
    <row r="470" ht="16.5" hidden="1" customHeight="1">
      <c r="A470" s="5" t="s">
        <v>155</v>
      </c>
      <c r="B470" s="5" t="s">
        <v>137</v>
      </c>
      <c r="C470" s="5" t="b">
        <v>1</v>
      </c>
      <c r="D470" s="5" t="s">
        <v>1101</v>
      </c>
      <c r="E470" s="5" t="s">
        <v>1102</v>
      </c>
      <c r="F470" s="5"/>
      <c r="G470" s="5" t="s">
        <v>1002</v>
      </c>
      <c r="H470" s="5" t="s">
        <v>84</v>
      </c>
      <c r="I470" s="5" t="s">
        <v>82</v>
      </c>
      <c r="J470" s="25"/>
      <c r="K470" s="25"/>
      <c r="L470" s="25"/>
      <c r="M470" s="5" t="s">
        <v>66</v>
      </c>
      <c r="N470" s="5" t="s">
        <v>1003</v>
      </c>
      <c r="O470" s="5" t="s">
        <v>69</v>
      </c>
      <c r="P470" s="5" t="s">
        <v>70</v>
      </c>
      <c r="Q470" s="5" t="b">
        <v>1</v>
      </c>
      <c r="R470" s="5" t="b">
        <v>0</v>
      </c>
      <c r="S470" s="5"/>
      <c r="T470" s="5">
        <v>1800.0</v>
      </c>
      <c r="U470" s="26">
        <v>2.08</v>
      </c>
      <c r="V470" s="5">
        <v>865.0</v>
      </c>
      <c r="W470" s="27">
        <v>0.0</v>
      </c>
      <c r="X470" s="28">
        <v>865.0</v>
      </c>
      <c r="Y470" s="27">
        <v>1.0</v>
      </c>
      <c r="Z470" s="5" t="s">
        <v>117</v>
      </c>
      <c r="AA470" s="5">
        <v>0.58</v>
      </c>
      <c r="AB470" s="5"/>
      <c r="AC470" s="5" t="s">
        <v>166</v>
      </c>
      <c r="AD470" s="5" t="s">
        <v>81</v>
      </c>
      <c r="AE470" s="24">
        <v>0.0</v>
      </c>
      <c r="AF470" s="5">
        <v>2.0</v>
      </c>
      <c r="AG470" s="5" t="s">
        <v>0</v>
      </c>
      <c r="AH470" s="5" t="s">
        <v>0</v>
      </c>
      <c r="AI470" s="42"/>
      <c r="AJ470" s="28">
        <v>1311.0</v>
      </c>
      <c r="AK470" s="28">
        <v>0.0</v>
      </c>
      <c r="AL470" s="28">
        <v>0.0</v>
      </c>
      <c r="AM470" s="28">
        <v>1725.0</v>
      </c>
      <c r="AN470" s="28">
        <v>0.0</v>
      </c>
      <c r="AO470" s="28">
        <v>1134513.1800000002</v>
      </c>
      <c r="AP470" s="28">
        <v>0.0</v>
      </c>
      <c r="AQ470" s="28">
        <v>0.0</v>
      </c>
      <c r="AR470" s="28">
        <v>1492780.5</v>
      </c>
      <c r="AS470" s="28">
        <v>0.0</v>
      </c>
      <c r="AT470" s="28">
        <v>963047.3023713127</v>
      </c>
      <c r="AU470" s="28">
        <v>0.0</v>
      </c>
      <c r="AV470" s="28">
        <v>0.0</v>
      </c>
      <c r="AW470" s="28">
        <v>1098729.5790591866</v>
      </c>
      <c r="AX470" s="5"/>
      <c r="AY470" s="5" t="str">
        <f t="array" ref="AY470">IFERROR(_xlfn.XLOOKUP($E470,'FW27'!$C$3:$C$1102,'FW27'!$AM$3:$AM$1102),"")</f>
        <v>Outdoor</v>
      </c>
      <c r="AZ470" s="5" t="str">
        <f t="array" ref="AZ470">IFERROR(_xlfn.XLOOKUP($E470,'FW27'!$C$3:$C$1102,'FW27'!$AN$3:$AN$1102),"")</f>
        <v>Day Hiking</v>
      </c>
      <c r="BB470" s="5" t="str">
        <f t="array" ref="BB470">IFERROR(_xlfn.XLOOKUP($E470,'FW27'!$C$3:$C$1102,'FW27'!$AS$3:$AS$1102),"")</f>
        <v>Footwear</v>
      </c>
      <c r="BC470" s="5" t="str">
        <f t="array" ref="BC470">IFERROR(_xlfn.XLOOKUP($E470,'FW27'!$C$3:$C$1102,'FW27'!$AT$3:$AT$1102),"")</f>
        <v>Shoe (Low)</v>
      </c>
      <c r="BD470" s="5" t="str">
        <f t="array" ref="BD470">IFERROR(_xlfn.XLOOKUP($E470,'FW27'!$C$3:$C$1102,'FW27'!$AU$3:$AU$1102),"")</f>
        <v>Waterproof (GTX/Proof)</v>
      </c>
      <c r="BE470" s="5" t="str">
        <f t="array" ref="BE470">IFERROR(_xlfn.XLOOKUP($E470,'FW27'!$C$3:$C$1102,'FW27'!$AV$3:$AV$1102),"")</f>
        <v>Y</v>
      </c>
    </row>
    <row r="471" ht="16.5" hidden="1" customHeight="1">
      <c r="A471" s="5" t="s">
        <v>155</v>
      </c>
      <c r="B471" s="5" t="s">
        <v>137</v>
      </c>
      <c r="C471" s="5" t="b">
        <v>1</v>
      </c>
      <c r="D471" s="5" t="s">
        <v>1103</v>
      </c>
      <c r="E471" s="5" t="s">
        <v>1104</v>
      </c>
      <c r="F471" s="5"/>
      <c r="G471" s="5" t="s">
        <v>1002</v>
      </c>
      <c r="H471" s="5" t="s">
        <v>84</v>
      </c>
      <c r="I471" s="5" t="s">
        <v>82</v>
      </c>
      <c r="J471" s="25"/>
      <c r="K471" s="25"/>
      <c r="L471" s="25"/>
      <c r="M471" s="5" t="s">
        <v>66</v>
      </c>
      <c r="N471" s="5" t="s">
        <v>1003</v>
      </c>
      <c r="O471" s="5" t="s">
        <v>69</v>
      </c>
      <c r="P471" s="5" t="s">
        <v>107</v>
      </c>
      <c r="Q471" s="5" t="b">
        <v>1</v>
      </c>
      <c r="R471" s="5" t="b">
        <v>0</v>
      </c>
      <c r="S471" s="5"/>
      <c r="T471" s="5">
        <v>1800.0</v>
      </c>
      <c r="U471" s="26">
        <v>2.08</v>
      </c>
      <c r="V471" s="5">
        <v>865.0</v>
      </c>
      <c r="W471" s="27">
        <v>0.0</v>
      </c>
      <c r="X471" s="28">
        <v>865.0</v>
      </c>
      <c r="Y471" s="27">
        <v>1.0</v>
      </c>
      <c r="Z471" s="5" t="s">
        <v>117</v>
      </c>
      <c r="AA471" s="5">
        <v>0.0</v>
      </c>
      <c r="AB471" s="5"/>
      <c r="AC471" s="5" t="s">
        <v>166</v>
      </c>
      <c r="AD471" s="5" t="s">
        <v>81</v>
      </c>
      <c r="AE471" s="24">
        <v>0.0</v>
      </c>
      <c r="AF471" s="5">
        <v>2.0</v>
      </c>
      <c r="AG471" s="5" t="s">
        <v>0</v>
      </c>
      <c r="AH471" s="5" t="s">
        <v>0</v>
      </c>
      <c r="AI471" s="42"/>
      <c r="AJ471" s="28">
        <v>988.0</v>
      </c>
      <c r="AK471" s="28">
        <v>0.0</v>
      </c>
      <c r="AL471" s="28">
        <v>0.0</v>
      </c>
      <c r="AM471" s="28">
        <v>1211.0</v>
      </c>
      <c r="AN471" s="28">
        <v>0.0</v>
      </c>
      <c r="AO471" s="28">
        <v>854995.4400000002</v>
      </c>
      <c r="AP471" s="28">
        <v>0.0</v>
      </c>
      <c r="AQ471" s="28">
        <v>0.0</v>
      </c>
      <c r="AR471" s="28">
        <v>1047975.1800000002</v>
      </c>
      <c r="AS471" s="28">
        <v>0.0</v>
      </c>
      <c r="AT471" s="28">
        <v>729654.7041526894</v>
      </c>
      <c r="AU471" s="28">
        <v>0.0</v>
      </c>
      <c r="AV471" s="28">
        <v>0.0</v>
      </c>
      <c r="AW471" s="28">
        <v>801288.1436784269</v>
      </c>
      <c r="AX471" s="5"/>
      <c r="AY471" s="5" t="str">
        <f t="array" ref="AY471">IFERROR(_xlfn.XLOOKUP($E471,'FW27'!$C$3:$C$1102,'FW27'!$AM$3:$AM$1102),"")</f>
        <v>Outdoor</v>
      </c>
      <c r="AZ471" s="5" t="str">
        <f t="array" ref="AZ471">IFERROR(_xlfn.XLOOKUP($E471,'FW27'!$C$3:$C$1102,'FW27'!$AN$3:$AN$1102),"")</f>
        <v>Day Hiking</v>
      </c>
      <c r="BB471" s="5" t="str">
        <f t="array" ref="BB471">IFERROR(_xlfn.XLOOKUP($E471,'FW27'!$C$3:$C$1102,'FW27'!$AS$3:$AS$1102),"")</f>
        <v>Footwear</v>
      </c>
      <c r="BC471" s="5" t="str">
        <f t="array" ref="BC471">IFERROR(_xlfn.XLOOKUP($E471,'FW27'!$C$3:$C$1102,'FW27'!$AT$3:$AT$1102),"")</f>
        <v>Shoe (Low)</v>
      </c>
      <c r="BD471" s="5" t="str">
        <f t="array" ref="BD471">IFERROR(_xlfn.XLOOKUP($E471,'FW27'!$C$3:$C$1102,'FW27'!$AU$3:$AU$1102),"")</f>
        <v>Waterproof (GTX/Proof)</v>
      </c>
      <c r="BE471" s="5" t="str">
        <f t="array" ref="BE471">IFERROR(_xlfn.XLOOKUP($E471,'FW27'!$C$3:$C$1102,'FW27'!$AV$3:$AV$1102),"")</f>
        <v>Y</v>
      </c>
    </row>
    <row r="472" ht="16.5" hidden="1" customHeight="1">
      <c r="A472" s="5" t="s">
        <v>155</v>
      </c>
      <c r="B472" s="5" t="s">
        <v>137</v>
      </c>
      <c r="C472" s="5" t="b">
        <v>1</v>
      </c>
      <c r="D472" s="5" t="s">
        <v>1117</v>
      </c>
      <c r="E472" s="5" t="s">
        <v>1118</v>
      </c>
      <c r="F472" s="5"/>
      <c r="G472" s="5" t="s">
        <v>1109</v>
      </c>
      <c r="H472" s="5" t="s">
        <v>84</v>
      </c>
      <c r="I472" s="5" t="s">
        <v>82</v>
      </c>
      <c r="J472" s="25"/>
      <c r="K472" s="25"/>
      <c r="L472" s="25"/>
      <c r="M472" s="5" t="s">
        <v>66</v>
      </c>
      <c r="N472" s="5" t="s">
        <v>1119</v>
      </c>
      <c r="O472" s="5" t="s">
        <v>69</v>
      </c>
      <c r="P472" s="5" t="s">
        <v>249</v>
      </c>
      <c r="Q472" s="5" t="b">
        <v>1</v>
      </c>
      <c r="R472" s="5" t="b">
        <v>0</v>
      </c>
      <c r="S472" s="5"/>
      <c r="T472" s="5">
        <v>1500.0</v>
      </c>
      <c r="U472" s="26">
        <v>2.08</v>
      </c>
      <c r="V472" s="5">
        <v>721.0</v>
      </c>
      <c r="W472" s="27">
        <v>0.0</v>
      </c>
      <c r="X472" s="28">
        <v>721.0</v>
      </c>
      <c r="Y472" s="27">
        <v>1.0</v>
      </c>
      <c r="Z472" s="5" t="s">
        <v>242</v>
      </c>
      <c r="AA472" s="5">
        <v>0.644</v>
      </c>
      <c r="AB472" s="5"/>
      <c r="AC472" s="5" t="s">
        <v>81</v>
      </c>
      <c r="AD472" s="5" t="s">
        <v>81</v>
      </c>
      <c r="AE472" s="24">
        <v>0.0</v>
      </c>
      <c r="AF472" s="5">
        <v>2.0</v>
      </c>
      <c r="AG472" s="5" t="s">
        <v>0</v>
      </c>
      <c r="AH472" s="5" t="s">
        <v>0</v>
      </c>
      <c r="AI472" s="42">
        <v>600.0</v>
      </c>
      <c r="AJ472" s="28">
        <v>490.0</v>
      </c>
      <c r="AK472" s="28">
        <v>605.0</v>
      </c>
      <c r="AL472" s="28">
        <v>0.0</v>
      </c>
      <c r="AM472" s="28">
        <v>587.0</v>
      </c>
      <c r="AN472" s="28">
        <v>432600.0</v>
      </c>
      <c r="AO472" s="28">
        <v>353363.5</v>
      </c>
      <c r="AP472" s="28">
        <v>436205.0</v>
      </c>
      <c r="AQ472" s="28">
        <v>0.0</v>
      </c>
      <c r="AR472" s="28">
        <v>423315.05</v>
      </c>
      <c r="AS472" s="28">
        <v>432600.0</v>
      </c>
      <c r="AT472" s="28">
        <v>291143.1</v>
      </c>
      <c r="AU472" s="28">
        <v>298268.3335</v>
      </c>
      <c r="AV472" s="28">
        <v>0.0</v>
      </c>
      <c r="AW472" s="28">
        <v>356848.10615384614</v>
      </c>
      <c r="AX472" s="5"/>
      <c r="AY472" s="5" t="str">
        <f t="array" ref="AY472">IFERROR(_xlfn.XLOOKUP($E472,'FW27'!$C$3:$C$1102,'FW27'!$AM$3:$AM$1102),"")</f>
        <v>Essentials</v>
      </c>
      <c r="AZ472" s="5" t="str">
        <f t="array" ref="AZ472">IFERROR(_xlfn.XLOOKUP($E472,'FW27'!$C$3:$C$1102,'FW27'!$AN$3:$AN$1102),"")</f>
        <v>Daily Essentials</v>
      </c>
      <c r="BB472" s="5" t="str">
        <f t="array" ref="BB472">IFERROR(_xlfn.XLOOKUP($E472,'FW27'!$C$3:$C$1102,'FW27'!$AS$3:$AS$1102),"")</f>
        <v>Backpacks</v>
      </c>
      <c r="BC472" s="5" t="str">
        <f t="array" ref="BC472">IFERROR(_xlfn.XLOOKUP($E472,'FW27'!$C$3:$C$1102,'FW27'!$AT$3:$AT$1102),"")</f>
        <v>Daypack</v>
      </c>
      <c r="BD472" s="5" t="str">
        <f t="array" ref="BD472">IFERROR(_xlfn.XLOOKUP($E472,'FW27'!$C$3:$C$1102,'FW27'!$AU$3:$AU$1102),"")</f>
        <v/>
      </c>
      <c r="BE472" s="5" t="str">
        <f t="array" ref="BE472">IFERROR(_xlfn.XLOOKUP($E472,'FW27'!$C$3:$C$1102,'FW27'!$AV$3:$AV$1102),"")</f>
        <v>N</v>
      </c>
    </row>
    <row r="473" ht="16.5" hidden="1" customHeight="1">
      <c r="A473" s="5" t="s">
        <v>155</v>
      </c>
      <c r="B473" s="5" t="s">
        <v>137</v>
      </c>
      <c r="C473" s="5" t="b">
        <v>1</v>
      </c>
      <c r="D473" s="5" t="s">
        <v>1122</v>
      </c>
      <c r="E473" s="5" t="s">
        <v>1123</v>
      </c>
      <c r="F473" s="5"/>
      <c r="G473" s="5" t="s">
        <v>1109</v>
      </c>
      <c r="H473" s="5" t="s">
        <v>84</v>
      </c>
      <c r="I473" s="5" t="s">
        <v>82</v>
      </c>
      <c r="J473" s="25" t="s">
        <v>2175</v>
      </c>
      <c r="K473" s="25"/>
      <c r="L473" s="25"/>
      <c r="M473" s="5" t="s">
        <v>66</v>
      </c>
      <c r="N473" s="5" t="s">
        <v>1119</v>
      </c>
      <c r="O473" s="5" t="s">
        <v>69</v>
      </c>
      <c r="P473" s="5" t="s">
        <v>249</v>
      </c>
      <c r="Q473" s="5" t="b">
        <v>1</v>
      </c>
      <c r="R473" s="5" t="b">
        <v>0</v>
      </c>
      <c r="S473" s="5"/>
      <c r="T473" s="5">
        <v>1300.0</v>
      </c>
      <c r="U473" s="26">
        <v>2.08</v>
      </c>
      <c r="V473" s="5">
        <v>625.0</v>
      </c>
      <c r="W473" s="27">
        <v>0.0</v>
      </c>
      <c r="X473" s="28">
        <v>625.0</v>
      </c>
      <c r="Y473" s="27">
        <v>1.0</v>
      </c>
      <c r="Z473" s="5" t="s">
        <v>78</v>
      </c>
      <c r="AA473" s="5">
        <v>0.584</v>
      </c>
      <c r="AB473" s="5"/>
      <c r="AC473" s="5" t="s">
        <v>81</v>
      </c>
      <c r="AD473" s="5" t="s">
        <v>81</v>
      </c>
      <c r="AE473" s="24">
        <v>0.0</v>
      </c>
      <c r="AF473" s="5">
        <v>3.0</v>
      </c>
      <c r="AG473" s="5" t="s">
        <v>0</v>
      </c>
      <c r="AH473" s="5" t="s">
        <v>0</v>
      </c>
      <c r="AI473" s="42">
        <v>2000.0</v>
      </c>
      <c r="AJ473" s="28">
        <v>1930.0</v>
      </c>
      <c r="AK473" s="28">
        <v>1770.0</v>
      </c>
      <c r="AL473" s="28">
        <v>0.0</v>
      </c>
      <c r="AM473" s="28">
        <v>2649.0</v>
      </c>
      <c r="AN473" s="28">
        <v>1250000.0</v>
      </c>
      <c r="AO473" s="28">
        <v>1206250.0</v>
      </c>
      <c r="AP473" s="28">
        <v>1106250.0</v>
      </c>
      <c r="AQ473" s="28">
        <v>0.0</v>
      </c>
      <c r="AR473" s="28">
        <v>1655625.0</v>
      </c>
      <c r="AS473" s="28">
        <v>1250000.0</v>
      </c>
      <c r="AT473" s="28">
        <v>1038920.1856410257</v>
      </c>
      <c r="AU473" s="28">
        <v>965332.07286</v>
      </c>
      <c r="AV473" s="28">
        <v>0.0</v>
      </c>
      <c r="AW473" s="28">
        <v>1363241.5285897437</v>
      </c>
      <c r="AX473" s="5"/>
      <c r="AY473" s="5" t="str">
        <f t="array" ref="AY473">IFERROR(_xlfn.XLOOKUP($E473,'FW27'!$C$3:$C$1102,'FW27'!$AM$3:$AM$1102),"")</f>
        <v>Essentials</v>
      </c>
      <c r="AZ473" s="5" t="str">
        <f t="array" ref="AZ473">IFERROR(_xlfn.XLOOKUP($E473,'FW27'!$C$3:$C$1102,'FW27'!$AN$3:$AN$1102),"")</f>
        <v>Daily Essentials</v>
      </c>
      <c r="BB473" s="5" t="str">
        <f t="array" ref="BB473">IFERROR(_xlfn.XLOOKUP($E473,'FW27'!$C$3:$C$1102,'FW27'!$AS$3:$AS$1102),"")</f>
        <v>Backpacks</v>
      </c>
      <c r="BC473" s="5" t="str">
        <f t="array" ref="BC473">IFERROR(_xlfn.XLOOKUP($E473,'FW27'!$C$3:$C$1102,'FW27'!$AT$3:$AT$1102),"")</f>
        <v>Daypack</v>
      </c>
      <c r="BD473" s="5" t="str">
        <f t="array" ref="BD473">IFERROR(_xlfn.XLOOKUP($E473,'FW27'!$C$3:$C$1102,'FW27'!$AU$3:$AU$1102),"")</f>
        <v/>
      </c>
      <c r="BE473" s="5" t="str">
        <f t="array" ref="BE473">IFERROR(_xlfn.XLOOKUP($E473,'FW27'!$C$3:$C$1102,'FW27'!$AV$3:$AV$1102),"")</f>
        <v>N</v>
      </c>
    </row>
    <row r="474" ht="16.5" hidden="1" customHeight="1">
      <c r="A474" s="5" t="s">
        <v>155</v>
      </c>
      <c r="B474" s="5" t="s">
        <v>137</v>
      </c>
      <c r="C474" s="5" t="b">
        <v>1</v>
      </c>
      <c r="D474" s="5" t="s">
        <v>1124</v>
      </c>
      <c r="E474" s="5" t="s">
        <v>1125</v>
      </c>
      <c r="F474" s="5"/>
      <c r="G474" s="5" t="s">
        <v>1109</v>
      </c>
      <c r="H474" s="5" t="s">
        <v>84</v>
      </c>
      <c r="I474" s="5" t="s">
        <v>82</v>
      </c>
      <c r="J474" s="25" t="s">
        <v>2175</v>
      </c>
      <c r="K474" s="25"/>
      <c r="L474" s="25"/>
      <c r="M474" s="5" t="s">
        <v>66</v>
      </c>
      <c r="N474" s="5" t="s">
        <v>1119</v>
      </c>
      <c r="O474" s="5" t="s">
        <v>69</v>
      </c>
      <c r="P474" s="5" t="s">
        <v>249</v>
      </c>
      <c r="Q474" s="5" t="b">
        <v>1</v>
      </c>
      <c r="R474" s="5" t="b">
        <v>0</v>
      </c>
      <c r="S474" s="5"/>
      <c r="T474" s="5">
        <v>1200.0</v>
      </c>
      <c r="U474" s="26">
        <v>2.08</v>
      </c>
      <c r="V474" s="5">
        <v>577.0</v>
      </c>
      <c r="W474" s="27">
        <v>0.0</v>
      </c>
      <c r="X474" s="28">
        <v>577.0</v>
      </c>
      <c r="Y474" s="27">
        <v>1.0</v>
      </c>
      <c r="Z474" s="5" t="s">
        <v>78</v>
      </c>
      <c r="AA474" s="5">
        <v>0.589</v>
      </c>
      <c r="AB474" s="5"/>
      <c r="AC474" s="5" t="s">
        <v>81</v>
      </c>
      <c r="AD474" s="5" t="s">
        <v>81</v>
      </c>
      <c r="AE474" s="24">
        <v>0.0</v>
      </c>
      <c r="AF474" s="5">
        <v>3.0</v>
      </c>
      <c r="AG474" s="5" t="s">
        <v>0</v>
      </c>
      <c r="AH474" s="5" t="s">
        <v>0</v>
      </c>
      <c r="AI474" s="42">
        <v>1600.0</v>
      </c>
      <c r="AJ474" s="28">
        <v>1622.0</v>
      </c>
      <c r="AK474" s="28">
        <v>1442.0</v>
      </c>
      <c r="AL474" s="28">
        <v>0.0</v>
      </c>
      <c r="AM474" s="28">
        <v>1975.0</v>
      </c>
      <c r="AN474" s="28">
        <v>923200.0</v>
      </c>
      <c r="AO474" s="28">
        <v>935764.2399999999</v>
      </c>
      <c r="AP474" s="28">
        <v>832034.0</v>
      </c>
      <c r="AQ474" s="28">
        <v>0.0</v>
      </c>
      <c r="AR474" s="28">
        <v>1139417.0</v>
      </c>
      <c r="AS474" s="28">
        <v>923200.0</v>
      </c>
      <c r="AT474" s="28">
        <v>795970.1213553112</v>
      </c>
      <c r="AU474" s="28">
        <v>725563.7410600001</v>
      </c>
      <c r="AV474" s="28">
        <v>0.0</v>
      </c>
      <c r="AW474" s="28">
        <v>921098.083882784</v>
      </c>
      <c r="AX474" s="5"/>
      <c r="AY474" s="5" t="str">
        <f t="array" ref="AY474">IFERROR(_xlfn.XLOOKUP($E474,'FW27'!$C$3:$C$1102,'FW27'!$AM$3:$AM$1102),"")</f>
        <v>Essentials</v>
      </c>
      <c r="AZ474" s="5" t="str">
        <f t="array" ref="AZ474">IFERROR(_xlfn.XLOOKUP($E474,'FW27'!$C$3:$C$1102,'FW27'!$AN$3:$AN$1102),"")</f>
        <v>Daily Essentials</v>
      </c>
      <c r="BB474" s="5" t="str">
        <f t="array" ref="BB474">IFERROR(_xlfn.XLOOKUP($E474,'FW27'!$C$3:$C$1102,'FW27'!$AS$3:$AS$1102),"")</f>
        <v>Backpacks</v>
      </c>
      <c r="BC474" s="5" t="str">
        <f t="array" ref="BC474">IFERROR(_xlfn.XLOOKUP($E474,'FW27'!$C$3:$C$1102,'FW27'!$AT$3:$AT$1102),"")</f>
        <v>Daypack</v>
      </c>
      <c r="BD474" s="5" t="str">
        <f t="array" ref="BD474">IFERROR(_xlfn.XLOOKUP($E474,'FW27'!$C$3:$C$1102,'FW27'!$AU$3:$AU$1102),"")</f>
        <v/>
      </c>
      <c r="BE474" s="5" t="str">
        <f t="array" ref="BE474">IFERROR(_xlfn.XLOOKUP($E474,'FW27'!$C$3:$C$1102,'FW27'!$AV$3:$AV$1102),"")</f>
        <v>N</v>
      </c>
    </row>
    <row r="475" ht="16.5" hidden="1" customHeight="1">
      <c r="A475" s="5" t="s">
        <v>155</v>
      </c>
      <c r="B475" s="5" t="s">
        <v>137</v>
      </c>
      <c r="C475" s="5" t="b">
        <v>1</v>
      </c>
      <c r="D475" s="5" t="s">
        <v>1693</v>
      </c>
      <c r="E475" s="5" t="s">
        <v>1694</v>
      </c>
      <c r="F475" s="5"/>
      <c r="G475" s="5" t="s">
        <v>1109</v>
      </c>
      <c r="H475" s="5" t="s">
        <v>84</v>
      </c>
      <c r="I475" s="5" t="s">
        <v>82</v>
      </c>
      <c r="J475" s="25"/>
      <c r="K475" s="25"/>
      <c r="L475" s="25"/>
      <c r="M475" s="5" t="s">
        <v>247</v>
      </c>
      <c r="N475" s="5" t="s">
        <v>1129</v>
      </c>
      <c r="O475" s="5" t="s">
        <v>69</v>
      </c>
      <c r="P475" s="5" t="s">
        <v>249</v>
      </c>
      <c r="Q475" s="5" t="b">
        <v>1</v>
      </c>
      <c r="R475" s="5" t="b">
        <v>0</v>
      </c>
      <c r="S475" s="5"/>
      <c r="T475" s="5">
        <v>1600.0</v>
      </c>
      <c r="U475" s="26">
        <v>2.08</v>
      </c>
      <c r="V475" s="5">
        <v>769.0</v>
      </c>
      <c r="W475" s="27">
        <v>0.0</v>
      </c>
      <c r="X475" s="28">
        <v>769.0</v>
      </c>
      <c r="Y475" s="27">
        <v>1.0</v>
      </c>
      <c r="Z475" s="5" t="s">
        <v>117</v>
      </c>
      <c r="AA475" s="5">
        <v>0.618</v>
      </c>
      <c r="AB475" s="5"/>
      <c r="AC475" s="5" t="s">
        <v>81</v>
      </c>
      <c r="AD475" s="5" t="s">
        <v>81</v>
      </c>
      <c r="AE475" s="24">
        <v>0.0</v>
      </c>
      <c r="AF475" s="5">
        <v>2.0</v>
      </c>
      <c r="AG475" s="5" t="s">
        <v>0</v>
      </c>
      <c r="AH475" s="5" t="s">
        <v>0</v>
      </c>
      <c r="AI475" s="42">
        <v>900.0</v>
      </c>
      <c r="AJ475" s="28">
        <v>884.0</v>
      </c>
      <c r="AK475" s="28">
        <v>0.0</v>
      </c>
      <c r="AL475" s="28">
        <v>0.0</v>
      </c>
      <c r="AM475" s="28">
        <v>0.0</v>
      </c>
      <c r="AN475" s="28">
        <v>692100.0</v>
      </c>
      <c r="AO475" s="28">
        <v>679999.3200000001</v>
      </c>
      <c r="AP475" s="28">
        <v>0.0</v>
      </c>
      <c r="AQ475" s="28">
        <v>0.0</v>
      </c>
      <c r="AR475" s="28">
        <v>0.0</v>
      </c>
      <c r="AS475" s="28">
        <v>692100.0</v>
      </c>
      <c r="AT475" s="28">
        <v>546966.702664835</v>
      </c>
      <c r="AU475" s="28">
        <v>0.0</v>
      </c>
      <c r="AV475" s="28">
        <v>0.0</v>
      </c>
      <c r="AW475" s="28">
        <v>0.0</v>
      </c>
      <c r="AX475" s="5"/>
      <c r="AY475" s="5" t="str">
        <f t="array" ref="AY475">IFERROR(_xlfn.XLOOKUP($E475,'FW27'!$C$3:$C$1102,'FW27'!$AM$3:$AM$1102),"")</f>
        <v>Essentials</v>
      </c>
      <c r="AZ475" s="5" t="str">
        <f t="array" ref="AZ475">IFERROR(_xlfn.XLOOKUP($E475,'FW27'!$C$3:$C$1102,'FW27'!$AN$3:$AN$1102),"")</f>
        <v>Daily Essentials</v>
      </c>
      <c r="BB475" s="5" t="str">
        <f t="array" ref="BB475">IFERROR(_xlfn.XLOOKUP($E475,'FW27'!$C$3:$C$1102,'FW27'!$AS$3:$AS$1102),"")</f>
        <v>Bags &amp; Luggage</v>
      </c>
      <c r="BC475" s="5" t="str">
        <f t="array" ref="BC475">IFERROR(_xlfn.XLOOKUP($E475,'FW27'!$C$3:$C$1102,'FW27'!$AT$3:$AT$1102),"")</f>
        <v>Messenger Bag</v>
      </c>
      <c r="BD475" s="5" t="str">
        <f t="array" ref="BD475">IFERROR(_xlfn.XLOOKUP($E475,'FW27'!$C$3:$C$1102,'FW27'!$AU$3:$AU$1102),"")</f>
        <v/>
      </c>
      <c r="BE475" s="5" t="str">
        <f t="array" ref="BE475">IFERROR(_xlfn.XLOOKUP($E475,'FW27'!$C$3:$C$1102,'FW27'!$AV$3:$AV$1102),"")</f>
        <v>N</v>
      </c>
    </row>
    <row r="476" ht="16.5" hidden="1" customHeight="1">
      <c r="A476" s="5" t="s">
        <v>155</v>
      </c>
      <c r="B476" s="5" t="s">
        <v>137</v>
      </c>
      <c r="C476" s="5" t="b">
        <v>1</v>
      </c>
      <c r="D476" s="5" t="s">
        <v>1127</v>
      </c>
      <c r="E476" s="5" t="s">
        <v>1128</v>
      </c>
      <c r="F476" s="5"/>
      <c r="G476" s="5" t="s">
        <v>1109</v>
      </c>
      <c r="H476" s="5" t="s">
        <v>84</v>
      </c>
      <c r="I476" s="5" t="s">
        <v>82</v>
      </c>
      <c r="J476" s="25"/>
      <c r="K476" s="25"/>
      <c r="L476" s="25"/>
      <c r="M476" s="5" t="s">
        <v>66</v>
      </c>
      <c r="N476" s="5" t="s">
        <v>1129</v>
      </c>
      <c r="O476" s="5" t="s">
        <v>69</v>
      </c>
      <c r="P476" s="5" t="s">
        <v>249</v>
      </c>
      <c r="Q476" s="5" t="b">
        <v>1</v>
      </c>
      <c r="R476" s="5" t="b">
        <v>0</v>
      </c>
      <c r="S476" s="5"/>
      <c r="T476" s="5">
        <v>1000.0</v>
      </c>
      <c r="U476" s="26">
        <v>2.08</v>
      </c>
      <c r="V476" s="5">
        <v>481.0</v>
      </c>
      <c r="W476" s="27">
        <v>0.0</v>
      </c>
      <c r="X476" s="28">
        <v>481.0</v>
      </c>
      <c r="Y476" s="27">
        <v>1.0</v>
      </c>
      <c r="Z476" s="5" t="s">
        <v>117</v>
      </c>
      <c r="AA476" s="5">
        <v>0.585</v>
      </c>
      <c r="AB476" s="5"/>
      <c r="AC476" s="5" t="s">
        <v>81</v>
      </c>
      <c r="AD476" s="5" t="s">
        <v>81</v>
      </c>
      <c r="AE476" s="24">
        <v>0.0</v>
      </c>
      <c r="AF476" s="5">
        <v>3.0</v>
      </c>
      <c r="AG476" s="5" t="s">
        <v>0</v>
      </c>
      <c r="AH476" s="5" t="s">
        <v>0</v>
      </c>
      <c r="AI476" s="42">
        <v>1000.0</v>
      </c>
      <c r="AJ476" s="28">
        <v>994.0</v>
      </c>
      <c r="AK476" s="28">
        <v>0.0</v>
      </c>
      <c r="AL476" s="28">
        <v>0.0</v>
      </c>
      <c r="AM476" s="28">
        <v>1143.0</v>
      </c>
      <c r="AN476" s="28">
        <v>481000.0</v>
      </c>
      <c r="AO476" s="28">
        <v>477885.38</v>
      </c>
      <c r="AP476" s="28">
        <v>0.0</v>
      </c>
      <c r="AQ476" s="28">
        <v>0.0</v>
      </c>
      <c r="AR476" s="28">
        <v>549520.11</v>
      </c>
      <c r="AS476" s="28">
        <v>481000.0</v>
      </c>
      <c r="AT476" s="28">
        <v>385800.7192307692</v>
      </c>
      <c r="AU476" s="28">
        <v>0.0</v>
      </c>
      <c r="AV476" s="28">
        <v>0.0</v>
      </c>
      <c r="AW476" s="28">
        <v>455992.83846153854</v>
      </c>
      <c r="AX476" s="5"/>
      <c r="AY476" s="5" t="str">
        <f t="array" ref="AY476">IFERROR(_xlfn.XLOOKUP($E476,'FW27'!$C$3:$C$1102,'FW27'!$AM$3:$AM$1102),"")</f>
        <v>Essentials</v>
      </c>
      <c r="AZ476" s="5" t="str">
        <f t="array" ref="AZ476">IFERROR(_xlfn.XLOOKUP($E476,'FW27'!$C$3:$C$1102,'FW27'!$AN$3:$AN$1102),"")</f>
        <v>Daily Essentials</v>
      </c>
      <c r="BB476" s="5" t="str">
        <f t="array" ref="BB476">IFERROR(_xlfn.XLOOKUP($E476,'FW27'!$C$3:$C$1102,'FW27'!$AS$3:$AS$1102),"")</f>
        <v>Backpacks</v>
      </c>
      <c r="BC476" s="5" t="str">
        <f t="array" ref="BC476">IFERROR(_xlfn.XLOOKUP($E476,'FW27'!$C$3:$C$1102,'FW27'!$AT$3:$AT$1102),"")</f>
        <v>Hiking Pack</v>
      </c>
      <c r="BD476" s="5" t="str">
        <f t="array" ref="BD476">IFERROR(_xlfn.XLOOKUP($E476,'FW27'!$C$3:$C$1102,'FW27'!$AU$3:$AU$1102),"")</f>
        <v>31–50L</v>
      </c>
      <c r="BE476" s="5" t="str">
        <f t="array" ref="BE476">IFERROR(_xlfn.XLOOKUP($E476,'FW27'!$C$3:$C$1102,'FW27'!$AV$3:$AV$1102),"")</f>
        <v>N</v>
      </c>
    </row>
    <row r="477" ht="16.5" hidden="1" customHeight="1">
      <c r="A477" s="5" t="s">
        <v>155</v>
      </c>
      <c r="B477" s="5" t="s">
        <v>137</v>
      </c>
      <c r="C477" s="5" t="b">
        <v>1</v>
      </c>
      <c r="D477" s="5" t="s">
        <v>1133</v>
      </c>
      <c r="E477" s="5" t="s">
        <v>1134</v>
      </c>
      <c r="F477" s="5"/>
      <c r="G477" s="5" t="s">
        <v>1109</v>
      </c>
      <c r="H477" s="5" t="s">
        <v>84</v>
      </c>
      <c r="I477" s="5" t="s">
        <v>82</v>
      </c>
      <c r="J477" s="25"/>
      <c r="K477" s="25"/>
      <c r="L477" s="25"/>
      <c r="M477" s="5" t="s">
        <v>66</v>
      </c>
      <c r="N477" s="5" t="s">
        <v>1129</v>
      </c>
      <c r="O477" s="5" t="s">
        <v>69</v>
      </c>
      <c r="P477" s="5" t="s">
        <v>249</v>
      </c>
      <c r="Q477" s="5" t="b">
        <v>1</v>
      </c>
      <c r="R477" s="5" t="b">
        <v>0</v>
      </c>
      <c r="S477" s="5"/>
      <c r="T477" s="5">
        <v>1200.0</v>
      </c>
      <c r="U477" s="26">
        <v>2.08</v>
      </c>
      <c r="V477" s="5">
        <v>577.0</v>
      </c>
      <c r="W477" s="27">
        <v>0.0</v>
      </c>
      <c r="X477" s="28">
        <v>577.0</v>
      </c>
      <c r="Y477" s="27">
        <v>1.0</v>
      </c>
      <c r="Z477" s="5" t="s">
        <v>117</v>
      </c>
      <c r="AA477" s="5">
        <v>0.607</v>
      </c>
      <c r="AB477" s="5"/>
      <c r="AC477" s="5" t="s">
        <v>81</v>
      </c>
      <c r="AD477" s="5" t="s">
        <v>81</v>
      </c>
      <c r="AE477" s="24">
        <v>0.0</v>
      </c>
      <c r="AF477" s="5">
        <v>3.0</v>
      </c>
      <c r="AG477" s="5" t="s">
        <v>0</v>
      </c>
      <c r="AH477" s="5" t="s">
        <v>0</v>
      </c>
      <c r="AI477" s="42">
        <v>900.0</v>
      </c>
      <c r="AJ477" s="28">
        <v>884.0</v>
      </c>
      <c r="AK477" s="28">
        <v>0.0</v>
      </c>
      <c r="AL477" s="28">
        <v>0.0</v>
      </c>
      <c r="AM477" s="28">
        <v>1157.0</v>
      </c>
      <c r="AN477" s="28">
        <v>519300.0</v>
      </c>
      <c r="AO477" s="28">
        <v>509997.27999999997</v>
      </c>
      <c r="AP477" s="28">
        <v>0.0</v>
      </c>
      <c r="AQ477" s="28">
        <v>0.0</v>
      </c>
      <c r="AR477" s="28">
        <v>667496.44</v>
      </c>
      <c r="AS477" s="28">
        <v>519300.0</v>
      </c>
      <c r="AT477" s="28">
        <v>398059.5807692307</v>
      </c>
      <c r="AU477" s="28">
        <v>0.0</v>
      </c>
      <c r="AV477" s="28">
        <v>0.0</v>
      </c>
      <c r="AW477" s="28">
        <v>531696.6423076923</v>
      </c>
      <c r="AX477" s="5"/>
      <c r="AY477" s="5" t="str">
        <f t="array" ref="AY477">IFERROR(_xlfn.XLOOKUP($E477,'FW27'!$C$3:$C$1102,'FW27'!$AM$3:$AM$1102),"")</f>
        <v>Essentials</v>
      </c>
      <c r="AZ477" s="5" t="str">
        <f t="array" ref="AZ477">IFERROR(_xlfn.XLOOKUP($E477,'FW27'!$C$3:$C$1102,'FW27'!$AN$3:$AN$1102),"")</f>
        <v>Daily Essentials</v>
      </c>
      <c r="BB477" s="5" t="str">
        <f t="array" ref="BB477">IFERROR(_xlfn.XLOOKUP($E477,'FW27'!$C$3:$C$1102,'FW27'!$AS$3:$AS$1102),"")</f>
        <v>Backpacks</v>
      </c>
      <c r="BC477" s="5" t="str">
        <f t="array" ref="BC477">IFERROR(_xlfn.XLOOKUP($E477,'FW27'!$C$3:$C$1102,'FW27'!$AT$3:$AT$1102),"")</f>
        <v>Hiking Pack</v>
      </c>
      <c r="BD477" s="5" t="str">
        <f t="array" ref="BD477">IFERROR(_xlfn.XLOOKUP($E477,'FW27'!$C$3:$C$1102,'FW27'!$AU$3:$AU$1102),"")</f>
        <v>51L+</v>
      </c>
      <c r="BE477" s="5" t="str">
        <f t="array" ref="BE477">IFERROR(_xlfn.XLOOKUP($E477,'FW27'!$C$3:$C$1102,'FW27'!$AV$3:$AV$1102),"")</f>
        <v>N</v>
      </c>
    </row>
    <row r="478" ht="16.5" hidden="1" customHeight="1">
      <c r="A478" s="5" t="s">
        <v>155</v>
      </c>
      <c r="B478" s="5" t="s">
        <v>137</v>
      </c>
      <c r="C478" s="5" t="b">
        <v>0</v>
      </c>
      <c r="D478" s="5" t="s">
        <v>1141</v>
      </c>
      <c r="E478" s="5" t="s">
        <v>1142</v>
      </c>
      <c r="F478" s="5"/>
      <c r="G478" s="5" t="s">
        <v>1109</v>
      </c>
      <c r="H478" s="5" t="s">
        <v>76</v>
      </c>
      <c r="I478" s="5" t="s">
        <v>106</v>
      </c>
      <c r="J478" s="25" t="s">
        <v>2178</v>
      </c>
      <c r="K478" s="25"/>
      <c r="L478" s="25"/>
      <c r="M478" s="5" t="s">
        <v>247</v>
      </c>
      <c r="N478" s="5" t="s">
        <v>248</v>
      </c>
      <c r="O478" s="5" t="s">
        <v>69</v>
      </c>
      <c r="P478" s="5" t="s">
        <v>249</v>
      </c>
      <c r="Q478" s="5" t="b">
        <v>1</v>
      </c>
      <c r="R478" s="5" t="b">
        <v>0</v>
      </c>
      <c r="S478" s="5"/>
      <c r="T478" s="5">
        <v>400.0</v>
      </c>
      <c r="U478" s="26">
        <v>2.08</v>
      </c>
      <c r="V478" s="5">
        <v>192.0</v>
      </c>
      <c r="W478" s="27">
        <v>0.0</v>
      </c>
      <c r="X478" s="28">
        <v>192.0</v>
      </c>
      <c r="Y478" s="27">
        <v>1.0</v>
      </c>
      <c r="Z478" s="5" t="s">
        <v>117</v>
      </c>
      <c r="AA478" s="5">
        <v>0.73</v>
      </c>
      <c r="AB478" s="5"/>
      <c r="AC478" s="5" t="s">
        <v>81</v>
      </c>
      <c r="AD478" s="5" t="s">
        <v>81</v>
      </c>
      <c r="AE478" s="24">
        <v>0.0</v>
      </c>
      <c r="AF478" s="5">
        <v>3.0</v>
      </c>
      <c r="AG478" s="5" t="s">
        <v>0</v>
      </c>
      <c r="AH478" s="5" t="s">
        <v>0</v>
      </c>
      <c r="AI478" s="56">
        <v>1000.0</v>
      </c>
      <c r="AJ478" s="28">
        <v>982.0</v>
      </c>
      <c r="AK478" s="28">
        <v>1390.0</v>
      </c>
      <c r="AL478" s="28">
        <v>0.0</v>
      </c>
      <c r="AM478" s="28">
        <v>3076.0</v>
      </c>
      <c r="AN478" s="28">
        <v>192000.0</v>
      </c>
      <c r="AO478" s="28">
        <v>188848.42</v>
      </c>
      <c r="AP478" s="28">
        <v>266880.0</v>
      </c>
      <c r="AQ478" s="28">
        <v>0.0</v>
      </c>
      <c r="AR478" s="28">
        <v>591545.5599999999</v>
      </c>
      <c r="AS478" s="28">
        <v>192000.0</v>
      </c>
      <c r="AT478" s="28">
        <v>171968.4598901099</v>
      </c>
      <c r="AU478" s="28">
        <v>172282.44448200002</v>
      </c>
      <c r="AV478" s="28">
        <v>0.0</v>
      </c>
      <c r="AW478" s="28">
        <v>504825.55432234425</v>
      </c>
      <c r="AX478" s="5"/>
      <c r="AY478" s="5" t="str">
        <f t="array" ref="AY478">IFERROR(_xlfn.XLOOKUP($E478,'FW27'!$C$3:$C$1102,'FW27'!$AM$3:$AM$1102),"")</f>
        <v>Essentials</v>
      </c>
      <c r="AZ478" s="5" t="str">
        <f t="array" ref="AZ478">IFERROR(_xlfn.XLOOKUP($E478,'FW27'!$C$3:$C$1102,'FW27'!$AN$3:$AN$1102),"")</f>
        <v>Daily Essentials</v>
      </c>
      <c r="BB478" s="5" t="str">
        <f t="array" ref="BB478">IFERROR(_xlfn.XLOOKUP($E478,'FW27'!$C$3:$C$1102,'FW27'!$AS$3:$AS$1102),"")</f>
        <v>Accessories</v>
      </c>
      <c r="BC478" s="5" t="str">
        <f t="array" ref="BC478">IFERROR(_xlfn.XLOOKUP($E478,'FW27'!$C$3:$C$1102,'FW27'!$AT$3:$AT$1102),"")</f>
        <v>Pouch/Organizer</v>
      </c>
      <c r="BD478" s="5" t="str">
        <f t="array" ref="BD478">IFERROR(_xlfn.XLOOKUP($E478,'FW27'!$C$3:$C$1102,'FW27'!$AU$3:$AU$1102),"")</f>
        <v>Organization</v>
      </c>
      <c r="BE478" s="5" t="str">
        <f t="array" ref="BE478">IFERROR(_xlfn.XLOOKUP($E478,'FW27'!$C$3:$C$1102,'FW27'!$AV$3:$AV$1102),"")</f>
        <v>N</v>
      </c>
    </row>
    <row r="479" ht="16.5" hidden="1" customHeight="1">
      <c r="A479" s="5" t="s">
        <v>155</v>
      </c>
      <c r="B479" s="5" t="s">
        <v>137</v>
      </c>
      <c r="C479" s="5" t="b">
        <v>1</v>
      </c>
      <c r="D479" s="5" t="s">
        <v>1148</v>
      </c>
      <c r="E479" s="5" t="s">
        <v>1149</v>
      </c>
      <c r="F479" s="5"/>
      <c r="G479" s="5" t="s">
        <v>1109</v>
      </c>
      <c r="H479" s="5" t="s">
        <v>84</v>
      </c>
      <c r="I479" s="5" t="s">
        <v>82</v>
      </c>
      <c r="J479" s="25"/>
      <c r="K479" s="25"/>
      <c r="L479" s="25"/>
      <c r="M479" s="5" t="s">
        <v>247</v>
      </c>
      <c r="N479" s="5" t="s">
        <v>248</v>
      </c>
      <c r="O479" s="5" t="s">
        <v>69</v>
      </c>
      <c r="P479" s="5" t="s">
        <v>249</v>
      </c>
      <c r="Q479" s="5" t="b">
        <v>1</v>
      </c>
      <c r="R479" s="5" t="b">
        <v>0</v>
      </c>
      <c r="S479" s="5"/>
      <c r="T479" s="5">
        <v>650.0</v>
      </c>
      <c r="U479" s="26">
        <v>2.08</v>
      </c>
      <c r="V479" s="5">
        <v>313.0</v>
      </c>
      <c r="W479" s="27">
        <v>0.0</v>
      </c>
      <c r="X479" s="28">
        <v>313.0</v>
      </c>
      <c r="Y479" s="27">
        <v>1.0</v>
      </c>
      <c r="Z479" s="5" t="s">
        <v>117</v>
      </c>
      <c r="AA479" s="5">
        <v>0.0</v>
      </c>
      <c r="AB479" s="5"/>
      <c r="AC479" s="5" t="s">
        <v>81</v>
      </c>
      <c r="AD479" s="5" t="s">
        <v>81</v>
      </c>
      <c r="AE479" s="24">
        <v>0.0</v>
      </c>
      <c r="AF479" s="5">
        <v>2.0</v>
      </c>
      <c r="AG479" s="5" t="s">
        <v>0</v>
      </c>
      <c r="AH479" s="5" t="s">
        <v>0</v>
      </c>
      <c r="AI479" s="42">
        <v>700.0</v>
      </c>
      <c r="AJ479" s="28">
        <v>702.0</v>
      </c>
      <c r="AK479" s="28">
        <v>1059.0</v>
      </c>
      <c r="AL479" s="28">
        <v>0.0</v>
      </c>
      <c r="AM479" s="28">
        <v>904.0</v>
      </c>
      <c r="AN479" s="28">
        <v>219100.0</v>
      </c>
      <c r="AO479" s="28">
        <v>219375.0</v>
      </c>
      <c r="AP479" s="28">
        <v>331467.0</v>
      </c>
      <c r="AQ479" s="28">
        <v>0.0</v>
      </c>
      <c r="AR479" s="28">
        <v>282500.0</v>
      </c>
      <c r="AS479" s="28">
        <v>219100.0</v>
      </c>
      <c r="AT479" s="28">
        <v>195486.8841025641</v>
      </c>
      <c r="AU479" s="28">
        <v>251364.35987999997</v>
      </c>
      <c r="AV479" s="28">
        <v>0.0</v>
      </c>
      <c r="AW479" s="28">
        <v>242248.69358974358</v>
      </c>
      <c r="AX479" s="5"/>
      <c r="AY479" s="5" t="str">
        <f t="array" ref="AY479">IFERROR(_xlfn.XLOOKUP($E479,'FW27'!$C$3:$C$1102,'FW27'!$AM$3:$AM$1102),"")</f>
        <v>Essentials</v>
      </c>
      <c r="AZ479" s="5" t="str">
        <f t="array" ref="AZ479">IFERROR(_xlfn.XLOOKUP($E479,'FW27'!$C$3:$C$1102,'FW27'!$AN$3:$AN$1102),"")</f>
        <v>Daily Essentials</v>
      </c>
      <c r="BB479" s="5" t="str">
        <f t="array" ref="BB479">IFERROR(_xlfn.XLOOKUP($E479,'FW27'!$C$3:$C$1102,'FW27'!$AS$3:$AS$1102),"")</f>
        <v>Accessories</v>
      </c>
      <c r="BC479" s="5" t="str">
        <f t="array" ref="BC479">IFERROR(_xlfn.XLOOKUP($E479,'FW27'!$C$3:$C$1102,'FW27'!$AT$3:$AT$1102),"")</f>
        <v>Pouch/Organizer</v>
      </c>
      <c r="BD479" s="5" t="str">
        <f t="array" ref="BD479">IFERROR(_xlfn.XLOOKUP($E479,'FW27'!$C$3:$C$1102,'FW27'!$AU$3:$AU$1102),"")</f>
        <v>Carry</v>
      </c>
      <c r="BE479" s="5" t="str">
        <f t="array" ref="BE479">IFERROR(_xlfn.XLOOKUP($E479,'FW27'!$C$3:$C$1102,'FW27'!$AV$3:$AV$1102),"")</f>
        <v>N</v>
      </c>
    </row>
    <row r="480" ht="16.5" hidden="1" customHeight="1">
      <c r="A480" s="5" t="s">
        <v>155</v>
      </c>
      <c r="B480" s="5" t="s">
        <v>137</v>
      </c>
      <c r="C480" s="5" t="b">
        <v>1</v>
      </c>
      <c r="D480" s="5" t="s">
        <v>1718</v>
      </c>
      <c r="E480" s="5" t="s">
        <v>1153</v>
      </c>
      <c r="F480" s="5"/>
      <c r="G480" s="5" t="s">
        <v>1109</v>
      </c>
      <c r="H480" s="5" t="s">
        <v>84</v>
      </c>
      <c r="I480" s="5" t="s">
        <v>82</v>
      </c>
      <c r="J480" s="25"/>
      <c r="K480" s="25"/>
      <c r="L480" s="25"/>
      <c r="M480" s="5" t="s">
        <v>66</v>
      </c>
      <c r="N480" s="5" t="s">
        <v>1119</v>
      </c>
      <c r="O480" s="5" t="s">
        <v>69</v>
      </c>
      <c r="P480" s="5" t="s">
        <v>249</v>
      </c>
      <c r="Q480" s="5" t="b">
        <v>1</v>
      </c>
      <c r="R480" s="5" t="b">
        <v>0</v>
      </c>
      <c r="S480" s="5"/>
      <c r="T480" s="5">
        <v>1500.0</v>
      </c>
      <c r="U480" s="26">
        <v>2.08</v>
      </c>
      <c r="V480" s="5">
        <v>721.0</v>
      </c>
      <c r="W480" s="27">
        <v>0.0</v>
      </c>
      <c r="X480" s="28">
        <v>721.0</v>
      </c>
      <c r="Y480" s="27">
        <v>1.0</v>
      </c>
      <c r="Z480" s="5" t="s">
        <v>117</v>
      </c>
      <c r="AA480" s="5">
        <v>0.609</v>
      </c>
      <c r="AB480" s="5"/>
      <c r="AC480" s="5" t="s">
        <v>81</v>
      </c>
      <c r="AD480" s="5" t="s">
        <v>81</v>
      </c>
      <c r="AE480" s="24">
        <v>0.0</v>
      </c>
      <c r="AF480" s="5">
        <v>2.0</v>
      </c>
      <c r="AG480" s="5" t="s">
        <v>0</v>
      </c>
      <c r="AH480" s="5" t="s">
        <v>0</v>
      </c>
      <c r="AI480" s="42">
        <v>1200.0</v>
      </c>
      <c r="AJ480" s="28">
        <v>1496.0</v>
      </c>
      <c r="AK480" s="28">
        <v>0.0</v>
      </c>
      <c r="AL480" s="28">
        <v>0.0</v>
      </c>
      <c r="AM480" s="28">
        <v>0.0</v>
      </c>
      <c r="AN480" s="28">
        <v>865200.0</v>
      </c>
      <c r="AO480" s="28">
        <v>1078840.4</v>
      </c>
      <c r="AP480" s="28">
        <v>0.0</v>
      </c>
      <c r="AQ480" s="28">
        <v>0.0</v>
      </c>
      <c r="AR480" s="28">
        <v>0.0</v>
      </c>
      <c r="AS480" s="28">
        <v>865200.0</v>
      </c>
      <c r="AT480" s="28">
        <v>849428.7827472526</v>
      </c>
      <c r="AU480" s="28">
        <v>0.0</v>
      </c>
      <c r="AV480" s="28">
        <v>0.0</v>
      </c>
      <c r="AW480" s="28">
        <v>0.0</v>
      </c>
      <c r="AX480" s="5"/>
      <c r="AY480" s="5" t="str">
        <f t="array" ref="AY480">IFERROR(_xlfn.XLOOKUP($E480,'FW27'!$C$3:$C$1102,'FW27'!$AM$3:$AM$1102),"")</f>
        <v>Essentials</v>
      </c>
      <c r="AZ480" s="5" t="str">
        <f t="array" ref="AZ480">IFERROR(_xlfn.XLOOKUP($E480,'FW27'!$C$3:$C$1102,'FW27'!$AN$3:$AN$1102),"")</f>
        <v>Daily Essentials</v>
      </c>
      <c r="BB480" s="5" t="str">
        <f t="array" ref="BB480">IFERROR(_xlfn.XLOOKUP($E480,'FW27'!$C$3:$C$1102,'FW27'!$AS$3:$AS$1102),"")</f>
        <v>Backpacks</v>
      </c>
      <c r="BC480" s="5" t="str">
        <f t="array" ref="BC480">IFERROR(_xlfn.XLOOKUP($E480,'FW27'!$C$3:$C$1102,'FW27'!$AT$3:$AT$1102),"")</f>
        <v>Daypack</v>
      </c>
      <c r="BD480" s="5" t="str">
        <f t="array" ref="BD480">IFERROR(_xlfn.XLOOKUP($E480,'FW27'!$C$3:$C$1102,'FW27'!$AU$3:$AU$1102),"")</f>
        <v>16–30L</v>
      </c>
      <c r="BE480" s="5" t="str">
        <f t="array" ref="BE480">IFERROR(_xlfn.XLOOKUP($E480,'FW27'!$C$3:$C$1102,'FW27'!$AV$3:$AV$1102),"")</f>
        <v>N</v>
      </c>
    </row>
    <row r="481" ht="16.5" hidden="1" customHeight="1">
      <c r="A481" s="5" t="s">
        <v>155</v>
      </c>
      <c r="B481" s="5" t="s">
        <v>137</v>
      </c>
      <c r="C481" s="5" t="b">
        <v>0</v>
      </c>
      <c r="D481" s="5" t="s">
        <v>1152</v>
      </c>
      <c r="E481" s="5" t="s">
        <v>1153</v>
      </c>
      <c r="F481" s="5"/>
      <c r="G481" s="5" t="s">
        <v>1109</v>
      </c>
      <c r="H481" s="5" t="s">
        <v>74</v>
      </c>
      <c r="I481" s="5" t="s">
        <v>106</v>
      </c>
      <c r="J481" s="25" t="s">
        <v>2179</v>
      </c>
      <c r="K481" s="25"/>
      <c r="L481" s="25"/>
      <c r="M481" s="5" t="s">
        <v>66</v>
      </c>
      <c r="N481" s="5" t="s">
        <v>1119</v>
      </c>
      <c r="O481" s="5" t="s">
        <v>69</v>
      </c>
      <c r="P481" s="5" t="s">
        <v>249</v>
      </c>
      <c r="Q481" s="5" t="b">
        <v>1</v>
      </c>
      <c r="R481" s="5" t="b">
        <v>0</v>
      </c>
      <c r="S481" s="5"/>
      <c r="T481" s="5">
        <v>1500.0</v>
      </c>
      <c r="U481" s="26">
        <v>2.08</v>
      </c>
      <c r="V481" s="5">
        <v>721.0</v>
      </c>
      <c r="W481" s="27">
        <v>0.0</v>
      </c>
      <c r="X481" s="28">
        <v>721.0</v>
      </c>
      <c r="Y481" s="27">
        <v>1.0</v>
      </c>
      <c r="Z481" s="5" t="s">
        <v>117</v>
      </c>
      <c r="AA481" s="27">
        <v>0.609</v>
      </c>
      <c r="AB481" s="5"/>
      <c r="AC481" s="5" t="s">
        <v>81</v>
      </c>
      <c r="AD481" s="5" t="s">
        <v>81</v>
      </c>
      <c r="AE481" s="5">
        <v>2.0</v>
      </c>
      <c r="AF481" s="5">
        <v>2.0</v>
      </c>
      <c r="AG481" s="5" t="s">
        <v>0</v>
      </c>
      <c r="AH481" s="5" t="s">
        <v>0</v>
      </c>
      <c r="AI481" s="56"/>
      <c r="AJ481" s="28">
        <v>0.0</v>
      </c>
      <c r="AK481" s="28">
        <v>414.0</v>
      </c>
      <c r="AL481" s="28">
        <v>0.0</v>
      </c>
      <c r="AM481" s="28">
        <v>1200.0</v>
      </c>
      <c r="AN481" s="28">
        <v>0.0</v>
      </c>
      <c r="AO481" s="28">
        <v>0.0</v>
      </c>
      <c r="AP481" s="28">
        <v>298494.0</v>
      </c>
      <c r="AQ481" s="28">
        <v>0.0</v>
      </c>
      <c r="AR481" s="28">
        <v>865380.0</v>
      </c>
      <c r="AS481" s="28">
        <v>0.0</v>
      </c>
      <c r="AT481" s="28">
        <v>0.0</v>
      </c>
      <c r="AU481" s="28">
        <v>259829.49214</v>
      </c>
      <c r="AV481" s="28">
        <v>0.0</v>
      </c>
      <c r="AW481" s="28">
        <v>688390.7056593406</v>
      </c>
      <c r="AX481" s="5"/>
      <c r="AY481" s="5" t="str">
        <f t="array" ref="AY481">IFERROR(_xlfn.XLOOKUP($E481,'FW27'!$C$3:$C$1102,'FW27'!$AM$3:$AM$1102),"")</f>
        <v>Essentials</v>
      </c>
      <c r="AZ481" s="5" t="str">
        <f t="array" ref="AZ481">IFERROR(_xlfn.XLOOKUP($E481,'FW27'!$C$3:$C$1102,'FW27'!$AN$3:$AN$1102),"")</f>
        <v>Daily Essentials</v>
      </c>
      <c r="BB481" s="5" t="str">
        <f t="array" ref="BB481">IFERROR(_xlfn.XLOOKUP($E481,'FW27'!$C$3:$C$1102,'FW27'!$AS$3:$AS$1102),"")</f>
        <v>Backpacks</v>
      </c>
      <c r="BC481" s="5" t="str">
        <f t="array" ref="BC481">IFERROR(_xlfn.XLOOKUP($E481,'FW27'!$C$3:$C$1102,'FW27'!$AT$3:$AT$1102),"")</f>
        <v>Daypack</v>
      </c>
      <c r="BD481" s="5" t="str">
        <f t="array" ref="BD481">IFERROR(_xlfn.XLOOKUP($E481,'FW27'!$C$3:$C$1102,'FW27'!$AU$3:$AU$1102),"")</f>
        <v>16–30L</v>
      </c>
      <c r="BE481" s="5" t="str">
        <f t="array" ref="BE481">IFERROR(_xlfn.XLOOKUP($E481,'FW27'!$C$3:$C$1102,'FW27'!$AV$3:$AV$1102),"")</f>
        <v>N</v>
      </c>
    </row>
    <row r="482" ht="16.5" hidden="1" customHeight="1">
      <c r="A482" s="5" t="s">
        <v>155</v>
      </c>
      <c r="B482" s="5" t="s">
        <v>137</v>
      </c>
      <c r="C482" s="5" t="b">
        <v>1</v>
      </c>
      <c r="D482" s="5" t="s">
        <v>1719</v>
      </c>
      <c r="E482" s="5" t="s">
        <v>1157</v>
      </c>
      <c r="F482" s="5"/>
      <c r="G482" s="5" t="s">
        <v>1109</v>
      </c>
      <c r="H482" s="5" t="s">
        <v>84</v>
      </c>
      <c r="I482" s="5" t="s">
        <v>82</v>
      </c>
      <c r="J482" s="25"/>
      <c r="K482" s="25"/>
      <c r="L482" s="25"/>
      <c r="M482" s="5" t="s">
        <v>66</v>
      </c>
      <c r="N482" s="5" t="s">
        <v>1119</v>
      </c>
      <c r="O482" s="5" t="s">
        <v>69</v>
      </c>
      <c r="P482" s="5" t="s">
        <v>249</v>
      </c>
      <c r="Q482" s="5" t="b">
        <v>1</v>
      </c>
      <c r="R482" s="5" t="b">
        <v>0</v>
      </c>
      <c r="S482" s="5"/>
      <c r="T482" s="5">
        <v>1600.0</v>
      </c>
      <c r="U482" s="26">
        <v>2.08</v>
      </c>
      <c r="V482" s="5">
        <v>769.0</v>
      </c>
      <c r="W482" s="27">
        <v>0.0</v>
      </c>
      <c r="X482" s="28">
        <v>769.0</v>
      </c>
      <c r="Y482" s="27">
        <v>1.0</v>
      </c>
      <c r="Z482" s="5" t="s">
        <v>117</v>
      </c>
      <c r="AA482" s="5">
        <v>0.606</v>
      </c>
      <c r="AB482" s="5"/>
      <c r="AC482" s="5" t="s">
        <v>81</v>
      </c>
      <c r="AD482" s="5" t="s">
        <v>81</v>
      </c>
      <c r="AE482" s="24">
        <v>0.0</v>
      </c>
      <c r="AF482" s="5">
        <v>2.0</v>
      </c>
      <c r="AG482" s="5" t="s">
        <v>0</v>
      </c>
      <c r="AH482" s="5" t="s">
        <v>0</v>
      </c>
      <c r="AI482" s="42">
        <v>2000.0</v>
      </c>
      <c r="AJ482" s="28">
        <v>2297.0</v>
      </c>
      <c r="AK482" s="28">
        <v>0.0</v>
      </c>
      <c r="AL482" s="28">
        <v>0.0</v>
      </c>
      <c r="AM482" s="28">
        <v>0.0</v>
      </c>
      <c r="AN482" s="28">
        <v>1538000.0</v>
      </c>
      <c r="AO482" s="28">
        <v>1766921.31</v>
      </c>
      <c r="AP482" s="28">
        <v>0.0</v>
      </c>
      <c r="AQ482" s="28">
        <v>0.0</v>
      </c>
      <c r="AR482" s="28">
        <v>0.0</v>
      </c>
      <c r="AS482" s="28">
        <v>1538000.0</v>
      </c>
      <c r="AT482" s="28">
        <v>1385265.637179487</v>
      </c>
      <c r="AU482" s="28">
        <v>0.0</v>
      </c>
      <c r="AV482" s="28">
        <v>0.0</v>
      </c>
      <c r="AW482" s="28">
        <v>0.0</v>
      </c>
      <c r="AX482" s="5"/>
      <c r="AY482" s="5" t="str">
        <f t="array" ref="AY482">IFERROR(_xlfn.XLOOKUP($E482,'FW27'!$C$3:$C$1102,'FW27'!$AM$3:$AM$1102),"")</f>
        <v>Essentials</v>
      </c>
      <c r="AZ482" s="5" t="str">
        <f t="array" ref="AZ482">IFERROR(_xlfn.XLOOKUP($E482,'FW27'!$C$3:$C$1102,'FW27'!$AN$3:$AN$1102),"")</f>
        <v>Daily Essentials</v>
      </c>
      <c r="BB482" s="5" t="str">
        <f t="array" ref="BB482">IFERROR(_xlfn.XLOOKUP($E482,'FW27'!$C$3:$C$1102,'FW27'!$AS$3:$AS$1102),"")</f>
        <v>Backpacks</v>
      </c>
      <c r="BC482" s="5" t="str">
        <f t="array" ref="BC482">IFERROR(_xlfn.XLOOKUP($E482,'FW27'!$C$3:$C$1102,'FW27'!$AT$3:$AT$1102),"")</f>
        <v>Daypack</v>
      </c>
      <c r="BD482" s="5" t="str">
        <f t="array" ref="BD482">IFERROR(_xlfn.XLOOKUP($E482,'FW27'!$C$3:$C$1102,'FW27'!$AU$3:$AU$1102),"")</f>
        <v>16–30L</v>
      </c>
      <c r="BE482" s="5" t="str">
        <f t="array" ref="BE482">IFERROR(_xlfn.XLOOKUP($E482,'FW27'!$C$3:$C$1102,'FW27'!$AV$3:$AV$1102),"")</f>
        <v>N</v>
      </c>
    </row>
    <row r="483" ht="16.5" hidden="1" customHeight="1">
      <c r="A483" s="5" t="s">
        <v>155</v>
      </c>
      <c r="B483" s="5" t="s">
        <v>137</v>
      </c>
      <c r="C483" s="5" t="b">
        <v>0</v>
      </c>
      <c r="D483" s="5" t="s">
        <v>1156</v>
      </c>
      <c r="E483" s="5" t="s">
        <v>1157</v>
      </c>
      <c r="F483" s="5"/>
      <c r="G483" s="5" t="s">
        <v>1109</v>
      </c>
      <c r="H483" s="5" t="s">
        <v>74</v>
      </c>
      <c r="I483" s="5" t="s">
        <v>106</v>
      </c>
      <c r="J483" s="25" t="s">
        <v>2179</v>
      </c>
      <c r="K483" s="25"/>
      <c r="L483" s="25"/>
      <c r="M483" s="5" t="s">
        <v>66</v>
      </c>
      <c r="N483" s="5" t="s">
        <v>1119</v>
      </c>
      <c r="O483" s="5" t="s">
        <v>69</v>
      </c>
      <c r="P483" s="5" t="s">
        <v>249</v>
      </c>
      <c r="Q483" s="5" t="b">
        <v>1</v>
      </c>
      <c r="R483" s="5" t="b">
        <v>0</v>
      </c>
      <c r="S483" s="5"/>
      <c r="T483" s="5">
        <v>1600.0</v>
      </c>
      <c r="U483" s="26">
        <v>2.08</v>
      </c>
      <c r="V483" s="5">
        <v>769.0</v>
      </c>
      <c r="W483" s="27">
        <v>0.0</v>
      </c>
      <c r="X483" s="28">
        <v>769.0</v>
      </c>
      <c r="Y483" s="27">
        <v>1.0</v>
      </c>
      <c r="Z483" s="5" t="s">
        <v>117</v>
      </c>
      <c r="AA483" s="27">
        <v>0.606</v>
      </c>
      <c r="AB483" s="5"/>
      <c r="AC483" s="5" t="s">
        <v>81</v>
      </c>
      <c r="AD483" s="5" t="s">
        <v>81</v>
      </c>
      <c r="AE483" s="5">
        <v>2.0</v>
      </c>
      <c r="AF483" s="5">
        <v>2.0</v>
      </c>
      <c r="AG483" s="5" t="s">
        <v>0</v>
      </c>
      <c r="AH483" s="5" t="s">
        <v>0</v>
      </c>
      <c r="AI483" s="56"/>
      <c r="AJ483" s="28">
        <v>0.0</v>
      </c>
      <c r="AK483" s="28">
        <v>1030.0</v>
      </c>
      <c r="AL483" s="28">
        <v>0.0</v>
      </c>
      <c r="AM483" s="28">
        <v>1953.0</v>
      </c>
      <c r="AN483" s="28">
        <v>0.0</v>
      </c>
      <c r="AO483" s="28">
        <v>0.0</v>
      </c>
      <c r="AP483" s="28">
        <v>792070.0</v>
      </c>
      <c r="AQ483" s="28">
        <v>0.0</v>
      </c>
      <c r="AR483" s="28">
        <v>1502306.19</v>
      </c>
      <c r="AS483" s="28">
        <v>0.0</v>
      </c>
      <c r="AT483" s="28">
        <v>0.0</v>
      </c>
      <c r="AU483" s="28">
        <v>597191.37888</v>
      </c>
      <c r="AV483" s="28">
        <v>0.0</v>
      </c>
      <c r="AW483" s="28">
        <v>1243570.4015109886</v>
      </c>
      <c r="AX483" s="5"/>
      <c r="AY483" s="5" t="str">
        <f t="array" ref="AY483">IFERROR(_xlfn.XLOOKUP($E483,'FW27'!$C$3:$C$1102,'FW27'!$AM$3:$AM$1102),"")</f>
        <v>Essentials</v>
      </c>
      <c r="AZ483" s="5" t="str">
        <f t="array" ref="AZ483">IFERROR(_xlfn.XLOOKUP($E483,'FW27'!$C$3:$C$1102,'FW27'!$AN$3:$AN$1102),"")</f>
        <v>Daily Essentials</v>
      </c>
      <c r="BB483" s="5" t="str">
        <f t="array" ref="BB483">IFERROR(_xlfn.XLOOKUP($E483,'FW27'!$C$3:$C$1102,'FW27'!$AS$3:$AS$1102),"")</f>
        <v>Backpacks</v>
      </c>
      <c r="BC483" s="5" t="str">
        <f t="array" ref="BC483">IFERROR(_xlfn.XLOOKUP($E483,'FW27'!$C$3:$C$1102,'FW27'!$AT$3:$AT$1102),"")</f>
        <v>Daypack</v>
      </c>
      <c r="BD483" s="5" t="str">
        <f t="array" ref="BD483">IFERROR(_xlfn.XLOOKUP($E483,'FW27'!$C$3:$C$1102,'FW27'!$AU$3:$AU$1102),"")</f>
        <v>16–30L</v>
      </c>
      <c r="BE483" s="5" t="str">
        <f t="array" ref="BE483">IFERROR(_xlfn.XLOOKUP($E483,'FW27'!$C$3:$C$1102,'FW27'!$AV$3:$AV$1102),"")</f>
        <v>N</v>
      </c>
    </row>
    <row r="484" ht="16.5" hidden="1" customHeight="1">
      <c r="A484" s="5" t="s">
        <v>155</v>
      </c>
      <c r="B484" s="5" t="s">
        <v>137</v>
      </c>
      <c r="C484" s="5" t="b">
        <v>0</v>
      </c>
      <c r="D484" s="5" t="s">
        <v>1159</v>
      </c>
      <c r="E484" s="5" t="s">
        <v>1160</v>
      </c>
      <c r="F484" s="5"/>
      <c r="G484" s="5" t="s">
        <v>1109</v>
      </c>
      <c r="H484" s="5" t="s">
        <v>74</v>
      </c>
      <c r="I484" s="5" t="s">
        <v>106</v>
      </c>
      <c r="J484" s="25" t="s">
        <v>2180</v>
      </c>
      <c r="K484" s="25"/>
      <c r="L484" s="25"/>
      <c r="M484" s="5" t="s">
        <v>109</v>
      </c>
      <c r="N484" s="5" t="s">
        <v>1162</v>
      </c>
      <c r="O484" s="5" t="s">
        <v>69</v>
      </c>
      <c r="P484" s="5" t="s">
        <v>249</v>
      </c>
      <c r="Q484" s="5" t="b">
        <v>1</v>
      </c>
      <c r="R484" s="5" t="b">
        <v>0</v>
      </c>
      <c r="S484" s="5"/>
      <c r="T484" s="5">
        <v>1800.0</v>
      </c>
      <c r="U484" s="26">
        <v>2.08</v>
      </c>
      <c r="V484" s="5">
        <v>865.0</v>
      </c>
      <c r="W484" s="27">
        <v>0.0</v>
      </c>
      <c r="X484" s="28">
        <v>865.0</v>
      </c>
      <c r="Y484" s="27">
        <v>1.0</v>
      </c>
      <c r="Z484" s="5" t="s">
        <v>117</v>
      </c>
      <c r="AA484" s="27">
        <v>0.524</v>
      </c>
      <c r="AB484" s="5"/>
      <c r="AC484" s="5" t="s">
        <v>81</v>
      </c>
      <c r="AD484" s="5" t="s">
        <v>81</v>
      </c>
      <c r="AE484" s="24">
        <v>0.0</v>
      </c>
      <c r="AF484" s="5">
        <v>1.0</v>
      </c>
      <c r="AG484" s="5" t="s">
        <v>0</v>
      </c>
      <c r="AH484" s="5" t="s">
        <v>0</v>
      </c>
      <c r="AI484" s="56"/>
      <c r="AJ484" s="28">
        <v>0.0</v>
      </c>
      <c r="AK484" s="28">
        <v>74.0</v>
      </c>
      <c r="AL484" s="28">
        <v>0.0</v>
      </c>
      <c r="AM484" s="28">
        <v>272.0</v>
      </c>
      <c r="AN484" s="28">
        <v>0.0</v>
      </c>
      <c r="AO484" s="28">
        <v>0.0</v>
      </c>
      <c r="AP484" s="28">
        <v>64010.0</v>
      </c>
      <c r="AQ484" s="28">
        <v>0.0</v>
      </c>
      <c r="AR484" s="28">
        <v>235383.36000000002</v>
      </c>
      <c r="AS484" s="28">
        <v>0.0</v>
      </c>
      <c r="AT484" s="28">
        <v>0.0</v>
      </c>
      <c r="AU484" s="28">
        <v>57831.78882</v>
      </c>
      <c r="AV484" s="28">
        <v>0.0</v>
      </c>
      <c r="AW484" s="28">
        <v>199998.74148351647</v>
      </c>
      <c r="AX484" s="5"/>
      <c r="AY484" s="5" t="s">
        <v>86</v>
      </c>
      <c r="AZ484" s="5" t="s">
        <v>512</v>
      </c>
      <c r="BB484" s="5" t="s">
        <v>1120</v>
      </c>
      <c r="BC484" s="5" t="s">
        <v>1131</v>
      </c>
      <c r="BD484" s="5" t="s">
        <v>1155</v>
      </c>
      <c r="BE484" s="5" t="s">
        <v>131</v>
      </c>
      <c r="BF484" s="5" t="s">
        <v>2181</v>
      </c>
    </row>
    <row r="485" ht="16.5" hidden="1" customHeight="1">
      <c r="A485" s="5" t="s">
        <v>155</v>
      </c>
      <c r="B485" s="5" t="s">
        <v>137</v>
      </c>
      <c r="C485" s="5" t="b">
        <v>0</v>
      </c>
      <c r="D485" s="5" t="s">
        <v>1165</v>
      </c>
      <c r="E485" s="5" t="s">
        <v>1167</v>
      </c>
      <c r="F485" s="5"/>
      <c r="G485" s="5" t="s">
        <v>1109</v>
      </c>
      <c r="H485" s="5" t="s">
        <v>74</v>
      </c>
      <c r="I485" s="5" t="s">
        <v>106</v>
      </c>
      <c r="J485" s="25" t="s">
        <v>2180</v>
      </c>
      <c r="K485" s="25"/>
      <c r="L485" s="25"/>
      <c r="M485" s="5" t="s">
        <v>109</v>
      </c>
      <c r="N485" s="5" t="s">
        <v>1162</v>
      </c>
      <c r="O485" s="5" t="s">
        <v>69</v>
      </c>
      <c r="P485" s="5" t="s">
        <v>249</v>
      </c>
      <c r="Q485" s="5" t="b">
        <v>1</v>
      </c>
      <c r="R485" s="5" t="b">
        <v>0</v>
      </c>
      <c r="S485" s="5"/>
      <c r="T485" s="5">
        <v>2000.0</v>
      </c>
      <c r="U485" s="26">
        <v>2.08</v>
      </c>
      <c r="V485" s="5">
        <v>962.0</v>
      </c>
      <c r="W485" s="27">
        <v>0.0</v>
      </c>
      <c r="X485" s="28">
        <v>962.0</v>
      </c>
      <c r="Y485" s="27">
        <v>1.0</v>
      </c>
      <c r="Z485" s="5" t="s">
        <v>117</v>
      </c>
      <c r="AA485" s="27">
        <v>0.519</v>
      </c>
      <c r="AB485" s="5"/>
      <c r="AC485" s="5" t="s">
        <v>81</v>
      </c>
      <c r="AD485" s="5" t="s">
        <v>81</v>
      </c>
      <c r="AE485" s="24">
        <v>0.0</v>
      </c>
      <c r="AF485" s="5">
        <v>1.0</v>
      </c>
      <c r="AG485" s="5" t="s">
        <v>0</v>
      </c>
      <c r="AH485" s="5" t="s">
        <v>0</v>
      </c>
      <c r="AI485" s="56"/>
      <c r="AJ485" s="28">
        <v>0.0</v>
      </c>
      <c r="AK485" s="28">
        <v>76.0</v>
      </c>
      <c r="AL485" s="28">
        <v>0.0</v>
      </c>
      <c r="AM485" s="28">
        <v>232.0</v>
      </c>
      <c r="AN485" s="28">
        <v>0.0</v>
      </c>
      <c r="AO485" s="28">
        <v>0.0</v>
      </c>
      <c r="AP485" s="28">
        <v>73112.0</v>
      </c>
      <c r="AQ485" s="28">
        <v>0.0</v>
      </c>
      <c r="AR485" s="28">
        <v>223077.28000000003</v>
      </c>
      <c r="AS485" s="28">
        <v>0.0</v>
      </c>
      <c r="AT485" s="28">
        <v>0.0</v>
      </c>
      <c r="AU485" s="28">
        <v>67502.1778</v>
      </c>
      <c r="AV485" s="28">
        <v>0.0</v>
      </c>
      <c r="AW485" s="28">
        <v>187359.846978022</v>
      </c>
      <c r="AX485" s="5"/>
      <c r="AY485" s="5" t="s">
        <v>86</v>
      </c>
      <c r="AZ485" s="5" t="s">
        <v>512</v>
      </c>
      <c r="BB485" s="5" t="s">
        <v>1120</v>
      </c>
      <c r="BC485" s="5" t="s">
        <v>1131</v>
      </c>
      <c r="BD485" s="5" t="s">
        <v>1132</v>
      </c>
      <c r="BE485" s="5" t="s">
        <v>131</v>
      </c>
      <c r="BF485" s="5" t="s">
        <v>2182</v>
      </c>
    </row>
    <row r="486" ht="16.5" hidden="1" customHeight="1">
      <c r="A486" s="5" t="s">
        <v>155</v>
      </c>
      <c r="B486" s="5" t="s">
        <v>137</v>
      </c>
      <c r="C486" s="5" t="b">
        <v>1</v>
      </c>
      <c r="D486" s="5" t="s">
        <v>1171</v>
      </c>
      <c r="E486" s="5" t="s">
        <v>1172</v>
      </c>
      <c r="F486" s="5"/>
      <c r="G486" s="5" t="s">
        <v>1109</v>
      </c>
      <c r="H486" s="5" t="s">
        <v>84</v>
      </c>
      <c r="I486" s="5" t="s">
        <v>82</v>
      </c>
      <c r="J486" s="25"/>
      <c r="K486" s="25"/>
      <c r="L486" s="25"/>
      <c r="M486" s="5" t="s">
        <v>109</v>
      </c>
      <c r="N486" s="5" t="s">
        <v>1162</v>
      </c>
      <c r="O486" s="5" t="s">
        <v>69</v>
      </c>
      <c r="P486" s="5" t="s">
        <v>249</v>
      </c>
      <c r="Q486" s="5" t="b">
        <v>1</v>
      </c>
      <c r="R486" s="5" t="b">
        <v>0</v>
      </c>
      <c r="S486" s="5"/>
      <c r="T486" s="5">
        <v>1700.0</v>
      </c>
      <c r="U486" s="26">
        <v>2.08</v>
      </c>
      <c r="V486" s="5">
        <v>817.0</v>
      </c>
      <c r="W486" s="27">
        <v>0.0</v>
      </c>
      <c r="X486" s="28">
        <v>817.0</v>
      </c>
      <c r="Y486" s="27">
        <v>1.0</v>
      </c>
      <c r="Z486" s="5" t="s">
        <v>117</v>
      </c>
      <c r="AA486" s="5">
        <v>0.597</v>
      </c>
      <c r="AB486" s="5"/>
      <c r="AC486" s="5" t="s">
        <v>81</v>
      </c>
      <c r="AD486" s="5" t="s">
        <v>81</v>
      </c>
      <c r="AE486" s="24">
        <v>0.0</v>
      </c>
      <c r="AF486" s="5">
        <v>2.0</v>
      </c>
      <c r="AG486" s="5" t="s">
        <v>0</v>
      </c>
      <c r="AH486" s="5" t="s">
        <v>0</v>
      </c>
      <c r="AI486" s="42">
        <v>150.0</v>
      </c>
      <c r="AJ486" s="28">
        <v>118.0</v>
      </c>
      <c r="AK486" s="28">
        <v>159.0</v>
      </c>
      <c r="AL486" s="28">
        <v>0.0</v>
      </c>
      <c r="AM486" s="28">
        <v>410.0</v>
      </c>
      <c r="AN486" s="28">
        <v>122550.0</v>
      </c>
      <c r="AO486" s="28">
        <v>96442.58</v>
      </c>
      <c r="AP486" s="28">
        <v>129903.0</v>
      </c>
      <c r="AQ486" s="28">
        <v>0.0</v>
      </c>
      <c r="AR486" s="28">
        <v>335097.0999999999</v>
      </c>
      <c r="AS486" s="28">
        <v>122550.0</v>
      </c>
      <c r="AT486" s="28">
        <v>85392.88615384615</v>
      </c>
      <c r="AU486" s="28">
        <v>100685.88328</v>
      </c>
      <c r="AV486" s="28">
        <v>0.0</v>
      </c>
      <c r="AW486" s="28">
        <v>290921.8668131868</v>
      </c>
      <c r="AX486" s="5"/>
      <c r="AY486" s="5" t="str">
        <f t="array" ref="AY486">IFERROR(_xlfn.XLOOKUP($E486,'FW27'!$C$3:$C$1102,'FW27'!$AM$3:$AM$1102),"")</f>
        <v>Outdoor</v>
      </c>
      <c r="AZ486" s="5" t="str">
        <f t="array" ref="AZ486">IFERROR(_xlfn.XLOOKUP($E486,'FW27'!$C$3:$C$1102,'FW27'!$AN$3:$AN$1102),"")</f>
        <v>Trail Run &amp; Fast Hike</v>
      </c>
      <c r="BB486" s="5" t="str">
        <f t="array" ref="BB486">IFERROR(_xlfn.XLOOKUP($E486,'FW27'!$C$3:$C$1102,'FW27'!$AS$3:$AS$1102),"")</f>
        <v>Backpacks</v>
      </c>
      <c r="BC486" s="5" t="str">
        <f t="array" ref="BC486">IFERROR(_xlfn.XLOOKUP($E486,'FW27'!$C$3:$C$1102,'FW27'!$AT$3:$AT$1102),"")</f>
        <v>Hiking Pack</v>
      </c>
      <c r="BD486" s="5" t="str">
        <f t="array" ref="BD486">IFERROR(_xlfn.XLOOKUP($E486,'FW27'!$C$3:$C$1102,'FW27'!$AU$3:$AU$1102),"")</f>
        <v>16–30L</v>
      </c>
      <c r="BE486" s="5" t="str">
        <f t="array" ref="BE486">IFERROR(_xlfn.XLOOKUP($E486,'FW27'!$C$3:$C$1102,'FW27'!$AV$3:$AV$1102),"")</f>
        <v>N</v>
      </c>
    </row>
    <row r="487" ht="16.5" hidden="1" customHeight="1">
      <c r="A487" s="5" t="s">
        <v>155</v>
      </c>
      <c r="B487" s="5" t="s">
        <v>137</v>
      </c>
      <c r="C487" s="5" t="b">
        <v>1</v>
      </c>
      <c r="D487" s="5" t="s">
        <v>1177</v>
      </c>
      <c r="E487" s="5" t="s">
        <v>1178</v>
      </c>
      <c r="F487" s="5"/>
      <c r="G487" s="5" t="s">
        <v>1109</v>
      </c>
      <c r="H487" s="5" t="s">
        <v>84</v>
      </c>
      <c r="I487" s="5" t="s">
        <v>82</v>
      </c>
      <c r="J487" s="25"/>
      <c r="K487" s="25"/>
      <c r="L487" s="25"/>
      <c r="M487" s="5" t="s">
        <v>109</v>
      </c>
      <c r="N487" s="5" t="s">
        <v>1162</v>
      </c>
      <c r="O487" s="5" t="s">
        <v>69</v>
      </c>
      <c r="P487" s="5" t="s">
        <v>249</v>
      </c>
      <c r="Q487" s="5" t="b">
        <v>1</v>
      </c>
      <c r="R487" s="5" t="b">
        <v>0</v>
      </c>
      <c r="S487" s="5"/>
      <c r="T487" s="5">
        <v>1300.0</v>
      </c>
      <c r="U487" s="26">
        <v>2.08</v>
      </c>
      <c r="V487" s="5">
        <v>625.0</v>
      </c>
      <c r="W487" s="27">
        <v>0.0</v>
      </c>
      <c r="X487" s="28">
        <v>625.0</v>
      </c>
      <c r="Y487" s="27">
        <v>1.0</v>
      </c>
      <c r="Z487" s="5" t="s">
        <v>117</v>
      </c>
      <c r="AA487" s="5">
        <v>0.602</v>
      </c>
      <c r="AB487" s="5"/>
      <c r="AC487" s="5" t="s">
        <v>81</v>
      </c>
      <c r="AD487" s="5" t="s">
        <v>81</v>
      </c>
      <c r="AE487" s="24">
        <v>0.0</v>
      </c>
      <c r="AF487" s="5">
        <v>2.0</v>
      </c>
      <c r="AG487" s="5" t="s">
        <v>0</v>
      </c>
      <c r="AH487" s="5" t="s">
        <v>0</v>
      </c>
      <c r="AI487" s="42">
        <v>100.0</v>
      </c>
      <c r="AJ487" s="28">
        <v>71.0</v>
      </c>
      <c r="AK487" s="28">
        <v>136.0</v>
      </c>
      <c r="AL487" s="28">
        <v>0.0</v>
      </c>
      <c r="AM487" s="28">
        <v>390.0</v>
      </c>
      <c r="AN487" s="28">
        <v>62500.0</v>
      </c>
      <c r="AO487" s="28">
        <v>44375.0</v>
      </c>
      <c r="AP487" s="28">
        <v>85000.0</v>
      </c>
      <c r="AQ487" s="28">
        <v>0.0</v>
      </c>
      <c r="AR487" s="28">
        <v>243750.0</v>
      </c>
      <c r="AS487" s="28">
        <v>62500.0</v>
      </c>
      <c r="AT487" s="28">
        <v>38070.62</v>
      </c>
      <c r="AU487" s="28">
        <v>62020.36124</v>
      </c>
      <c r="AV487" s="28">
        <v>0.0</v>
      </c>
      <c r="AW487" s="28">
        <v>210761.7433333333</v>
      </c>
      <c r="AX487" s="5"/>
      <c r="AY487" s="5" t="str">
        <f t="array" ref="AY487">IFERROR(_xlfn.XLOOKUP($E487,'FW27'!$C$3:$C$1102,'FW27'!$AM$3:$AM$1102),"")</f>
        <v>Outdoor</v>
      </c>
      <c r="AZ487" s="5" t="str">
        <f t="array" ref="AZ487">IFERROR(_xlfn.XLOOKUP($E487,'FW27'!$C$3:$C$1102,'FW27'!$AN$3:$AN$1102),"")</f>
        <v>Trail Run &amp; Fast Hike</v>
      </c>
      <c r="BB487" s="5" t="str">
        <f t="array" ref="BB487">IFERROR(_xlfn.XLOOKUP($E487,'FW27'!$C$3:$C$1102,'FW27'!$AS$3:$AS$1102),"")</f>
        <v>Backpacks</v>
      </c>
      <c r="BC487" s="5" t="str">
        <f t="array" ref="BC487">IFERROR(_xlfn.XLOOKUP($E487,'FW27'!$C$3:$C$1102,'FW27'!$AT$3:$AT$1102),"")</f>
        <v>Hiking Pack</v>
      </c>
      <c r="BD487" s="5" t="str">
        <f t="array" ref="BD487">IFERROR(_xlfn.XLOOKUP($E487,'FW27'!$C$3:$C$1102,'FW27'!$AU$3:$AU$1102),"")</f>
        <v>≤15L</v>
      </c>
      <c r="BE487" s="5" t="str">
        <f t="array" ref="BE487">IFERROR(_xlfn.XLOOKUP($E487,'FW27'!$C$3:$C$1102,'FW27'!$AV$3:$AV$1102),"")</f>
        <v>N</v>
      </c>
    </row>
    <row r="488" ht="16.5" hidden="1" customHeight="1">
      <c r="A488" s="5" t="s">
        <v>155</v>
      </c>
      <c r="B488" s="5" t="s">
        <v>215</v>
      </c>
      <c r="C488" s="5" t="b">
        <v>1</v>
      </c>
      <c r="D488" s="5" t="s">
        <v>1722</v>
      </c>
      <c r="E488" s="5" t="s">
        <v>1723</v>
      </c>
      <c r="F488" s="5"/>
      <c r="G488" s="5" t="s">
        <v>1109</v>
      </c>
      <c r="H488" s="5" t="s">
        <v>76</v>
      </c>
      <c r="I488" s="5" t="s">
        <v>82</v>
      </c>
      <c r="J488" s="25"/>
      <c r="K488" s="25"/>
      <c r="L488" s="25"/>
      <c r="M488" s="5" t="s">
        <v>220</v>
      </c>
      <c r="N488" s="5" t="s">
        <v>1212</v>
      </c>
      <c r="O488" s="5" t="s">
        <v>69</v>
      </c>
      <c r="P488" s="5" t="s">
        <v>249</v>
      </c>
      <c r="Q488" s="5" t="b">
        <v>1</v>
      </c>
      <c r="R488" s="5" t="b">
        <v>0</v>
      </c>
      <c r="S488" s="5"/>
      <c r="T488" s="5">
        <v>1600.0</v>
      </c>
      <c r="U488" s="26">
        <v>2.08</v>
      </c>
      <c r="V488" s="5">
        <v>769.0</v>
      </c>
      <c r="W488" s="27">
        <v>0.0</v>
      </c>
      <c r="X488" s="28">
        <v>769.0</v>
      </c>
      <c r="Y488" s="27">
        <v>1.0</v>
      </c>
      <c r="Z488" s="5" t="s">
        <v>117</v>
      </c>
      <c r="AA488" s="5">
        <v>0.593</v>
      </c>
      <c r="AB488" s="5"/>
      <c r="AC488" s="5" t="s">
        <v>81</v>
      </c>
      <c r="AD488" s="5" t="s">
        <v>81</v>
      </c>
      <c r="AE488" s="5">
        <v>2.0</v>
      </c>
      <c r="AF488" s="5">
        <v>2.0</v>
      </c>
      <c r="AG488" s="5" t="s">
        <v>0</v>
      </c>
      <c r="AH488" s="5" t="s">
        <v>0</v>
      </c>
      <c r="AI488" s="56">
        <v>600.0</v>
      </c>
      <c r="AJ488" s="28">
        <v>515.0</v>
      </c>
      <c r="AK488" s="28">
        <v>0.0</v>
      </c>
      <c r="AL488" s="28">
        <v>0.0</v>
      </c>
      <c r="AM488" s="28">
        <v>0.0</v>
      </c>
      <c r="AN488" s="28">
        <v>461400.0</v>
      </c>
      <c r="AO488" s="28">
        <v>396153.45</v>
      </c>
      <c r="AP488" s="28">
        <v>0.0</v>
      </c>
      <c r="AQ488" s="28">
        <v>0.0</v>
      </c>
      <c r="AR488" s="28">
        <v>0.0</v>
      </c>
      <c r="AS488" s="28">
        <v>461400.0</v>
      </c>
      <c r="AT488" s="28">
        <v>352785.53759157506</v>
      </c>
      <c r="AU488" s="28">
        <v>0.0</v>
      </c>
      <c r="AV488" s="28">
        <v>0.0</v>
      </c>
      <c r="AW488" s="28">
        <v>0.0</v>
      </c>
      <c r="AX488" s="5"/>
      <c r="AY488" s="5" t="str">
        <f t="array" ref="AY488">IFERROR(_xlfn.XLOOKUP($E488,'FW27'!$C$3:$C$1102,'FW27'!$AM$3:$AM$1102),"")</f>
        <v>Skiing/Snowboarding</v>
      </c>
      <c r="AZ488" s="5" t="str">
        <f t="array" ref="AZ488">IFERROR(_xlfn.XLOOKUP($E488,'FW27'!$C$3:$C$1102,'FW27'!$AN$3:$AN$1102),"")</f>
        <v>All Mountain</v>
      </c>
      <c r="BB488" s="5" t="str">
        <f t="array" ref="BB488">IFERROR(_xlfn.XLOOKUP($E488,'FW27'!$C$3:$C$1102,'FW27'!$AS$3:$AS$1102),"")</f>
        <v>Backpacks</v>
      </c>
      <c r="BC488" s="5" t="str">
        <f t="array" ref="BC488">IFERROR(_xlfn.XLOOKUP($E488,'FW27'!$C$3:$C$1102,'FW27'!$AT$3:$AT$1102),"")</f>
        <v>Daypack</v>
      </c>
      <c r="BD488" s="5" t="str">
        <f t="array" ref="BD488">IFERROR(_xlfn.XLOOKUP($E488,'FW27'!$C$3:$C$1102,'FW27'!$AU$3:$AU$1102),"")</f>
        <v>16–30L</v>
      </c>
      <c r="BE488" s="5" t="str">
        <f t="array" ref="BE488">IFERROR(_xlfn.XLOOKUP($E488,'FW27'!$C$3:$C$1102,'FW27'!$AV$3:$AV$1102),"")</f>
        <v>N</v>
      </c>
    </row>
    <row r="489" ht="16.5" hidden="1" customHeight="1">
      <c r="A489" s="5" t="s">
        <v>155</v>
      </c>
      <c r="B489" s="5" t="s">
        <v>137</v>
      </c>
      <c r="C489" s="5" t="b">
        <v>1</v>
      </c>
      <c r="D489" s="5" t="s">
        <v>1182</v>
      </c>
      <c r="E489" s="5" t="s">
        <v>1183</v>
      </c>
      <c r="F489" s="5"/>
      <c r="G489" s="5" t="s">
        <v>1109</v>
      </c>
      <c r="H489" s="5" t="s">
        <v>84</v>
      </c>
      <c r="I489" s="5" t="s">
        <v>82</v>
      </c>
      <c r="J489" s="25"/>
      <c r="K489" s="25"/>
      <c r="L489" s="25"/>
      <c r="M489" s="5" t="s">
        <v>66</v>
      </c>
      <c r="N489" s="5" t="s">
        <v>1129</v>
      </c>
      <c r="O489" s="5" t="s">
        <v>69</v>
      </c>
      <c r="P489" s="5" t="s">
        <v>249</v>
      </c>
      <c r="Q489" s="5" t="b">
        <v>1</v>
      </c>
      <c r="R489" s="5" t="b">
        <v>0</v>
      </c>
      <c r="S489" s="5"/>
      <c r="T489" s="5">
        <v>1700.0</v>
      </c>
      <c r="U489" s="26">
        <v>2.08</v>
      </c>
      <c r="V489" s="5">
        <v>817.0</v>
      </c>
      <c r="W489" s="27">
        <v>0.0</v>
      </c>
      <c r="X489" s="28">
        <v>817.0</v>
      </c>
      <c r="Y489" s="27">
        <v>1.0</v>
      </c>
      <c r="Z489" s="5" t="s">
        <v>117</v>
      </c>
      <c r="AA489" s="5">
        <v>0.0</v>
      </c>
      <c r="AB489" s="5"/>
      <c r="AC489" s="5" t="s">
        <v>81</v>
      </c>
      <c r="AD489" s="5" t="s">
        <v>81</v>
      </c>
      <c r="AE489" s="24">
        <v>0.0</v>
      </c>
      <c r="AF489" s="5">
        <v>1.0</v>
      </c>
      <c r="AG489" s="5" t="s">
        <v>0</v>
      </c>
      <c r="AH489" s="5" t="s">
        <v>0</v>
      </c>
      <c r="AI489" s="42">
        <v>100.0</v>
      </c>
      <c r="AJ489" s="28">
        <v>0.0</v>
      </c>
      <c r="AK489" s="28">
        <v>166.0</v>
      </c>
      <c r="AL489" s="28">
        <v>0.0</v>
      </c>
      <c r="AM489" s="28">
        <v>328.0</v>
      </c>
      <c r="AN489" s="28">
        <v>81700.0</v>
      </c>
      <c r="AO489" s="28">
        <v>0.0</v>
      </c>
      <c r="AP489" s="28">
        <v>135622.0</v>
      </c>
      <c r="AQ489" s="28">
        <v>0.0</v>
      </c>
      <c r="AR489" s="28">
        <v>268077.68</v>
      </c>
      <c r="AS489" s="28">
        <v>81700.0</v>
      </c>
      <c r="AT489" s="28">
        <v>0.0</v>
      </c>
      <c r="AU489" s="28">
        <v>124993.973</v>
      </c>
      <c r="AV489" s="28">
        <v>0.0</v>
      </c>
      <c r="AW489" s="28">
        <v>223058.97170329667</v>
      </c>
      <c r="AX489" s="5"/>
      <c r="AY489" s="5" t="str">
        <f t="array" ref="AY489">IFERROR(_xlfn.XLOOKUP($E489,'FW27'!$C$3:$C$1102,'FW27'!$AM$3:$AM$1102),"")</f>
        <v>Essentials</v>
      </c>
      <c r="AZ489" s="5" t="str">
        <f t="array" ref="AZ489">IFERROR(_xlfn.XLOOKUP($E489,'FW27'!$C$3:$C$1102,'FW27'!$AN$3:$AN$1102),"")</f>
        <v>Daily Essentials</v>
      </c>
      <c r="BB489" s="5" t="str">
        <f t="array" ref="BB489">IFERROR(_xlfn.XLOOKUP($E489,'FW27'!$C$3:$C$1102,'FW27'!$AS$3:$AS$1102),"")</f>
        <v>Bags &amp; Luggage</v>
      </c>
      <c r="BC489" s="5" t="str">
        <f t="array" ref="BC489">IFERROR(_xlfn.XLOOKUP($E489,'FW27'!$C$3:$C$1102,'FW27'!$AT$3:$AT$1102),"")</f>
        <v>Duffle</v>
      </c>
      <c r="BD489" s="5" t="str">
        <f t="array" ref="BD489">IFERROR(_xlfn.XLOOKUP($E489,'FW27'!$C$3:$C$1102,'FW27'!$AU$3:$AU$1102),"")</f>
        <v>51L+</v>
      </c>
      <c r="BE489" s="5" t="str">
        <f t="array" ref="BE489">IFERROR(_xlfn.XLOOKUP($E489,'FW27'!$C$3:$C$1102,'FW27'!$AV$3:$AV$1102),"")</f>
        <v>N</v>
      </c>
    </row>
    <row r="490" ht="16.5" hidden="1" customHeight="1">
      <c r="A490" s="5" t="s">
        <v>155</v>
      </c>
      <c r="B490" s="5" t="s">
        <v>137</v>
      </c>
      <c r="C490" s="5" t="b">
        <v>1</v>
      </c>
      <c r="D490" s="5" t="s">
        <v>1188</v>
      </c>
      <c r="E490" s="5" t="s">
        <v>1189</v>
      </c>
      <c r="F490" s="5"/>
      <c r="G490" s="5" t="s">
        <v>1109</v>
      </c>
      <c r="H490" s="5" t="s">
        <v>84</v>
      </c>
      <c r="I490" s="5" t="s">
        <v>82</v>
      </c>
      <c r="J490" s="25"/>
      <c r="K490" s="25"/>
      <c r="L490" s="25"/>
      <c r="M490" s="5" t="s">
        <v>66</v>
      </c>
      <c r="N490" s="5" t="s">
        <v>1129</v>
      </c>
      <c r="O490" s="5" t="s">
        <v>69</v>
      </c>
      <c r="P490" s="5" t="s">
        <v>249</v>
      </c>
      <c r="Q490" s="5" t="b">
        <v>1</v>
      </c>
      <c r="R490" s="5" t="b">
        <v>0</v>
      </c>
      <c r="S490" s="5"/>
      <c r="T490" s="5">
        <v>1300.0</v>
      </c>
      <c r="U490" s="26">
        <v>2.08</v>
      </c>
      <c r="V490" s="5">
        <v>625.0</v>
      </c>
      <c r="W490" s="27">
        <v>0.0</v>
      </c>
      <c r="X490" s="28">
        <v>625.0</v>
      </c>
      <c r="Y490" s="27">
        <v>1.0</v>
      </c>
      <c r="Z490" s="5" t="s">
        <v>117</v>
      </c>
      <c r="AA490" s="5">
        <v>0.5820000000000001</v>
      </c>
      <c r="AB490" s="5"/>
      <c r="AC490" s="5" t="s">
        <v>81</v>
      </c>
      <c r="AD490" s="5" t="s">
        <v>81</v>
      </c>
      <c r="AE490" s="24">
        <v>0.0</v>
      </c>
      <c r="AF490" s="5">
        <v>1.0</v>
      </c>
      <c r="AG490" s="5" t="s">
        <v>0</v>
      </c>
      <c r="AH490" s="5" t="s">
        <v>0</v>
      </c>
      <c r="AI490" s="42">
        <v>600.0</v>
      </c>
      <c r="AJ490" s="28">
        <v>741.0</v>
      </c>
      <c r="AK490" s="28">
        <v>538.0</v>
      </c>
      <c r="AL490" s="28">
        <v>0.0</v>
      </c>
      <c r="AM490" s="28">
        <v>644.0</v>
      </c>
      <c r="AN490" s="28">
        <v>375000.0</v>
      </c>
      <c r="AO490" s="28">
        <v>463125.0</v>
      </c>
      <c r="AP490" s="28">
        <v>336250.0</v>
      </c>
      <c r="AQ490" s="28">
        <v>0.0</v>
      </c>
      <c r="AR490" s="28">
        <v>402500.0</v>
      </c>
      <c r="AS490" s="28">
        <v>375000.0</v>
      </c>
      <c r="AT490" s="28">
        <v>381212.5653846154</v>
      </c>
      <c r="AU490" s="28">
        <v>270464.13288</v>
      </c>
      <c r="AV490" s="28">
        <v>0.0</v>
      </c>
      <c r="AW490" s="28">
        <v>326469.47615384613</v>
      </c>
      <c r="AX490" s="5"/>
      <c r="AY490" s="5" t="str">
        <f t="array" ref="AY490">IFERROR(_xlfn.XLOOKUP($E490,'FW27'!$C$3:$C$1102,'FW27'!$AM$3:$AM$1102),"")</f>
        <v>Essentials</v>
      </c>
      <c r="AZ490" s="5" t="str">
        <f t="array" ref="AZ490">IFERROR(_xlfn.XLOOKUP($E490,'FW27'!$C$3:$C$1102,'FW27'!$AN$3:$AN$1102),"")</f>
        <v>Daily Essentials</v>
      </c>
      <c r="BB490" s="5" t="str">
        <f t="array" ref="BB490">IFERROR(_xlfn.XLOOKUP($E490,'FW27'!$C$3:$C$1102,'FW27'!$AS$3:$AS$1102),"")</f>
        <v>Bags &amp; Luggage</v>
      </c>
      <c r="BC490" s="5" t="str">
        <f t="array" ref="BC490">IFERROR(_xlfn.XLOOKUP($E490,'FW27'!$C$3:$C$1102,'FW27'!$AT$3:$AT$1102),"")</f>
        <v>Duffle</v>
      </c>
      <c r="BD490" s="5" t="str">
        <f t="array" ref="BD490">IFERROR(_xlfn.XLOOKUP($E490,'FW27'!$C$3:$C$1102,'FW27'!$AU$3:$AU$1102),"")</f>
        <v>16–30L</v>
      </c>
      <c r="BE490" s="5" t="str">
        <f t="array" ref="BE490">IFERROR(_xlfn.XLOOKUP($E490,'FW27'!$C$3:$C$1102,'FW27'!$AV$3:$AV$1102),"")</f>
        <v>N</v>
      </c>
    </row>
    <row r="491" ht="16.5" hidden="1" customHeight="1">
      <c r="A491" s="5" t="s">
        <v>155</v>
      </c>
      <c r="B491" s="5" t="s">
        <v>137</v>
      </c>
      <c r="C491" s="5" t="b">
        <v>1</v>
      </c>
      <c r="D491" s="5" t="s">
        <v>1192</v>
      </c>
      <c r="E491" s="5" t="s">
        <v>1193</v>
      </c>
      <c r="F491" s="5"/>
      <c r="G491" s="5" t="s">
        <v>1109</v>
      </c>
      <c r="H491" s="5" t="s">
        <v>84</v>
      </c>
      <c r="I491" s="5" t="s">
        <v>82</v>
      </c>
      <c r="J491" s="25" t="s">
        <v>2175</v>
      </c>
      <c r="K491" s="25"/>
      <c r="L491" s="25"/>
      <c r="M491" s="5" t="s">
        <v>66</v>
      </c>
      <c r="N491" s="5" t="s">
        <v>1129</v>
      </c>
      <c r="O491" s="5" t="s">
        <v>69</v>
      </c>
      <c r="P491" s="5" t="s">
        <v>249</v>
      </c>
      <c r="Q491" s="5" t="b">
        <v>1</v>
      </c>
      <c r="R491" s="5" t="b">
        <v>0</v>
      </c>
      <c r="S491" s="5"/>
      <c r="T491" s="5">
        <v>1400.0</v>
      </c>
      <c r="U491" s="26">
        <v>2.08</v>
      </c>
      <c r="V491" s="5">
        <v>673.0</v>
      </c>
      <c r="W491" s="27">
        <v>0.0</v>
      </c>
      <c r="X491" s="28">
        <v>673.0</v>
      </c>
      <c r="Y491" s="27">
        <v>1.0</v>
      </c>
      <c r="Z491" s="5" t="s">
        <v>117</v>
      </c>
      <c r="AA491" s="5">
        <v>0.58</v>
      </c>
      <c r="AB491" s="5"/>
      <c r="AC491" s="5" t="s">
        <v>81</v>
      </c>
      <c r="AD491" s="5" t="s">
        <v>81</v>
      </c>
      <c r="AE491" s="24">
        <v>0.0</v>
      </c>
      <c r="AF491" s="5">
        <v>3.0</v>
      </c>
      <c r="AG491" s="5" t="s">
        <v>0</v>
      </c>
      <c r="AH491" s="5" t="s">
        <v>0</v>
      </c>
      <c r="AI491" s="42">
        <v>1300.0</v>
      </c>
      <c r="AJ491" s="28">
        <v>1321.0</v>
      </c>
      <c r="AK491" s="28">
        <v>1015.0</v>
      </c>
      <c r="AL491" s="28">
        <v>0.0</v>
      </c>
      <c r="AM491" s="28">
        <v>1585.0</v>
      </c>
      <c r="AN491" s="28">
        <v>874900.0</v>
      </c>
      <c r="AO491" s="28">
        <v>889138.6799999999</v>
      </c>
      <c r="AP491" s="28">
        <v>683095.0</v>
      </c>
      <c r="AQ491" s="28">
        <v>0.0</v>
      </c>
      <c r="AR491" s="28">
        <v>1066831.7999999998</v>
      </c>
      <c r="AS491" s="28">
        <v>874900.0</v>
      </c>
      <c r="AT491" s="28">
        <v>734890.7299725275</v>
      </c>
      <c r="AU491" s="28">
        <v>592199.3438200001</v>
      </c>
      <c r="AV491" s="28">
        <v>0.0</v>
      </c>
      <c r="AW491" s="28">
        <v>872678.6167032967</v>
      </c>
      <c r="AX491" s="5"/>
      <c r="AY491" s="5" t="str">
        <f t="array" ref="AY491">IFERROR(_xlfn.XLOOKUP($E491,'FW27'!$C$3:$C$1102,'FW27'!$AM$3:$AM$1102),"")</f>
        <v>Essentials</v>
      </c>
      <c r="AZ491" s="5" t="str">
        <f t="array" ref="AZ491">IFERROR(_xlfn.XLOOKUP($E491,'FW27'!$C$3:$C$1102,'FW27'!$AN$3:$AN$1102),"")</f>
        <v>Daily Essentials</v>
      </c>
      <c r="BB491" s="5" t="str">
        <f t="array" ref="BB491">IFERROR(_xlfn.XLOOKUP($E491,'FW27'!$C$3:$C$1102,'FW27'!$AS$3:$AS$1102),"")</f>
        <v>Bags &amp; Luggage</v>
      </c>
      <c r="BC491" s="5" t="str">
        <f t="array" ref="BC491">IFERROR(_xlfn.XLOOKUP($E491,'FW27'!$C$3:$C$1102,'FW27'!$AT$3:$AT$1102),"")</f>
        <v>Duffle</v>
      </c>
      <c r="BD491" s="5" t="str">
        <f t="array" ref="BD491">IFERROR(_xlfn.XLOOKUP($E491,'FW27'!$C$3:$C$1102,'FW27'!$AU$3:$AU$1102),"")</f>
        <v>31–50L</v>
      </c>
      <c r="BE491" s="5" t="str">
        <f t="array" ref="BE491">IFERROR(_xlfn.XLOOKUP($E491,'FW27'!$C$3:$C$1102,'FW27'!$AV$3:$AV$1102),"")</f>
        <v>N</v>
      </c>
    </row>
    <row r="492" ht="16.5" hidden="1" customHeight="1">
      <c r="A492" s="5" t="s">
        <v>155</v>
      </c>
      <c r="B492" s="5" t="s">
        <v>137</v>
      </c>
      <c r="C492" s="5" t="b">
        <v>1</v>
      </c>
      <c r="D492" s="5" t="s">
        <v>1194</v>
      </c>
      <c r="E492" s="5" t="s">
        <v>1195</v>
      </c>
      <c r="F492" s="5"/>
      <c r="G492" s="5" t="s">
        <v>1109</v>
      </c>
      <c r="H492" s="5" t="s">
        <v>84</v>
      </c>
      <c r="I492" s="5" t="s">
        <v>82</v>
      </c>
      <c r="J492" s="25"/>
      <c r="K492" s="25"/>
      <c r="L492" s="25"/>
      <c r="M492" s="5" t="s">
        <v>66</v>
      </c>
      <c r="N492" s="5" t="s">
        <v>1129</v>
      </c>
      <c r="O492" s="5" t="s">
        <v>69</v>
      </c>
      <c r="P492" s="5" t="s">
        <v>249</v>
      </c>
      <c r="Q492" s="5" t="b">
        <v>1</v>
      </c>
      <c r="R492" s="5" t="b">
        <v>0</v>
      </c>
      <c r="S492" s="5"/>
      <c r="T492" s="5">
        <v>1500.0</v>
      </c>
      <c r="U492" s="26">
        <v>2.08</v>
      </c>
      <c r="V492" s="5">
        <v>721.0</v>
      </c>
      <c r="W492" s="27">
        <v>0.0</v>
      </c>
      <c r="X492" s="28">
        <v>721.0</v>
      </c>
      <c r="Y492" s="27">
        <v>1.0</v>
      </c>
      <c r="Z492" s="5" t="s">
        <v>117</v>
      </c>
      <c r="AA492" s="5">
        <v>0.585</v>
      </c>
      <c r="AB492" s="5"/>
      <c r="AC492" s="5" t="s">
        <v>81</v>
      </c>
      <c r="AD492" s="5" t="s">
        <v>81</v>
      </c>
      <c r="AE492" s="24">
        <v>0.0</v>
      </c>
      <c r="AF492" s="5">
        <v>2.0</v>
      </c>
      <c r="AG492" s="5" t="s">
        <v>0</v>
      </c>
      <c r="AH492" s="5" t="s">
        <v>0</v>
      </c>
      <c r="AI492" s="42">
        <v>650.0</v>
      </c>
      <c r="AJ492" s="28">
        <v>649.0</v>
      </c>
      <c r="AK492" s="28">
        <v>518.0</v>
      </c>
      <c r="AL492" s="28">
        <v>0.0</v>
      </c>
      <c r="AM492" s="28">
        <v>716.0</v>
      </c>
      <c r="AN492" s="28">
        <v>468650.0</v>
      </c>
      <c r="AO492" s="28">
        <v>468026.35</v>
      </c>
      <c r="AP492" s="28">
        <v>373478.0</v>
      </c>
      <c r="AQ492" s="28">
        <v>0.0</v>
      </c>
      <c r="AR492" s="28">
        <v>516343.4</v>
      </c>
      <c r="AS492" s="28">
        <v>468650.0</v>
      </c>
      <c r="AT492" s="28">
        <v>386011.7795970696</v>
      </c>
      <c r="AU492" s="28">
        <v>319219.28247999994</v>
      </c>
      <c r="AV492" s="28">
        <v>0.0</v>
      </c>
      <c r="AW492" s="28">
        <v>417974.5703296703</v>
      </c>
      <c r="AX492" s="5"/>
      <c r="AY492" s="5" t="str">
        <f t="array" ref="AY492">IFERROR(_xlfn.XLOOKUP($E492,'FW27'!$C$3:$C$1102,'FW27'!$AM$3:$AM$1102),"")</f>
        <v>Essentials</v>
      </c>
      <c r="AZ492" s="5" t="str">
        <f t="array" ref="AZ492">IFERROR(_xlfn.XLOOKUP($E492,'FW27'!$C$3:$C$1102,'FW27'!$AN$3:$AN$1102),"")</f>
        <v>Daily Essentials</v>
      </c>
      <c r="BB492" s="5" t="str">
        <f t="array" ref="BB492">IFERROR(_xlfn.XLOOKUP($E492,'FW27'!$C$3:$C$1102,'FW27'!$AS$3:$AS$1102),"")</f>
        <v>Bags &amp; Luggage</v>
      </c>
      <c r="BC492" s="5" t="str">
        <f t="array" ref="BC492">IFERROR(_xlfn.XLOOKUP($E492,'FW27'!$C$3:$C$1102,'FW27'!$AT$3:$AT$1102),"")</f>
        <v>Duffle</v>
      </c>
      <c r="BD492" s="5" t="str">
        <f t="array" ref="BD492">IFERROR(_xlfn.XLOOKUP($E492,'FW27'!$C$3:$C$1102,'FW27'!$AU$3:$AU$1102),"")</f>
        <v>51L+</v>
      </c>
      <c r="BE492" s="5" t="str">
        <f t="array" ref="BE492">IFERROR(_xlfn.XLOOKUP($E492,'FW27'!$C$3:$C$1102,'FW27'!$AV$3:$AV$1102),"")</f>
        <v>N</v>
      </c>
    </row>
    <row r="493" ht="16.5" hidden="1" customHeight="1">
      <c r="A493" s="5" t="s">
        <v>155</v>
      </c>
      <c r="B493" s="5" t="s">
        <v>137</v>
      </c>
      <c r="C493" s="5" t="b">
        <v>1</v>
      </c>
      <c r="D493" s="5" t="s">
        <v>1201</v>
      </c>
      <c r="E493" s="5" t="s">
        <v>1202</v>
      </c>
      <c r="F493" s="5"/>
      <c r="G493" s="5" t="s">
        <v>1109</v>
      </c>
      <c r="H493" s="5" t="s">
        <v>84</v>
      </c>
      <c r="I493" s="5" t="s">
        <v>82</v>
      </c>
      <c r="J493" s="25"/>
      <c r="K493" s="25"/>
      <c r="L493" s="25"/>
      <c r="M493" s="5" t="s">
        <v>66</v>
      </c>
      <c r="N493" s="5" t="s">
        <v>1129</v>
      </c>
      <c r="O493" s="5" t="s">
        <v>69</v>
      </c>
      <c r="P493" s="5" t="s">
        <v>249</v>
      </c>
      <c r="Q493" s="5" t="b">
        <v>1</v>
      </c>
      <c r="R493" s="5" t="b">
        <v>0</v>
      </c>
      <c r="S493" s="5"/>
      <c r="T493" s="5">
        <v>1600.0</v>
      </c>
      <c r="U493" s="26">
        <v>2.08</v>
      </c>
      <c r="V493" s="5">
        <v>769.0</v>
      </c>
      <c r="W493" s="27">
        <v>0.0</v>
      </c>
      <c r="X493" s="28">
        <v>769.0</v>
      </c>
      <c r="Y493" s="27">
        <v>1.0</v>
      </c>
      <c r="Z493" s="5" t="s">
        <v>117</v>
      </c>
      <c r="AA493" s="5">
        <v>0.585</v>
      </c>
      <c r="AB493" s="5"/>
      <c r="AC493" s="5" t="s">
        <v>81</v>
      </c>
      <c r="AD493" s="5" t="s">
        <v>81</v>
      </c>
      <c r="AE493" s="24">
        <v>0.0</v>
      </c>
      <c r="AF493" s="5">
        <v>2.0</v>
      </c>
      <c r="AG493" s="5" t="s">
        <v>0</v>
      </c>
      <c r="AH493" s="5" t="s">
        <v>0</v>
      </c>
      <c r="AI493" s="42">
        <v>650.0</v>
      </c>
      <c r="AJ493" s="28">
        <v>653.0</v>
      </c>
      <c r="AK493" s="28">
        <v>554.0</v>
      </c>
      <c r="AL493" s="28">
        <v>0.0</v>
      </c>
      <c r="AM493" s="28">
        <v>905.0</v>
      </c>
      <c r="AN493" s="28">
        <v>499850.0</v>
      </c>
      <c r="AO493" s="28">
        <v>502307.19000000006</v>
      </c>
      <c r="AP493" s="28">
        <v>426026.0</v>
      </c>
      <c r="AQ493" s="28">
        <v>0.0</v>
      </c>
      <c r="AR493" s="28">
        <v>696153.15</v>
      </c>
      <c r="AS493" s="28">
        <v>499850.0</v>
      </c>
      <c r="AT493" s="28">
        <v>421808.542445055</v>
      </c>
      <c r="AU493" s="28">
        <v>368293.62944999995</v>
      </c>
      <c r="AV493" s="28">
        <v>0.0</v>
      </c>
      <c r="AW493" s="28">
        <v>576710.6648626374</v>
      </c>
      <c r="AX493" s="5"/>
      <c r="AY493" s="5" t="str">
        <f t="array" ref="AY493">IFERROR(_xlfn.XLOOKUP($E493,'FW27'!$C$3:$C$1102,'FW27'!$AM$3:$AM$1102),"")</f>
        <v>Essentials</v>
      </c>
      <c r="AZ493" s="5" t="str">
        <f t="array" ref="AZ493">IFERROR(_xlfn.XLOOKUP($E493,'FW27'!$C$3:$C$1102,'FW27'!$AN$3:$AN$1102),"")</f>
        <v>Daily Essentials</v>
      </c>
      <c r="BB493" s="5" t="str">
        <f t="array" ref="BB493">IFERROR(_xlfn.XLOOKUP($E493,'FW27'!$C$3:$C$1102,'FW27'!$AS$3:$AS$1102),"")</f>
        <v>Bags &amp; Luggage</v>
      </c>
      <c r="BC493" s="5" t="str">
        <f t="array" ref="BC493">IFERROR(_xlfn.XLOOKUP($E493,'FW27'!$C$3:$C$1102,'FW27'!$AT$3:$AT$1102),"")</f>
        <v>Duffle</v>
      </c>
      <c r="BD493" s="5" t="str">
        <f t="array" ref="BD493">IFERROR(_xlfn.XLOOKUP($E493,'FW27'!$C$3:$C$1102,'FW27'!$AU$3:$AU$1102),"")</f>
        <v>51L+</v>
      </c>
      <c r="BE493" s="5" t="str">
        <f t="array" ref="BE493">IFERROR(_xlfn.XLOOKUP($E493,'FW27'!$C$3:$C$1102,'FW27'!$AV$3:$AV$1102),"")</f>
        <v>N</v>
      </c>
    </row>
    <row r="494" ht="16.5" hidden="1" customHeight="1">
      <c r="A494" s="5" t="s">
        <v>155</v>
      </c>
      <c r="B494" s="5" t="s">
        <v>137</v>
      </c>
      <c r="C494" s="5" t="b">
        <v>1</v>
      </c>
      <c r="D494" s="5" t="s">
        <v>1204</v>
      </c>
      <c r="E494" s="5" t="s">
        <v>1205</v>
      </c>
      <c r="F494" s="5"/>
      <c r="G494" s="5" t="s">
        <v>1109</v>
      </c>
      <c r="H494" s="5" t="s">
        <v>84</v>
      </c>
      <c r="I494" s="5" t="s">
        <v>82</v>
      </c>
      <c r="J494" s="25"/>
      <c r="K494" s="25"/>
      <c r="L494" s="25"/>
      <c r="M494" s="5" t="s">
        <v>247</v>
      </c>
      <c r="N494" s="5" t="s">
        <v>248</v>
      </c>
      <c r="O494" s="5" t="s">
        <v>69</v>
      </c>
      <c r="P494" s="5" t="s">
        <v>249</v>
      </c>
      <c r="Q494" s="5" t="b">
        <v>1</v>
      </c>
      <c r="R494" s="5" t="b">
        <v>0</v>
      </c>
      <c r="S494" s="5"/>
      <c r="T494" s="5">
        <v>550.0</v>
      </c>
      <c r="U494" s="26">
        <v>2.08</v>
      </c>
      <c r="V494" s="5">
        <v>264.0</v>
      </c>
      <c r="W494" s="27">
        <v>0.0</v>
      </c>
      <c r="X494" s="28">
        <v>264.0</v>
      </c>
      <c r="Y494" s="27">
        <v>1.0</v>
      </c>
      <c r="Z494" s="5" t="s">
        <v>117</v>
      </c>
      <c r="AA494" s="5">
        <v>0.0</v>
      </c>
      <c r="AB494" s="5"/>
      <c r="AC494" s="5" t="s">
        <v>81</v>
      </c>
      <c r="AD494" s="5" t="s">
        <v>81</v>
      </c>
      <c r="AE494" s="24">
        <v>0.0</v>
      </c>
      <c r="AF494" s="5">
        <v>3.0</v>
      </c>
      <c r="AG494" s="5" t="s">
        <v>0</v>
      </c>
      <c r="AH494" s="5" t="s">
        <v>0</v>
      </c>
      <c r="AI494" s="42">
        <v>1600.0</v>
      </c>
      <c r="AJ494" s="28">
        <v>1561.0</v>
      </c>
      <c r="AK494" s="28">
        <v>2096.0</v>
      </c>
      <c r="AL494" s="28">
        <v>0.0</v>
      </c>
      <c r="AM494" s="28">
        <v>2273.0</v>
      </c>
      <c r="AN494" s="28">
        <v>422400.0</v>
      </c>
      <c r="AO494" s="28">
        <v>412759.62</v>
      </c>
      <c r="AP494" s="28">
        <v>553344.0</v>
      </c>
      <c r="AQ494" s="28">
        <v>0.0</v>
      </c>
      <c r="AR494" s="28">
        <v>601026.6599999998</v>
      </c>
      <c r="AS494" s="28">
        <v>422400.0</v>
      </c>
      <c r="AT494" s="28">
        <v>363556.7197802197</v>
      </c>
      <c r="AU494" s="28">
        <v>414642.04570400005</v>
      </c>
      <c r="AV494" s="28">
        <v>0.0</v>
      </c>
      <c r="AW494" s="28">
        <v>491065.5623626373</v>
      </c>
      <c r="AX494" s="5"/>
      <c r="AY494" s="5" t="str">
        <f t="array" ref="AY494">IFERROR(_xlfn.XLOOKUP($E494,'FW27'!$C$3:$C$1102,'FW27'!$AM$3:$AM$1102),"")</f>
        <v>Essentials</v>
      </c>
      <c r="AZ494" s="5" t="str">
        <f t="array" ref="AZ494">IFERROR(_xlfn.XLOOKUP($E494,'FW27'!$C$3:$C$1102,'FW27'!$AN$3:$AN$1102),"")</f>
        <v>Daily Essentials</v>
      </c>
      <c r="BB494" s="5" t="str">
        <f t="array" ref="BB494">IFERROR(_xlfn.XLOOKUP($E494,'FW27'!$C$3:$C$1102,'FW27'!$AS$3:$AS$1102),"")</f>
        <v>Bags &amp; Luggage</v>
      </c>
      <c r="BC494" s="5" t="str">
        <f t="array" ref="BC494">IFERROR(_xlfn.XLOOKUP($E494,'FW27'!$C$3:$C$1102,'FW27'!$AT$3:$AT$1102),"")</f>
        <v>Travel Case</v>
      </c>
      <c r="BD494" s="5" t="str">
        <f t="array" ref="BD494">IFERROR(_xlfn.XLOOKUP($E494,'FW27'!$C$3:$C$1102,'FW27'!$AU$3:$AU$1102),"")</f>
        <v/>
      </c>
      <c r="BE494" s="5" t="str">
        <f t="array" ref="BE494">IFERROR(_xlfn.XLOOKUP($E494,'FW27'!$C$3:$C$1102,'FW27'!$AV$3:$AV$1102),"")</f>
        <v>N</v>
      </c>
    </row>
    <row r="495" ht="16.5" hidden="1" customHeight="1">
      <c r="A495" s="5" t="s">
        <v>155</v>
      </c>
      <c r="B495" s="5" t="s">
        <v>137</v>
      </c>
      <c r="C495" s="5" t="b">
        <v>1</v>
      </c>
      <c r="D495" s="5" t="s">
        <v>1210</v>
      </c>
      <c r="E495" s="5" t="s">
        <v>1211</v>
      </c>
      <c r="F495" s="5"/>
      <c r="G495" s="5" t="s">
        <v>1109</v>
      </c>
      <c r="H495" s="5" t="s">
        <v>84</v>
      </c>
      <c r="I495" s="5" t="s">
        <v>82</v>
      </c>
      <c r="J495" s="25"/>
      <c r="K495" s="25"/>
      <c r="L495" s="25"/>
      <c r="M495" s="5" t="s">
        <v>66</v>
      </c>
      <c r="N495" s="5" t="s">
        <v>1162</v>
      </c>
      <c r="O495" s="5" t="s">
        <v>69</v>
      </c>
      <c r="P495" s="5" t="s">
        <v>249</v>
      </c>
      <c r="Q495" s="5" t="b">
        <v>1</v>
      </c>
      <c r="R495" s="5" t="b">
        <v>0</v>
      </c>
      <c r="S495" s="5"/>
      <c r="T495" s="5">
        <v>2800.0</v>
      </c>
      <c r="U495" s="26">
        <v>2.08</v>
      </c>
      <c r="V495" s="5">
        <v>1346.0</v>
      </c>
      <c r="W495" s="27">
        <v>0.0</v>
      </c>
      <c r="X495" s="28">
        <v>1346.0</v>
      </c>
      <c r="Y495" s="27">
        <v>1.0</v>
      </c>
      <c r="Z495" s="5" t="s">
        <v>242</v>
      </c>
      <c r="AA495" s="5">
        <v>0.0</v>
      </c>
      <c r="AB495" s="5"/>
      <c r="AC495" s="5" t="s">
        <v>81</v>
      </c>
      <c r="AD495" s="5" t="s">
        <v>81</v>
      </c>
      <c r="AE495" s="24">
        <v>0.0</v>
      </c>
      <c r="AF495" s="5">
        <v>2.0</v>
      </c>
      <c r="AG495" s="5" t="s">
        <v>0</v>
      </c>
      <c r="AH495" s="5" t="s">
        <v>0</v>
      </c>
      <c r="AI495" s="42">
        <v>500.0</v>
      </c>
      <c r="AJ495" s="28">
        <v>419.0</v>
      </c>
      <c r="AK495" s="28">
        <v>373.0</v>
      </c>
      <c r="AL495" s="28">
        <v>0.0</v>
      </c>
      <c r="AM495" s="28">
        <v>541.0</v>
      </c>
      <c r="AN495" s="28">
        <v>673000.0</v>
      </c>
      <c r="AO495" s="28">
        <v>564036.8500000001</v>
      </c>
      <c r="AP495" s="28">
        <v>502058.0</v>
      </c>
      <c r="AQ495" s="28">
        <v>0.0</v>
      </c>
      <c r="AR495" s="28">
        <v>728267.15</v>
      </c>
      <c r="AS495" s="28">
        <v>673000.0</v>
      </c>
      <c r="AT495" s="28">
        <v>473979.61472527473</v>
      </c>
      <c r="AU495" s="28">
        <v>479616.99520000006</v>
      </c>
      <c r="AV495" s="28">
        <v>0.0</v>
      </c>
      <c r="AW495" s="28">
        <v>662566.5737637363</v>
      </c>
      <c r="AX495" s="5"/>
      <c r="AY495" s="5" t="str">
        <f t="array" ref="AY495">IFERROR(_xlfn.XLOOKUP($E495,'FW27'!$C$3:$C$1102,'FW27'!$AM$3:$AM$1102),"")</f>
        <v>Essentials</v>
      </c>
      <c r="AZ495" s="5" t="str">
        <f t="array" ref="AZ495">IFERROR(_xlfn.XLOOKUP($E495,'FW27'!$C$3:$C$1102,'FW27'!$AN$3:$AN$1102),"")</f>
        <v>Daily Essentials</v>
      </c>
      <c r="BB495" s="5" t="str">
        <f t="array" ref="BB495">IFERROR(_xlfn.XLOOKUP($E495,'FW27'!$C$3:$C$1102,'FW27'!$AS$3:$AS$1102),"")</f>
        <v>Backpacks</v>
      </c>
      <c r="BC495" s="5" t="str">
        <f t="array" ref="BC495">IFERROR(_xlfn.XLOOKUP($E495,'FW27'!$C$3:$C$1102,'FW27'!$AT$3:$AT$1102),"")</f>
        <v>Mountain Packs</v>
      </c>
      <c r="BD495" s="5" t="str">
        <f t="array" ref="BD495">IFERROR(_xlfn.XLOOKUP($E495,'FW27'!$C$3:$C$1102,'FW27'!$AU$3:$AU$1102),"")</f>
        <v>51L+</v>
      </c>
      <c r="BE495" s="5" t="str">
        <f t="array" ref="BE495">IFERROR(_xlfn.XLOOKUP($E495,'FW27'!$C$3:$C$1102,'FW27'!$AV$3:$AV$1102),"")</f>
        <v>N</v>
      </c>
    </row>
    <row r="496" ht="16.5" hidden="1" customHeight="1">
      <c r="A496" s="5" t="s">
        <v>155</v>
      </c>
      <c r="B496" s="5" t="s">
        <v>137</v>
      </c>
      <c r="C496" s="5" t="b">
        <v>1</v>
      </c>
      <c r="D496" s="5" t="s">
        <v>1213</v>
      </c>
      <c r="E496" s="5" t="s">
        <v>1214</v>
      </c>
      <c r="F496" s="5"/>
      <c r="G496" s="5" t="s">
        <v>1109</v>
      </c>
      <c r="H496" s="5" t="s">
        <v>84</v>
      </c>
      <c r="I496" s="5" t="s">
        <v>82</v>
      </c>
      <c r="J496" s="25"/>
      <c r="K496" s="25"/>
      <c r="L496" s="25"/>
      <c r="M496" s="5" t="s">
        <v>66</v>
      </c>
      <c r="N496" s="5" t="s">
        <v>1162</v>
      </c>
      <c r="O496" s="5" t="s">
        <v>69</v>
      </c>
      <c r="P496" s="5" t="s">
        <v>249</v>
      </c>
      <c r="Q496" s="5" t="b">
        <v>1</v>
      </c>
      <c r="R496" s="5" t="b">
        <v>0</v>
      </c>
      <c r="S496" s="5"/>
      <c r="T496" s="5">
        <v>1700.0</v>
      </c>
      <c r="U496" s="26">
        <v>2.08</v>
      </c>
      <c r="V496" s="5">
        <v>817.0</v>
      </c>
      <c r="W496" s="27">
        <v>0.0</v>
      </c>
      <c r="X496" s="28">
        <v>817.0</v>
      </c>
      <c r="Y496" s="27">
        <v>1.0</v>
      </c>
      <c r="Z496" s="5" t="s">
        <v>117</v>
      </c>
      <c r="AA496" s="5">
        <v>0.0</v>
      </c>
      <c r="AB496" s="5"/>
      <c r="AC496" s="5" t="s">
        <v>81</v>
      </c>
      <c r="AD496" s="5" t="s">
        <v>81</v>
      </c>
      <c r="AE496" s="24">
        <v>0.0</v>
      </c>
      <c r="AF496" s="5">
        <v>2.0</v>
      </c>
      <c r="AG496" s="5" t="s">
        <v>0</v>
      </c>
      <c r="AH496" s="5" t="s">
        <v>0</v>
      </c>
      <c r="AI496" s="42">
        <v>750.0</v>
      </c>
      <c r="AJ496" s="28">
        <v>699.0</v>
      </c>
      <c r="AK496" s="28">
        <v>0.0</v>
      </c>
      <c r="AL496" s="28">
        <v>0.0</v>
      </c>
      <c r="AM496" s="28">
        <v>797.0</v>
      </c>
      <c r="AN496" s="28">
        <v>612750.0</v>
      </c>
      <c r="AO496" s="28">
        <v>571299.69</v>
      </c>
      <c r="AP496" s="28">
        <v>0.0</v>
      </c>
      <c r="AQ496" s="28">
        <v>0.0</v>
      </c>
      <c r="AR496" s="28">
        <v>651396.0699999997</v>
      </c>
      <c r="AS496" s="28">
        <v>612750.0</v>
      </c>
      <c r="AT496" s="28">
        <v>458413.06945054943</v>
      </c>
      <c r="AU496" s="28">
        <v>0.0</v>
      </c>
      <c r="AV496" s="28">
        <v>0.0</v>
      </c>
      <c r="AW496" s="28">
        <v>525539.8498901099</v>
      </c>
      <c r="AX496" s="5"/>
      <c r="AY496" s="5" t="str">
        <f t="array" ref="AY496">IFERROR(_xlfn.XLOOKUP($E496,'FW27'!$C$3:$C$1102,'FW27'!$AM$3:$AM$1102),"")</f>
        <v>Essentials</v>
      </c>
      <c r="AZ496" s="5" t="str">
        <f t="array" ref="AZ496">IFERROR(_xlfn.XLOOKUP($E496,'FW27'!$C$3:$C$1102,'FW27'!$AN$3:$AN$1102),"")</f>
        <v>Daily Essentials</v>
      </c>
      <c r="BB496" s="5" t="str">
        <f t="array" ref="BB496">IFERROR(_xlfn.XLOOKUP($E496,'FW27'!$C$3:$C$1102,'FW27'!$AS$3:$AS$1102),"")</f>
        <v>Backpacks</v>
      </c>
      <c r="BC496" s="5" t="str">
        <f t="array" ref="BC496">IFERROR(_xlfn.XLOOKUP($E496,'FW27'!$C$3:$C$1102,'FW27'!$AT$3:$AT$1102),"")</f>
        <v>Mountain Packs</v>
      </c>
      <c r="BD496" s="5" t="str">
        <f t="array" ref="BD496">IFERROR(_xlfn.XLOOKUP($E496,'FW27'!$C$3:$C$1102,'FW27'!$AU$3:$AU$1102),"")</f>
        <v>16–30L</v>
      </c>
      <c r="BE496" s="5" t="str">
        <f t="array" ref="BE496">IFERROR(_xlfn.XLOOKUP($E496,'FW27'!$C$3:$C$1102,'FW27'!$AV$3:$AV$1102),"")</f>
        <v>N</v>
      </c>
    </row>
    <row r="497" ht="16.5" hidden="1" customHeight="1">
      <c r="A497" s="5" t="s">
        <v>155</v>
      </c>
      <c r="B497" s="5" t="s">
        <v>137</v>
      </c>
      <c r="C497" s="5" t="b">
        <v>1</v>
      </c>
      <c r="D497" s="5" t="s">
        <v>1217</v>
      </c>
      <c r="E497" s="5" t="s">
        <v>1218</v>
      </c>
      <c r="F497" s="5"/>
      <c r="G497" s="5" t="s">
        <v>1109</v>
      </c>
      <c r="H497" s="5" t="s">
        <v>84</v>
      </c>
      <c r="I497" s="5" t="s">
        <v>82</v>
      </c>
      <c r="J497" s="25"/>
      <c r="K497" s="25"/>
      <c r="L497" s="25"/>
      <c r="M497" s="5" t="s">
        <v>66</v>
      </c>
      <c r="N497" s="5" t="s">
        <v>1129</v>
      </c>
      <c r="O497" s="5" t="s">
        <v>69</v>
      </c>
      <c r="P497" s="5" t="s">
        <v>249</v>
      </c>
      <c r="Q497" s="5" t="b">
        <v>1</v>
      </c>
      <c r="R497" s="5" t="b">
        <v>0</v>
      </c>
      <c r="S497" s="5"/>
      <c r="T497" s="5">
        <v>1800.0</v>
      </c>
      <c r="U497" s="26">
        <v>2.08</v>
      </c>
      <c r="V497" s="5">
        <v>865.0</v>
      </c>
      <c r="W497" s="27">
        <v>0.0</v>
      </c>
      <c r="X497" s="28">
        <v>865.0</v>
      </c>
      <c r="Y497" s="27">
        <v>1.0</v>
      </c>
      <c r="Z497" s="5" t="s">
        <v>117</v>
      </c>
      <c r="AA497" s="5">
        <v>0.597</v>
      </c>
      <c r="AB497" s="5"/>
      <c r="AC497" s="5" t="s">
        <v>81</v>
      </c>
      <c r="AD497" s="5" t="s">
        <v>81</v>
      </c>
      <c r="AE497" s="24">
        <v>0.0</v>
      </c>
      <c r="AF497" s="5">
        <v>2.0</v>
      </c>
      <c r="AG497" s="5" t="s">
        <v>0</v>
      </c>
      <c r="AH497" s="5" t="s">
        <v>0</v>
      </c>
      <c r="AI497" s="42">
        <v>550.0</v>
      </c>
      <c r="AJ497" s="28">
        <v>479.0</v>
      </c>
      <c r="AK497" s="28">
        <v>411.0</v>
      </c>
      <c r="AL497" s="28">
        <v>0.0</v>
      </c>
      <c r="AM497" s="28">
        <v>615.0</v>
      </c>
      <c r="AN497" s="28">
        <v>475750.0</v>
      </c>
      <c r="AO497" s="28">
        <v>414517.02</v>
      </c>
      <c r="AP497" s="28">
        <v>355515.0</v>
      </c>
      <c r="AQ497" s="28">
        <v>0.0</v>
      </c>
      <c r="AR497" s="28">
        <v>532208.7000000002</v>
      </c>
      <c r="AS497" s="28">
        <v>475750.0</v>
      </c>
      <c r="AT497" s="28">
        <v>384887.5207692308</v>
      </c>
      <c r="AU497" s="28">
        <v>338324.57872</v>
      </c>
      <c r="AV497" s="28">
        <v>0.0</v>
      </c>
      <c r="AW497" s="28">
        <v>457128.57657509146</v>
      </c>
      <c r="AX497" s="5"/>
      <c r="AY497" s="5" t="str">
        <f t="array" ref="AY497">IFERROR(_xlfn.XLOOKUP($E497,'FW27'!$C$3:$C$1102,'FW27'!$AM$3:$AM$1102),"")</f>
        <v>Essentials</v>
      </c>
      <c r="AZ497" s="5" t="str">
        <f t="array" ref="AZ497">IFERROR(_xlfn.XLOOKUP($E497,'FW27'!$C$3:$C$1102,'FW27'!$AN$3:$AN$1102),"")</f>
        <v>Daily Essentials</v>
      </c>
      <c r="BB497" s="5" t="str">
        <f t="array" ref="BB497">IFERROR(_xlfn.XLOOKUP($E497,'FW27'!$C$3:$C$1102,'FW27'!$AS$3:$AS$1102),"")</f>
        <v>Backpacks</v>
      </c>
      <c r="BC497" s="5" t="str">
        <f t="array" ref="BC497">IFERROR(_xlfn.XLOOKUP($E497,'FW27'!$C$3:$C$1102,'FW27'!$AT$3:$AT$1102),"")</f>
        <v>Mountain Packs</v>
      </c>
      <c r="BD497" s="5" t="str">
        <f t="array" ref="BD497">IFERROR(_xlfn.XLOOKUP($E497,'FW27'!$C$3:$C$1102,'FW27'!$AU$3:$AU$1102),"")</f>
        <v>31–50L</v>
      </c>
      <c r="BE497" s="5" t="str">
        <f t="array" ref="BE497">IFERROR(_xlfn.XLOOKUP($E497,'FW27'!$C$3:$C$1102,'FW27'!$AV$3:$AV$1102),"")</f>
        <v>N</v>
      </c>
    </row>
    <row r="498" ht="16.5" hidden="1" customHeight="1">
      <c r="A498" s="5" t="s">
        <v>155</v>
      </c>
      <c r="B498" s="5" t="s">
        <v>137</v>
      </c>
      <c r="C498" s="5" t="b">
        <v>1</v>
      </c>
      <c r="D498" s="5" t="s">
        <v>1221</v>
      </c>
      <c r="E498" s="5" t="s">
        <v>1222</v>
      </c>
      <c r="F498" s="5"/>
      <c r="G498" s="5" t="s">
        <v>1109</v>
      </c>
      <c r="H498" s="5" t="s">
        <v>84</v>
      </c>
      <c r="I498" s="5" t="s">
        <v>82</v>
      </c>
      <c r="J498" s="25"/>
      <c r="K498" s="25"/>
      <c r="L498" s="25"/>
      <c r="M498" s="5" t="s">
        <v>66</v>
      </c>
      <c r="N498" s="5" t="s">
        <v>1162</v>
      </c>
      <c r="O498" s="5" t="s">
        <v>69</v>
      </c>
      <c r="P498" s="5" t="s">
        <v>249</v>
      </c>
      <c r="Q498" s="5" t="b">
        <v>1</v>
      </c>
      <c r="R498" s="5" t="b">
        <v>0</v>
      </c>
      <c r="S498" s="5"/>
      <c r="T498" s="5">
        <v>2600.0</v>
      </c>
      <c r="U498" s="26">
        <v>2.08</v>
      </c>
      <c r="V498" s="5">
        <v>1250.0</v>
      </c>
      <c r="W498" s="27">
        <v>0.0</v>
      </c>
      <c r="X498" s="28">
        <v>1250.0</v>
      </c>
      <c r="Y498" s="27">
        <v>1.0</v>
      </c>
      <c r="Z498" s="5" t="s">
        <v>242</v>
      </c>
      <c r="AA498" s="5">
        <v>0.0</v>
      </c>
      <c r="AB498" s="5"/>
      <c r="AC498" s="5" t="s">
        <v>81</v>
      </c>
      <c r="AD498" s="5" t="s">
        <v>81</v>
      </c>
      <c r="AE498" s="24">
        <v>0.0</v>
      </c>
      <c r="AF498" s="5">
        <v>2.0</v>
      </c>
      <c r="AG498" s="5" t="s">
        <v>0</v>
      </c>
      <c r="AH498" s="5" t="s">
        <v>0</v>
      </c>
      <c r="AI498" s="42">
        <v>500.0</v>
      </c>
      <c r="AJ498" s="28">
        <v>408.0</v>
      </c>
      <c r="AK498" s="28">
        <v>385.0</v>
      </c>
      <c r="AL498" s="28">
        <v>0.0</v>
      </c>
      <c r="AM498" s="28">
        <v>573.0</v>
      </c>
      <c r="AN498" s="28">
        <v>625000.0</v>
      </c>
      <c r="AO498" s="28">
        <v>510000.0</v>
      </c>
      <c r="AP498" s="28">
        <v>481250.0</v>
      </c>
      <c r="AQ498" s="28">
        <v>0.0</v>
      </c>
      <c r="AR498" s="28">
        <v>716250.0</v>
      </c>
      <c r="AS498" s="28">
        <v>625000.0</v>
      </c>
      <c r="AT498" s="28">
        <v>427099.73159340664</v>
      </c>
      <c r="AU498" s="28">
        <v>461461.38968000014</v>
      </c>
      <c r="AV498" s="28">
        <v>0.0</v>
      </c>
      <c r="AW498" s="28">
        <v>653374.7267857143</v>
      </c>
      <c r="AX498" s="5"/>
      <c r="AY498" s="5" t="str">
        <f t="array" ref="AY498">IFERROR(_xlfn.XLOOKUP($E498,'FW27'!$C$3:$C$1102,'FW27'!$AM$3:$AM$1102),"")</f>
        <v>Essentials</v>
      </c>
      <c r="AZ498" s="5" t="str">
        <f t="array" ref="AZ498">IFERROR(_xlfn.XLOOKUP($E498,'FW27'!$C$3:$C$1102,'FW27'!$AN$3:$AN$1102),"")</f>
        <v>Daily Essentials</v>
      </c>
      <c r="BB498" s="5" t="str">
        <f t="array" ref="BB498">IFERROR(_xlfn.XLOOKUP($E498,'FW27'!$C$3:$C$1102,'FW27'!$AS$3:$AS$1102),"")</f>
        <v>Backpacks</v>
      </c>
      <c r="BC498" s="5" t="str">
        <f t="array" ref="BC498">IFERROR(_xlfn.XLOOKUP($E498,'FW27'!$C$3:$C$1102,'FW27'!$AT$3:$AT$1102),"")</f>
        <v>Mountain Packs</v>
      </c>
      <c r="BD498" s="5" t="str">
        <f t="array" ref="BD498">IFERROR(_xlfn.XLOOKUP($E498,'FW27'!$C$3:$C$1102,'FW27'!$AU$3:$AU$1102),"")</f>
        <v>31–50L</v>
      </c>
      <c r="BE498" s="5" t="str">
        <f t="array" ref="BE498">IFERROR(_xlfn.XLOOKUP($E498,'FW27'!$C$3:$C$1102,'FW27'!$AV$3:$AV$1102),"")</f>
        <v>N</v>
      </c>
    </row>
    <row r="499" ht="16.5" hidden="1" customHeight="1">
      <c r="A499" s="5" t="s">
        <v>155</v>
      </c>
      <c r="B499" s="5" t="s">
        <v>137</v>
      </c>
      <c r="C499" s="5" t="b">
        <v>1</v>
      </c>
      <c r="D499" s="5" t="s">
        <v>1224</v>
      </c>
      <c r="E499" s="5" t="s">
        <v>1225</v>
      </c>
      <c r="F499" s="5"/>
      <c r="G499" s="5" t="s">
        <v>1109</v>
      </c>
      <c r="H499" s="5" t="s">
        <v>84</v>
      </c>
      <c r="I499" s="5" t="s">
        <v>82</v>
      </c>
      <c r="J499" s="25"/>
      <c r="K499" s="25"/>
      <c r="L499" s="25"/>
      <c r="M499" s="5" t="s">
        <v>66</v>
      </c>
      <c r="N499" s="5" t="s">
        <v>1129</v>
      </c>
      <c r="O499" s="5" t="s">
        <v>69</v>
      </c>
      <c r="P499" s="5" t="s">
        <v>249</v>
      </c>
      <c r="Q499" s="5" t="b">
        <v>1</v>
      </c>
      <c r="R499" s="5" t="b">
        <v>0</v>
      </c>
      <c r="S499" s="5"/>
      <c r="T499" s="5">
        <v>2000.0</v>
      </c>
      <c r="U499" s="26">
        <v>2.08</v>
      </c>
      <c r="V499" s="5">
        <v>962.0</v>
      </c>
      <c r="W499" s="27">
        <v>0.0</v>
      </c>
      <c r="X499" s="28">
        <v>962.0</v>
      </c>
      <c r="Y499" s="27">
        <v>1.0</v>
      </c>
      <c r="Z499" s="5" t="s">
        <v>117</v>
      </c>
      <c r="AA499" s="5">
        <v>0.594</v>
      </c>
      <c r="AB499" s="5"/>
      <c r="AC499" s="5" t="s">
        <v>81</v>
      </c>
      <c r="AD499" s="5" t="s">
        <v>81</v>
      </c>
      <c r="AE499" s="24">
        <v>0.0</v>
      </c>
      <c r="AF499" s="5">
        <v>2.0</v>
      </c>
      <c r="AG499" s="5" t="s">
        <v>0</v>
      </c>
      <c r="AH499" s="5" t="s">
        <v>0</v>
      </c>
      <c r="AI499" s="42">
        <v>450.0</v>
      </c>
      <c r="AJ499" s="28">
        <v>410.0</v>
      </c>
      <c r="AK499" s="28">
        <v>326.0</v>
      </c>
      <c r="AL499" s="28">
        <v>0.0</v>
      </c>
      <c r="AM499" s="28">
        <v>629.0</v>
      </c>
      <c r="AN499" s="28">
        <v>432900.0</v>
      </c>
      <c r="AO499" s="28">
        <v>394231.39999999997</v>
      </c>
      <c r="AP499" s="28">
        <v>313612.0</v>
      </c>
      <c r="AQ499" s="28">
        <v>0.0</v>
      </c>
      <c r="AR499" s="28">
        <v>604808.66</v>
      </c>
      <c r="AS499" s="28">
        <v>432900.0</v>
      </c>
      <c r="AT499" s="28">
        <v>372530.8565384615</v>
      </c>
      <c r="AU499" s="28">
        <v>303808.02628</v>
      </c>
      <c r="AV499" s="28">
        <v>0.0</v>
      </c>
      <c r="AW499" s="28">
        <v>531487.6401190476</v>
      </c>
      <c r="AX499" s="5"/>
      <c r="AY499" s="5" t="str">
        <f t="array" ref="AY499">IFERROR(_xlfn.XLOOKUP($E499,'FW27'!$C$3:$C$1102,'FW27'!$AM$3:$AM$1102),"")</f>
        <v>Essentials</v>
      </c>
      <c r="AZ499" s="5" t="str">
        <f t="array" ref="AZ499">IFERROR(_xlfn.XLOOKUP($E499,'FW27'!$C$3:$C$1102,'FW27'!$AN$3:$AN$1102),"")</f>
        <v>Daily Essentials</v>
      </c>
      <c r="BB499" s="5" t="str">
        <f t="array" ref="BB499">IFERROR(_xlfn.XLOOKUP($E499,'FW27'!$C$3:$C$1102,'FW27'!$AS$3:$AS$1102),"")</f>
        <v>Backpacks</v>
      </c>
      <c r="BC499" s="5" t="str">
        <f t="array" ref="BC499">IFERROR(_xlfn.XLOOKUP($E499,'FW27'!$C$3:$C$1102,'FW27'!$AT$3:$AT$1102),"")</f>
        <v>Mountain Packs</v>
      </c>
      <c r="BD499" s="5" t="str">
        <f t="array" ref="BD499">IFERROR(_xlfn.XLOOKUP($E499,'FW27'!$C$3:$C$1102,'FW27'!$AU$3:$AU$1102),"")</f>
        <v>51L+</v>
      </c>
      <c r="BE499" s="5" t="str">
        <f t="array" ref="BE499">IFERROR(_xlfn.XLOOKUP($E499,'FW27'!$C$3:$C$1102,'FW27'!$AV$3:$AV$1102),"")</f>
        <v>N</v>
      </c>
    </row>
    <row r="500" ht="16.5" hidden="1" customHeight="1">
      <c r="A500" s="5" t="s">
        <v>155</v>
      </c>
      <c r="B500" s="5" t="s">
        <v>137</v>
      </c>
      <c r="C500" s="5" t="b">
        <v>1</v>
      </c>
      <c r="D500" s="5" t="s">
        <v>1228</v>
      </c>
      <c r="E500" s="5" t="s">
        <v>1229</v>
      </c>
      <c r="F500" s="5"/>
      <c r="G500" s="5" t="s">
        <v>1109</v>
      </c>
      <c r="H500" s="5" t="s">
        <v>84</v>
      </c>
      <c r="I500" s="5" t="s">
        <v>82</v>
      </c>
      <c r="J500" s="25"/>
      <c r="K500" s="25"/>
      <c r="L500" s="25"/>
      <c r="M500" s="5" t="s">
        <v>66</v>
      </c>
      <c r="N500" s="5" t="s">
        <v>1162</v>
      </c>
      <c r="O500" s="5" t="s">
        <v>69</v>
      </c>
      <c r="P500" s="5" t="s">
        <v>249</v>
      </c>
      <c r="Q500" s="5" t="b">
        <v>1</v>
      </c>
      <c r="R500" s="5" t="b">
        <v>0</v>
      </c>
      <c r="S500" s="5"/>
      <c r="T500" s="5">
        <v>2000.0</v>
      </c>
      <c r="U500" s="26">
        <v>2.08</v>
      </c>
      <c r="V500" s="5">
        <v>962.0</v>
      </c>
      <c r="W500" s="27">
        <v>0.0</v>
      </c>
      <c r="X500" s="28">
        <v>962.0</v>
      </c>
      <c r="Y500" s="27">
        <v>1.0</v>
      </c>
      <c r="Z500" s="5" t="s">
        <v>117</v>
      </c>
      <c r="AA500" s="5">
        <v>0.61</v>
      </c>
      <c r="AB500" s="5"/>
      <c r="AC500" s="5" t="s">
        <v>81</v>
      </c>
      <c r="AD500" s="5" t="s">
        <v>81</v>
      </c>
      <c r="AE500" s="24">
        <v>0.0</v>
      </c>
      <c r="AF500" s="5">
        <v>2.0</v>
      </c>
      <c r="AG500" s="5" t="s">
        <v>0</v>
      </c>
      <c r="AH500" s="5" t="s">
        <v>0</v>
      </c>
      <c r="AI500" s="42">
        <v>600.0</v>
      </c>
      <c r="AJ500" s="28">
        <v>531.0</v>
      </c>
      <c r="AK500" s="28">
        <v>528.0</v>
      </c>
      <c r="AL500" s="28">
        <v>0.0</v>
      </c>
      <c r="AM500" s="28">
        <v>727.0</v>
      </c>
      <c r="AN500" s="28">
        <v>577200.0</v>
      </c>
      <c r="AO500" s="28">
        <v>510577.74000000005</v>
      </c>
      <c r="AP500" s="28">
        <v>507936.0</v>
      </c>
      <c r="AQ500" s="28">
        <v>0.0</v>
      </c>
      <c r="AR500" s="28">
        <v>699039.58</v>
      </c>
      <c r="AS500" s="28">
        <v>577200.0</v>
      </c>
      <c r="AT500" s="28">
        <v>413236.1067857143</v>
      </c>
      <c r="AU500" s="28">
        <v>427772.24968</v>
      </c>
      <c r="AV500" s="28">
        <v>0.0</v>
      </c>
      <c r="AW500" s="28">
        <v>591744.7226739926</v>
      </c>
      <c r="AX500" s="5"/>
      <c r="AY500" s="5" t="str">
        <f t="array" ref="AY500">IFERROR(_xlfn.XLOOKUP($E500,'FW27'!$C$3:$C$1102,'FW27'!$AM$3:$AM$1102),"")</f>
        <v>Outdoor</v>
      </c>
      <c r="AZ500" s="5" t="str">
        <f t="array" ref="AZ500">IFERROR(_xlfn.XLOOKUP($E500,'FW27'!$C$3:$C$1102,'FW27'!$AN$3:$AN$1102),"")</f>
        <v>Trail Run &amp; Fast Hike</v>
      </c>
      <c r="BB500" s="5" t="str">
        <f t="array" ref="BB500">IFERROR(_xlfn.XLOOKUP($E500,'FW27'!$C$3:$C$1102,'FW27'!$AS$3:$AS$1102),"")</f>
        <v>Backpacks</v>
      </c>
      <c r="BC500" s="5" t="str">
        <f t="array" ref="BC500">IFERROR(_xlfn.XLOOKUP($E500,'FW27'!$C$3:$C$1102,'FW27'!$AT$3:$AT$1102),"")</f>
        <v>Mountain Packs</v>
      </c>
      <c r="BD500" s="5" t="str">
        <f t="array" ref="BD500">IFERROR(_xlfn.XLOOKUP($E500,'FW27'!$C$3:$C$1102,'FW27'!$AU$3:$AU$1102),"")</f>
        <v>31–50L</v>
      </c>
      <c r="BE500" s="5" t="str">
        <f t="array" ref="BE500">IFERROR(_xlfn.XLOOKUP($E500,'FW27'!$C$3:$C$1102,'FW27'!$AV$3:$AV$1102),"")</f>
        <v>N</v>
      </c>
    </row>
    <row r="501" ht="16.5" hidden="1" customHeight="1">
      <c r="A501" s="5" t="s">
        <v>155</v>
      </c>
      <c r="B501" s="5" t="s">
        <v>137</v>
      </c>
      <c r="C501" s="5" t="b">
        <v>1</v>
      </c>
      <c r="D501" s="5" t="s">
        <v>1230</v>
      </c>
      <c r="E501" s="5" t="s">
        <v>1231</v>
      </c>
      <c r="F501" s="5"/>
      <c r="G501" s="5" t="s">
        <v>1109</v>
      </c>
      <c r="H501" s="5" t="s">
        <v>84</v>
      </c>
      <c r="I501" s="5" t="s">
        <v>82</v>
      </c>
      <c r="J501" s="25"/>
      <c r="K501" s="25"/>
      <c r="L501" s="25"/>
      <c r="M501" s="5" t="s">
        <v>66</v>
      </c>
      <c r="N501" s="5" t="s">
        <v>248</v>
      </c>
      <c r="O501" s="5" t="s">
        <v>69</v>
      </c>
      <c r="P501" s="5" t="s">
        <v>249</v>
      </c>
      <c r="Q501" s="5" t="b">
        <v>1</v>
      </c>
      <c r="R501" s="5" t="b">
        <v>0</v>
      </c>
      <c r="S501" s="5"/>
      <c r="T501" s="5">
        <v>800.0</v>
      </c>
      <c r="U501" s="26">
        <v>2.08</v>
      </c>
      <c r="V501" s="5">
        <v>385.0</v>
      </c>
      <c r="W501" s="27">
        <v>0.0</v>
      </c>
      <c r="X501" s="28">
        <v>385.0</v>
      </c>
      <c r="Y501" s="27">
        <v>1.0</v>
      </c>
      <c r="Z501" s="5" t="s">
        <v>117</v>
      </c>
      <c r="AA501" s="5">
        <v>0.0</v>
      </c>
      <c r="AB501" s="5"/>
      <c r="AC501" s="5" t="s">
        <v>81</v>
      </c>
      <c r="AD501" s="5" t="s">
        <v>81</v>
      </c>
      <c r="AE501" s="24">
        <v>0.0</v>
      </c>
      <c r="AF501" s="5">
        <v>3.0</v>
      </c>
      <c r="AG501" s="5" t="s">
        <v>0</v>
      </c>
      <c r="AH501" s="5" t="s">
        <v>0</v>
      </c>
      <c r="AI501" s="42">
        <v>1000.0</v>
      </c>
      <c r="AJ501" s="28">
        <v>843.0</v>
      </c>
      <c r="AK501" s="28">
        <v>0.0</v>
      </c>
      <c r="AL501" s="28">
        <v>0.0</v>
      </c>
      <c r="AM501" s="28">
        <v>2391.0</v>
      </c>
      <c r="AN501" s="28">
        <v>385000.0</v>
      </c>
      <c r="AO501" s="28">
        <v>324234.66000000003</v>
      </c>
      <c r="AP501" s="28">
        <v>0.0</v>
      </c>
      <c r="AQ501" s="28">
        <v>0.0</v>
      </c>
      <c r="AR501" s="28">
        <v>919626.42</v>
      </c>
      <c r="AS501" s="28">
        <v>385000.0</v>
      </c>
      <c r="AT501" s="28">
        <v>274536.9128434066</v>
      </c>
      <c r="AU501" s="28">
        <v>0.0</v>
      </c>
      <c r="AV501" s="28">
        <v>0.0</v>
      </c>
      <c r="AW501" s="28">
        <v>682067.5076923077</v>
      </c>
      <c r="AX501" s="5"/>
      <c r="AY501" s="5" t="str">
        <f t="array" ref="AY501">IFERROR(_xlfn.XLOOKUP($E501,'FW27'!$C$3:$C$1102,'FW27'!$AM$3:$AM$1102),"")</f>
        <v>Essentials</v>
      </c>
      <c r="AZ501" s="5" t="str">
        <f t="array" ref="AZ501">IFERROR(_xlfn.XLOOKUP($E501,'FW27'!$C$3:$C$1102,'FW27'!$AN$3:$AN$1102),"")</f>
        <v>Active Essentials</v>
      </c>
      <c r="BB501" s="5" t="str">
        <f t="array" ref="BB501">IFERROR(_xlfn.XLOOKUP($E501,'FW27'!$C$3:$C$1102,'FW27'!$AS$3:$AS$1102),"")</f>
        <v>Backpacks</v>
      </c>
      <c r="BC501" s="5" t="str">
        <f t="array" ref="BC501">IFERROR(_xlfn.XLOOKUP($E501,'FW27'!$C$3:$C$1102,'FW27'!$AT$3:$AT$1102),"")</f>
        <v>Hip/Waist Pack</v>
      </c>
      <c r="BD501" s="5" t="str">
        <f t="array" ref="BD501">IFERROR(_xlfn.XLOOKUP($E501,'FW27'!$C$3:$C$1102,'FW27'!$AU$3:$AU$1102),"")</f>
        <v>≤15L</v>
      </c>
      <c r="BE501" s="5" t="str">
        <f t="array" ref="BE501">IFERROR(_xlfn.XLOOKUP($E501,'FW27'!$C$3:$C$1102,'FW27'!$AV$3:$AV$1102),"")</f>
        <v>N</v>
      </c>
    </row>
    <row r="502" ht="16.5" hidden="1" customHeight="1">
      <c r="A502" s="5" t="s">
        <v>155</v>
      </c>
      <c r="B502" s="5" t="s">
        <v>137</v>
      </c>
      <c r="C502" s="5" t="b">
        <v>1</v>
      </c>
      <c r="D502" s="5" t="s">
        <v>1236</v>
      </c>
      <c r="E502" s="5" t="s">
        <v>1237</v>
      </c>
      <c r="F502" s="5"/>
      <c r="G502" s="5" t="s">
        <v>1109</v>
      </c>
      <c r="H502" s="5" t="s">
        <v>84</v>
      </c>
      <c r="I502" s="5" t="s">
        <v>82</v>
      </c>
      <c r="J502" s="25"/>
      <c r="K502" s="25"/>
      <c r="L502" s="25"/>
      <c r="M502" s="5" t="s">
        <v>66</v>
      </c>
      <c r="N502" s="5" t="s">
        <v>1110</v>
      </c>
      <c r="O502" s="5" t="s">
        <v>69</v>
      </c>
      <c r="P502" s="5" t="s">
        <v>249</v>
      </c>
      <c r="Q502" s="5" t="b">
        <v>1</v>
      </c>
      <c r="R502" s="5" t="b">
        <v>0</v>
      </c>
      <c r="S502" s="5"/>
      <c r="T502" s="5">
        <v>1300.0</v>
      </c>
      <c r="U502" s="26">
        <v>2.08</v>
      </c>
      <c r="V502" s="5">
        <v>625.0</v>
      </c>
      <c r="W502" s="27">
        <v>0.0</v>
      </c>
      <c r="X502" s="28">
        <v>625.0</v>
      </c>
      <c r="Y502" s="27">
        <v>1.0</v>
      </c>
      <c r="Z502" s="5" t="s">
        <v>78</v>
      </c>
      <c r="AA502" s="5">
        <v>0.508</v>
      </c>
      <c r="AB502" s="5"/>
      <c r="AC502" s="5" t="s">
        <v>81</v>
      </c>
      <c r="AD502" s="5" t="s">
        <v>81</v>
      </c>
      <c r="AE502" s="24">
        <v>0.0</v>
      </c>
      <c r="AF502" s="5">
        <v>1.0</v>
      </c>
      <c r="AG502" s="5" t="s">
        <v>0</v>
      </c>
      <c r="AH502" s="5" t="s">
        <v>0</v>
      </c>
      <c r="AI502" s="42">
        <v>190.0</v>
      </c>
      <c r="AJ502" s="28">
        <v>181.0</v>
      </c>
      <c r="AK502" s="28">
        <v>205.0</v>
      </c>
      <c r="AL502" s="28">
        <v>0.0</v>
      </c>
      <c r="AM502" s="28">
        <v>538.0</v>
      </c>
      <c r="AN502" s="28">
        <v>118750.0</v>
      </c>
      <c r="AO502" s="28">
        <v>113125.0</v>
      </c>
      <c r="AP502" s="28">
        <v>128125.0</v>
      </c>
      <c r="AQ502" s="28">
        <v>0.0</v>
      </c>
      <c r="AR502" s="28">
        <v>336250.0</v>
      </c>
      <c r="AS502" s="28">
        <v>118750.0</v>
      </c>
      <c r="AT502" s="28">
        <v>92621.43076923078</v>
      </c>
      <c r="AU502" s="28">
        <v>111728.82</v>
      </c>
      <c r="AV502" s="28">
        <v>0.0</v>
      </c>
      <c r="AW502" s="28">
        <v>281560.5538461539</v>
      </c>
      <c r="AX502" s="5"/>
      <c r="AY502" s="5" t="str">
        <f t="array" ref="AY502">IFERROR(_xlfn.XLOOKUP($E502,'FW27'!$C$3:$C$1102,'FW27'!$AM$3:$AM$1102),"")</f>
        <v>Outdoor</v>
      </c>
      <c r="AZ502" s="5" t="str">
        <f t="array" ref="AZ502">IFERROR(_xlfn.XLOOKUP($E502,'FW27'!$C$3:$C$1102,'FW27'!$AN$3:$AN$1102),"")</f>
        <v>Trekking</v>
      </c>
      <c r="BB502" s="5" t="str">
        <f t="array" ref="BB502">IFERROR(_xlfn.XLOOKUP($E502,'FW27'!$C$3:$C$1102,'FW27'!$AS$3:$AS$1102),"")</f>
        <v>Sleep</v>
      </c>
      <c r="BC502" s="5" t="str">
        <f t="array" ref="BC502">IFERROR(_xlfn.XLOOKUP($E502,'FW27'!$C$3:$C$1102,'FW27'!$AT$3:$AT$1102),"")</f>
        <v>Sleeping Bag</v>
      </c>
      <c r="BD502" s="5" t="str">
        <f t="array" ref="BD502">IFERROR(_xlfn.XLOOKUP($E502,'FW27'!$C$3:$C$1102,'FW27'!$AU$3:$AU$1102),"")</f>
        <v>Summer</v>
      </c>
      <c r="BE502" s="5" t="str">
        <f t="array" ref="BE502">IFERROR(_xlfn.XLOOKUP($E502,'FW27'!$C$3:$C$1102,'FW27'!$AV$3:$AV$1102),"")</f>
        <v>N</v>
      </c>
    </row>
    <row r="503" ht="16.5" hidden="1" customHeight="1">
      <c r="A503" s="5" t="s">
        <v>155</v>
      </c>
      <c r="B503" s="5" t="s">
        <v>137</v>
      </c>
      <c r="C503" s="5" t="b">
        <v>1</v>
      </c>
      <c r="D503" s="5" t="s">
        <v>1238</v>
      </c>
      <c r="E503" s="5" t="s">
        <v>1239</v>
      </c>
      <c r="F503" s="5"/>
      <c r="G503" s="5" t="s">
        <v>1109</v>
      </c>
      <c r="H503" s="5" t="s">
        <v>84</v>
      </c>
      <c r="I503" s="5" t="s">
        <v>82</v>
      </c>
      <c r="J503" s="25"/>
      <c r="K503" s="25"/>
      <c r="L503" s="25"/>
      <c r="M503" s="5" t="s">
        <v>66</v>
      </c>
      <c r="N503" s="5" t="s">
        <v>1110</v>
      </c>
      <c r="O503" s="5" t="s">
        <v>69</v>
      </c>
      <c r="P503" s="5" t="s">
        <v>249</v>
      </c>
      <c r="Q503" s="5" t="b">
        <v>1</v>
      </c>
      <c r="R503" s="5" t="b">
        <v>0</v>
      </c>
      <c r="S503" s="5"/>
      <c r="T503" s="5">
        <v>1500.0</v>
      </c>
      <c r="U503" s="26">
        <v>2.08</v>
      </c>
      <c r="V503" s="5">
        <v>721.0</v>
      </c>
      <c r="W503" s="27">
        <v>0.0</v>
      </c>
      <c r="X503" s="28">
        <v>721.0</v>
      </c>
      <c r="Y503" s="27">
        <v>1.0</v>
      </c>
      <c r="Z503" s="5" t="s">
        <v>78</v>
      </c>
      <c r="AA503" s="5">
        <v>0.537</v>
      </c>
      <c r="AB503" s="5"/>
      <c r="AC503" s="5" t="s">
        <v>81</v>
      </c>
      <c r="AD503" s="5" t="s">
        <v>81</v>
      </c>
      <c r="AE503" s="24">
        <v>0.0</v>
      </c>
      <c r="AF503" s="5">
        <v>1.0</v>
      </c>
      <c r="AG503" s="5" t="s">
        <v>0</v>
      </c>
      <c r="AH503" s="5" t="s">
        <v>0</v>
      </c>
      <c r="AI503" s="42">
        <v>200.0</v>
      </c>
      <c r="AJ503" s="28">
        <v>196.0</v>
      </c>
      <c r="AK503" s="28">
        <v>184.0</v>
      </c>
      <c r="AL503" s="28">
        <v>0.0</v>
      </c>
      <c r="AM503" s="28">
        <v>218.0</v>
      </c>
      <c r="AN503" s="28">
        <v>144200.0</v>
      </c>
      <c r="AO503" s="28">
        <v>141345.4</v>
      </c>
      <c r="AP503" s="28">
        <v>132664.0</v>
      </c>
      <c r="AQ503" s="28">
        <v>0.0</v>
      </c>
      <c r="AR503" s="28">
        <v>157210.7</v>
      </c>
      <c r="AS503" s="28">
        <v>144200.0</v>
      </c>
      <c r="AT503" s="28">
        <v>113191.31923076922</v>
      </c>
      <c r="AU503" s="28">
        <v>111254.16</v>
      </c>
      <c r="AV503" s="28">
        <v>0.0</v>
      </c>
      <c r="AW503" s="28">
        <v>128783.14615384616</v>
      </c>
      <c r="AX503" s="5"/>
      <c r="AY503" s="5" t="str">
        <f t="array" ref="AY503">IFERROR(_xlfn.XLOOKUP($E503,'FW27'!$C$3:$C$1102,'FW27'!$AM$3:$AM$1102),"")</f>
        <v>Outdoor</v>
      </c>
      <c r="AZ503" s="5" t="str">
        <f t="array" ref="AZ503">IFERROR(_xlfn.XLOOKUP($E503,'FW27'!$C$3:$C$1102,'FW27'!$AN$3:$AN$1102),"")</f>
        <v>Trekking</v>
      </c>
      <c r="BB503" s="5" t="str">
        <f t="array" ref="BB503">IFERROR(_xlfn.XLOOKUP($E503,'FW27'!$C$3:$C$1102,'FW27'!$AS$3:$AS$1102),"")</f>
        <v>Sleep</v>
      </c>
      <c r="BC503" s="5" t="str">
        <f t="array" ref="BC503">IFERROR(_xlfn.XLOOKUP($E503,'FW27'!$C$3:$C$1102,'FW27'!$AT$3:$AT$1102),"")</f>
        <v>Sleeping Bag</v>
      </c>
      <c r="BD503" s="5" t="str">
        <f t="array" ref="BD503">IFERROR(_xlfn.XLOOKUP($E503,'FW27'!$C$3:$C$1102,'FW27'!$AU$3:$AU$1102),"")</f>
        <v>3-Season</v>
      </c>
      <c r="BE503" s="5" t="str">
        <f t="array" ref="BE503">IFERROR(_xlfn.XLOOKUP($E503,'FW27'!$C$3:$C$1102,'FW27'!$AV$3:$AV$1102),"")</f>
        <v>N</v>
      </c>
    </row>
    <row r="504" ht="16.5" hidden="1" customHeight="1">
      <c r="A504" s="5" t="s">
        <v>155</v>
      </c>
      <c r="B504" s="5" t="s">
        <v>137</v>
      </c>
      <c r="C504" s="5" t="b">
        <v>1</v>
      </c>
      <c r="D504" s="5" t="s">
        <v>1241</v>
      </c>
      <c r="E504" s="5" t="s">
        <v>1242</v>
      </c>
      <c r="F504" s="5"/>
      <c r="G504" s="5" t="s">
        <v>1109</v>
      </c>
      <c r="H504" s="5" t="s">
        <v>84</v>
      </c>
      <c r="I504" s="5" t="s">
        <v>82</v>
      </c>
      <c r="J504" s="25"/>
      <c r="K504" s="25"/>
      <c r="L504" s="25"/>
      <c r="M504" s="5" t="s">
        <v>66</v>
      </c>
      <c r="N504" s="5" t="s">
        <v>1110</v>
      </c>
      <c r="O504" s="5" t="s">
        <v>69</v>
      </c>
      <c r="P504" s="5" t="s">
        <v>1243</v>
      </c>
      <c r="Q504" s="5" t="b">
        <v>1</v>
      </c>
      <c r="R504" s="5" t="b">
        <v>0</v>
      </c>
      <c r="S504" s="5"/>
      <c r="T504" s="5">
        <v>1300.0</v>
      </c>
      <c r="U504" s="26">
        <v>2.08</v>
      </c>
      <c r="V504" s="5">
        <v>625.0</v>
      </c>
      <c r="W504" s="27">
        <v>0.0</v>
      </c>
      <c r="X504" s="28">
        <v>625.0</v>
      </c>
      <c r="Y504" s="27">
        <v>1.0</v>
      </c>
      <c r="Z504" s="5" t="s">
        <v>117</v>
      </c>
      <c r="AA504" s="5">
        <v>0.579</v>
      </c>
      <c r="AB504" s="5"/>
      <c r="AC504" s="5" t="s">
        <v>81</v>
      </c>
      <c r="AD504" s="5" t="s">
        <v>81</v>
      </c>
      <c r="AE504" s="24">
        <v>0.0</v>
      </c>
      <c r="AF504" s="5">
        <v>1.0</v>
      </c>
      <c r="AG504" s="5" t="s">
        <v>0</v>
      </c>
      <c r="AH504" s="5" t="s">
        <v>0</v>
      </c>
      <c r="AI504" s="42">
        <v>50.0</v>
      </c>
      <c r="AJ504" s="28">
        <v>41.0</v>
      </c>
      <c r="AK504" s="28">
        <v>43.0</v>
      </c>
      <c r="AL504" s="28">
        <v>0.0</v>
      </c>
      <c r="AM504" s="28">
        <v>61.0</v>
      </c>
      <c r="AN504" s="28">
        <v>31250.0</v>
      </c>
      <c r="AO504" s="28">
        <v>25625.0</v>
      </c>
      <c r="AP504" s="28">
        <v>26875.0</v>
      </c>
      <c r="AQ504" s="28">
        <v>0.0</v>
      </c>
      <c r="AR504" s="28">
        <v>38125.0</v>
      </c>
      <c r="AS504" s="28">
        <v>31250.0</v>
      </c>
      <c r="AT504" s="28">
        <v>22002.884615384617</v>
      </c>
      <c r="AU504" s="28">
        <v>23983.24</v>
      </c>
      <c r="AV504" s="28">
        <v>0.0</v>
      </c>
      <c r="AW504" s="28">
        <v>32582.30769230769</v>
      </c>
      <c r="AX504" s="5"/>
      <c r="AY504" s="5" t="str">
        <f t="array" ref="AY504">IFERROR(_xlfn.XLOOKUP($E504,'FW27'!$C$3:$C$1102,'FW27'!$AM$3:$AM$1102),"")</f>
        <v>Outdoor</v>
      </c>
      <c r="AZ504" s="5" t="str">
        <f t="array" ref="AZ504">IFERROR(_xlfn.XLOOKUP($E504,'FW27'!$C$3:$C$1102,'FW27'!$AN$3:$AN$1102),"")</f>
        <v>Trekking</v>
      </c>
      <c r="BB504" s="5" t="str">
        <f t="array" ref="BB504">IFERROR(_xlfn.XLOOKUP($E504,'FW27'!$C$3:$C$1102,'FW27'!$AS$3:$AS$1102),"")</f>
        <v>Sleep</v>
      </c>
      <c r="BC504" s="5" t="str">
        <f t="array" ref="BC504">IFERROR(_xlfn.XLOOKUP($E504,'FW27'!$C$3:$C$1102,'FW27'!$AT$3:$AT$1102),"")</f>
        <v>Sleeping Bag</v>
      </c>
      <c r="BD504" s="5" t="str">
        <f t="array" ref="BD504">IFERROR(_xlfn.XLOOKUP($E504,'FW27'!$C$3:$C$1102,'FW27'!$AU$3:$AU$1102),"")</f>
        <v>Kids</v>
      </c>
      <c r="BE504" s="5" t="str">
        <f t="array" ref="BE504">IFERROR(_xlfn.XLOOKUP($E504,'FW27'!$C$3:$C$1102,'FW27'!$AV$3:$AV$1102),"")</f>
        <v>N</v>
      </c>
    </row>
    <row r="505" ht="16.5" hidden="1" customHeight="1">
      <c r="A505" s="5" t="s">
        <v>155</v>
      </c>
      <c r="B505" s="5" t="s">
        <v>137</v>
      </c>
      <c r="C505" s="5" t="b">
        <v>0</v>
      </c>
      <c r="D505" s="5" t="s">
        <v>1245</v>
      </c>
      <c r="E505" s="5" t="s">
        <v>1246</v>
      </c>
      <c r="F505" s="5"/>
      <c r="G505" s="5" t="s">
        <v>1109</v>
      </c>
      <c r="H505" s="5" t="s">
        <v>74</v>
      </c>
      <c r="I505" s="5" t="s">
        <v>106</v>
      </c>
      <c r="J505" s="25" t="s">
        <v>530</v>
      </c>
      <c r="K505" s="25"/>
      <c r="L505" s="25"/>
      <c r="M505" s="5" t="s">
        <v>66</v>
      </c>
      <c r="N505" s="5" t="s">
        <v>1247</v>
      </c>
      <c r="O505" s="5" t="s">
        <v>69</v>
      </c>
      <c r="P505" s="5" t="s">
        <v>249</v>
      </c>
      <c r="Q505" s="5" t="b">
        <v>1</v>
      </c>
      <c r="R505" s="5" t="b">
        <v>0</v>
      </c>
      <c r="S505" s="5"/>
      <c r="T505" s="5">
        <v>2200.0</v>
      </c>
      <c r="U505" s="26">
        <v>2.08</v>
      </c>
      <c r="V505" s="5">
        <v>1058.0</v>
      </c>
      <c r="W505" s="27">
        <v>0.0</v>
      </c>
      <c r="X505" s="28">
        <v>1058.0</v>
      </c>
      <c r="Y505" s="27">
        <v>1.0</v>
      </c>
      <c r="Z505" s="5" t="s">
        <v>78</v>
      </c>
      <c r="AA505" s="27">
        <v>0.57</v>
      </c>
      <c r="AB505" s="5"/>
      <c r="AC505" s="5" t="s">
        <v>81</v>
      </c>
      <c r="AD505" s="5" t="s">
        <v>81</v>
      </c>
      <c r="AE505" s="24">
        <v>0.0</v>
      </c>
      <c r="AF505" s="5">
        <v>1.0</v>
      </c>
      <c r="AG505" s="5" t="s">
        <v>0</v>
      </c>
      <c r="AH505" s="5" t="s">
        <v>156</v>
      </c>
      <c r="AI505" s="56"/>
      <c r="AJ505" s="28">
        <v>0.0</v>
      </c>
      <c r="AK505" s="28">
        <v>0.0</v>
      </c>
      <c r="AL505" s="28">
        <v>0.0</v>
      </c>
      <c r="AM505" s="28">
        <v>0.0</v>
      </c>
      <c r="AN505" s="28">
        <v>0.0</v>
      </c>
      <c r="AO505" s="28">
        <v>0.0</v>
      </c>
      <c r="AP505" s="28">
        <v>0.0</v>
      </c>
      <c r="AQ505" s="28">
        <v>0.0</v>
      </c>
      <c r="AR505" s="28">
        <v>0.0</v>
      </c>
      <c r="AS505" s="28">
        <v>0.0</v>
      </c>
      <c r="AT505" s="28">
        <v>0.0</v>
      </c>
      <c r="AU505" s="28">
        <v>0.0</v>
      </c>
      <c r="AV505" s="28">
        <v>0.0</v>
      </c>
      <c r="AW505" s="28">
        <v>0.0</v>
      </c>
      <c r="AX505" s="5"/>
      <c r="AY505" s="5" t="s">
        <v>86</v>
      </c>
      <c r="AZ505" s="5" t="s">
        <v>121</v>
      </c>
      <c r="BB505" s="5" t="s">
        <v>1120</v>
      </c>
      <c r="BC505" s="5" t="s">
        <v>1131</v>
      </c>
      <c r="BD505" s="5" t="s">
        <v>1139</v>
      </c>
      <c r="BE505" s="5" t="s">
        <v>131</v>
      </c>
      <c r="BF505" s="5" t="s">
        <v>2183</v>
      </c>
    </row>
    <row r="506" ht="16.5" hidden="1" customHeight="1">
      <c r="A506" s="5" t="s">
        <v>155</v>
      </c>
      <c r="B506" s="5" t="s">
        <v>137</v>
      </c>
      <c r="C506" s="5" t="b">
        <v>1</v>
      </c>
      <c r="D506" s="5" t="s">
        <v>1248</v>
      </c>
      <c r="E506" s="5" t="s">
        <v>1249</v>
      </c>
      <c r="F506" s="5"/>
      <c r="G506" s="5" t="s">
        <v>1109</v>
      </c>
      <c r="H506" s="5" t="s">
        <v>84</v>
      </c>
      <c r="I506" s="5" t="s">
        <v>82</v>
      </c>
      <c r="J506" s="25"/>
      <c r="K506" s="25"/>
      <c r="L506" s="25"/>
      <c r="M506" s="5" t="s">
        <v>66</v>
      </c>
      <c r="N506" s="5" t="s">
        <v>1110</v>
      </c>
      <c r="O506" s="5" t="s">
        <v>69</v>
      </c>
      <c r="P506" s="5" t="s">
        <v>249</v>
      </c>
      <c r="Q506" s="5" t="b">
        <v>1</v>
      </c>
      <c r="R506" s="5" t="b">
        <v>0</v>
      </c>
      <c r="S506" s="5"/>
      <c r="T506" s="5">
        <v>1500.0</v>
      </c>
      <c r="U506" s="26">
        <v>2.08</v>
      </c>
      <c r="V506" s="5">
        <v>721.0</v>
      </c>
      <c r="W506" s="27">
        <v>0.0</v>
      </c>
      <c r="X506" s="28">
        <v>721.0</v>
      </c>
      <c r="Y506" s="27">
        <v>1.0</v>
      </c>
      <c r="Z506" s="5" t="s">
        <v>117</v>
      </c>
      <c r="AA506" s="5">
        <v>0.535</v>
      </c>
      <c r="AB506" s="5"/>
      <c r="AC506" s="5" t="s">
        <v>81</v>
      </c>
      <c r="AD506" s="5" t="s">
        <v>81</v>
      </c>
      <c r="AE506" s="24">
        <v>0.0</v>
      </c>
      <c r="AF506" s="5">
        <v>1.0</v>
      </c>
      <c r="AG506" s="5" t="s">
        <v>0</v>
      </c>
      <c r="AH506" s="5" t="s">
        <v>0</v>
      </c>
      <c r="AI506" s="42">
        <v>300.0</v>
      </c>
      <c r="AJ506" s="28">
        <v>269.0</v>
      </c>
      <c r="AK506" s="28">
        <v>183.0</v>
      </c>
      <c r="AL506" s="28">
        <v>0.0</v>
      </c>
      <c r="AM506" s="28">
        <v>595.0</v>
      </c>
      <c r="AN506" s="28">
        <v>216300.0</v>
      </c>
      <c r="AO506" s="28">
        <v>193989.35</v>
      </c>
      <c r="AP506" s="28">
        <v>131943.0</v>
      </c>
      <c r="AQ506" s="28">
        <v>0.0</v>
      </c>
      <c r="AR506" s="28">
        <v>429084.25</v>
      </c>
      <c r="AS506" s="28">
        <v>216300.0</v>
      </c>
      <c r="AT506" s="28">
        <v>160169.3330769231</v>
      </c>
      <c r="AU506" s="28">
        <v>111430.39418</v>
      </c>
      <c r="AV506" s="28">
        <v>0.0</v>
      </c>
      <c r="AW506" s="28">
        <v>365035.3576923076</v>
      </c>
      <c r="AX506" s="5"/>
      <c r="AY506" s="5" t="str">
        <f t="array" ref="AY506">IFERROR(_xlfn.XLOOKUP($E506,'FW27'!$C$3:$C$1102,'FW27'!$AM$3:$AM$1102),"")</f>
        <v>Outdoor</v>
      </c>
      <c r="AZ506" s="5" t="str">
        <f t="array" ref="AZ506">IFERROR(_xlfn.XLOOKUP($E506,'FW27'!$C$3:$C$1102,'FW27'!$AN$3:$AN$1102),"")</f>
        <v>Trekking</v>
      </c>
      <c r="BB506" s="5" t="str">
        <f t="array" ref="BB506">IFERROR(_xlfn.XLOOKUP($E506,'FW27'!$C$3:$C$1102,'FW27'!$AS$3:$AS$1102),"")</f>
        <v>Sleep</v>
      </c>
      <c r="BC506" s="5" t="str">
        <f t="array" ref="BC506">IFERROR(_xlfn.XLOOKUP($E506,'FW27'!$C$3:$C$1102,'FW27'!$AT$3:$AT$1102),"")</f>
        <v>Sleeping Bag</v>
      </c>
      <c r="BD506" s="5" t="str">
        <f t="array" ref="BD506">IFERROR(_xlfn.XLOOKUP($E506,'FW27'!$C$3:$C$1102,'FW27'!$AU$3:$AU$1102),"")</f>
        <v>3-Season</v>
      </c>
      <c r="BE506" s="5" t="str">
        <f t="array" ref="BE506">IFERROR(_xlfn.XLOOKUP($E506,'FW27'!$C$3:$C$1102,'FW27'!$AV$3:$AV$1102),"")</f>
        <v>N</v>
      </c>
    </row>
    <row r="507" ht="16.5" hidden="1" customHeight="1">
      <c r="A507" s="5" t="s">
        <v>155</v>
      </c>
      <c r="B507" s="5" t="s">
        <v>137</v>
      </c>
      <c r="C507" s="5" t="b">
        <v>1</v>
      </c>
      <c r="D507" s="5" t="s">
        <v>1251</v>
      </c>
      <c r="E507" s="5" t="s">
        <v>1252</v>
      </c>
      <c r="F507" s="5"/>
      <c r="G507" s="5" t="s">
        <v>1109</v>
      </c>
      <c r="H507" s="5" t="s">
        <v>84</v>
      </c>
      <c r="I507" s="5" t="s">
        <v>82</v>
      </c>
      <c r="J507" s="25"/>
      <c r="K507" s="25"/>
      <c r="L507" s="25"/>
      <c r="M507" s="5" t="s">
        <v>66</v>
      </c>
      <c r="N507" s="5" t="s">
        <v>1110</v>
      </c>
      <c r="O507" s="5" t="s">
        <v>69</v>
      </c>
      <c r="P507" s="5" t="s">
        <v>249</v>
      </c>
      <c r="Q507" s="5" t="b">
        <v>1</v>
      </c>
      <c r="R507" s="5" t="b">
        <v>0</v>
      </c>
      <c r="S507" s="5"/>
      <c r="T507" s="5">
        <v>1800.0</v>
      </c>
      <c r="U507" s="26">
        <v>2.08</v>
      </c>
      <c r="V507" s="5">
        <v>865.0</v>
      </c>
      <c r="W507" s="27">
        <v>0.0</v>
      </c>
      <c r="X507" s="28">
        <v>865.0</v>
      </c>
      <c r="Y507" s="27">
        <v>1.0</v>
      </c>
      <c r="Z507" s="5" t="s">
        <v>117</v>
      </c>
      <c r="AA507" s="5">
        <v>0.556</v>
      </c>
      <c r="AB507" s="5"/>
      <c r="AC507" s="5" t="s">
        <v>81</v>
      </c>
      <c r="AD507" s="5" t="s">
        <v>81</v>
      </c>
      <c r="AE507" s="24">
        <v>0.0</v>
      </c>
      <c r="AF507" s="5">
        <v>1.0</v>
      </c>
      <c r="AG507" s="5" t="s">
        <v>0</v>
      </c>
      <c r="AH507" s="5" t="s">
        <v>0</v>
      </c>
      <c r="AI507" s="42">
        <v>600.0</v>
      </c>
      <c r="AJ507" s="28">
        <v>579.0</v>
      </c>
      <c r="AK507" s="28">
        <v>481.0</v>
      </c>
      <c r="AL507" s="28">
        <v>0.0</v>
      </c>
      <c r="AM507" s="28">
        <v>355.0</v>
      </c>
      <c r="AN507" s="28">
        <v>519000.0</v>
      </c>
      <c r="AO507" s="28">
        <v>501055.02</v>
      </c>
      <c r="AP507" s="28">
        <v>416065.0</v>
      </c>
      <c r="AQ507" s="28">
        <v>0.0</v>
      </c>
      <c r="AR507" s="28">
        <v>307209.9</v>
      </c>
      <c r="AS507" s="28">
        <v>519000.0</v>
      </c>
      <c r="AT507" s="28">
        <v>422022.3357692308</v>
      </c>
      <c r="AU507" s="28">
        <v>363597.73777999997</v>
      </c>
      <c r="AV507" s="28">
        <v>0.0</v>
      </c>
      <c r="AW507" s="28">
        <v>262261.6826923077</v>
      </c>
      <c r="AX507" s="5"/>
      <c r="AY507" s="5" t="str">
        <f t="array" ref="AY507">IFERROR(_xlfn.XLOOKUP($E507,'FW27'!$C$3:$C$1102,'FW27'!$AM$3:$AM$1102),"")</f>
        <v>Outdoor</v>
      </c>
      <c r="AZ507" s="5" t="str">
        <f t="array" ref="AZ507">IFERROR(_xlfn.XLOOKUP($E507,'FW27'!$C$3:$C$1102,'FW27'!$AN$3:$AN$1102),"")</f>
        <v>Trekking</v>
      </c>
      <c r="BB507" s="5" t="str">
        <f t="array" ref="BB507">IFERROR(_xlfn.XLOOKUP($E507,'FW27'!$C$3:$C$1102,'FW27'!$AS$3:$AS$1102),"")</f>
        <v>Sleep</v>
      </c>
      <c r="BC507" s="5" t="str">
        <f t="array" ref="BC507">IFERROR(_xlfn.XLOOKUP($E507,'FW27'!$C$3:$C$1102,'FW27'!$AT$3:$AT$1102),"")</f>
        <v>Sleeping Bag</v>
      </c>
      <c r="BD507" s="5" t="str">
        <f t="array" ref="BD507">IFERROR(_xlfn.XLOOKUP($E507,'FW27'!$C$3:$C$1102,'FW27'!$AU$3:$AU$1102),"")</f>
        <v>Cold</v>
      </c>
      <c r="BE507" s="5" t="str">
        <f t="array" ref="BE507">IFERROR(_xlfn.XLOOKUP($E507,'FW27'!$C$3:$C$1102,'FW27'!$AV$3:$AV$1102),"")</f>
        <v>N</v>
      </c>
    </row>
    <row r="508" ht="16.5" hidden="1" customHeight="1">
      <c r="A508" s="5" t="s">
        <v>155</v>
      </c>
      <c r="B508" s="5" t="s">
        <v>137</v>
      </c>
      <c r="C508" s="5" t="b">
        <v>1</v>
      </c>
      <c r="D508" s="5" t="s">
        <v>1255</v>
      </c>
      <c r="E508" s="5" t="s">
        <v>1256</v>
      </c>
      <c r="F508" s="5"/>
      <c r="G508" s="5" t="s">
        <v>1109</v>
      </c>
      <c r="H508" s="5" t="s">
        <v>84</v>
      </c>
      <c r="I508" s="5" t="s">
        <v>82</v>
      </c>
      <c r="J508" s="25"/>
      <c r="K508" s="25"/>
      <c r="L508" s="25"/>
      <c r="M508" s="5" t="s">
        <v>66</v>
      </c>
      <c r="N508" s="5" t="s">
        <v>1110</v>
      </c>
      <c r="O508" s="5" t="s">
        <v>69</v>
      </c>
      <c r="P508" s="5" t="s">
        <v>249</v>
      </c>
      <c r="Q508" s="5" t="b">
        <v>1</v>
      </c>
      <c r="R508" s="5" t="b">
        <v>0</v>
      </c>
      <c r="S508" s="5"/>
      <c r="T508" s="5">
        <v>2200.0</v>
      </c>
      <c r="U508" s="26">
        <v>2.08</v>
      </c>
      <c r="V508" s="5">
        <v>1058.0</v>
      </c>
      <c r="W508" s="27">
        <v>0.0</v>
      </c>
      <c r="X508" s="28">
        <v>1058.0</v>
      </c>
      <c r="Y508" s="27">
        <v>1.0</v>
      </c>
      <c r="Z508" s="5" t="s">
        <v>117</v>
      </c>
      <c r="AA508" s="5">
        <v>0.55</v>
      </c>
      <c r="AB508" s="5"/>
      <c r="AC508" s="5" t="s">
        <v>81</v>
      </c>
      <c r="AD508" s="5" t="s">
        <v>81</v>
      </c>
      <c r="AE508" s="24">
        <v>0.0</v>
      </c>
      <c r="AF508" s="5">
        <v>1.0</v>
      </c>
      <c r="AG508" s="5" t="s">
        <v>0</v>
      </c>
      <c r="AH508" s="5" t="s">
        <v>0</v>
      </c>
      <c r="AI508" s="42">
        <v>650.0</v>
      </c>
      <c r="AJ508" s="28">
        <v>636.0</v>
      </c>
      <c r="AK508" s="28">
        <v>597.0</v>
      </c>
      <c r="AL508" s="28">
        <v>0.0</v>
      </c>
      <c r="AM508" s="28">
        <v>155.0</v>
      </c>
      <c r="AN508" s="28">
        <v>687700.0</v>
      </c>
      <c r="AO508" s="28">
        <v>672690.8400000001</v>
      </c>
      <c r="AP508" s="28">
        <v>631626.0</v>
      </c>
      <c r="AQ508" s="28">
        <v>0.0</v>
      </c>
      <c r="AR508" s="28">
        <v>163941.95</v>
      </c>
      <c r="AS508" s="28">
        <v>687700.0</v>
      </c>
      <c r="AT508" s="28">
        <v>564003.5884615384</v>
      </c>
      <c r="AU508" s="28">
        <v>544517.72038</v>
      </c>
      <c r="AV508" s="28">
        <v>0.0</v>
      </c>
      <c r="AW508" s="28">
        <v>139670.19230769228</v>
      </c>
      <c r="AX508" s="5"/>
      <c r="AY508" s="5" t="str">
        <f t="array" ref="AY508">IFERROR(_xlfn.XLOOKUP($E508,'FW27'!$C$3:$C$1102,'FW27'!$AM$3:$AM$1102),"")</f>
        <v>Outdoor</v>
      </c>
      <c r="AZ508" s="5" t="str">
        <f t="array" ref="AZ508">IFERROR(_xlfn.XLOOKUP($E508,'FW27'!$C$3:$C$1102,'FW27'!$AN$3:$AN$1102),"")</f>
        <v>Trekking</v>
      </c>
      <c r="BB508" s="5" t="str">
        <f t="array" ref="BB508">IFERROR(_xlfn.XLOOKUP($E508,'FW27'!$C$3:$C$1102,'FW27'!$AS$3:$AS$1102),"")</f>
        <v>Sleep</v>
      </c>
      <c r="BC508" s="5" t="str">
        <f t="array" ref="BC508">IFERROR(_xlfn.XLOOKUP($E508,'FW27'!$C$3:$C$1102,'FW27'!$AT$3:$AT$1102),"")</f>
        <v>Sleeping Bag</v>
      </c>
      <c r="BD508" s="5" t="str">
        <f t="array" ref="BD508">IFERROR(_xlfn.XLOOKUP($E508,'FW27'!$C$3:$C$1102,'FW27'!$AU$3:$AU$1102),"")</f>
        <v>Expedition</v>
      </c>
      <c r="BE508" s="5" t="str">
        <f t="array" ref="BE508">IFERROR(_xlfn.XLOOKUP($E508,'FW27'!$C$3:$C$1102,'FW27'!$AV$3:$AV$1102),"")</f>
        <v>N</v>
      </c>
    </row>
    <row r="509" ht="16.5" hidden="1" customHeight="1">
      <c r="A509" s="5" t="s">
        <v>155</v>
      </c>
      <c r="B509" s="5" t="s">
        <v>137</v>
      </c>
      <c r="C509" s="5" t="b">
        <v>1</v>
      </c>
      <c r="D509" s="5" t="s">
        <v>1259</v>
      </c>
      <c r="E509" s="5" t="s">
        <v>1260</v>
      </c>
      <c r="F509" s="5"/>
      <c r="G509" s="5" t="s">
        <v>1109</v>
      </c>
      <c r="H509" s="5" t="s">
        <v>84</v>
      </c>
      <c r="I509" s="5" t="s">
        <v>82</v>
      </c>
      <c r="J509" s="25"/>
      <c r="K509" s="25"/>
      <c r="L509" s="25"/>
      <c r="M509" s="5" t="s">
        <v>66</v>
      </c>
      <c r="N509" s="5" t="s">
        <v>1110</v>
      </c>
      <c r="O509" s="5" t="s">
        <v>69</v>
      </c>
      <c r="P509" s="5" t="s">
        <v>249</v>
      </c>
      <c r="Q509" s="5" t="b">
        <v>1</v>
      </c>
      <c r="R509" s="5" t="b">
        <v>0</v>
      </c>
      <c r="S509" s="5"/>
      <c r="T509" s="5">
        <v>1700.0</v>
      </c>
      <c r="U509" s="26">
        <v>2.08</v>
      </c>
      <c r="V509" s="5">
        <v>817.0</v>
      </c>
      <c r="W509" s="27">
        <v>0.0</v>
      </c>
      <c r="X509" s="28">
        <v>817.0</v>
      </c>
      <c r="Y509" s="27">
        <v>1.0</v>
      </c>
      <c r="Z509" s="5" t="s">
        <v>117</v>
      </c>
      <c r="AA509" s="5">
        <v>0.544</v>
      </c>
      <c r="AB509" s="5"/>
      <c r="AC509" s="5" t="s">
        <v>81</v>
      </c>
      <c r="AD509" s="5" t="s">
        <v>81</v>
      </c>
      <c r="AE509" s="24">
        <v>0.0</v>
      </c>
      <c r="AF509" s="5">
        <v>1.0</v>
      </c>
      <c r="AG509" s="5" t="s">
        <v>0</v>
      </c>
      <c r="AH509" s="5" t="s">
        <v>0</v>
      </c>
      <c r="AI509" s="42">
        <v>450.0</v>
      </c>
      <c r="AJ509" s="28">
        <v>421.0</v>
      </c>
      <c r="AK509" s="28">
        <v>341.0</v>
      </c>
      <c r="AL509" s="28">
        <v>0.0</v>
      </c>
      <c r="AM509" s="28">
        <v>550.0</v>
      </c>
      <c r="AN509" s="28">
        <v>367650.0</v>
      </c>
      <c r="AO509" s="28">
        <v>344087.51</v>
      </c>
      <c r="AP509" s="28">
        <v>278597.0</v>
      </c>
      <c r="AQ509" s="28">
        <v>0.0</v>
      </c>
      <c r="AR509" s="28">
        <v>449520.5</v>
      </c>
      <c r="AS509" s="28">
        <v>367650.0</v>
      </c>
      <c r="AT509" s="28">
        <v>281853.09769230767</v>
      </c>
      <c r="AU509" s="28">
        <v>247160.92658</v>
      </c>
      <c r="AV509" s="28">
        <v>0.0</v>
      </c>
      <c r="AW509" s="28">
        <v>386308.0769230769</v>
      </c>
      <c r="AX509" s="5"/>
      <c r="AY509" s="5" t="str">
        <f t="array" ref="AY509">IFERROR(_xlfn.XLOOKUP($E509,'FW27'!$C$3:$C$1102,'FW27'!$AM$3:$AM$1102),"")</f>
        <v>Outdoor</v>
      </c>
      <c r="AZ509" s="5" t="str">
        <f t="array" ref="AZ509">IFERROR(_xlfn.XLOOKUP($E509,'FW27'!$C$3:$C$1102,'FW27'!$AN$3:$AN$1102),"")</f>
        <v>Trekking</v>
      </c>
      <c r="BB509" s="5" t="str">
        <f t="array" ref="BB509">IFERROR(_xlfn.XLOOKUP($E509,'FW27'!$C$3:$C$1102,'FW27'!$AS$3:$AS$1102),"")</f>
        <v>Sleep</v>
      </c>
      <c r="BC509" s="5" t="str">
        <f t="array" ref="BC509">IFERROR(_xlfn.XLOOKUP($E509,'FW27'!$C$3:$C$1102,'FW27'!$AT$3:$AT$1102),"")</f>
        <v>Sleeping Bag</v>
      </c>
      <c r="BD509" s="5" t="str">
        <f t="array" ref="BD509">IFERROR(_xlfn.XLOOKUP($E509,'FW27'!$C$3:$C$1102,'FW27'!$AU$3:$AU$1102),"")</f>
        <v>3-Season</v>
      </c>
      <c r="BE509" s="5" t="str">
        <f t="array" ref="BE509">IFERROR(_xlfn.XLOOKUP($E509,'FW27'!$C$3:$C$1102,'FW27'!$AV$3:$AV$1102),"")</f>
        <v>N</v>
      </c>
    </row>
    <row r="510" ht="16.5" hidden="1" customHeight="1">
      <c r="A510" s="5" t="s">
        <v>155</v>
      </c>
      <c r="B510" s="5" t="s">
        <v>215</v>
      </c>
      <c r="C510" s="5" t="b">
        <v>1</v>
      </c>
      <c r="D510" s="5" t="s">
        <v>1740</v>
      </c>
      <c r="E510" s="5" t="s">
        <v>1741</v>
      </c>
      <c r="F510" s="5"/>
      <c r="G510" s="5" t="s">
        <v>1109</v>
      </c>
      <c r="H510" s="5" t="s">
        <v>76</v>
      </c>
      <c r="I510" s="5" t="s">
        <v>82</v>
      </c>
      <c r="J510" s="25"/>
      <c r="K510" s="25"/>
      <c r="L510" s="25"/>
      <c r="M510" s="5" t="s">
        <v>109</v>
      </c>
      <c r="N510" s="5" t="s">
        <v>1212</v>
      </c>
      <c r="O510" s="5" t="s">
        <v>69</v>
      </c>
      <c r="P510" s="5" t="s">
        <v>249</v>
      </c>
      <c r="Q510" s="5" t="b">
        <v>1</v>
      </c>
      <c r="R510" s="5" t="b">
        <v>0</v>
      </c>
      <c r="S510" s="5"/>
      <c r="T510" s="5">
        <v>2600.0</v>
      </c>
      <c r="U510" s="26">
        <v>2.08</v>
      </c>
      <c r="V510" s="5">
        <v>1250.0</v>
      </c>
      <c r="W510" s="27">
        <v>0.0</v>
      </c>
      <c r="X510" s="28">
        <v>1250.0</v>
      </c>
      <c r="Y510" s="27">
        <v>1.0</v>
      </c>
      <c r="Z510" s="5" t="s">
        <v>242</v>
      </c>
      <c r="AA510" s="5">
        <v>0.522</v>
      </c>
      <c r="AB510" s="5"/>
      <c r="AC510" s="5" t="s">
        <v>81</v>
      </c>
      <c r="AD510" s="5" t="s">
        <v>81</v>
      </c>
      <c r="AE510" s="5">
        <v>2.0</v>
      </c>
      <c r="AF510" s="5">
        <v>2.0</v>
      </c>
      <c r="AG510" s="5" t="s">
        <v>0</v>
      </c>
      <c r="AH510" s="5" t="s">
        <v>0</v>
      </c>
      <c r="AI510" s="56">
        <v>600.0</v>
      </c>
      <c r="AJ510" s="28">
        <v>490.0</v>
      </c>
      <c r="AK510" s="28">
        <v>0.0</v>
      </c>
      <c r="AL510" s="28">
        <v>0.0</v>
      </c>
      <c r="AM510" s="28">
        <v>0.0</v>
      </c>
      <c r="AN510" s="28">
        <v>750000.0</v>
      </c>
      <c r="AO510" s="28">
        <v>588940.8</v>
      </c>
      <c r="AP510" s="28">
        <v>0.0</v>
      </c>
      <c r="AQ510" s="28">
        <v>0.0</v>
      </c>
      <c r="AR510" s="28">
        <v>0.0</v>
      </c>
      <c r="AS510" s="28">
        <v>750000.0</v>
      </c>
      <c r="AT510" s="28">
        <v>488500.9208241759</v>
      </c>
      <c r="AU510" s="28">
        <v>0.0</v>
      </c>
      <c r="AV510" s="28">
        <v>0.0</v>
      </c>
      <c r="AW510" s="28">
        <v>0.0</v>
      </c>
      <c r="AX510" s="5"/>
      <c r="AY510" s="5" t="str">
        <f t="array" ref="AY510">IFERROR(_xlfn.XLOOKUP($E510,'FW27'!$C$3:$C$1102,'FW27'!$AM$3:$AM$1102),"")</f>
        <v>Outdoor</v>
      </c>
      <c r="AZ510" s="5" t="str">
        <f t="array" ref="AZ510">IFERROR(_xlfn.XLOOKUP($E510,'FW27'!$C$3:$C$1102,'FW27'!$AN$3:$AN$1102),"")</f>
        <v>Mountaineering</v>
      </c>
      <c r="BB510" s="5" t="str">
        <f t="array" ref="BB510">IFERROR(_xlfn.XLOOKUP($E510,'FW27'!$C$3:$C$1102,'FW27'!$AS$3:$AS$1102),"")</f>
        <v>Backpacks</v>
      </c>
      <c r="BC510" s="5" t="str">
        <f t="array" ref="BC510">IFERROR(_xlfn.XLOOKUP($E510,'FW27'!$C$3:$C$1102,'FW27'!$AT$3:$AT$1102),"")</f>
        <v>Hiking Pack</v>
      </c>
      <c r="BD510" s="5" t="str">
        <f t="array" ref="BD510">IFERROR(_xlfn.XLOOKUP($E510,'FW27'!$C$3:$C$1102,'FW27'!$AU$3:$AU$1102),"")</f>
        <v>31–50L</v>
      </c>
      <c r="BE510" s="5" t="str">
        <f t="array" ref="BE510">IFERROR(_xlfn.XLOOKUP($E510,'FW27'!$C$3:$C$1102,'FW27'!$AV$3:$AV$1102),"")</f>
        <v>N</v>
      </c>
    </row>
    <row r="511" ht="16.5" hidden="1" customHeight="1">
      <c r="A511" s="5" t="s">
        <v>155</v>
      </c>
      <c r="B511" s="24" t="s">
        <v>0</v>
      </c>
      <c r="C511" s="5" t="b">
        <v>1</v>
      </c>
      <c r="D511" s="5" t="s">
        <v>2062</v>
      </c>
      <c r="E511" s="5" t="s">
        <v>2063</v>
      </c>
      <c r="F511" s="5"/>
      <c r="G511" s="5" t="s">
        <v>1109</v>
      </c>
      <c r="H511" s="5" t="s">
        <v>84</v>
      </c>
      <c r="I511" s="5" t="s">
        <v>82</v>
      </c>
      <c r="J511" s="25" t="s">
        <v>2178</v>
      </c>
      <c r="K511" s="25"/>
      <c r="L511" s="25"/>
      <c r="M511" s="5" t="s">
        <v>66</v>
      </c>
      <c r="N511" s="5" t="s">
        <v>248</v>
      </c>
      <c r="O511" s="5" t="s">
        <v>69</v>
      </c>
      <c r="P511" s="5" t="s">
        <v>249</v>
      </c>
      <c r="Q511" s="5" t="b">
        <v>1</v>
      </c>
      <c r="R511" s="5" t="b">
        <v>0</v>
      </c>
      <c r="S511" s="5"/>
      <c r="T511" s="5">
        <v>500.0</v>
      </c>
      <c r="U511" s="26">
        <v>2.08</v>
      </c>
      <c r="V511" s="5">
        <v>240.0</v>
      </c>
      <c r="W511" s="27">
        <v>0.0</v>
      </c>
      <c r="X511" s="28">
        <v>240.0</v>
      </c>
      <c r="Y511" s="27">
        <v>1.0</v>
      </c>
      <c r="Z511" s="5" t="s">
        <v>78</v>
      </c>
      <c r="AA511" s="5">
        <v>0.598</v>
      </c>
      <c r="AB511" s="5"/>
      <c r="AC511" s="5" t="s">
        <v>81</v>
      </c>
      <c r="AD511" s="5" t="s">
        <v>81</v>
      </c>
      <c r="AE511" s="5">
        <v>3.0</v>
      </c>
      <c r="AF511" s="5">
        <v>0.0</v>
      </c>
      <c r="AG511" s="5" t="s">
        <v>0</v>
      </c>
      <c r="AH511" s="5" t="s">
        <v>0</v>
      </c>
      <c r="AI511" s="42"/>
      <c r="AJ511" s="28">
        <v>0.0</v>
      </c>
      <c r="AK511" s="28">
        <v>0.0</v>
      </c>
      <c r="AL511" s="28">
        <v>0.0</v>
      </c>
      <c r="AM511" s="28">
        <v>0.0</v>
      </c>
      <c r="AN511" s="28">
        <v>0.0</v>
      </c>
      <c r="AO511" s="28">
        <v>0.0</v>
      </c>
      <c r="AP511" s="28">
        <v>0.0</v>
      </c>
      <c r="AQ511" s="28">
        <v>0.0</v>
      </c>
      <c r="AR511" s="28">
        <v>0.0</v>
      </c>
      <c r="AS511" s="28">
        <v>0.0</v>
      </c>
      <c r="AT511" s="28">
        <v>0.0</v>
      </c>
      <c r="AU511" s="28">
        <v>0.0</v>
      </c>
      <c r="AV511" s="28">
        <v>0.0</v>
      </c>
      <c r="AW511" s="28">
        <v>0.0</v>
      </c>
      <c r="AX511" s="5"/>
      <c r="AY511" s="5" t="s">
        <v>125</v>
      </c>
      <c r="AZ511" s="5" t="s">
        <v>174</v>
      </c>
      <c r="BB511" s="5" t="s">
        <v>248</v>
      </c>
      <c r="BC511" s="5" t="s">
        <v>1146</v>
      </c>
      <c r="BE511" s="5" t="s">
        <v>131</v>
      </c>
    </row>
    <row r="512" ht="16.5" hidden="1" customHeight="1">
      <c r="A512" s="5" t="s">
        <v>155</v>
      </c>
      <c r="B512" s="24" t="s">
        <v>0</v>
      </c>
      <c r="C512" s="5" t="b">
        <v>1</v>
      </c>
      <c r="D512" s="5" t="s">
        <v>2064</v>
      </c>
      <c r="E512" s="5" t="s">
        <v>2065</v>
      </c>
      <c r="F512" s="5"/>
      <c r="G512" s="5" t="s">
        <v>1109</v>
      </c>
      <c r="H512" s="5" t="s">
        <v>84</v>
      </c>
      <c r="I512" s="5" t="s">
        <v>82</v>
      </c>
      <c r="J512" s="25" t="s">
        <v>2178</v>
      </c>
      <c r="K512" s="25"/>
      <c r="L512" s="25"/>
      <c r="M512" s="5" t="s">
        <v>66</v>
      </c>
      <c r="N512" s="5" t="s">
        <v>248</v>
      </c>
      <c r="O512" s="5" t="s">
        <v>69</v>
      </c>
      <c r="P512" s="5" t="s">
        <v>249</v>
      </c>
      <c r="Q512" s="5" t="b">
        <v>1</v>
      </c>
      <c r="R512" s="5" t="b">
        <v>0</v>
      </c>
      <c r="S512" s="5"/>
      <c r="T512" s="5">
        <v>450.0</v>
      </c>
      <c r="U512" s="26">
        <v>2.08</v>
      </c>
      <c r="V512" s="5">
        <v>216.0</v>
      </c>
      <c r="W512" s="27">
        <v>0.0</v>
      </c>
      <c r="X512" s="28">
        <v>216.0</v>
      </c>
      <c r="Y512" s="27">
        <v>1.0</v>
      </c>
      <c r="Z512" s="5" t="s">
        <v>78</v>
      </c>
      <c r="AA512" s="5">
        <v>0.605</v>
      </c>
      <c r="AB512" s="5"/>
      <c r="AC512" s="5" t="s">
        <v>81</v>
      </c>
      <c r="AD512" s="5" t="s">
        <v>81</v>
      </c>
      <c r="AE512" s="5">
        <v>2.0</v>
      </c>
      <c r="AF512" s="5">
        <v>0.0</v>
      </c>
      <c r="AG512" s="5" t="s">
        <v>0</v>
      </c>
      <c r="AH512" s="5" t="s">
        <v>0</v>
      </c>
      <c r="AI512" s="42"/>
      <c r="AJ512" s="28">
        <v>0.0</v>
      </c>
      <c r="AK512" s="28">
        <v>0.0</v>
      </c>
      <c r="AL512" s="28">
        <v>0.0</v>
      </c>
      <c r="AM512" s="28">
        <v>0.0</v>
      </c>
      <c r="AN512" s="28">
        <v>0.0</v>
      </c>
      <c r="AO512" s="28">
        <v>0.0</v>
      </c>
      <c r="AP512" s="28">
        <v>0.0</v>
      </c>
      <c r="AQ512" s="28">
        <v>0.0</v>
      </c>
      <c r="AR512" s="28">
        <v>0.0</v>
      </c>
      <c r="AS512" s="28">
        <v>0.0</v>
      </c>
      <c r="AT512" s="28">
        <v>0.0</v>
      </c>
      <c r="AU512" s="28">
        <v>0.0</v>
      </c>
      <c r="AV512" s="28">
        <v>0.0</v>
      </c>
      <c r="AW512" s="28">
        <v>0.0</v>
      </c>
      <c r="AX512" s="5"/>
      <c r="AY512" s="5" t="s">
        <v>125</v>
      </c>
      <c r="AZ512" s="5" t="s">
        <v>174</v>
      </c>
      <c r="BB512" s="5" t="s">
        <v>248</v>
      </c>
      <c r="BC512" s="5" t="s">
        <v>1146</v>
      </c>
      <c r="BE512" s="5" t="s">
        <v>131</v>
      </c>
    </row>
    <row r="513" ht="16.5" hidden="1" customHeight="1">
      <c r="A513" s="5" t="s">
        <v>155</v>
      </c>
      <c r="B513" s="5" t="s">
        <v>137</v>
      </c>
      <c r="C513" s="5" t="b">
        <v>1</v>
      </c>
      <c r="D513" s="5" t="s">
        <v>1267</v>
      </c>
      <c r="E513" s="5" t="s">
        <v>1268</v>
      </c>
      <c r="F513" s="5"/>
      <c r="G513" s="5" t="s">
        <v>1109</v>
      </c>
      <c r="H513" s="5" t="s">
        <v>84</v>
      </c>
      <c r="I513" s="5" t="s">
        <v>82</v>
      </c>
      <c r="J513" s="25"/>
      <c r="K513" s="25"/>
      <c r="L513" s="25"/>
      <c r="M513" s="5" t="s">
        <v>66</v>
      </c>
      <c r="N513" s="5" t="s">
        <v>1247</v>
      </c>
      <c r="O513" s="5" t="s">
        <v>69</v>
      </c>
      <c r="P513" s="5" t="s">
        <v>249</v>
      </c>
      <c r="Q513" s="5" t="b">
        <v>1</v>
      </c>
      <c r="R513" s="5" t="b">
        <v>0</v>
      </c>
      <c r="S513" s="5"/>
      <c r="T513" s="5">
        <v>3200.0</v>
      </c>
      <c r="U513" s="26">
        <v>2.08</v>
      </c>
      <c r="V513" s="5">
        <v>1538.0</v>
      </c>
      <c r="W513" s="27">
        <v>0.0</v>
      </c>
      <c r="X513" s="28">
        <v>1538.0</v>
      </c>
      <c r="Y513" s="27">
        <v>1.0</v>
      </c>
      <c r="Z513" s="5" t="s">
        <v>117</v>
      </c>
      <c r="AA513" s="5">
        <v>0.0</v>
      </c>
      <c r="AB513" s="5"/>
      <c r="AC513" s="5" t="s">
        <v>81</v>
      </c>
      <c r="AD513" s="5" t="s">
        <v>81</v>
      </c>
      <c r="AE513" s="24">
        <v>0.0</v>
      </c>
      <c r="AF513" s="5">
        <v>1.0</v>
      </c>
      <c r="AG513" s="5" t="s">
        <v>0</v>
      </c>
      <c r="AH513" s="5" t="s">
        <v>0</v>
      </c>
      <c r="AI513" s="42"/>
      <c r="AJ513" s="28">
        <v>0.0</v>
      </c>
      <c r="AK513" s="28">
        <v>0.0</v>
      </c>
      <c r="AL513" s="28">
        <v>0.0</v>
      </c>
      <c r="AM513" s="28">
        <v>0.0</v>
      </c>
      <c r="AN513" s="28">
        <v>0.0</v>
      </c>
      <c r="AO513" s="28">
        <v>0.0</v>
      </c>
      <c r="AP513" s="28">
        <v>0.0</v>
      </c>
      <c r="AQ513" s="28">
        <v>0.0</v>
      </c>
      <c r="AR513" s="28">
        <v>0.0</v>
      </c>
      <c r="AS513" s="28">
        <v>0.0</v>
      </c>
      <c r="AT513" s="28">
        <v>0.0</v>
      </c>
      <c r="AU513" s="28">
        <v>0.0</v>
      </c>
      <c r="AV513" s="28">
        <v>0.0</v>
      </c>
      <c r="AW513" s="28">
        <v>0.0</v>
      </c>
      <c r="AX513" s="5"/>
      <c r="AY513" s="5" t="str">
        <f t="array" ref="AY513">IFERROR(_xlfn.XLOOKUP($E513,'FW27'!$C$3:$C$1102,'FW27'!$AM$3:$AM$1102),"")</f>
        <v>Outdoor</v>
      </c>
      <c r="AZ513" s="5" t="str">
        <f t="array" ref="AZ513">IFERROR(_xlfn.XLOOKUP($E513,'FW27'!$C$3:$C$1102,'FW27'!$AN$3:$AN$1102),"")</f>
        <v>Trekking</v>
      </c>
      <c r="BB513" s="5" t="str">
        <f t="array" ref="BB513">IFERROR(_xlfn.XLOOKUP($E513,'FW27'!$C$3:$C$1102,'FW27'!$AS$3:$AS$1102),"")</f>
        <v>Backpacks</v>
      </c>
      <c r="BC513" s="5" t="str">
        <f t="array" ref="BC513">IFERROR(_xlfn.XLOOKUP($E513,'FW27'!$C$3:$C$1102,'FW27'!$AT$3:$AT$1102),"")</f>
        <v>Hiking Pack</v>
      </c>
      <c r="BD513" s="5" t="str">
        <f t="array" ref="BD513">IFERROR(_xlfn.XLOOKUP($E513,'FW27'!$C$3:$C$1102,'FW27'!$AU$3:$AU$1102),"")</f>
        <v>51L+</v>
      </c>
      <c r="BE513" s="5" t="str">
        <f t="array" ref="BE513">IFERROR(_xlfn.XLOOKUP($E513,'FW27'!$C$3:$C$1102,'FW27'!$AV$3:$AV$1102),"")</f>
        <v>N</v>
      </c>
    </row>
    <row r="514" ht="16.5" hidden="1" customHeight="1">
      <c r="A514" s="5" t="s">
        <v>155</v>
      </c>
      <c r="B514" s="5" t="s">
        <v>137</v>
      </c>
      <c r="C514" s="5" t="b">
        <v>1</v>
      </c>
      <c r="D514" s="5" t="s">
        <v>1272</v>
      </c>
      <c r="E514" s="5" t="s">
        <v>1273</v>
      </c>
      <c r="F514" s="5"/>
      <c r="G514" s="5" t="s">
        <v>1109</v>
      </c>
      <c r="H514" s="5" t="s">
        <v>84</v>
      </c>
      <c r="I514" s="5" t="s">
        <v>82</v>
      </c>
      <c r="J514" s="25"/>
      <c r="K514" s="25"/>
      <c r="L514" s="25"/>
      <c r="M514" s="5" t="s">
        <v>66</v>
      </c>
      <c r="N514" s="5" t="s">
        <v>1247</v>
      </c>
      <c r="O514" s="5" t="s">
        <v>69</v>
      </c>
      <c r="P514" s="5" t="s">
        <v>249</v>
      </c>
      <c r="Q514" s="5" t="b">
        <v>1</v>
      </c>
      <c r="R514" s="5" t="b">
        <v>0</v>
      </c>
      <c r="S514" s="5"/>
      <c r="T514" s="5">
        <v>3500.0</v>
      </c>
      <c r="U514" s="26">
        <v>2.08</v>
      </c>
      <c r="V514" s="5">
        <v>1683.0</v>
      </c>
      <c r="W514" s="27">
        <v>0.0</v>
      </c>
      <c r="X514" s="28">
        <v>1683.0</v>
      </c>
      <c r="Y514" s="27">
        <v>1.0</v>
      </c>
      <c r="Z514" s="5" t="s">
        <v>242</v>
      </c>
      <c r="AA514" s="5">
        <v>0.0</v>
      </c>
      <c r="AB514" s="5"/>
      <c r="AC514" s="5" t="s">
        <v>81</v>
      </c>
      <c r="AD514" s="5" t="s">
        <v>81</v>
      </c>
      <c r="AE514" s="24">
        <v>0.0</v>
      </c>
      <c r="AF514" s="5">
        <v>1.0</v>
      </c>
      <c r="AG514" s="5" t="s">
        <v>0</v>
      </c>
      <c r="AH514" s="5" t="s">
        <v>0</v>
      </c>
      <c r="AI514" s="42"/>
      <c r="AJ514" s="28">
        <v>0.0</v>
      </c>
      <c r="AK514" s="28">
        <v>0.0</v>
      </c>
      <c r="AL514" s="28">
        <v>0.0</v>
      </c>
      <c r="AM514" s="28">
        <v>0.0</v>
      </c>
      <c r="AN514" s="28">
        <v>0.0</v>
      </c>
      <c r="AO514" s="28">
        <v>0.0</v>
      </c>
      <c r="AP514" s="28">
        <v>0.0</v>
      </c>
      <c r="AQ514" s="28">
        <v>0.0</v>
      </c>
      <c r="AR514" s="28">
        <v>0.0</v>
      </c>
      <c r="AS514" s="28">
        <v>0.0</v>
      </c>
      <c r="AT514" s="28">
        <v>0.0</v>
      </c>
      <c r="AU514" s="28">
        <v>0.0</v>
      </c>
      <c r="AV514" s="28">
        <v>0.0</v>
      </c>
      <c r="AW514" s="28">
        <v>0.0</v>
      </c>
      <c r="AX514" s="5"/>
      <c r="AY514" s="5" t="str">
        <f t="array" ref="AY514">IFERROR(_xlfn.XLOOKUP($E514,'FW27'!$C$3:$C$1102,'FW27'!$AM$3:$AM$1102),"")</f>
        <v>Outdoor</v>
      </c>
      <c r="AZ514" s="5" t="str">
        <f t="array" ref="AZ514">IFERROR(_xlfn.XLOOKUP($E514,'FW27'!$C$3:$C$1102,'FW27'!$AN$3:$AN$1102),"")</f>
        <v>Trekking</v>
      </c>
      <c r="BB514" s="5" t="str">
        <f t="array" ref="BB514">IFERROR(_xlfn.XLOOKUP($E514,'FW27'!$C$3:$C$1102,'FW27'!$AS$3:$AS$1102),"")</f>
        <v>Backpacks</v>
      </c>
      <c r="BC514" s="5" t="str">
        <f t="array" ref="BC514">IFERROR(_xlfn.XLOOKUP($E514,'FW27'!$C$3:$C$1102,'FW27'!$AT$3:$AT$1102),"")</f>
        <v>Hiking Pack</v>
      </c>
      <c r="BD514" s="5" t="str">
        <f t="array" ref="BD514">IFERROR(_xlfn.XLOOKUP($E514,'FW27'!$C$3:$C$1102,'FW27'!$AU$3:$AU$1102),"")</f>
        <v>51L+</v>
      </c>
      <c r="BE514" s="5" t="str">
        <f t="array" ref="BE514">IFERROR(_xlfn.XLOOKUP($E514,'FW27'!$C$3:$C$1102,'FW27'!$AV$3:$AV$1102),"")</f>
        <v>N</v>
      </c>
    </row>
    <row r="515" ht="16.5" hidden="1" customHeight="1">
      <c r="A515" s="5" t="s">
        <v>155</v>
      </c>
      <c r="B515" s="5" t="s">
        <v>137</v>
      </c>
      <c r="C515" s="5" t="b">
        <v>1</v>
      </c>
      <c r="D515" s="5" t="s">
        <v>1274</v>
      </c>
      <c r="E515" s="5" t="s">
        <v>1275</v>
      </c>
      <c r="F515" s="5"/>
      <c r="G515" s="5" t="s">
        <v>1109</v>
      </c>
      <c r="H515" s="5" t="s">
        <v>84</v>
      </c>
      <c r="I515" s="5" t="s">
        <v>82</v>
      </c>
      <c r="J515" s="25"/>
      <c r="K515" s="25"/>
      <c r="L515" s="25"/>
      <c r="M515" s="5" t="s">
        <v>66</v>
      </c>
      <c r="N515" s="5" t="s">
        <v>248</v>
      </c>
      <c r="O515" s="5" t="s">
        <v>69</v>
      </c>
      <c r="P515" s="5" t="s">
        <v>249</v>
      </c>
      <c r="Q515" s="5" t="b">
        <v>1</v>
      </c>
      <c r="R515" s="5" t="b">
        <v>0</v>
      </c>
      <c r="S515" s="5"/>
      <c r="T515" s="5">
        <v>800.0</v>
      </c>
      <c r="U515" s="26">
        <v>2.08</v>
      </c>
      <c r="V515" s="5">
        <v>385.0</v>
      </c>
      <c r="W515" s="27">
        <v>0.0</v>
      </c>
      <c r="X515" s="28">
        <v>385.0</v>
      </c>
      <c r="Y515" s="27">
        <v>1.0</v>
      </c>
      <c r="Z515" s="5" t="s">
        <v>242</v>
      </c>
      <c r="AA515" s="5">
        <v>0.0</v>
      </c>
      <c r="AB515" s="5"/>
      <c r="AC515" s="5" t="s">
        <v>81</v>
      </c>
      <c r="AD515" s="5" t="s">
        <v>81</v>
      </c>
      <c r="AE515" s="24">
        <v>0.0</v>
      </c>
      <c r="AF515" s="5">
        <v>1.0</v>
      </c>
      <c r="AG515" s="5" t="s">
        <v>0</v>
      </c>
      <c r="AH515" s="5" t="s">
        <v>0</v>
      </c>
      <c r="AI515" s="42">
        <v>250.0</v>
      </c>
      <c r="AJ515" s="28">
        <v>242.0</v>
      </c>
      <c r="AK515" s="28">
        <v>398.0</v>
      </c>
      <c r="AL515" s="28">
        <v>0.0</v>
      </c>
      <c r="AM515" s="28">
        <v>462.0</v>
      </c>
      <c r="AN515" s="28">
        <v>96250.0</v>
      </c>
      <c r="AO515" s="28">
        <v>93078.04</v>
      </c>
      <c r="AP515" s="28">
        <v>153230.0</v>
      </c>
      <c r="AQ515" s="28">
        <v>0.0</v>
      </c>
      <c r="AR515" s="28">
        <v>177694.44</v>
      </c>
      <c r="AS515" s="28">
        <v>96250.0</v>
      </c>
      <c r="AT515" s="28">
        <v>84500.56641483516</v>
      </c>
      <c r="AU515" s="28">
        <v>108000.520572</v>
      </c>
      <c r="AV515" s="28">
        <v>0.0</v>
      </c>
      <c r="AW515" s="28">
        <v>138836.607967033</v>
      </c>
      <c r="AX515" s="5"/>
      <c r="AY515" s="5" t="str">
        <f t="array" ref="AY515">IFERROR(_xlfn.XLOOKUP($E515,'FW27'!$C$3:$C$1102,'FW27'!$AM$3:$AM$1102),"")</f>
        <v>Essentials</v>
      </c>
      <c r="AZ515" s="5" t="str">
        <f t="array" ref="AZ515">IFERROR(_xlfn.XLOOKUP($E515,'FW27'!$C$3:$C$1102,'FW27'!$AN$3:$AN$1102),"")</f>
        <v>Daily Essentials</v>
      </c>
      <c r="BB515" s="5" t="str">
        <f t="array" ref="BB515">IFERROR(_xlfn.XLOOKUP($E515,'FW27'!$C$3:$C$1102,'FW27'!$AS$3:$AS$1102),"")</f>
        <v>Accessories</v>
      </c>
      <c r="BC515" s="5" t="str">
        <f t="array" ref="BC515">IFERROR(_xlfn.XLOOKUP($E515,'FW27'!$C$3:$C$1102,'FW27'!$AT$3:$AT$1102),"")</f>
        <v>Packing Cube</v>
      </c>
      <c r="BD515" s="5" t="str">
        <f t="array" ref="BD515">IFERROR(_xlfn.XLOOKUP($E515,'FW27'!$C$3:$C$1102,'FW27'!$AU$3:$AU$1102),"")</f>
        <v>Organization</v>
      </c>
      <c r="BE515" s="5" t="str">
        <f t="array" ref="BE515">IFERROR(_xlfn.XLOOKUP($E515,'FW27'!$C$3:$C$1102,'FW27'!$AV$3:$AV$1102),"")</f>
        <v>N</v>
      </c>
    </row>
    <row r="516" ht="16.5" hidden="1" customHeight="1">
      <c r="A516" s="5" t="s">
        <v>155</v>
      </c>
      <c r="B516" s="5" t="s">
        <v>137</v>
      </c>
      <c r="C516" s="5" t="b">
        <v>1</v>
      </c>
      <c r="D516" s="5" t="s">
        <v>1279</v>
      </c>
      <c r="E516" s="5" t="s">
        <v>1280</v>
      </c>
      <c r="F516" s="5"/>
      <c r="G516" s="5" t="s">
        <v>1109</v>
      </c>
      <c r="H516" s="5" t="s">
        <v>84</v>
      </c>
      <c r="I516" s="5" t="s">
        <v>82</v>
      </c>
      <c r="J516" s="25"/>
      <c r="K516" s="25"/>
      <c r="L516" s="25"/>
      <c r="M516" s="5" t="s">
        <v>66</v>
      </c>
      <c r="N516" s="5" t="s">
        <v>248</v>
      </c>
      <c r="O516" s="5" t="s">
        <v>69</v>
      </c>
      <c r="P516" s="5" t="s">
        <v>249</v>
      </c>
      <c r="Q516" s="5" t="b">
        <v>1</v>
      </c>
      <c r="R516" s="5" t="b">
        <v>0</v>
      </c>
      <c r="S516" s="5"/>
      <c r="T516" s="5">
        <v>700.0</v>
      </c>
      <c r="U516" s="26">
        <v>2.08</v>
      </c>
      <c r="V516" s="5">
        <v>337.0</v>
      </c>
      <c r="W516" s="27">
        <v>0.0</v>
      </c>
      <c r="X516" s="28">
        <v>337.0</v>
      </c>
      <c r="Y516" s="27">
        <v>1.0</v>
      </c>
      <c r="Z516" s="5" t="s">
        <v>242</v>
      </c>
      <c r="AA516" s="5">
        <v>0.0</v>
      </c>
      <c r="AB516" s="5"/>
      <c r="AC516" s="5" t="s">
        <v>81</v>
      </c>
      <c r="AD516" s="5" t="s">
        <v>81</v>
      </c>
      <c r="AE516" s="24">
        <v>0.0</v>
      </c>
      <c r="AF516" s="5">
        <v>1.0</v>
      </c>
      <c r="AG516" s="5" t="s">
        <v>0</v>
      </c>
      <c r="AH516" s="5" t="s">
        <v>0</v>
      </c>
      <c r="AI516" s="42">
        <v>250.0</v>
      </c>
      <c r="AJ516" s="28">
        <v>248.0</v>
      </c>
      <c r="AK516" s="28">
        <v>418.0</v>
      </c>
      <c r="AL516" s="28">
        <v>0.0</v>
      </c>
      <c r="AM516" s="28">
        <v>452.0</v>
      </c>
      <c r="AN516" s="28">
        <v>84250.0</v>
      </c>
      <c r="AO516" s="28">
        <v>83461.92000000001</v>
      </c>
      <c r="AP516" s="28">
        <v>140866.0</v>
      </c>
      <c r="AQ516" s="28">
        <v>0.0</v>
      </c>
      <c r="AR516" s="28">
        <v>152116.08</v>
      </c>
      <c r="AS516" s="28">
        <v>84250.0</v>
      </c>
      <c r="AT516" s="28">
        <v>75852.68532967032</v>
      </c>
      <c r="AU516" s="28">
        <v>99306.88702200001</v>
      </c>
      <c r="AV516" s="28">
        <v>0.0</v>
      </c>
      <c r="AW516" s="28">
        <v>116029.62074175825</v>
      </c>
      <c r="AX516" s="5"/>
      <c r="AY516" s="5" t="str">
        <f t="array" ref="AY516">IFERROR(_xlfn.XLOOKUP($E516,'FW27'!$C$3:$C$1102,'FW27'!$AM$3:$AM$1102),"")</f>
        <v>Essentials</v>
      </c>
      <c r="AZ516" s="5" t="str">
        <f t="array" ref="AZ516">IFERROR(_xlfn.XLOOKUP($E516,'FW27'!$C$3:$C$1102,'FW27'!$AN$3:$AN$1102),"")</f>
        <v>Daily Essentials</v>
      </c>
      <c r="BB516" s="5" t="str">
        <f t="array" ref="BB516">IFERROR(_xlfn.XLOOKUP($E516,'FW27'!$C$3:$C$1102,'FW27'!$AS$3:$AS$1102),"")</f>
        <v>Accessories</v>
      </c>
      <c r="BC516" s="5" t="str">
        <f t="array" ref="BC516">IFERROR(_xlfn.XLOOKUP($E516,'FW27'!$C$3:$C$1102,'FW27'!$AT$3:$AT$1102),"")</f>
        <v>Packing Cube</v>
      </c>
      <c r="BD516" s="5" t="str">
        <f t="array" ref="BD516">IFERROR(_xlfn.XLOOKUP($E516,'FW27'!$C$3:$C$1102,'FW27'!$AU$3:$AU$1102),"")</f>
        <v>Organization</v>
      </c>
      <c r="BE516" s="5" t="str">
        <f t="array" ref="BE516">IFERROR(_xlfn.XLOOKUP($E516,'FW27'!$C$3:$C$1102,'FW27'!$AV$3:$AV$1102),"")</f>
        <v>N</v>
      </c>
    </row>
    <row r="517" ht="16.5" hidden="1" customHeight="1">
      <c r="A517" s="5" t="s">
        <v>155</v>
      </c>
      <c r="B517" s="5" t="s">
        <v>137</v>
      </c>
      <c r="C517" s="5" t="b">
        <v>0</v>
      </c>
      <c r="D517" s="71" t="s">
        <v>1745</v>
      </c>
      <c r="E517" s="71" t="s">
        <v>1746</v>
      </c>
      <c r="F517" s="71"/>
      <c r="G517" s="71" t="s">
        <v>1109</v>
      </c>
      <c r="H517" s="71" t="s">
        <v>76</v>
      </c>
      <c r="I517" s="71" t="s">
        <v>106</v>
      </c>
      <c r="J517" s="25" t="s">
        <v>1925</v>
      </c>
      <c r="K517" s="25" t="s">
        <v>386</v>
      </c>
      <c r="L517" s="25"/>
      <c r="M517" s="5" t="s">
        <v>66</v>
      </c>
      <c r="N517" s="5" t="s">
        <v>248</v>
      </c>
      <c r="O517" s="5" t="s">
        <v>96</v>
      </c>
      <c r="P517" s="5" t="s">
        <v>249</v>
      </c>
      <c r="Q517" s="5" t="b">
        <v>1</v>
      </c>
      <c r="R517" s="5" t="b">
        <v>0</v>
      </c>
      <c r="S517" s="5"/>
      <c r="T517" s="5">
        <v>900.0</v>
      </c>
      <c r="U517" s="26">
        <v>2.08</v>
      </c>
      <c r="V517" s="5">
        <v>433.0</v>
      </c>
      <c r="W517" s="27">
        <v>0.0</v>
      </c>
      <c r="X517" s="28">
        <v>433.0</v>
      </c>
      <c r="Y517" s="27">
        <v>1.0</v>
      </c>
      <c r="Z517" s="5" t="s">
        <v>242</v>
      </c>
      <c r="AA517" s="5">
        <v>0.0</v>
      </c>
      <c r="AB517" s="5"/>
      <c r="AC517" s="5" t="s">
        <v>81</v>
      </c>
      <c r="AD517" s="5" t="s">
        <v>81</v>
      </c>
      <c r="AE517" s="5">
        <v>1.0</v>
      </c>
      <c r="AF517" s="5">
        <v>1.0</v>
      </c>
      <c r="AG517" s="5" t="s">
        <v>0</v>
      </c>
      <c r="AH517" s="5" t="s">
        <v>0</v>
      </c>
      <c r="AI517" s="56"/>
      <c r="AJ517" s="28">
        <v>208.0</v>
      </c>
      <c r="AK517" s="28">
        <v>0.0</v>
      </c>
      <c r="AL517" s="28">
        <v>0.0</v>
      </c>
      <c r="AM517" s="28">
        <v>0.0</v>
      </c>
      <c r="AN517" s="28">
        <v>0.0</v>
      </c>
      <c r="AO517" s="28">
        <v>80000.96</v>
      </c>
      <c r="AP517" s="28">
        <v>0.0</v>
      </c>
      <c r="AQ517" s="28">
        <v>0.0</v>
      </c>
      <c r="AR517" s="28">
        <v>0.0</v>
      </c>
      <c r="AS517" s="28">
        <v>0.0</v>
      </c>
      <c r="AT517" s="28">
        <v>80000.0</v>
      </c>
      <c r="AU517" s="28">
        <v>0.0</v>
      </c>
      <c r="AV517" s="28">
        <v>0.0</v>
      </c>
      <c r="AW517" s="28">
        <v>0.0</v>
      </c>
      <c r="AX517" s="5"/>
      <c r="AY517" s="5" t="str">
        <f t="array" ref="AY517">IFERROR(_xlfn.XLOOKUP($E517,'FW27'!$C$3:$C$1102,'FW27'!$AM$3:$AM$1102),"")</f>
        <v>Essentials</v>
      </c>
      <c r="AZ517" s="5" t="str">
        <f t="array" ref="AZ517">IFERROR(_xlfn.XLOOKUP($E517,'FW27'!$C$3:$C$1102,'FW27'!$AN$3:$AN$1102),"")</f>
        <v>Daily Essentials</v>
      </c>
      <c r="BB517" s="5" t="str">
        <f t="array" ref="BB517">IFERROR(_xlfn.XLOOKUP($E517,'FW27'!$C$3:$C$1102,'FW27'!$AS$3:$AS$1102),"")</f>
        <v>Accessories</v>
      </c>
      <c r="BC517" s="5" t="str">
        <f t="array" ref="BC517">IFERROR(_xlfn.XLOOKUP($E517,'FW27'!$C$3:$C$1102,'FW27'!$AT$3:$AT$1102),"")</f>
        <v>Pouch/Organizer</v>
      </c>
      <c r="BD517" s="5" t="str">
        <f t="array" ref="BD517">IFERROR(_xlfn.XLOOKUP($E517,'FW27'!$C$3:$C$1102,'FW27'!$AU$3:$AU$1102),"")</f>
        <v>Organization</v>
      </c>
      <c r="BE517" s="5" t="str">
        <f t="array" ref="BE517">IFERROR(_xlfn.XLOOKUP($E517,'FW27'!$C$3:$C$1102,'FW27'!$AV$3:$AV$1102),"")</f>
        <v>N</v>
      </c>
    </row>
    <row r="518" ht="16.5" hidden="1" customHeight="1">
      <c r="A518" s="5" t="s">
        <v>155</v>
      </c>
      <c r="B518" s="5" t="s">
        <v>137</v>
      </c>
      <c r="C518" s="5" t="b">
        <v>1</v>
      </c>
      <c r="D518" s="5" t="s">
        <v>1282</v>
      </c>
      <c r="E518" s="5" t="s">
        <v>1283</v>
      </c>
      <c r="F518" s="5"/>
      <c r="G518" s="5" t="s">
        <v>1109</v>
      </c>
      <c r="H518" s="5" t="s">
        <v>84</v>
      </c>
      <c r="I518" s="5" t="s">
        <v>82</v>
      </c>
      <c r="J518" s="25"/>
      <c r="K518" s="25"/>
      <c r="L518" s="25"/>
      <c r="M518" s="5" t="s">
        <v>66</v>
      </c>
      <c r="N518" s="5" t="s">
        <v>248</v>
      </c>
      <c r="O518" s="5" t="s">
        <v>69</v>
      </c>
      <c r="P518" s="5" t="s">
        <v>249</v>
      </c>
      <c r="Q518" s="5" t="b">
        <v>1</v>
      </c>
      <c r="R518" s="5" t="b">
        <v>0</v>
      </c>
      <c r="S518" s="5"/>
      <c r="T518" s="5">
        <v>400.0</v>
      </c>
      <c r="U518" s="26">
        <v>2.08</v>
      </c>
      <c r="V518" s="5">
        <v>192.0</v>
      </c>
      <c r="W518" s="27">
        <v>0.0</v>
      </c>
      <c r="X518" s="28">
        <v>192.0</v>
      </c>
      <c r="Y518" s="27">
        <v>1.0</v>
      </c>
      <c r="Z518" s="5" t="s">
        <v>117</v>
      </c>
      <c r="AA518" s="5">
        <v>0.7</v>
      </c>
      <c r="AB518" s="5"/>
      <c r="AC518" s="5" t="s">
        <v>81</v>
      </c>
      <c r="AD518" s="5" t="s">
        <v>81</v>
      </c>
      <c r="AE518" s="24">
        <v>0.0</v>
      </c>
      <c r="AF518" s="5">
        <v>1.0</v>
      </c>
      <c r="AG518" s="5" t="s">
        <v>0</v>
      </c>
      <c r="AH518" s="5" t="s">
        <v>0</v>
      </c>
      <c r="AI518" s="42">
        <v>150.0</v>
      </c>
      <c r="AJ518" s="28">
        <v>146.0</v>
      </c>
      <c r="AK518" s="28">
        <v>186.0</v>
      </c>
      <c r="AL518" s="28">
        <v>0.0</v>
      </c>
      <c r="AM518" s="28">
        <v>339.0</v>
      </c>
      <c r="AN518" s="28">
        <v>28800.0</v>
      </c>
      <c r="AO518" s="28">
        <v>28077.260000000002</v>
      </c>
      <c r="AP518" s="28">
        <v>35712.0</v>
      </c>
      <c r="AQ518" s="28">
        <v>0.0</v>
      </c>
      <c r="AR518" s="28">
        <v>65193.090000000004</v>
      </c>
      <c r="AS518" s="28">
        <v>28800.0</v>
      </c>
      <c r="AT518" s="28">
        <v>26871.993846153844</v>
      </c>
      <c r="AU518" s="28">
        <v>32523.587691999997</v>
      </c>
      <c r="AV518" s="28">
        <v>0.0</v>
      </c>
      <c r="AW518" s="28">
        <v>58422.39673992674</v>
      </c>
      <c r="AX518" s="5"/>
      <c r="AY518" s="5" t="str">
        <f t="array" ref="AY518">IFERROR(_xlfn.XLOOKUP($E518,'FW27'!$C$3:$C$1102,'FW27'!$AM$3:$AM$1102),"")</f>
        <v>Essentials</v>
      </c>
      <c r="AZ518" s="5" t="str">
        <f t="array" ref="AZ518">IFERROR(_xlfn.XLOOKUP($E518,'FW27'!$C$3:$C$1102,'FW27'!$AN$3:$AN$1102),"")</f>
        <v>Active Essentials</v>
      </c>
      <c r="BB518" s="5" t="str">
        <f t="array" ref="BB518">IFERROR(_xlfn.XLOOKUP($E518,'FW27'!$C$3:$C$1102,'FW27'!$AS$3:$AS$1102),"")</f>
        <v>Accessories</v>
      </c>
      <c r="BC518" s="5" t="str">
        <f t="array" ref="BC518">IFERROR(_xlfn.XLOOKUP($E518,'FW27'!$C$3:$C$1102,'FW27'!$AT$3:$AT$1102),"")</f>
        <v>Rain Cover</v>
      </c>
      <c r="BD518" s="5" t="str">
        <f t="array" ref="BD518">IFERROR(_xlfn.XLOOKUP($E518,'FW27'!$C$3:$C$1102,'FW27'!$AU$3:$AU$1102),"")</f>
        <v>Protection</v>
      </c>
      <c r="BE518" s="5" t="str">
        <f t="array" ref="BE518">IFERROR(_xlfn.XLOOKUP($E518,'FW27'!$C$3:$C$1102,'FW27'!$AV$3:$AV$1102),"")</f>
        <v>N</v>
      </c>
    </row>
    <row r="519" ht="16.5" hidden="1" customHeight="1">
      <c r="A519" s="5" t="s">
        <v>155</v>
      </c>
      <c r="B519" s="5" t="s">
        <v>137</v>
      </c>
      <c r="C519" s="5" t="b">
        <v>1</v>
      </c>
      <c r="D519" s="5" t="s">
        <v>1286</v>
      </c>
      <c r="E519" s="5" t="s">
        <v>1287</v>
      </c>
      <c r="F519" s="5"/>
      <c r="G519" s="5" t="s">
        <v>1109</v>
      </c>
      <c r="H519" s="5" t="s">
        <v>84</v>
      </c>
      <c r="I519" s="5" t="s">
        <v>82</v>
      </c>
      <c r="J519" s="25"/>
      <c r="K519" s="25"/>
      <c r="L519" s="25"/>
      <c r="M519" s="5" t="s">
        <v>66</v>
      </c>
      <c r="N519" s="5" t="s">
        <v>248</v>
      </c>
      <c r="O519" s="5" t="s">
        <v>69</v>
      </c>
      <c r="P519" s="5" t="s">
        <v>249</v>
      </c>
      <c r="Q519" s="5" t="b">
        <v>1</v>
      </c>
      <c r="R519" s="5" t="b">
        <v>0</v>
      </c>
      <c r="S519" s="5"/>
      <c r="T519" s="5">
        <v>450.0</v>
      </c>
      <c r="U519" s="26">
        <v>2.08</v>
      </c>
      <c r="V519" s="5">
        <v>216.0</v>
      </c>
      <c r="W519" s="27">
        <v>0.0</v>
      </c>
      <c r="X519" s="28">
        <v>216.0</v>
      </c>
      <c r="Y519" s="27">
        <v>1.0</v>
      </c>
      <c r="Z519" s="5" t="s">
        <v>117</v>
      </c>
      <c r="AA519" s="5">
        <v>0.731</v>
      </c>
      <c r="AB519" s="5"/>
      <c r="AC519" s="5" t="s">
        <v>81</v>
      </c>
      <c r="AD519" s="5" t="s">
        <v>81</v>
      </c>
      <c r="AE519" s="24">
        <v>0.0</v>
      </c>
      <c r="AF519" s="5">
        <v>1.0</v>
      </c>
      <c r="AG519" s="5" t="s">
        <v>0</v>
      </c>
      <c r="AH519" s="5" t="s">
        <v>0</v>
      </c>
      <c r="AI519" s="42">
        <v>150.0</v>
      </c>
      <c r="AJ519" s="28">
        <v>141.0</v>
      </c>
      <c r="AK519" s="28">
        <v>145.0</v>
      </c>
      <c r="AL519" s="28">
        <v>0.0</v>
      </c>
      <c r="AM519" s="28">
        <v>188.0</v>
      </c>
      <c r="AN519" s="28">
        <v>32400.0</v>
      </c>
      <c r="AO519" s="28">
        <v>30505.35</v>
      </c>
      <c r="AP519" s="28">
        <v>31320.0</v>
      </c>
      <c r="AQ519" s="28">
        <v>0.0</v>
      </c>
      <c r="AR519" s="28">
        <v>40673.799999999996</v>
      </c>
      <c r="AS519" s="28">
        <v>32400.0</v>
      </c>
      <c r="AT519" s="28">
        <v>29187.863076923077</v>
      </c>
      <c r="AU519" s="28">
        <v>29590.857691999998</v>
      </c>
      <c r="AV519" s="28">
        <v>0.0</v>
      </c>
      <c r="AW519" s="28">
        <v>35867.974120879124</v>
      </c>
      <c r="AX519" s="5"/>
      <c r="AY519" s="5" t="str">
        <f t="array" ref="AY519">IFERROR(_xlfn.XLOOKUP($E519,'FW27'!$C$3:$C$1102,'FW27'!$AM$3:$AM$1102),"")</f>
        <v>Essentials</v>
      </c>
      <c r="AZ519" s="5" t="str">
        <f t="array" ref="AZ519">IFERROR(_xlfn.XLOOKUP($E519,'FW27'!$C$3:$C$1102,'FW27'!$AN$3:$AN$1102),"")</f>
        <v>Active Essentials</v>
      </c>
      <c r="BB519" s="5" t="str">
        <f t="array" ref="BB519">IFERROR(_xlfn.XLOOKUP($E519,'FW27'!$C$3:$C$1102,'FW27'!$AS$3:$AS$1102),"")</f>
        <v>Accessories</v>
      </c>
      <c r="BC519" s="5" t="str">
        <f t="array" ref="BC519">IFERROR(_xlfn.XLOOKUP($E519,'FW27'!$C$3:$C$1102,'FW27'!$AT$3:$AT$1102),"")</f>
        <v>Rain Cover</v>
      </c>
      <c r="BD519" s="5" t="str">
        <f t="array" ref="BD519">IFERROR(_xlfn.XLOOKUP($E519,'FW27'!$C$3:$C$1102,'FW27'!$AU$3:$AU$1102),"")</f>
        <v>Protection</v>
      </c>
      <c r="BE519" s="5" t="str">
        <f t="array" ref="BE519">IFERROR(_xlfn.XLOOKUP($E519,'FW27'!$C$3:$C$1102,'FW27'!$AV$3:$AV$1102),"")</f>
        <v>N</v>
      </c>
    </row>
    <row r="520" ht="16.5" hidden="1" customHeight="1">
      <c r="A520" s="5" t="s">
        <v>155</v>
      </c>
      <c r="B520" s="5" t="s">
        <v>137</v>
      </c>
      <c r="C520" s="5" t="b">
        <v>1</v>
      </c>
      <c r="D520" s="5" t="s">
        <v>1288</v>
      </c>
      <c r="E520" s="5" t="s">
        <v>1289</v>
      </c>
      <c r="F520" s="5"/>
      <c r="G520" s="5" t="s">
        <v>1109</v>
      </c>
      <c r="H520" s="5" t="s">
        <v>84</v>
      </c>
      <c r="I520" s="5" t="s">
        <v>82</v>
      </c>
      <c r="J520" s="25"/>
      <c r="K520" s="25"/>
      <c r="L520" s="25"/>
      <c r="M520" s="5" t="s">
        <v>66</v>
      </c>
      <c r="N520" s="5" t="s">
        <v>248</v>
      </c>
      <c r="O520" s="5" t="s">
        <v>69</v>
      </c>
      <c r="P520" s="5" t="s">
        <v>249</v>
      </c>
      <c r="Q520" s="5" t="b">
        <v>1</v>
      </c>
      <c r="R520" s="5" t="b">
        <v>0</v>
      </c>
      <c r="S520" s="5"/>
      <c r="T520" s="5">
        <v>500.0</v>
      </c>
      <c r="U520" s="26">
        <v>2.08</v>
      </c>
      <c r="V520" s="5">
        <v>240.0</v>
      </c>
      <c r="W520" s="27">
        <v>0.0</v>
      </c>
      <c r="X520" s="28">
        <v>240.0</v>
      </c>
      <c r="Y520" s="27">
        <v>1.0</v>
      </c>
      <c r="Z520" s="5" t="s">
        <v>117</v>
      </c>
      <c r="AA520" s="5">
        <v>0.6609999999999999</v>
      </c>
      <c r="AB520" s="5"/>
      <c r="AC520" s="5" t="s">
        <v>81</v>
      </c>
      <c r="AD520" s="5" t="s">
        <v>81</v>
      </c>
      <c r="AE520" s="24">
        <v>0.0</v>
      </c>
      <c r="AF520" s="5">
        <v>1.0</v>
      </c>
      <c r="AG520" s="5" t="s">
        <v>0</v>
      </c>
      <c r="AH520" s="5" t="s">
        <v>0</v>
      </c>
      <c r="AI520" s="42">
        <v>150.0</v>
      </c>
      <c r="AJ520" s="28">
        <v>121.0</v>
      </c>
      <c r="AK520" s="28">
        <v>126.0</v>
      </c>
      <c r="AL520" s="28">
        <v>0.0</v>
      </c>
      <c r="AM520" s="28">
        <v>128.0</v>
      </c>
      <c r="AN520" s="28">
        <v>36000.0</v>
      </c>
      <c r="AO520" s="28">
        <v>29085.98</v>
      </c>
      <c r="AP520" s="28">
        <v>30240.0</v>
      </c>
      <c r="AQ520" s="28">
        <v>0.0</v>
      </c>
      <c r="AR520" s="28">
        <v>30768.64</v>
      </c>
      <c r="AS520" s="28">
        <v>36000.0</v>
      </c>
      <c r="AT520" s="28">
        <v>27656.0575</v>
      </c>
      <c r="AU520" s="28">
        <v>28352.255592</v>
      </c>
      <c r="AV520" s="28">
        <v>0.0</v>
      </c>
      <c r="AW520" s="28">
        <v>27973.194065934065</v>
      </c>
      <c r="AX520" s="5"/>
      <c r="AY520" s="5" t="str">
        <f t="array" ref="AY520">IFERROR(_xlfn.XLOOKUP($E520,'FW27'!$C$3:$C$1102,'FW27'!$AM$3:$AM$1102),"")</f>
        <v>Essentials</v>
      </c>
      <c r="AZ520" s="5" t="str">
        <f t="array" ref="AZ520">IFERROR(_xlfn.XLOOKUP($E520,'FW27'!$C$3:$C$1102,'FW27'!$AN$3:$AN$1102),"")</f>
        <v>Active Essentials</v>
      </c>
      <c r="BB520" s="5" t="str">
        <f t="array" ref="BB520">IFERROR(_xlfn.XLOOKUP($E520,'FW27'!$C$3:$C$1102,'FW27'!$AS$3:$AS$1102),"")</f>
        <v>Accessories</v>
      </c>
      <c r="BC520" s="5" t="str">
        <f t="array" ref="BC520">IFERROR(_xlfn.XLOOKUP($E520,'FW27'!$C$3:$C$1102,'FW27'!$AT$3:$AT$1102),"")</f>
        <v>Rain Cover</v>
      </c>
      <c r="BD520" s="5" t="str">
        <f t="array" ref="BD520">IFERROR(_xlfn.XLOOKUP($E520,'FW27'!$C$3:$C$1102,'FW27'!$AU$3:$AU$1102),"")</f>
        <v>Protection</v>
      </c>
      <c r="BE520" s="5" t="str">
        <f t="array" ref="BE520">IFERROR(_xlfn.XLOOKUP($E520,'FW27'!$C$3:$C$1102,'FW27'!$AV$3:$AV$1102),"")</f>
        <v>N</v>
      </c>
    </row>
    <row r="521" ht="16.5" hidden="1" customHeight="1">
      <c r="A521" s="5" t="s">
        <v>155</v>
      </c>
      <c r="B521" s="5" t="s">
        <v>137</v>
      </c>
      <c r="C521" s="5" t="b">
        <v>1</v>
      </c>
      <c r="D521" s="5" t="s">
        <v>1290</v>
      </c>
      <c r="E521" s="5" t="s">
        <v>1291</v>
      </c>
      <c r="F521" s="5"/>
      <c r="G521" s="5" t="s">
        <v>1109</v>
      </c>
      <c r="H521" s="5" t="s">
        <v>84</v>
      </c>
      <c r="I521" s="5" t="s">
        <v>82</v>
      </c>
      <c r="J521" s="25"/>
      <c r="K521" s="25"/>
      <c r="L521" s="25"/>
      <c r="M521" s="5" t="s">
        <v>66</v>
      </c>
      <c r="N521" s="5" t="s">
        <v>248</v>
      </c>
      <c r="O521" s="5" t="s">
        <v>69</v>
      </c>
      <c r="P521" s="5" t="s">
        <v>249</v>
      </c>
      <c r="Q521" s="5" t="b">
        <v>1</v>
      </c>
      <c r="R521" s="5" t="b">
        <v>0</v>
      </c>
      <c r="S521" s="5"/>
      <c r="T521" s="5">
        <v>600.0</v>
      </c>
      <c r="U521" s="26">
        <v>2.08</v>
      </c>
      <c r="V521" s="5">
        <v>288.0</v>
      </c>
      <c r="W521" s="27">
        <v>0.0</v>
      </c>
      <c r="X521" s="28">
        <v>288.0</v>
      </c>
      <c r="Y521" s="27">
        <v>1.0</v>
      </c>
      <c r="Z521" s="5" t="s">
        <v>117</v>
      </c>
      <c r="AA521" s="5">
        <v>0.635</v>
      </c>
      <c r="AB521" s="5"/>
      <c r="AC521" s="5" t="s">
        <v>81</v>
      </c>
      <c r="AD521" s="5" t="s">
        <v>81</v>
      </c>
      <c r="AE521" s="24">
        <v>0.0</v>
      </c>
      <c r="AF521" s="5">
        <v>1.0</v>
      </c>
      <c r="AG521" s="5" t="s">
        <v>0</v>
      </c>
      <c r="AH521" s="5" t="s">
        <v>0</v>
      </c>
      <c r="AI521" s="42">
        <v>150.0</v>
      </c>
      <c r="AJ521" s="28">
        <v>121.0</v>
      </c>
      <c r="AK521" s="28">
        <v>126.0</v>
      </c>
      <c r="AL521" s="28">
        <v>0.0</v>
      </c>
      <c r="AM521" s="28">
        <v>138.0</v>
      </c>
      <c r="AN521" s="28">
        <v>43200.0</v>
      </c>
      <c r="AO521" s="28">
        <v>34903.659999999996</v>
      </c>
      <c r="AP521" s="28">
        <v>36288.0</v>
      </c>
      <c r="AQ521" s="28">
        <v>0.0</v>
      </c>
      <c r="AR521" s="28">
        <v>39807.479999999996</v>
      </c>
      <c r="AS521" s="28">
        <v>43200.0</v>
      </c>
      <c r="AT521" s="28">
        <v>33246.292499999996</v>
      </c>
      <c r="AU521" s="28">
        <v>34083.051392</v>
      </c>
      <c r="AV521" s="28">
        <v>0.0</v>
      </c>
      <c r="AW521" s="28">
        <v>35126.056483516484</v>
      </c>
      <c r="AX521" s="5"/>
      <c r="AY521" s="5" t="str">
        <f t="array" ref="AY521">IFERROR(_xlfn.XLOOKUP($E521,'FW27'!$C$3:$C$1102,'FW27'!$AM$3:$AM$1102),"")</f>
        <v>Essentials</v>
      </c>
      <c r="AZ521" s="5" t="str">
        <f t="array" ref="AZ521">IFERROR(_xlfn.XLOOKUP($E521,'FW27'!$C$3:$C$1102,'FW27'!$AN$3:$AN$1102),"")</f>
        <v>Active Essentials</v>
      </c>
      <c r="BB521" s="5" t="str">
        <f t="array" ref="BB521">IFERROR(_xlfn.XLOOKUP($E521,'FW27'!$C$3:$C$1102,'FW27'!$AS$3:$AS$1102),"")</f>
        <v>Accessories</v>
      </c>
      <c r="BC521" s="5" t="str">
        <f t="array" ref="BC521">IFERROR(_xlfn.XLOOKUP($E521,'FW27'!$C$3:$C$1102,'FW27'!$AT$3:$AT$1102),"")</f>
        <v>Rain Cover</v>
      </c>
      <c r="BD521" s="5" t="str">
        <f t="array" ref="BD521">IFERROR(_xlfn.XLOOKUP($E521,'FW27'!$C$3:$C$1102,'FW27'!$AU$3:$AU$1102),"")</f>
        <v>Protection</v>
      </c>
      <c r="BE521" s="5" t="str">
        <f t="array" ref="BE521">IFERROR(_xlfn.XLOOKUP($E521,'FW27'!$C$3:$C$1102,'FW27'!$AV$3:$AV$1102),"")</f>
        <v>N</v>
      </c>
    </row>
    <row r="522" ht="16.5" hidden="1" customHeight="1">
      <c r="A522" s="5" t="s">
        <v>155</v>
      </c>
      <c r="B522" s="5" t="s">
        <v>137</v>
      </c>
      <c r="C522" s="5" t="b">
        <v>1</v>
      </c>
      <c r="D522" s="5" t="s">
        <v>1295</v>
      </c>
      <c r="E522" s="5" t="s">
        <v>1296</v>
      </c>
      <c r="F522" s="5"/>
      <c r="G522" s="5" t="s">
        <v>1109</v>
      </c>
      <c r="H522" s="5" t="s">
        <v>84</v>
      </c>
      <c r="I522" s="5" t="s">
        <v>82</v>
      </c>
      <c r="J522" s="25"/>
      <c r="K522" s="25"/>
      <c r="L522" s="25"/>
      <c r="M522" s="5" t="s">
        <v>66</v>
      </c>
      <c r="N522" s="5" t="s">
        <v>248</v>
      </c>
      <c r="O522" s="5" t="s">
        <v>69</v>
      </c>
      <c r="P522" s="5" t="s">
        <v>249</v>
      </c>
      <c r="Q522" s="5" t="b">
        <v>1</v>
      </c>
      <c r="R522" s="5" t="b">
        <v>0</v>
      </c>
      <c r="S522" s="5"/>
      <c r="T522" s="5">
        <v>500.0</v>
      </c>
      <c r="U522" s="26">
        <v>2.08</v>
      </c>
      <c r="V522" s="5">
        <v>240.0</v>
      </c>
      <c r="W522" s="27">
        <v>0.0</v>
      </c>
      <c r="X522" s="28">
        <v>240.0</v>
      </c>
      <c r="Y522" s="27">
        <v>1.0</v>
      </c>
      <c r="Z522" s="5" t="s">
        <v>117</v>
      </c>
      <c r="AA522" s="5">
        <v>0.0</v>
      </c>
      <c r="AB522" s="5"/>
      <c r="AC522" s="5" t="s">
        <v>81</v>
      </c>
      <c r="AD522" s="5" t="s">
        <v>81</v>
      </c>
      <c r="AE522" s="24">
        <v>0.0</v>
      </c>
      <c r="AF522" s="5">
        <v>1.0</v>
      </c>
      <c r="AG522" s="5" t="s">
        <v>0</v>
      </c>
      <c r="AH522" s="5" t="s">
        <v>0</v>
      </c>
      <c r="AI522" s="42"/>
      <c r="AJ522" s="28">
        <v>220.0</v>
      </c>
      <c r="AK522" s="28">
        <v>471.0</v>
      </c>
      <c r="AL522" s="28">
        <v>0.0</v>
      </c>
      <c r="AM522" s="28">
        <v>447.0</v>
      </c>
      <c r="AN522" s="28">
        <v>0.0</v>
      </c>
      <c r="AO522" s="28">
        <v>52883.6</v>
      </c>
      <c r="AP522" s="28">
        <v>113040.0</v>
      </c>
      <c r="AQ522" s="28">
        <v>0.0</v>
      </c>
      <c r="AR522" s="28">
        <v>107449.86</v>
      </c>
      <c r="AS522" s="28">
        <v>0.0</v>
      </c>
      <c r="AT522" s="28">
        <v>50931.07576923077</v>
      </c>
      <c r="AU522" s="28">
        <v>84427.878822</v>
      </c>
      <c r="AV522" s="28">
        <v>0.0</v>
      </c>
      <c r="AW522" s="28">
        <v>79812.43113553114</v>
      </c>
      <c r="AX522" s="5"/>
      <c r="AY522" s="5" t="str">
        <f t="array" ref="AY522">IFERROR(_xlfn.XLOOKUP($E522,'FW27'!$C$3:$C$1102,'FW27'!$AM$3:$AM$1102),"")</f>
        <v>Essentials</v>
      </c>
      <c r="AZ522" s="5" t="str">
        <f t="array" ref="AZ522">IFERROR(_xlfn.XLOOKUP($E522,'FW27'!$C$3:$C$1102,'FW27'!$AN$3:$AN$1102),"")</f>
        <v>Daily Essentials</v>
      </c>
      <c r="BB522" s="5" t="str">
        <f t="array" ref="BB522">IFERROR(_xlfn.XLOOKUP($E522,'FW27'!$C$3:$C$1102,'FW27'!$AS$3:$AS$1102),"")</f>
        <v>Accessories</v>
      </c>
      <c r="BC522" s="5" t="str">
        <f t="array" ref="BC522">IFERROR(_xlfn.XLOOKUP($E522,'FW27'!$C$3:$C$1102,'FW27'!$AT$3:$AT$1102),"")</f>
        <v>Pouch/Organizer</v>
      </c>
      <c r="BD522" s="5" t="str">
        <f t="array" ref="BD522">IFERROR(_xlfn.XLOOKUP($E522,'FW27'!$C$3:$C$1102,'FW27'!$AU$3:$AU$1102),"")</f>
        <v>Organization</v>
      </c>
      <c r="BE522" s="5" t="str">
        <f t="array" ref="BE522">IFERROR(_xlfn.XLOOKUP($E522,'FW27'!$C$3:$C$1102,'FW27'!$AV$3:$AV$1102),"")</f>
        <v>N</v>
      </c>
    </row>
    <row r="523" ht="16.5" hidden="1" customHeight="1">
      <c r="A523" s="5" t="s">
        <v>155</v>
      </c>
      <c r="B523" s="5" t="s">
        <v>137</v>
      </c>
      <c r="C523" s="5" t="b">
        <v>1</v>
      </c>
      <c r="D523" s="5" t="s">
        <v>1297</v>
      </c>
      <c r="E523" s="5" t="s">
        <v>1298</v>
      </c>
      <c r="F523" s="5"/>
      <c r="G523" s="5" t="s">
        <v>1109</v>
      </c>
      <c r="H523" s="5" t="s">
        <v>84</v>
      </c>
      <c r="I523" s="5" t="s">
        <v>82</v>
      </c>
      <c r="J523" s="25"/>
      <c r="K523" s="25"/>
      <c r="L523" s="25"/>
      <c r="M523" s="5" t="s">
        <v>66</v>
      </c>
      <c r="N523" s="5" t="s">
        <v>248</v>
      </c>
      <c r="O523" s="5" t="s">
        <v>69</v>
      </c>
      <c r="P523" s="5" t="s">
        <v>249</v>
      </c>
      <c r="Q523" s="5" t="b">
        <v>1</v>
      </c>
      <c r="R523" s="5" t="b">
        <v>0</v>
      </c>
      <c r="S523" s="5"/>
      <c r="T523" s="5">
        <v>400.0</v>
      </c>
      <c r="U523" s="26">
        <v>2.08</v>
      </c>
      <c r="V523" s="5">
        <v>192.0</v>
      </c>
      <c r="W523" s="27">
        <v>0.0</v>
      </c>
      <c r="X523" s="28">
        <v>192.0</v>
      </c>
      <c r="Y523" s="27">
        <v>1.0</v>
      </c>
      <c r="Z523" s="5" t="s">
        <v>117</v>
      </c>
      <c r="AA523" s="5">
        <v>0.0</v>
      </c>
      <c r="AB523" s="5"/>
      <c r="AC523" s="5" t="s">
        <v>81</v>
      </c>
      <c r="AD523" s="5" t="s">
        <v>81</v>
      </c>
      <c r="AE523" s="24">
        <v>0.0</v>
      </c>
      <c r="AF523" s="5">
        <v>1.0</v>
      </c>
      <c r="AG523" s="5" t="s">
        <v>0</v>
      </c>
      <c r="AH523" s="5" t="s">
        <v>0</v>
      </c>
      <c r="AI523" s="42"/>
      <c r="AJ523" s="28">
        <v>243.0</v>
      </c>
      <c r="AK523" s="28">
        <v>450.0</v>
      </c>
      <c r="AL523" s="28">
        <v>0.0</v>
      </c>
      <c r="AM523" s="28">
        <v>377.0</v>
      </c>
      <c r="AN523" s="28">
        <v>0.0</v>
      </c>
      <c r="AO523" s="28">
        <v>46731.33</v>
      </c>
      <c r="AP523" s="28">
        <v>86400.0</v>
      </c>
      <c r="AQ523" s="28">
        <v>0.0</v>
      </c>
      <c r="AR523" s="28">
        <v>72500.87</v>
      </c>
      <c r="AS523" s="28">
        <v>0.0</v>
      </c>
      <c r="AT523" s="28">
        <v>45595.01620879121</v>
      </c>
      <c r="AU523" s="28">
        <v>63754.579922000004</v>
      </c>
      <c r="AV523" s="28">
        <v>0.0</v>
      </c>
      <c r="AW523" s="28">
        <v>63958.15803571428</v>
      </c>
      <c r="AX523" s="5"/>
      <c r="AY523" s="5" t="str">
        <f t="array" ref="AY523">IFERROR(_xlfn.XLOOKUP($E523,'FW27'!$C$3:$C$1102,'FW27'!$AM$3:$AM$1102),"")</f>
        <v>Essentials</v>
      </c>
      <c r="AZ523" s="5" t="str">
        <f t="array" ref="AZ523">IFERROR(_xlfn.XLOOKUP($E523,'FW27'!$C$3:$C$1102,'FW27'!$AN$3:$AN$1102),"")</f>
        <v>Daily Essentials</v>
      </c>
      <c r="BB523" s="5" t="str">
        <f t="array" ref="BB523">IFERROR(_xlfn.XLOOKUP($E523,'FW27'!$C$3:$C$1102,'FW27'!$AS$3:$AS$1102),"")</f>
        <v>Accessories</v>
      </c>
      <c r="BC523" s="5" t="str">
        <f t="array" ref="BC523">IFERROR(_xlfn.XLOOKUP($E523,'FW27'!$C$3:$C$1102,'FW27'!$AT$3:$AT$1102),"")</f>
        <v>Pouch/Organizer</v>
      </c>
      <c r="BD523" s="5" t="str">
        <f t="array" ref="BD523">IFERROR(_xlfn.XLOOKUP($E523,'FW27'!$C$3:$C$1102,'FW27'!$AU$3:$AU$1102),"")</f>
        <v>Organization</v>
      </c>
      <c r="BE523" s="5" t="str">
        <f t="array" ref="BE523">IFERROR(_xlfn.XLOOKUP($E523,'FW27'!$C$3:$C$1102,'FW27'!$AV$3:$AV$1102),"")</f>
        <v>N</v>
      </c>
    </row>
    <row r="524" ht="16.5" hidden="1" customHeight="1">
      <c r="A524" s="5" t="s">
        <v>155</v>
      </c>
      <c r="B524" s="5" t="s">
        <v>137</v>
      </c>
      <c r="C524" s="5" t="b">
        <v>1</v>
      </c>
      <c r="D524" s="5" t="s">
        <v>1300</v>
      </c>
      <c r="E524" s="5" t="s">
        <v>1301</v>
      </c>
      <c r="F524" s="5"/>
      <c r="G524" s="5" t="s">
        <v>1109</v>
      </c>
      <c r="H524" s="5" t="s">
        <v>84</v>
      </c>
      <c r="I524" s="5" t="s">
        <v>82</v>
      </c>
      <c r="J524" s="25"/>
      <c r="K524" s="25"/>
      <c r="L524" s="25"/>
      <c r="M524" s="5" t="s">
        <v>66</v>
      </c>
      <c r="N524" s="5" t="s">
        <v>1119</v>
      </c>
      <c r="O524" s="5" t="s">
        <v>69</v>
      </c>
      <c r="P524" s="5" t="s">
        <v>249</v>
      </c>
      <c r="Q524" s="5" t="b">
        <v>1</v>
      </c>
      <c r="R524" s="5" t="b">
        <v>0</v>
      </c>
      <c r="S524" s="5"/>
      <c r="T524" s="5">
        <v>800.0</v>
      </c>
      <c r="U524" s="26">
        <v>2.08</v>
      </c>
      <c r="V524" s="5">
        <v>385.0</v>
      </c>
      <c r="W524" s="27">
        <v>0.0</v>
      </c>
      <c r="X524" s="28">
        <v>385.0</v>
      </c>
      <c r="Y524" s="27">
        <v>1.0</v>
      </c>
      <c r="Z524" s="5" t="s">
        <v>78</v>
      </c>
      <c r="AA524" s="5">
        <v>0.57</v>
      </c>
      <c r="AB524" s="5"/>
      <c r="AC524" s="5" t="s">
        <v>81</v>
      </c>
      <c r="AD524" s="5" t="s">
        <v>81</v>
      </c>
      <c r="AE524" s="24">
        <v>0.0</v>
      </c>
      <c r="AF524" s="5">
        <v>4.0</v>
      </c>
      <c r="AG524" s="5" t="s">
        <v>0</v>
      </c>
      <c r="AH524" s="5" t="s">
        <v>0</v>
      </c>
      <c r="AI524" s="42">
        <v>700.0</v>
      </c>
      <c r="AJ524" s="28">
        <v>612.0</v>
      </c>
      <c r="AK524" s="28">
        <v>379.0</v>
      </c>
      <c r="AL524" s="28">
        <v>0.0</v>
      </c>
      <c r="AM524" s="28">
        <v>1141.0</v>
      </c>
      <c r="AN524" s="28">
        <v>269500.0</v>
      </c>
      <c r="AO524" s="28">
        <v>235387.44</v>
      </c>
      <c r="AP524" s="28">
        <v>145915.0</v>
      </c>
      <c r="AQ524" s="28">
        <v>0.0</v>
      </c>
      <c r="AR524" s="28">
        <v>438851.42</v>
      </c>
      <c r="AS524" s="28">
        <v>269500.0</v>
      </c>
      <c r="AT524" s="28">
        <v>228094.93626373625</v>
      </c>
      <c r="AU524" s="28">
        <v>138793.37864999997</v>
      </c>
      <c r="AV524" s="28">
        <v>0.0</v>
      </c>
      <c r="AW524" s="28">
        <v>375298.1359890109</v>
      </c>
      <c r="AX524" s="5"/>
      <c r="AY524" s="5" t="str">
        <f t="array" ref="AY524">IFERROR(_xlfn.XLOOKUP($E524,'FW27'!$C$3:$C$1102,'FW27'!$AM$3:$AM$1102),"")</f>
        <v>Essentials</v>
      </c>
      <c r="AZ524" s="5" t="str">
        <f t="array" ref="AZ524">IFERROR(_xlfn.XLOOKUP($E524,'FW27'!$C$3:$C$1102,'FW27'!$AN$3:$AN$1102),"")</f>
        <v>Daily Essentials</v>
      </c>
      <c r="BB524" s="5" t="str">
        <f t="array" ref="BB524">IFERROR(_xlfn.XLOOKUP($E524,'FW27'!$C$3:$C$1102,'FW27'!$AS$3:$AS$1102),"")</f>
        <v>Backpacks</v>
      </c>
      <c r="BC524" s="5" t="str">
        <f t="array" ref="BC524">IFERROR(_xlfn.XLOOKUP($E524,'FW27'!$C$3:$C$1102,'FW27'!$AT$3:$AT$1102),"")</f>
        <v>Daypack</v>
      </c>
      <c r="BD524" s="5" t="str">
        <f t="array" ref="BD524">IFERROR(_xlfn.XLOOKUP($E524,'FW27'!$C$3:$C$1102,'FW27'!$AU$3:$AU$1102),"")</f>
        <v>≤15L</v>
      </c>
      <c r="BE524" s="5" t="str">
        <f t="array" ref="BE524">IFERROR(_xlfn.XLOOKUP($E524,'FW27'!$C$3:$C$1102,'FW27'!$AV$3:$AV$1102),"")</f>
        <v>N</v>
      </c>
    </row>
    <row r="525" ht="16.5" hidden="1" customHeight="1">
      <c r="A525" s="5" t="s">
        <v>155</v>
      </c>
      <c r="B525" s="5" t="s">
        <v>137</v>
      </c>
      <c r="C525" s="5" t="b">
        <v>1</v>
      </c>
      <c r="D525" s="5" t="s">
        <v>1757</v>
      </c>
      <c r="E525" s="5" t="s">
        <v>1758</v>
      </c>
      <c r="F525" s="5"/>
      <c r="G525" s="5" t="s">
        <v>1109</v>
      </c>
      <c r="H525" s="5" t="s">
        <v>84</v>
      </c>
      <c r="I525" s="5" t="s">
        <v>82</v>
      </c>
      <c r="J525" s="25"/>
      <c r="K525" s="25"/>
      <c r="L525" s="25"/>
      <c r="M525" s="5" t="s">
        <v>247</v>
      </c>
      <c r="N525" s="5" t="s">
        <v>248</v>
      </c>
      <c r="O525" s="5" t="s">
        <v>69</v>
      </c>
      <c r="P525" s="5" t="s">
        <v>249</v>
      </c>
      <c r="Q525" s="5" t="b">
        <v>1</v>
      </c>
      <c r="R525" s="5" t="b">
        <v>0</v>
      </c>
      <c r="S525" s="5"/>
      <c r="T525" s="5">
        <v>800.0</v>
      </c>
      <c r="U525" s="26">
        <v>2.08</v>
      </c>
      <c r="V525" s="5">
        <v>385.0</v>
      </c>
      <c r="W525" s="27">
        <v>0.0</v>
      </c>
      <c r="X525" s="28">
        <v>385.0</v>
      </c>
      <c r="Y525" s="27">
        <v>1.0</v>
      </c>
      <c r="Z525" s="5" t="s">
        <v>78</v>
      </c>
      <c r="AA525" s="5">
        <v>0.5529999999999999</v>
      </c>
      <c r="AB525" s="5"/>
      <c r="AC525" s="5" t="s">
        <v>81</v>
      </c>
      <c r="AD525" s="5" t="s">
        <v>81</v>
      </c>
      <c r="AE525" s="24">
        <v>0.0</v>
      </c>
      <c r="AF525" s="5">
        <v>2.0</v>
      </c>
      <c r="AG525" s="5" t="s">
        <v>0</v>
      </c>
      <c r="AH525" s="5" t="s">
        <v>0</v>
      </c>
      <c r="AI525" s="42"/>
      <c r="AJ525" s="28">
        <v>1228.0</v>
      </c>
      <c r="AK525" s="28">
        <v>0.0</v>
      </c>
      <c r="AL525" s="28">
        <v>0.0</v>
      </c>
      <c r="AM525" s="28">
        <v>0.0</v>
      </c>
      <c r="AN525" s="28">
        <v>0.0</v>
      </c>
      <c r="AO525" s="28">
        <v>413271.12</v>
      </c>
      <c r="AP525" s="28">
        <v>0.0</v>
      </c>
      <c r="AQ525" s="28">
        <v>0.0</v>
      </c>
      <c r="AR525" s="28">
        <v>0.0</v>
      </c>
      <c r="AS525" s="28">
        <v>0.0</v>
      </c>
      <c r="AT525" s="28">
        <v>370825.30027472525</v>
      </c>
      <c r="AU525" s="28">
        <v>0.0</v>
      </c>
      <c r="AV525" s="28">
        <v>0.0</v>
      </c>
      <c r="AW525" s="28">
        <v>0.0</v>
      </c>
      <c r="AX525" s="5"/>
      <c r="AY525" s="5" t="str">
        <f t="array" ref="AY525">IFERROR(_xlfn.XLOOKUP($E525,'FW27'!$C$3:$C$1102,'FW27'!$AM$3:$AM$1102),"")</f>
        <v>Essentials</v>
      </c>
      <c r="AZ525" s="5" t="str">
        <f t="array" ref="AZ525">IFERROR(_xlfn.XLOOKUP($E525,'FW27'!$C$3:$C$1102,'FW27'!$AN$3:$AN$1102),"")</f>
        <v>Daily Essentials</v>
      </c>
      <c r="BB525" s="5" t="str">
        <f t="array" ref="BB525">IFERROR(_xlfn.XLOOKUP($E525,'FW27'!$C$3:$C$1102,'FW27'!$AS$3:$AS$1102),"")</f>
        <v>Accessories</v>
      </c>
      <c r="BC525" s="5" t="str">
        <f t="array" ref="BC525">IFERROR(_xlfn.XLOOKUP($E525,'FW27'!$C$3:$C$1102,'FW27'!$AT$3:$AT$1102),"")</f>
        <v>Pouch/Organizer</v>
      </c>
      <c r="BD525" s="5" t="str">
        <f t="array" ref="BD525">IFERROR(_xlfn.XLOOKUP($E525,'FW27'!$C$3:$C$1102,'FW27'!$AU$3:$AU$1102),"")</f>
        <v>Organization</v>
      </c>
      <c r="BE525" s="5" t="str">
        <f t="array" ref="BE525">IFERROR(_xlfn.XLOOKUP($E525,'FW27'!$C$3:$C$1102,'FW27'!$AV$3:$AV$1102),"")</f>
        <v>N</v>
      </c>
    </row>
    <row r="526" ht="16.5" hidden="1" customHeight="1">
      <c r="A526" s="5" t="s">
        <v>155</v>
      </c>
      <c r="B526" s="5" t="s">
        <v>137</v>
      </c>
      <c r="C526" s="5" t="b">
        <v>1</v>
      </c>
      <c r="D526" s="5" t="s">
        <v>1308</v>
      </c>
      <c r="E526" s="5" t="s">
        <v>1309</v>
      </c>
      <c r="F526" s="5"/>
      <c r="G526" s="5" t="s">
        <v>1109</v>
      </c>
      <c r="H526" s="5" t="s">
        <v>84</v>
      </c>
      <c r="I526" s="5" t="s">
        <v>82</v>
      </c>
      <c r="J526" s="25"/>
      <c r="K526" s="25"/>
      <c r="L526" s="25"/>
      <c r="M526" s="5" t="s">
        <v>66</v>
      </c>
      <c r="N526" s="5" t="s">
        <v>1110</v>
      </c>
      <c r="O526" s="5" t="s">
        <v>69</v>
      </c>
      <c r="P526" s="5" t="s">
        <v>249</v>
      </c>
      <c r="Q526" s="5" t="b">
        <v>1</v>
      </c>
      <c r="R526" s="5" t="b">
        <v>0</v>
      </c>
      <c r="S526" s="5"/>
      <c r="T526" s="5">
        <v>1600.0</v>
      </c>
      <c r="U526" s="26">
        <v>2.08</v>
      </c>
      <c r="V526" s="5">
        <v>769.0</v>
      </c>
      <c r="W526" s="27">
        <v>0.0</v>
      </c>
      <c r="X526" s="28">
        <v>769.0</v>
      </c>
      <c r="Y526" s="27">
        <v>1.0</v>
      </c>
      <c r="Z526" s="5" t="s">
        <v>117</v>
      </c>
      <c r="AA526" s="5">
        <v>0.556</v>
      </c>
      <c r="AB526" s="5"/>
      <c r="AC526" s="5" t="s">
        <v>81</v>
      </c>
      <c r="AD526" s="5" t="s">
        <v>81</v>
      </c>
      <c r="AE526" s="24">
        <v>0.0</v>
      </c>
      <c r="AF526" s="5">
        <v>1.0</v>
      </c>
      <c r="AG526" s="5" t="s">
        <v>0</v>
      </c>
      <c r="AH526" s="5" t="s">
        <v>0</v>
      </c>
      <c r="AI526" s="42"/>
      <c r="AJ526" s="28">
        <v>182.0</v>
      </c>
      <c r="AK526" s="28">
        <v>130.0</v>
      </c>
      <c r="AL526" s="28">
        <v>0.0</v>
      </c>
      <c r="AM526" s="28">
        <v>396.0</v>
      </c>
      <c r="AN526" s="28">
        <v>0.0</v>
      </c>
      <c r="AO526" s="28">
        <v>139999.86000000002</v>
      </c>
      <c r="AP526" s="28">
        <v>99970.0</v>
      </c>
      <c r="AQ526" s="28">
        <v>0.0</v>
      </c>
      <c r="AR526" s="28">
        <v>304615.07999999996</v>
      </c>
      <c r="AS526" s="28">
        <v>0.0</v>
      </c>
      <c r="AT526" s="28">
        <v>122034.04615384614</v>
      </c>
      <c r="AU526" s="28">
        <v>88505.76075999999</v>
      </c>
      <c r="AV526" s="28">
        <v>0.0</v>
      </c>
      <c r="AW526" s="28">
        <v>264794.0384615385</v>
      </c>
      <c r="AX526" s="5"/>
      <c r="AY526" s="5" t="str">
        <f t="array" ref="AY526">IFERROR(_xlfn.XLOOKUP($E526,'FW27'!$C$3:$C$1102,'FW27'!$AM$3:$AM$1102),"")</f>
        <v>Outdoor</v>
      </c>
      <c r="AZ526" s="5" t="str">
        <f t="array" ref="AZ526">IFERROR(_xlfn.XLOOKUP($E526,'FW27'!$C$3:$C$1102,'FW27'!$AN$3:$AN$1102),"")</f>
        <v>Trekking</v>
      </c>
      <c r="BB526" s="5" t="str">
        <f t="array" ref="BB526">IFERROR(_xlfn.XLOOKUP($E526,'FW27'!$C$3:$C$1102,'FW27'!$AS$3:$AS$1102),"")</f>
        <v>Sleep</v>
      </c>
      <c r="BC526" s="5" t="str">
        <f t="array" ref="BC526">IFERROR(_xlfn.XLOOKUP($E526,'FW27'!$C$3:$C$1102,'FW27'!$AT$3:$AT$1102),"")</f>
        <v>Sleeping Bag</v>
      </c>
      <c r="BD526" s="5" t="str">
        <f t="array" ref="BD526">IFERROR(_xlfn.XLOOKUP($E526,'FW27'!$C$3:$C$1102,'FW27'!$AU$3:$AU$1102),"")</f>
        <v>3-Season</v>
      </c>
      <c r="BE526" s="5" t="str">
        <f t="array" ref="BE526">IFERROR(_xlfn.XLOOKUP($E526,'FW27'!$C$3:$C$1102,'FW27'!$AV$3:$AV$1102),"")</f>
        <v>N</v>
      </c>
    </row>
    <row r="527" ht="16.5" hidden="1" customHeight="1">
      <c r="A527" s="5" t="s">
        <v>155</v>
      </c>
      <c r="B527" s="5" t="s">
        <v>137</v>
      </c>
      <c r="C527" s="5" t="b">
        <v>1</v>
      </c>
      <c r="D527" s="5" t="s">
        <v>1310</v>
      </c>
      <c r="E527" s="5" t="s">
        <v>1311</v>
      </c>
      <c r="F527" s="5"/>
      <c r="G527" s="5" t="s">
        <v>1109</v>
      </c>
      <c r="H527" s="5" t="s">
        <v>84</v>
      </c>
      <c r="I527" s="5" t="s">
        <v>82</v>
      </c>
      <c r="J527" s="25"/>
      <c r="K527" s="25"/>
      <c r="L527" s="25"/>
      <c r="M527" s="5" t="s">
        <v>66</v>
      </c>
      <c r="N527" s="5" t="s">
        <v>1110</v>
      </c>
      <c r="O527" s="5" t="s">
        <v>69</v>
      </c>
      <c r="P527" s="5" t="s">
        <v>249</v>
      </c>
      <c r="Q527" s="5" t="b">
        <v>1</v>
      </c>
      <c r="R527" s="5" t="b">
        <v>0</v>
      </c>
      <c r="S527" s="5"/>
      <c r="T527" s="5">
        <v>1500.0</v>
      </c>
      <c r="U527" s="26">
        <v>2.08</v>
      </c>
      <c r="V527" s="5">
        <v>721.0</v>
      </c>
      <c r="W527" s="27">
        <v>0.0</v>
      </c>
      <c r="X527" s="28">
        <v>721.0</v>
      </c>
      <c r="Y527" s="27">
        <v>1.0</v>
      </c>
      <c r="Z527" s="5" t="s">
        <v>117</v>
      </c>
      <c r="AA527" s="5">
        <v>0.522</v>
      </c>
      <c r="AB527" s="5"/>
      <c r="AC527" s="5" t="s">
        <v>81</v>
      </c>
      <c r="AD527" s="5" t="s">
        <v>81</v>
      </c>
      <c r="AE527" s="24">
        <v>0.0</v>
      </c>
      <c r="AF527" s="5">
        <v>1.0</v>
      </c>
      <c r="AG527" s="5" t="s">
        <v>0</v>
      </c>
      <c r="AH527" s="5" t="s">
        <v>0</v>
      </c>
      <c r="AI527" s="42"/>
      <c r="AJ527" s="28">
        <v>167.0</v>
      </c>
      <c r="AK527" s="28">
        <v>121.0</v>
      </c>
      <c r="AL527" s="28">
        <v>0.0</v>
      </c>
      <c r="AM527" s="28">
        <v>320.0</v>
      </c>
      <c r="AN527" s="28">
        <v>0.0</v>
      </c>
      <c r="AO527" s="28">
        <v>120432.04999999999</v>
      </c>
      <c r="AP527" s="28">
        <v>87241.0</v>
      </c>
      <c r="AQ527" s="28">
        <v>0.0</v>
      </c>
      <c r="AR527" s="28">
        <v>230768.0</v>
      </c>
      <c r="AS527" s="28">
        <v>0.0</v>
      </c>
      <c r="AT527" s="28">
        <v>103103.82384615383</v>
      </c>
      <c r="AU527" s="28">
        <v>75788.84836</v>
      </c>
      <c r="AV527" s="28">
        <v>0.0</v>
      </c>
      <c r="AW527" s="28">
        <v>200116.5865384615</v>
      </c>
      <c r="AX527" s="5"/>
      <c r="AY527" s="5" t="str">
        <f t="array" ref="AY527">IFERROR(_xlfn.XLOOKUP($E527,'FW27'!$C$3:$C$1102,'FW27'!$AM$3:$AM$1102),"")</f>
        <v>Outdoor</v>
      </c>
      <c r="AZ527" s="5" t="str">
        <f t="array" ref="AZ527">IFERROR(_xlfn.XLOOKUP($E527,'FW27'!$C$3:$C$1102,'FW27'!$AN$3:$AN$1102),"")</f>
        <v>Trekking</v>
      </c>
      <c r="BB527" s="5" t="str">
        <f t="array" ref="BB527">IFERROR(_xlfn.XLOOKUP($E527,'FW27'!$C$3:$C$1102,'FW27'!$AS$3:$AS$1102),"")</f>
        <v>Sleep</v>
      </c>
      <c r="BC527" s="5" t="str">
        <f t="array" ref="BC527">IFERROR(_xlfn.XLOOKUP($E527,'FW27'!$C$3:$C$1102,'FW27'!$AT$3:$AT$1102),"")</f>
        <v>Sleeping Bag</v>
      </c>
      <c r="BD527" s="5" t="str">
        <f t="array" ref="BD527">IFERROR(_xlfn.XLOOKUP($E527,'FW27'!$C$3:$C$1102,'FW27'!$AU$3:$AU$1102),"")</f>
        <v>Summer</v>
      </c>
      <c r="BE527" s="5" t="str">
        <f t="array" ref="BE527">IFERROR(_xlfn.XLOOKUP($E527,'FW27'!$C$3:$C$1102,'FW27'!$AV$3:$AV$1102),"")</f>
        <v>N</v>
      </c>
    </row>
    <row r="528" ht="16.5" hidden="1" customHeight="1">
      <c r="A528" s="5" t="s">
        <v>155</v>
      </c>
      <c r="B528" s="5" t="s">
        <v>137</v>
      </c>
      <c r="C528" s="5" t="b">
        <v>1</v>
      </c>
      <c r="D528" s="5" t="s">
        <v>1312</v>
      </c>
      <c r="E528" s="5" t="s">
        <v>1313</v>
      </c>
      <c r="F528" s="5"/>
      <c r="G528" s="5" t="s">
        <v>1109</v>
      </c>
      <c r="H528" s="5" t="s">
        <v>84</v>
      </c>
      <c r="I528" s="5" t="s">
        <v>82</v>
      </c>
      <c r="J528" s="25"/>
      <c r="K528" s="25"/>
      <c r="L528" s="25"/>
      <c r="M528" s="5" t="s">
        <v>66</v>
      </c>
      <c r="N528" s="5" t="s">
        <v>1110</v>
      </c>
      <c r="O528" s="5" t="s">
        <v>69</v>
      </c>
      <c r="P528" s="5" t="s">
        <v>249</v>
      </c>
      <c r="Q528" s="5" t="b">
        <v>1</v>
      </c>
      <c r="R528" s="5" t="b">
        <v>0</v>
      </c>
      <c r="S528" s="5"/>
      <c r="T528" s="5">
        <v>2200.0</v>
      </c>
      <c r="U528" s="26">
        <v>2.08</v>
      </c>
      <c r="V528" s="5">
        <v>1058.0</v>
      </c>
      <c r="W528" s="27">
        <v>0.0</v>
      </c>
      <c r="X528" s="28">
        <v>1058.0</v>
      </c>
      <c r="Y528" s="27">
        <v>1.0</v>
      </c>
      <c r="Z528" s="5" t="s">
        <v>117</v>
      </c>
      <c r="AA528" s="5">
        <v>0.539</v>
      </c>
      <c r="AB528" s="5"/>
      <c r="AC528" s="5" t="s">
        <v>81</v>
      </c>
      <c r="AD528" s="5" t="s">
        <v>81</v>
      </c>
      <c r="AE528" s="24">
        <v>0.0</v>
      </c>
      <c r="AF528" s="5">
        <v>1.0</v>
      </c>
      <c r="AG528" s="5" t="s">
        <v>0</v>
      </c>
      <c r="AH528" s="5" t="s">
        <v>0</v>
      </c>
      <c r="AI528" s="42"/>
      <c r="AJ528" s="28">
        <v>862.0</v>
      </c>
      <c r="AK528" s="28">
        <v>848.0</v>
      </c>
      <c r="AL528" s="28">
        <v>0.0</v>
      </c>
      <c r="AM528" s="28">
        <v>365.0</v>
      </c>
      <c r="AN528" s="28">
        <v>0.0</v>
      </c>
      <c r="AO528" s="28">
        <v>911728.78</v>
      </c>
      <c r="AP528" s="28">
        <v>897184.0</v>
      </c>
      <c r="AQ528" s="28">
        <v>0.0</v>
      </c>
      <c r="AR528" s="28">
        <v>386056.85</v>
      </c>
      <c r="AS528" s="28">
        <v>0.0</v>
      </c>
      <c r="AT528" s="28">
        <v>760631.383653846</v>
      </c>
      <c r="AU528" s="28">
        <v>775474.0237599999</v>
      </c>
      <c r="AV528" s="28">
        <v>0.0</v>
      </c>
      <c r="AW528" s="28">
        <v>324347.66826923075</v>
      </c>
      <c r="AX528" s="5"/>
      <c r="AY528" s="5" t="str">
        <f t="array" ref="AY528">IFERROR(_xlfn.XLOOKUP($E528,'FW27'!$C$3:$C$1102,'FW27'!$AM$3:$AM$1102),"")</f>
        <v>Outdoor</v>
      </c>
      <c r="AZ528" s="5" t="str">
        <f t="array" ref="AZ528">IFERROR(_xlfn.XLOOKUP($E528,'FW27'!$C$3:$C$1102,'FW27'!$AN$3:$AN$1102),"")</f>
        <v>Trekking</v>
      </c>
      <c r="BB528" s="5" t="str">
        <f t="array" ref="BB528">IFERROR(_xlfn.XLOOKUP($E528,'FW27'!$C$3:$C$1102,'FW27'!$AS$3:$AS$1102),"")</f>
        <v>Sleep</v>
      </c>
      <c r="BC528" s="5" t="str">
        <f t="array" ref="BC528">IFERROR(_xlfn.XLOOKUP($E528,'FW27'!$C$3:$C$1102,'FW27'!$AT$3:$AT$1102),"")</f>
        <v>Sleeping Bag</v>
      </c>
      <c r="BD528" s="5" t="str">
        <f t="array" ref="BD528">IFERROR(_xlfn.XLOOKUP($E528,'FW27'!$C$3:$C$1102,'FW27'!$AU$3:$AU$1102),"")</f>
        <v>Cold</v>
      </c>
      <c r="BE528" s="5" t="str">
        <f t="array" ref="BE528">IFERROR(_xlfn.XLOOKUP($E528,'FW27'!$C$3:$C$1102,'FW27'!$AV$3:$AV$1102),"")</f>
        <v>N</v>
      </c>
    </row>
    <row r="529" ht="16.5" hidden="1" customHeight="1">
      <c r="A529" s="5" t="s">
        <v>155</v>
      </c>
      <c r="B529" s="5" t="s">
        <v>137</v>
      </c>
      <c r="C529" s="5" t="b">
        <v>1</v>
      </c>
      <c r="D529" s="5" t="s">
        <v>1316</v>
      </c>
      <c r="E529" s="5" t="s">
        <v>1317</v>
      </c>
      <c r="F529" s="5"/>
      <c r="G529" s="5" t="s">
        <v>1109</v>
      </c>
      <c r="H529" s="5" t="s">
        <v>84</v>
      </c>
      <c r="I529" s="5" t="s">
        <v>82</v>
      </c>
      <c r="J529" s="25"/>
      <c r="K529" s="25"/>
      <c r="L529" s="25"/>
      <c r="M529" s="5" t="s">
        <v>66</v>
      </c>
      <c r="N529" s="5" t="s">
        <v>1110</v>
      </c>
      <c r="O529" s="5" t="s">
        <v>69</v>
      </c>
      <c r="P529" s="5" t="s">
        <v>249</v>
      </c>
      <c r="Q529" s="5" t="b">
        <v>1</v>
      </c>
      <c r="R529" s="5" t="b">
        <v>0</v>
      </c>
      <c r="S529" s="5"/>
      <c r="T529" s="5">
        <v>1800.0</v>
      </c>
      <c r="U529" s="26">
        <v>2.08</v>
      </c>
      <c r="V529" s="5">
        <v>865.0</v>
      </c>
      <c r="W529" s="27">
        <v>0.0</v>
      </c>
      <c r="X529" s="28">
        <v>865.0</v>
      </c>
      <c r="Y529" s="27">
        <v>1.0</v>
      </c>
      <c r="Z529" s="5" t="s">
        <v>117</v>
      </c>
      <c r="AA529" s="5">
        <v>0.568</v>
      </c>
      <c r="AB529" s="5"/>
      <c r="AC529" s="5" t="s">
        <v>81</v>
      </c>
      <c r="AD529" s="5" t="s">
        <v>81</v>
      </c>
      <c r="AE529" s="24">
        <v>0.0</v>
      </c>
      <c r="AF529" s="5">
        <v>1.0</v>
      </c>
      <c r="AG529" s="5" t="s">
        <v>0</v>
      </c>
      <c r="AH529" s="5" t="s">
        <v>0</v>
      </c>
      <c r="AI529" s="42"/>
      <c r="AJ529" s="28">
        <v>737.0</v>
      </c>
      <c r="AK529" s="28">
        <v>737.0</v>
      </c>
      <c r="AL529" s="28">
        <v>0.0</v>
      </c>
      <c r="AM529" s="28">
        <v>1109.0</v>
      </c>
      <c r="AN529" s="28">
        <v>0.0</v>
      </c>
      <c r="AO529" s="28">
        <v>637785.06</v>
      </c>
      <c r="AP529" s="28">
        <v>637505.0</v>
      </c>
      <c r="AQ529" s="28">
        <v>0.0</v>
      </c>
      <c r="AR529" s="28">
        <v>959706.42</v>
      </c>
      <c r="AS529" s="28">
        <v>0.0</v>
      </c>
      <c r="AT529" s="28">
        <v>533456.566923077</v>
      </c>
      <c r="AU529" s="28">
        <v>557377.54934</v>
      </c>
      <c r="AV529" s="28">
        <v>0.0</v>
      </c>
      <c r="AW529" s="28">
        <v>828492.4038461538</v>
      </c>
      <c r="AX529" s="5"/>
      <c r="AY529" s="5" t="str">
        <f t="array" ref="AY529">IFERROR(_xlfn.XLOOKUP($E529,'FW27'!$C$3:$C$1102,'FW27'!$AM$3:$AM$1102),"")</f>
        <v>Outdoor</v>
      </c>
      <c r="AZ529" s="5" t="str">
        <f t="array" ref="AZ529">IFERROR(_xlfn.XLOOKUP($E529,'FW27'!$C$3:$C$1102,'FW27'!$AN$3:$AN$1102),"")</f>
        <v>Trekking</v>
      </c>
      <c r="BB529" s="5" t="str">
        <f t="array" ref="BB529">IFERROR(_xlfn.XLOOKUP($E529,'FW27'!$C$3:$C$1102,'FW27'!$AS$3:$AS$1102),"")</f>
        <v>Sleep</v>
      </c>
      <c r="BC529" s="5" t="str">
        <f t="array" ref="BC529">IFERROR(_xlfn.XLOOKUP($E529,'FW27'!$C$3:$C$1102,'FW27'!$AT$3:$AT$1102),"")</f>
        <v>Sleeping Bag</v>
      </c>
      <c r="BD529" s="5" t="str">
        <f t="array" ref="BD529">IFERROR(_xlfn.XLOOKUP($E529,'FW27'!$C$3:$C$1102,'FW27'!$AU$3:$AU$1102),"")</f>
        <v>3-Season</v>
      </c>
      <c r="BE529" s="5" t="str">
        <f t="array" ref="BE529">IFERROR(_xlfn.XLOOKUP($E529,'FW27'!$C$3:$C$1102,'FW27'!$AV$3:$AV$1102),"")</f>
        <v>N</v>
      </c>
    </row>
    <row r="530" ht="16.5" hidden="1" customHeight="1">
      <c r="A530" s="5" t="s">
        <v>155</v>
      </c>
      <c r="B530" s="5" t="s">
        <v>137</v>
      </c>
      <c r="C530" s="5" t="b">
        <v>1</v>
      </c>
      <c r="D530" s="5" t="s">
        <v>1322</v>
      </c>
      <c r="E530" s="5" t="s">
        <v>1323</v>
      </c>
      <c r="F530" s="5"/>
      <c r="G530" s="5" t="s">
        <v>1109</v>
      </c>
      <c r="H530" s="5" t="s">
        <v>84</v>
      </c>
      <c r="I530" s="5" t="s">
        <v>82</v>
      </c>
      <c r="J530" s="25"/>
      <c r="K530" s="25"/>
      <c r="L530" s="25"/>
      <c r="M530" s="5" t="s">
        <v>66</v>
      </c>
      <c r="N530" s="5" t="s">
        <v>1110</v>
      </c>
      <c r="O530" s="5" t="s">
        <v>69</v>
      </c>
      <c r="P530" s="5" t="s">
        <v>249</v>
      </c>
      <c r="Q530" s="5" t="b">
        <v>1</v>
      </c>
      <c r="R530" s="5" t="b">
        <v>0</v>
      </c>
      <c r="S530" s="5"/>
      <c r="T530" s="5">
        <v>1200.0</v>
      </c>
      <c r="U530" s="26">
        <v>2.08</v>
      </c>
      <c r="V530" s="5">
        <v>577.0</v>
      </c>
      <c r="W530" s="27">
        <v>0.0</v>
      </c>
      <c r="X530" s="28">
        <v>577.0</v>
      </c>
      <c r="Y530" s="27">
        <v>1.0</v>
      </c>
      <c r="Z530" s="5" t="s">
        <v>117</v>
      </c>
      <c r="AA530" s="5">
        <v>0.564</v>
      </c>
      <c r="AB530" s="5"/>
      <c r="AC530" s="5" t="s">
        <v>81</v>
      </c>
      <c r="AD530" s="5" t="s">
        <v>81</v>
      </c>
      <c r="AE530" s="24">
        <v>0.0</v>
      </c>
      <c r="AF530" s="5">
        <v>1.0</v>
      </c>
      <c r="AG530" s="5" t="s">
        <v>0</v>
      </c>
      <c r="AH530" s="5" t="s">
        <v>0</v>
      </c>
      <c r="AI530" s="42"/>
      <c r="AJ530" s="28">
        <v>180.0</v>
      </c>
      <c r="AK530" s="28">
        <v>96.0</v>
      </c>
      <c r="AL530" s="28">
        <v>0.0</v>
      </c>
      <c r="AM530" s="28">
        <v>411.0</v>
      </c>
      <c r="AN530" s="28">
        <v>0.0</v>
      </c>
      <c r="AO530" s="28">
        <v>103845.59999999999</v>
      </c>
      <c r="AP530" s="28">
        <v>55392.0</v>
      </c>
      <c r="AQ530" s="28">
        <v>0.0</v>
      </c>
      <c r="AR530" s="28">
        <v>237114.12</v>
      </c>
      <c r="AS530" s="28">
        <v>0.0</v>
      </c>
      <c r="AT530" s="28">
        <v>90434.98423076923</v>
      </c>
      <c r="AU530" s="28">
        <v>49556.13058</v>
      </c>
      <c r="AV530" s="28">
        <v>0.0</v>
      </c>
      <c r="AW530" s="28">
        <v>214038.4615384615</v>
      </c>
      <c r="AX530" s="5"/>
      <c r="AY530" s="5" t="str">
        <f t="array" ref="AY530">IFERROR(_xlfn.XLOOKUP($E530,'FW27'!$C$3:$C$1102,'FW27'!$AM$3:$AM$1102),"")</f>
        <v>Outdoor</v>
      </c>
      <c r="AZ530" s="5" t="str">
        <f t="array" ref="AZ530">IFERROR(_xlfn.XLOOKUP($E530,'FW27'!$C$3:$C$1102,'FW27'!$AN$3:$AN$1102),"")</f>
        <v>Trekking</v>
      </c>
      <c r="BB530" s="5" t="str">
        <f t="array" ref="BB530">IFERROR(_xlfn.XLOOKUP($E530,'FW27'!$C$3:$C$1102,'FW27'!$AS$3:$AS$1102),"")</f>
        <v>Sleep</v>
      </c>
      <c r="BC530" s="5" t="str">
        <f t="array" ref="BC530">IFERROR(_xlfn.XLOOKUP($E530,'FW27'!$C$3:$C$1102,'FW27'!$AT$3:$AT$1102),"")</f>
        <v>Sleeping Bag</v>
      </c>
      <c r="BD530" s="5" t="str">
        <f t="array" ref="BD530">IFERROR(_xlfn.XLOOKUP($E530,'FW27'!$C$3:$C$1102,'FW27'!$AU$3:$AU$1102),"")</f>
        <v>Summer</v>
      </c>
      <c r="BE530" s="5" t="str">
        <f t="array" ref="BE530">IFERROR(_xlfn.XLOOKUP($E530,'FW27'!$C$3:$C$1102,'FW27'!$AV$3:$AV$1102),"")</f>
        <v>N</v>
      </c>
    </row>
    <row r="531" ht="16.5" hidden="1" customHeight="1">
      <c r="A531" s="5" t="s">
        <v>155</v>
      </c>
      <c r="B531" s="5" t="s">
        <v>137</v>
      </c>
      <c r="C531" s="5" t="b">
        <v>1</v>
      </c>
      <c r="D531" s="5" t="s">
        <v>1326</v>
      </c>
      <c r="E531" s="5" t="s">
        <v>1328</v>
      </c>
      <c r="F531" s="5"/>
      <c r="G531" s="5" t="s">
        <v>1109</v>
      </c>
      <c r="H531" s="5" t="s">
        <v>84</v>
      </c>
      <c r="I531" s="5" t="s">
        <v>82</v>
      </c>
      <c r="J531" s="25"/>
      <c r="K531" s="25"/>
      <c r="L531" s="25"/>
      <c r="M531" s="5" t="s">
        <v>66</v>
      </c>
      <c r="N531" s="5" t="s">
        <v>1129</v>
      </c>
      <c r="O531" s="5" t="s">
        <v>69</v>
      </c>
      <c r="P531" s="5" t="s">
        <v>249</v>
      </c>
      <c r="Q531" s="5" t="b">
        <v>1</v>
      </c>
      <c r="R531" s="5" t="b">
        <v>0</v>
      </c>
      <c r="S531" s="5"/>
      <c r="T531" s="5">
        <v>1300.0</v>
      </c>
      <c r="U531" s="26">
        <v>2.08</v>
      </c>
      <c r="V531" s="5">
        <v>625.0</v>
      </c>
      <c r="W531" s="27">
        <v>0.0</v>
      </c>
      <c r="X531" s="28">
        <v>625.0</v>
      </c>
      <c r="Y531" s="27">
        <v>1.0</v>
      </c>
      <c r="Z531" s="5" t="s">
        <v>117</v>
      </c>
      <c r="AA531" s="5">
        <v>0.61</v>
      </c>
      <c r="AB531" s="5"/>
      <c r="AC531" s="5" t="s">
        <v>81</v>
      </c>
      <c r="AD531" s="5" t="s">
        <v>81</v>
      </c>
      <c r="AE531" s="24">
        <v>0.0</v>
      </c>
      <c r="AF531" s="5">
        <v>2.0</v>
      </c>
      <c r="AG531" s="5" t="s">
        <v>0</v>
      </c>
      <c r="AH531" s="5" t="s">
        <v>0</v>
      </c>
      <c r="AI531" s="42"/>
      <c r="AJ531" s="28">
        <v>429.0</v>
      </c>
      <c r="AK531" s="28">
        <v>437.0</v>
      </c>
      <c r="AL531" s="28">
        <v>0.0</v>
      </c>
      <c r="AM531" s="28">
        <v>373.0</v>
      </c>
      <c r="AN531" s="28">
        <v>0.0</v>
      </c>
      <c r="AO531" s="28">
        <v>268125.0</v>
      </c>
      <c r="AP531" s="28">
        <v>273125.0</v>
      </c>
      <c r="AQ531" s="28">
        <v>0.0</v>
      </c>
      <c r="AR531" s="28">
        <v>233125.0</v>
      </c>
      <c r="AS531" s="28">
        <v>0.0</v>
      </c>
      <c r="AT531" s="28">
        <v>255567.14</v>
      </c>
      <c r="AU531" s="28">
        <v>262463.56499999994</v>
      </c>
      <c r="AV531" s="28">
        <v>0.0</v>
      </c>
      <c r="AW531" s="28">
        <v>203109.12788461542</v>
      </c>
      <c r="AX531" s="5"/>
      <c r="AY531" s="5" t="str">
        <f t="array" ref="AY531">IFERROR(_xlfn.XLOOKUP($E531,'FW27'!$C$3:$C$1102,'FW27'!$AM$3:$AM$1102),"")</f>
        <v>Essentials</v>
      </c>
      <c r="AZ531" s="5" t="str">
        <f t="array" ref="AZ531">IFERROR(_xlfn.XLOOKUP($E531,'FW27'!$C$3:$C$1102,'FW27'!$AN$3:$AN$1102),"")</f>
        <v>Daily Essentials</v>
      </c>
      <c r="BB531" s="5" t="str">
        <f t="array" ref="BB531">IFERROR(_xlfn.XLOOKUP($E531,'FW27'!$C$3:$C$1102,'FW27'!$AS$3:$AS$1102),"")</f>
        <v>Bags &amp; Luggage</v>
      </c>
      <c r="BC531" s="5" t="str">
        <f t="array" ref="BC531">IFERROR(_xlfn.XLOOKUP($E531,'FW27'!$C$3:$C$1102,'FW27'!$AT$3:$AT$1102),"")</f>
        <v>Duffle</v>
      </c>
      <c r="BD531" s="5" t="str">
        <f t="array" ref="BD531">IFERROR(_xlfn.XLOOKUP($E531,'FW27'!$C$3:$C$1102,'FW27'!$AU$3:$AU$1102),"")</f>
        <v>31–50L</v>
      </c>
      <c r="BE531" s="5" t="str">
        <f t="array" ref="BE531">IFERROR(_xlfn.XLOOKUP($E531,'FW27'!$C$3:$C$1102,'FW27'!$AV$3:$AV$1102),"")</f>
        <v>N</v>
      </c>
    </row>
    <row r="532" ht="16.5" hidden="1" customHeight="1">
      <c r="A532" s="5" t="s">
        <v>155</v>
      </c>
      <c r="B532" s="5" t="s">
        <v>137</v>
      </c>
      <c r="C532" s="5" t="b">
        <v>1</v>
      </c>
      <c r="D532" s="5" t="s">
        <v>1332</v>
      </c>
      <c r="E532" s="5" t="s">
        <v>1333</v>
      </c>
      <c r="F532" s="5"/>
      <c r="G532" s="5" t="s">
        <v>1109</v>
      </c>
      <c r="H532" s="5" t="s">
        <v>84</v>
      </c>
      <c r="I532" s="5" t="s">
        <v>82</v>
      </c>
      <c r="J532" s="25" t="s">
        <v>2175</v>
      </c>
      <c r="K532" s="25"/>
      <c r="L532" s="25"/>
      <c r="M532" s="5" t="s">
        <v>66</v>
      </c>
      <c r="N532" s="5" t="s">
        <v>248</v>
      </c>
      <c r="O532" s="5" t="s">
        <v>69</v>
      </c>
      <c r="P532" s="5" t="s">
        <v>249</v>
      </c>
      <c r="Q532" s="5" t="b">
        <v>1</v>
      </c>
      <c r="R532" s="5" t="b">
        <v>0</v>
      </c>
      <c r="S532" s="5"/>
      <c r="T532" s="5">
        <v>350.0</v>
      </c>
      <c r="U532" s="26">
        <v>2.08</v>
      </c>
      <c r="V532" s="5">
        <v>168.0</v>
      </c>
      <c r="W532" s="27">
        <v>0.0</v>
      </c>
      <c r="X532" s="28">
        <v>168.0</v>
      </c>
      <c r="Y532" s="27">
        <v>1.0</v>
      </c>
      <c r="Z532" s="5" t="s">
        <v>78</v>
      </c>
      <c r="AA532" s="5">
        <v>0.618</v>
      </c>
      <c r="AB532" s="5"/>
      <c r="AC532" s="5" t="s">
        <v>81</v>
      </c>
      <c r="AD532" s="5" t="s">
        <v>81</v>
      </c>
      <c r="AE532" s="24">
        <v>0.0</v>
      </c>
      <c r="AF532" s="5">
        <v>5.0</v>
      </c>
      <c r="AG532" s="5" t="s">
        <v>0</v>
      </c>
      <c r="AH532" s="5" t="s">
        <v>0</v>
      </c>
      <c r="AI532" s="42"/>
      <c r="AJ532" s="28">
        <v>2215.0</v>
      </c>
      <c r="AK532" s="28">
        <v>2384.0</v>
      </c>
      <c r="AL532" s="28">
        <v>0.0</v>
      </c>
      <c r="AM532" s="28">
        <v>4566.0</v>
      </c>
      <c r="AN532" s="28">
        <v>0.0</v>
      </c>
      <c r="AO532" s="28">
        <v>372718.05000000005</v>
      </c>
      <c r="AP532" s="28">
        <v>400512.0</v>
      </c>
      <c r="AQ532" s="28">
        <v>0.0</v>
      </c>
      <c r="AR532" s="28">
        <v>768320.8200000003</v>
      </c>
      <c r="AS532" s="28">
        <v>0.0</v>
      </c>
      <c r="AT532" s="28">
        <v>332693.93384615384</v>
      </c>
      <c r="AU532" s="28">
        <v>348713.73224599997</v>
      </c>
      <c r="AV532" s="28">
        <v>0.0</v>
      </c>
      <c r="AW532" s="28">
        <v>676022.0425732604</v>
      </c>
      <c r="AX532" s="5"/>
      <c r="AY532" s="5" t="str">
        <f t="array" ref="AY532">IFERROR(_xlfn.XLOOKUP($E532,'FW27'!$C$3:$C$1102,'FW27'!$AM$3:$AM$1102),"")</f>
        <v>Essentials</v>
      </c>
      <c r="AZ532" s="5" t="str">
        <f t="array" ref="AZ532">IFERROR(_xlfn.XLOOKUP($E532,'FW27'!$C$3:$C$1102,'FW27'!$AN$3:$AN$1102),"")</f>
        <v>Active Essentials</v>
      </c>
      <c r="BB532" s="5" t="str">
        <f t="array" ref="BB532">IFERROR(_xlfn.XLOOKUP($E532,'FW27'!$C$3:$C$1102,'FW27'!$AS$3:$AS$1102),"")</f>
        <v>Backpacks</v>
      </c>
      <c r="BC532" s="5" t="str">
        <f t="array" ref="BC532">IFERROR(_xlfn.XLOOKUP($E532,'FW27'!$C$3:$C$1102,'FW27'!$AT$3:$AT$1102),"")</f>
        <v>Hip/Waist Pack</v>
      </c>
      <c r="BD532" s="5" t="str">
        <f t="array" ref="BD532">IFERROR(_xlfn.XLOOKUP($E532,'FW27'!$C$3:$C$1102,'FW27'!$AU$3:$AU$1102),"")</f>
        <v>≤15L</v>
      </c>
      <c r="BE532" s="5" t="str">
        <f t="array" ref="BE532">IFERROR(_xlfn.XLOOKUP($E532,'FW27'!$C$3:$C$1102,'FW27'!$AV$3:$AV$1102),"")</f>
        <v>N</v>
      </c>
    </row>
    <row r="533" ht="16.5" hidden="1" customHeight="1">
      <c r="A533" s="5" t="s">
        <v>155</v>
      </c>
      <c r="B533" s="5" t="s">
        <v>137</v>
      </c>
      <c r="C533" s="5" t="b">
        <v>1</v>
      </c>
      <c r="D533" s="5" t="s">
        <v>1338</v>
      </c>
      <c r="E533" s="5" t="s">
        <v>1339</v>
      </c>
      <c r="F533" s="5"/>
      <c r="G533" s="5" t="s">
        <v>1109</v>
      </c>
      <c r="H533" s="5" t="s">
        <v>84</v>
      </c>
      <c r="I533" s="5" t="s">
        <v>82</v>
      </c>
      <c r="J533" s="25" t="s">
        <v>2175</v>
      </c>
      <c r="K533" s="25"/>
      <c r="L533" s="25"/>
      <c r="M533" s="5" t="s">
        <v>66</v>
      </c>
      <c r="N533" s="5" t="s">
        <v>248</v>
      </c>
      <c r="O533" s="5" t="s">
        <v>69</v>
      </c>
      <c r="P533" s="5" t="s">
        <v>249</v>
      </c>
      <c r="Q533" s="5" t="b">
        <v>1</v>
      </c>
      <c r="R533" s="5" t="b">
        <v>0</v>
      </c>
      <c r="S533" s="5"/>
      <c r="T533" s="5">
        <v>450.0</v>
      </c>
      <c r="U533" s="26">
        <v>2.08</v>
      </c>
      <c r="V533" s="5">
        <v>216.0</v>
      </c>
      <c r="W533" s="27">
        <v>0.0</v>
      </c>
      <c r="X533" s="28">
        <v>216.0</v>
      </c>
      <c r="Y533" s="27">
        <v>1.0</v>
      </c>
      <c r="Z533" s="5" t="s">
        <v>78</v>
      </c>
      <c r="AA533" s="5">
        <v>0.618</v>
      </c>
      <c r="AB533" s="5"/>
      <c r="AC533" s="5" t="s">
        <v>81</v>
      </c>
      <c r="AD533" s="5" t="s">
        <v>81</v>
      </c>
      <c r="AE533" s="24">
        <v>0.0</v>
      </c>
      <c r="AF533" s="5">
        <v>5.0</v>
      </c>
      <c r="AG533" s="5" t="s">
        <v>0</v>
      </c>
      <c r="AH533" s="5" t="s">
        <v>0</v>
      </c>
      <c r="AI533" s="42"/>
      <c r="AJ533" s="28">
        <v>2015.0</v>
      </c>
      <c r="AK533" s="28">
        <v>1896.0</v>
      </c>
      <c r="AL533" s="28">
        <v>0.0</v>
      </c>
      <c r="AM533" s="28">
        <v>3775.0</v>
      </c>
      <c r="AN533" s="28">
        <v>0.0</v>
      </c>
      <c r="AO533" s="28">
        <v>435945.25</v>
      </c>
      <c r="AP533" s="28">
        <v>409536.0</v>
      </c>
      <c r="AQ533" s="28">
        <v>0.0</v>
      </c>
      <c r="AR533" s="28">
        <v>816721.25</v>
      </c>
      <c r="AS533" s="28">
        <v>0.0</v>
      </c>
      <c r="AT533" s="28">
        <v>385792.82597069594</v>
      </c>
      <c r="AU533" s="28">
        <v>354441.91331</v>
      </c>
      <c r="AV533" s="28">
        <v>0.0</v>
      </c>
      <c r="AW533" s="28">
        <v>651266.4403113553</v>
      </c>
      <c r="AX533" s="5"/>
      <c r="AY533" s="5" t="str">
        <f t="array" ref="AY533">IFERROR(_xlfn.XLOOKUP($E533,'FW27'!$C$3:$C$1102,'FW27'!$AM$3:$AM$1102),"")</f>
        <v>Essentials</v>
      </c>
      <c r="AZ533" s="5" t="str">
        <f t="array" ref="AZ533">IFERROR(_xlfn.XLOOKUP($E533,'FW27'!$C$3:$C$1102,'FW27'!$AN$3:$AN$1102),"")</f>
        <v>Active Essentials</v>
      </c>
      <c r="BB533" s="5" t="str">
        <f t="array" ref="BB533">IFERROR(_xlfn.XLOOKUP($E533,'FW27'!$C$3:$C$1102,'FW27'!$AS$3:$AS$1102),"")</f>
        <v>Backpacks</v>
      </c>
      <c r="BC533" s="5" t="str">
        <f t="array" ref="BC533">IFERROR(_xlfn.XLOOKUP($E533,'FW27'!$C$3:$C$1102,'FW27'!$AT$3:$AT$1102),"")</f>
        <v>Hip/Waist Pack</v>
      </c>
      <c r="BD533" s="5" t="str">
        <f t="array" ref="BD533">IFERROR(_xlfn.XLOOKUP($E533,'FW27'!$C$3:$C$1102,'FW27'!$AU$3:$AU$1102),"")</f>
        <v>≤15L</v>
      </c>
      <c r="BE533" s="5" t="str">
        <f t="array" ref="BE533">IFERROR(_xlfn.XLOOKUP($E533,'FW27'!$C$3:$C$1102,'FW27'!$AV$3:$AV$1102),"")</f>
        <v>N</v>
      </c>
    </row>
    <row r="534" ht="16.5" hidden="1" customHeight="1">
      <c r="A534" s="5" t="s">
        <v>155</v>
      </c>
      <c r="B534" s="5" t="s">
        <v>137</v>
      </c>
      <c r="C534" s="5" t="b">
        <v>1</v>
      </c>
      <c r="D534" s="5" t="s">
        <v>1341</v>
      </c>
      <c r="E534" s="5" t="s">
        <v>1342</v>
      </c>
      <c r="F534" s="5"/>
      <c r="G534" s="5" t="s">
        <v>1109</v>
      </c>
      <c r="H534" s="5" t="s">
        <v>84</v>
      </c>
      <c r="I534" s="5" t="s">
        <v>82</v>
      </c>
      <c r="J534" s="25"/>
      <c r="K534" s="25"/>
      <c r="L534" s="25"/>
      <c r="M534" s="5" t="s">
        <v>66</v>
      </c>
      <c r="N534" s="5" t="s">
        <v>1119</v>
      </c>
      <c r="O534" s="5" t="s">
        <v>69</v>
      </c>
      <c r="P534" s="5" t="s">
        <v>1243</v>
      </c>
      <c r="Q534" s="5" t="b">
        <v>1</v>
      </c>
      <c r="R534" s="5" t="b">
        <v>0</v>
      </c>
      <c r="S534" s="5"/>
      <c r="T534" s="5">
        <v>1000.0</v>
      </c>
      <c r="U534" s="26">
        <v>2.08</v>
      </c>
      <c r="V534" s="5">
        <v>481.0</v>
      </c>
      <c r="W534" s="27">
        <v>0.0</v>
      </c>
      <c r="X534" s="28">
        <v>481.0</v>
      </c>
      <c r="Y534" s="27">
        <v>1.0</v>
      </c>
      <c r="Z534" s="5" t="s">
        <v>117</v>
      </c>
      <c r="AA534" s="5">
        <v>0.5529999999999999</v>
      </c>
      <c r="AB534" s="5"/>
      <c r="AC534" s="5" t="s">
        <v>81</v>
      </c>
      <c r="AD534" s="5" t="s">
        <v>81</v>
      </c>
      <c r="AE534" s="24">
        <v>0.0</v>
      </c>
      <c r="AF534" s="5">
        <v>3.0</v>
      </c>
      <c r="AG534" s="5" t="s">
        <v>0</v>
      </c>
      <c r="AH534" s="5" t="s">
        <v>0</v>
      </c>
      <c r="AI534" s="42">
        <v>1000.0</v>
      </c>
      <c r="AJ534" s="28">
        <v>790.0</v>
      </c>
      <c r="AK534" s="28">
        <v>674.0</v>
      </c>
      <c r="AL534" s="28">
        <v>0.0</v>
      </c>
      <c r="AM534" s="28">
        <v>931.0</v>
      </c>
      <c r="AN534" s="28">
        <v>481000.0</v>
      </c>
      <c r="AO534" s="28">
        <v>379808.30000000005</v>
      </c>
      <c r="AP534" s="28">
        <v>324194.0</v>
      </c>
      <c r="AQ534" s="28">
        <v>0.0</v>
      </c>
      <c r="AR534" s="28">
        <v>447596.87000000005</v>
      </c>
      <c r="AS534" s="28">
        <v>481000.0</v>
      </c>
      <c r="AT534" s="28">
        <v>308377.40538461535</v>
      </c>
      <c r="AU534" s="28">
        <v>281603.0317139999</v>
      </c>
      <c r="AV534" s="28">
        <v>0.0</v>
      </c>
      <c r="AW534" s="28">
        <v>394890.07307692314</v>
      </c>
      <c r="AX534" s="5"/>
      <c r="AY534" s="5" t="str">
        <f t="array" ref="AY534">IFERROR(_xlfn.XLOOKUP($E534,'FW27'!$C$3:$C$1102,'FW27'!$AM$3:$AM$1102),"")</f>
        <v>Essentials</v>
      </c>
      <c r="AZ534" s="5" t="str">
        <f t="array" ref="AZ534">IFERROR(_xlfn.XLOOKUP($E534,'FW27'!$C$3:$C$1102,'FW27'!$AN$3:$AN$1102),"")</f>
        <v>Daily Essentials</v>
      </c>
      <c r="BB534" s="5" t="str">
        <f t="array" ref="BB534">IFERROR(_xlfn.XLOOKUP($E534,'FW27'!$C$3:$C$1102,'FW27'!$AS$3:$AS$1102),"")</f>
        <v>Backpacks</v>
      </c>
      <c r="BC534" s="5" t="str">
        <f t="array" ref="BC534">IFERROR(_xlfn.XLOOKUP($E534,'FW27'!$C$3:$C$1102,'FW27'!$AT$3:$AT$1102),"")</f>
        <v>Kids Pack</v>
      </c>
      <c r="BD534" s="5" t="str">
        <f t="array" ref="BD534">IFERROR(_xlfn.XLOOKUP($E534,'FW27'!$C$3:$C$1102,'FW27'!$AU$3:$AU$1102),"")</f>
        <v>≤15L</v>
      </c>
      <c r="BE534" s="5" t="str">
        <f t="array" ref="BE534">IFERROR(_xlfn.XLOOKUP($E534,'FW27'!$C$3:$C$1102,'FW27'!$AV$3:$AV$1102),"")</f>
        <v>N</v>
      </c>
    </row>
    <row r="535" ht="16.5" hidden="1" customHeight="1">
      <c r="A535" s="5" t="s">
        <v>155</v>
      </c>
      <c r="B535" s="5" t="s">
        <v>137</v>
      </c>
      <c r="C535" s="5" t="b">
        <v>1</v>
      </c>
      <c r="D535" s="5" t="s">
        <v>1346</v>
      </c>
      <c r="E535" s="5" t="s">
        <v>1347</v>
      </c>
      <c r="F535" s="5"/>
      <c r="G535" s="5" t="s">
        <v>1109</v>
      </c>
      <c r="H535" s="5" t="s">
        <v>84</v>
      </c>
      <c r="I535" s="5" t="s">
        <v>82</v>
      </c>
      <c r="J535" s="25"/>
      <c r="K535" s="25"/>
      <c r="L535" s="25"/>
      <c r="M535" s="5" t="s">
        <v>66</v>
      </c>
      <c r="N535" s="5" t="s">
        <v>1119</v>
      </c>
      <c r="O535" s="5" t="s">
        <v>69</v>
      </c>
      <c r="P535" s="5" t="s">
        <v>1243</v>
      </c>
      <c r="Q535" s="5" t="b">
        <v>1</v>
      </c>
      <c r="R535" s="5" t="b">
        <v>0</v>
      </c>
      <c r="S535" s="5"/>
      <c r="T535" s="5">
        <v>900.0</v>
      </c>
      <c r="U535" s="26">
        <v>2.08</v>
      </c>
      <c r="V535" s="5">
        <v>433.0</v>
      </c>
      <c r="W535" s="27">
        <v>0.0</v>
      </c>
      <c r="X535" s="28">
        <v>433.0</v>
      </c>
      <c r="Y535" s="27">
        <v>1.0</v>
      </c>
      <c r="Z535" s="5" t="s">
        <v>117</v>
      </c>
      <c r="AA535" s="5">
        <v>0.5820000000000001</v>
      </c>
      <c r="AB535" s="5"/>
      <c r="AC535" s="5" t="s">
        <v>81</v>
      </c>
      <c r="AD535" s="5" t="s">
        <v>81</v>
      </c>
      <c r="AE535" s="24">
        <v>0.0</v>
      </c>
      <c r="AF535" s="5">
        <v>3.0</v>
      </c>
      <c r="AG535" s="5" t="s">
        <v>0</v>
      </c>
      <c r="AH535" s="5" t="s">
        <v>0</v>
      </c>
      <c r="AI535" s="42">
        <v>800.0</v>
      </c>
      <c r="AJ535" s="28">
        <v>527.0</v>
      </c>
      <c r="AK535" s="28">
        <v>436.0</v>
      </c>
      <c r="AL535" s="28">
        <v>0.0</v>
      </c>
      <c r="AM535" s="28">
        <v>717.0</v>
      </c>
      <c r="AN535" s="28">
        <v>346400.0</v>
      </c>
      <c r="AO535" s="28">
        <v>228027.63</v>
      </c>
      <c r="AP535" s="28">
        <v>188788.0</v>
      </c>
      <c r="AQ535" s="28">
        <v>0.0</v>
      </c>
      <c r="AR535" s="28">
        <v>310238.73</v>
      </c>
      <c r="AS535" s="28">
        <v>346400.0</v>
      </c>
      <c r="AT535" s="28">
        <v>181125.46730769228</v>
      </c>
      <c r="AU535" s="28">
        <v>161735.694814</v>
      </c>
      <c r="AV535" s="28">
        <v>0.0</v>
      </c>
      <c r="AW535" s="28">
        <v>262419.41730769235</v>
      </c>
      <c r="AX535" s="5"/>
      <c r="AY535" s="5" t="str">
        <f t="array" ref="AY535">IFERROR(_xlfn.XLOOKUP($E535,'FW27'!$C$3:$C$1102,'FW27'!$AM$3:$AM$1102),"")</f>
        <v>Essentials</v>
      </c>
      <c r="AZ535" s="5" t="str">
        <f t="array" ref="AZ535">IFERROR(_xlfn.XLOOKUP($E535,'FW27'!$C$3:$C$1102,'FW27'!$AN$3:$AN$1102),"")</f>
        <v>Daily Essentials</v>
      </c>
      <c r="BB535" s="5" t="str">
        <f t="array" ref="BB535">IFERROR(_xlfn.XLOOKUP($E535,'FW27'!$C$3:$C$1102,'FW27'!$AS$3:$AS$1102),"")</f>
        <v>Backpacks</v>
      </c>
      <c r="BC535" s="5" t="str">
        <f t="array" ref="BC535">IFERROR(_xlfn.XLOOKUP($E535,'FW27'!$C$3:$C$1102,'FW27'!$AT$3:$AT$1102),"")</f>
        <v>Kids Pack</v>
      </c>
      <c r="BD535" s="5" t="str">
        <f t="array" ref="BD535">IFERROR(_xlfn.XLOOKUP($E535,'FW27'!$C$3:$C$1102,'FW27'!$AU$3:$AU$1102),"")</f>
        <v>≤15L</v>
      </c>
      <c r="BE535" s="5" t="str">
        <f t="array" ref="BE535">IFERROR(_xlfn.XLOOKUP($E535,'FW27'!$C$3:$C$1102,'FW27'!$AV$3:$AV$1102),"")</f>
        <v>N</v>
      </c>
    </row>
    <row r="536" ht="16.5" hidden="1" customHeight="1">
      <c r="A536" s="5" t="s">
        <v>155</v>
      </c>
      <c r="B536" s="5" t="s">
        <v>137</v>
      </c>
      <c r="C536" s="5" t="b">
        <v>1</v>
      </c>
      <c r="D536" s="5" t="s">
        <v>1350</v>
      </c>
      <c r="E536" s="5" t="s">
        <v>1351</v>
      </c>
      <c r="F536" s="5"/>
      <c r="G536" s="5" t="s">
        <v>1109</v>
      </c>
      <c r="H536" s="5" t="s">
        <v>84</v>
      </c>
      <c r="I536" s="5" t="s">
        <v>82</v>
      </c>
      <c r="J536" s="25" t="s">
        <v>2175</v>
      </c>
      <c r="K536" s="25"/>
      <c r="L536" s="25"/>
      <c r="M536" s="5" t="s">
        <v>66</v>
      </c>
      <c r="N536" s="5" t="s">
        <v>1119</v>
      </c>
      <c r="O536" s="5" t="s">
        <v>69</v>
      </c>
      <c r="P536" s="5" t="s">
        <v>249</v>
      </c>
      <c r="Q536" s="5" t="b">
        <v>1</v>
      </c>
      <c r="R536" s="5" t="b">
        <v>0</v>
      </c>
      <c r="S536" s="5"/>
      <c r="T536" s="5">
        <v>1200.0</v>
      </c>
      <c r="U536" s="26">
        <v>2.08</v>
      </c>
      <c r="V536" s="5">
        <v>577.0</v>
      </c>
      <c r="W536" s="27">
        <v>0.0</v>
      </c>
      <c r="X536" s="28">
        <v>577.0</v>
      </c>
      <c r="Y536" s="27">
        <v>1.0</v>
      </c>
      <c r="Z536" s="5" t="s">
        <v>117</v>
      </c>
      <c r="AA536" s="5">
        <v>0.611</v>
      </c>
      <c r="AB536" s="5"/>
      <c r="AC536" s="5" t="s">
        <v>81</v>
      </c>
      <c r="AD536" s="5" t="s">
        <v>81</v>
      </c>
      <c r="AE536" s="24">
        <v>0.0</v>
      </c>
      <c r="AF536" s="5">
        <v>5.0</v>
      </c>
      <c r="AG536" s="5" t="s">
        <v>0</v>
      </c>
      <c r="AH536" s="5" t="s">
        <v>0</v>
      </c>
      <c r="AI536" s="42">
        <v>3800.0</v>
      </c>
      <c r="AJ536" s="28">
        <v>3613.0</v>
      </c>
      <c r="AK536" s="28">
        <v>3422.0</v>
      </c>
      <c r="AL536" s="28">
        <v>0.0</v>
      </c>
      <c r="AM536" s="28">
        <v>4058.0</v>
      </c>
      <c r="AN536" s="28">
        <v>2192600.0</v>
      </c>
      <c r="AO536" s="28">
        <v>2084411.9600000004</v>
      </c>
      <c r="AP536" s="28">
        <v>1974494.0</v>
      </c>
      <c r="AQ536" s="28">
        <v>0.0</v>
      </c>
      <c r="AR536" s="28">
        <v>2341141.359999999</v>
      </c>
      <c r="AS536" s="28">
        <v>2192600.0</v>
      </c>
      <c r="AT536" s="28">
        <v>1734671.0013736263</v>
      </c>
      <c r="AU536" s="28">
        <v>1654099.7721000002</v>
      </c>
      <c r="AV536" s="28">
        <v>0.0</v>
      </c>
      <c r="AW536" s="28">
        <v>1898995.3536721608</v>
      </c>
      <c r="AX536" s="5"/>
      <c r="AY536" s="5" t="str">
        <f t="array" ref="AY536">IFERROR(_xlfn.XLOOKUP($E536,'FW27'!$C$3:$C$1102,'FW27'!$AM$3:$AM$1102),"")</f>
        <v>Essentials</v>
      </c>
      <c r="AZ536" s="5" t="str">
        <f t="array" ref="AZ536">IFERROR(_xlfn.XLOOKUP($E536,'FW27'!$C$3:$C$1102,'FW27'!$AN$3:$AN$1102),"")</f>
        <v>Daily Essentials</v>
      </c>
      <c r="BB536" s="5" t="str">
        <f t="array" ref="BB536">IFERROR(_xlfn.XLOOKUP($E536,'FW27'!$C$3:$C$1102,'FW27'!$AS$3:$AS$1102),"")</f>
        <v>Bags &amp; Luggage</v>
      </c>
      <c r="BC536" s="5" t="str">
        <f t="array" ref="BC536">IFERROR(_xlfn.XLOOKUP($E536,'FW27'!$C$3:$C$1102,'FW27'!$AT$3:$AT$1102),"")</f>
        <v>Duffle</v>
      </c>
      <c r="BD536" s="5" t="str">
        <f t="array" ref="BD536">IFERROR(_xlfn.XLOOKUP($E536,'FW27'!$C$3:$C$1102,'FW27'!$AU$3:$AU$1102),"")</f>
        <v/>
      </c>
      <c r="BE536" s="5" t="str">
        <f t="array" ref="BE536">IFERROR(_xlfn.XLOOKUP($E536,'FW27'!$C$3:$C$1102,'FW27'!$AV$3:$AV$1102),"")</f>
        <v>N</v>
      </c>
    </row>
    <row r="537" ht="16.5" hidden="1" customHeight="1">
      <c r="A537" s="5" t="s">
        <v>155</v>
      </c>
      <c r="B537" s="5" t="s">
        <v>137</v>
      </c>
      <c r="C537" s="5" t="b">
        <v>1</v>
      </c>
      <c r="D537" s="5" t="s">
        <v>1354</v>
      </c>
      <c r="E537" s="5" t="s">
        <v>1355</v>
      </c>
      <c r="F537" s="5"/>
      <c r="G537" s="5" t="s">
        <v>1109</v>
      </c>
      <c r="H537" s="5" t="s">
        <v>84</v>
      </c>
      <c r="I537" s="5" t="s">
        <v>82</v>
      </c>
      <c r="J537" s="25" t="s">
        <v>2175</v>
      </c>
      <c r="K537" s="25"/>
      <c r="L537" s="25"/>
      <c r="M537" s="5" t="s">
        <v>66</v>
      </c>
      <c r="N537" s="5" t="s">
        <v>1119</v>
      </c>
      <c r="O537" s="5" t="s">
        <v>69</v>
      </c>
      <c r="P537" s="5" t="s">
        <v>249</v>
      </c>
      <c r="Q537" s="5" t="b">
        <v>1</v>
      </c>
      <c r="R537" s="5" t="b">
        <v>0</v>
      </c>
      <c r="S537" s="5"/>
      <c r="T537" s="5">
        <v>1100.0</v>
      </c>
      <c r="U537" s="26">
        <v>2.08</v>
      </c>
      <c r="V537" s="5">
        <v>529.0</v>
      </c>
      <c r="W537" s="27">
        <v>0.0</v>
      </c>
      <c r="X537" s="28">
        <v>529.0</v>
      </c>
      <c r="Y537" s="27">
        <v>1.0</v>
      </c>
      <c r="Z537" s="5" t="s">
        <v>117</v>
      </c>
      <c r="AA537" s="5">
        <v>0.601</v>
      </c>
      <c r="AB537" s="5"/>
      <c r="AC537" s="5" t="s">
        <v>81</v>
      </c>
      <c r="AD537" s="5" t="s">
        <v>81</v>
      </c>
      <c r="AE537" s="24">
        <v>0.0</v>
      </c>
      <c r="AF537" s="5">
        <v>5.0</v>
      </c>
      <c r="AG537" s="5" t="s">
        <v>0</v>
      </c>
      <c r="AH537" s="5" t="s">
        <v>0</v>
      </c>
      <c r="AI537" s="42">
        <v>5000.0</v>
      </c>
      <c r="AJ537" s="28">
        <v>4693.0</v>
      </c>
      <c r="AK537" s="28">
        <v>3700.0</v>
      </c>
      <c r="AL537" s="28">
        <v>0.0</v>
      </c>
      <c r="AM537" s="28">
        <v>5225.0</v>
      </c>
      <c r="AN537" s="28">
        <v>2645000.0</v>
      </c>
      <c r="AO537" s="28">
        <v>2481893.0500000003</v>
      </c>
      <c r="AP537" s="28">
        <v>1957300.0</v>
      </c>
      <c r="AQ537" s="28">
        <v>0.0</v>
      </c>
      <c r="AR537" s="28">
        <v>2763241.25</v>
      </c>
      <c r="AS537" s="28">
        <v>2645000.0</v>
      </c>
      <c r="AT537" s="28">
        <v>1970251.5027472526</v>
      </c>
      <c r="AU537" s="28">
        <v>1618817.2650400007</v>
      </c>
      <c r="AV537" s="28">
        <v>0.0</v>
      </c>
      <c r="AW537" s="28">
        <v>2206111.6620879117</v>
      </c>
      <c r="AX537" s="5"/>
      <c r="AY537" s="5" t="str">
        <f t="array" ref="AY537">IFERROR(_xlfn.XLOOKUP($E537,'FW27'!$C$3:$C$1102,'FW27'!$AM$3:$AM$1102),"")</f>
        <v>Essentials</v>
      </c>
      <c r="AZ537" s="5" t="str">
        <f t="array" ref="AZ537">IFERROR(_xlfn.XLOOKUP($E537,'FW27'!$C$3:$C$1102,'FW27'!$AN$3:$AN$1102),"")</f>
        <v>Daily Essentials</v>
      </c>
      <c r="BB537" s="5" t="str">
        <f t="array" ref="BB537">IFERROR(_xlfn.XLOOKUP($E537,'FW27'!$C$3:$C$1102,'FW27'!$AS$3:$AS$1102),"")</f>
        <v>Bags &amp; Luggage</v>
      </c>
      <c r="BC537" s="5" t="str">
        <f t="array" ref="BC537">IFERROR(_xlfn.XLOOKUP($E537,'FW27'!$C$3:$C$1102,'FW27'!$AT$3:$AT$1102),"")</f>
        <v>Duffle</v>
      </c>
      <c r="BD537" s="5" t="str">
        <f t="array" ref="BD537">IFERROR(_xlfn.XLOOKUP($E537,'FW27'!$C$3:$C$1102,'FW27'!$AU$3:$AU$1102),"")</f>
        <v/>
      </c>
      <c r="BE537" s="5" t="str">
        <f t="array" ref="BE537">IFERROR(_xlfn.XLOOKUP($E537,'FW27'!$C$3:$C$1102,'FW27'!$AV$3:$AV$1102),"")</f>
        <v>N</v>
      </c>
    </row>
    <row r="538" ht="16.5" hidden="1" customHeight="1">
      <c r="A538" s="5" t="s">
        <v>155</v>
      </c>
      <c r="B538" s="5" t="s">
        <v>137</v>
      </c>
      <c r="C538" s="5" t="b">
        <v>1</v>
      </c>
      <c r="D538" s="5" t="s">
        <v>1357</v>
      </c>
      <c r="E538" s="5" t="s">
        <v>1358</v>
      </c>
      <c r="F538" s="5"/>
      <c r="G538" s="5" t="s">
        <v>1109</v>
      </c>
      <c r="H538" s="5" t="s">
        <v>84</v>
      </c>
      <c r="I538" s="5" t="s">
        <v>82</v>
      </c>
      <c r="J538" s="25"/>
      <c r="K538" s="25"/>
      <c r="L538" s="25"/>
      <c r="M538" s="5" t="s">
        <v>66</v>
      </c>
      <c r="N538" s="5" t="s">
        <v>248</v>
      </c>
      <c r="O538" s="5" t="s">
        <v>69</v>
      </c>
      <c r="P538" s="5" t="s">
        <v>249</v>
      </c>
      <c r="Q538" s="5" t="b">
        <v>1</v>
      </c>
      <c r="R538" s="5" t="b">
        <v>0</v>
      </c>
      <c r="S538" s="5"/>
      <c r="T538" s="5">
        <v>350.0</v>
      </c>
      <c r="U538" s="26">
        <v>2.08</v>
      </c>
      <c r="V538" s="5">
        <v>168.0</v>
      </c>
      <c r="W538" s="27">
        <v>0.0</v>
      </c>
      <c r="X538" s="28">
        <v>168.0</v>
      </c>
      <c r="Y538" s="27">
        <v>1.0</v>
      </c>
      <c r="Z538" s="5" t="s">
        <v>78</v>
      </c>
      <c r="AA538" s="5">
        <v>0.631</v>
      </c>
      <c r="AB538" s="5"/>
      <c r="AC538" s="5" t="s">
        <v>81</v>
      </c>
      <c r="AD538" s="5" t="s">
        <v>81</v>
      </c>
      <c r="AE538" s="24">
        <v>0.0</v>
      </c>
      <c r="AF538" s="5">
        <v>3.0</v>
      </c>
      <c r="AG538" s="5" t="s">
        <v>0</v>
      </c>
      <c r="AH538" s="5" t="s">
        <v>0</v>
      </c>
      <c r="AI538" s="42">
        <v>2500.0</v>
      </c>
      <c r="AJ538" s="28">
        <v>1868.0</v>
      </c>
      <c r="AK538" s="28">
        <v>2990.0</v>
      </c>
      <c r="AL538" s="28">
        <v>0.0</v>
      </c>
      <c r="AM538" s="28">
        <v>2879.0</v>
      </c>
      <c r="AN538" s="28">
        <v>420000.0</v>
      </c>
      <c r="AO538" s="28">
        <v>314328.36000000004</v>
      </c>
      <c r="AP538" s="28">
        <v>502320.0</v>
      </c>
      <c r="AQ538" s="28">
        <v>0.0</v>
      </c>
      <c r="AR538" s="28">
        <v>484449.33</v>
      </c>
      <c r="AS538" s="28">
        <v>420000.0</v>
      </c>
      <c r="AT538" s="28">
        <v>275092.4029075092</v>
      </c>
      <c r="AU538" s="28">
        <v>378536.1772679999</v>
      </c>
      <c r="AV538" s="28">
        <v>0.0</v>
      </c>
      <c r="AW538" s="28">
        <v>415051.78107326024</v>
      </c>
      <c r="AX538" s="5"/>
      <c r="AY538" s="5" t="str">
        <f t="array" ref="AY538">IFERROR(_xlfn.XLOOKUP($E538,'FW27'!$C$3:$C$1102,'FW27'!$AM$3:$AM$1102),"")</f>
        <v>Essentials</v>
      </c>
      <c r="AZ538" s="5" t="str">
        <f t="array" ref="AZ538">IFERROR(_xlfn.XLOOKUP($E538,'FW27'!$C$3:$C$1102,'FW27'!$AN$3:$AN$1102),"")</f>
        <v>Daily Essentials</v>
      </c>
      <c r="BB538" s="5" t="str">
        <f t="array" ref="BB538">IFERROR(_xlfn.XLOOKUP($E538,'FW27'!$C$3:$C$1102,'FW27'!$AS$3:$AS$1102),"")</f>
        <v>Accessories</v>
      </c>
      <c r="BC538" s="5" t="str">
        <f t="array" ref="BC538">IFERROR(_xlfn.XLOOKUP($E538,'FW27'!$C$3:$C$1102,'FW27'!$AT$3:$AT$1102),"")</f>
        <v>Pouch/Organizer</v>
      </c>
      <c r="BD538" s="5" t="str">
        <f t="array" ref="BD538">IFERROR(_xlfn.XLOOKUP($E538,'FW27'!$C$3:$C$1102,'FW27'!$AU$3:$AU$1102),"")</f>
        <v>Organization</v>
      </c>
      <c r="BE538" s="5" t="str">
        <f t="array" ref="BE538">IFERROR(_xlfn.XLOOKUP($E538,'FW27'!$C$3:$C$1102,'FW27'!$AV$3:$AV$1102),"")</f>
        <v>N</v>
      </c>
    </row>
    <row r="539" ht="16.5" hidden="1" customHeight="1">
      <c r="A539" s="5" t="s">
        <v>155</v>
      </c>
      <c r="B539" s="5" t="s">
        <v>137</v>
      </c>
      <c r="C539" s="5" t="b">
        <v>1</v>
      </c>
      <c r="D539" s="5" t="s">
        <v>1361</v>
      </c>
      <c r="E539" s="5" t="s">
        <v>1362</v>
      </c>
      <c r="F539" s="5"/>
      <c r="G539" s="5" t="s">
        <v>1109</v>
      </c>
      <c r="H539" s="5" t="s">
        <v>84</v>
      </c>
      <c r="I539" s="5" t="s">
        <v>82</v>
      </c>
      <c r="J539" s="25"/>
      <c r="K539" s="25"/>
      <c r="L539" s="25"/>
      <c r="M539" s="5" t="s">
        <v>66</v>
      </c>
      <c r="N539" s="5" t="s">
        <v>1119</v>
      </c>
      <c r="O539" s="5" t="s">
        <v>69</v>
      </c>
      <c r="P539" s="5" t="s">
        <v>249</v>
      </c>
      <c r="Q539" s="5" t="b">
        <v>1</v>
      </c>
      <c r="R539" s="5" t="b">
        <v>0</v>
      </c>
      <c r="S539" s="5"/>
      <c r="T539" s="5">
        <v>1300.0</v>
      </c>
      <c r="U539" s="26">
        <v>2.08</v>
      </c>
      <c r="V539" s="5">
        <v>625.0</v>
      </c>
      <c r="W539" s="27">
        <v>0.0</v>
      </c>
      <c r="X539" s="28">
        <v>625.0</v>
      </c>
      <c r="Y539" s="27">
        <v>1.0</v>
      </c>
      <c r="Z539" s="5" t="s">
        <v>242</v>
      </c>
      <c r="AA539" s="5">
        <v>0.635</v>
      </c>
      <c r="AB539" s="5"/>
      <c r="AC539" s="5" t="s">
        <v>81</v>
      </c>
      <c r="AD539" s="5" t="s">
        <v>81</v>
      </c>
      <c r="AE539" s="24">
        <v>0.0</v>
      </c>
      <c r="AF539" s="5">
        <v>1.0</v>
      </c>
      <c r="AG539" s="5" t="s">
        <v>0</v>
      </c>
      <c r="AH539" s="5" t="s">
        <v>0</v>
      </c>
      <c r="AI539" s="42">
        <v>1600.0</v>
      </c>
      <c r="AJ539" s="28">
        <v>1606.0</v>
      </c>
      <c r="AK539" s="28">
        <v>1385.0</v>
      </c>
      <c r="AL539" s="28">
        <v>0.0</v>
      </c>
      <c r="AM539" s="28">
        <v>766.0</v>
      </c>
      <c r="AN539" s="28">
        <v>1000000.0</v>
      </c>
      <c r="AO539" s="28">
        <v>1003750.0</v>
      </c>
      <c r="AP539" s="28">
        <v>865625.0</v>
      </c>
      <c r="AQ539" s="28">
        <v>0.0</v>
      </c>
      <c r="AR539" s="28">
        <v>478750.0</v>
      </c>
      <c r="AS539" s="28">
        <v>1000000.0</v>
      </c>
      <c r="AT539" s="28">
        <v>781271.796923077</v>
      </c>
      <c r="AU539" s="28">
        <v>695142.6600000001</v>
      </c>
      <c r="AV539" s="28">
        <v>0.0</v>
      </c>
      <c r="AW539" s="28">
        <v>382693.2153846154</v>
      </c>
      <c r="AX539" s="5"/>
      <c r="AY539" s="5" t="str">
        <f t="array" ref="AY539">IFERROR(_xlfn.XLOOKUP($E539,'FW27'!$C$3:$C$1102,'FW27'!$AM$3:$AM$1102),"")</f>
        <v>Essentials</v>
      </c>
      <c r="AZ539" s="5" t="str">
        <f t="array" ref="AZ539">IFERROR(_xlfn.XLOOKUP($E539,'FW27'!$C$3:$C$1102,'FW27'!$AN$3:$AN$1102),"")</f>
        <v>Daily Essentials</v>
      </c>
      <c r="BB539" s="5" t="str">
        <f t="array" ref="BB539">IFERROR(_xlfn.XLOOKUP($E539,'FW27'!$C$3:$C$1102,'FW27'!$AS$3:$AS$1102),"")</f>
        <v>Bags &amp; Luggage</v>
      </c>
      <c r="BC539" s="5" t="str">
        <f t="array" ref="BC539">IFERROR(_xlfn.XLOOKUP($E539,'FW27'!$C$3:$C$1102,'FW27'!$AT$3:$AT$1102),"")</f>
        <v>Duffle</v>
      </c>
      <c r="BD539" s="5" t="str">
        <f t="array" ref="BD539">IFERROR(_xlfn.XLOOKUP($E539,'FW27'!$C$3:$C$1102,'FW27'!$AU$3:$AU$1102),"")</f>
        <v/>
      </c>
      <c r="BE539" s="5" t="str">
        <f t="array" ref="BE539">IFERROR(_xlfn.XLOOKUP($E539,'FW27'!$C$3:$C$1102,'FW27'!$AV$3:$AV$1102),"")</f>
        <v>N</v>
      </c>
    </row>
    <row r="540" ht="16.5" hidden="1" customHeight="1">
      <c r="A540" s="5" t="s">
        <v>155</v>
      </c>
      <c r="B540" s="5" t="s">
        <v>137</v>
      </c>
      <c r="C540" s="5" t="b">
        <v>1</v>
      </c>
      <c r="D540" s="5" t="s">
        <v>1363</v>
      </c>
      <c r="E540" s="5" t="s">
        <v>1364</v>
      </c>
      <c r="F540" s="5"/>
      <c r="G540" s="5" t="s">
        <v>1109</v>
      </c>
      <c r="H540" s="5" t="s">
        <v>84</v>
      </c>
      <c r="I540" s="5" t="s">
        <v>82</v>
      </c>
      <c r="J540" s="25"/>
      <c r="K540" s="25"/>
      <c r="L540" s="25"/>
      <c r="M540" s="5" t="s">
        <v>66</v>
      </c>
      <c r="N540" s="5" t="s">
        <v>1119</v>
      </c>
      <c r="O540" s="5" t="s">
        <v>69</v>
      </c>
      <c r="P540" s="5" t="s">
        <v>249</v>
      </c>
      <c r="Q540" s="5" t="b">
        <v>1</v>
      </c>
      <c r="R540" s="5" t="b">
        <v>0</v>
      </c>
      <c r="S540" s="5"/>
      <c r="T540" s="5">
        <v>1200.0</v>
      </c>
      <c r="U540" s="26">
        <v>2.08</v>
      </c>
      <c r="V540" s="5">
        <v>577.0</v>
      </c>
      <c r="W540" s="27">
        <v>0.0</v>
      </c>
      <c r="X540" s="28">
        <v>577.0</v>
      </c>
      <c r="Y540" s="27">
        <v>1.0</v>
      </c>
      <c r="Z540" s="5" t="s">
        <v>242</v>
      </c>
      <c r="AA540" s="5">
        <v>0.625</v>
      </c>
      <c r="AB540" s="5"/>
      <c r="AC540" s="5" t="s">
        <v>81</v>
      </c>
      <c r="AD540" s="5" t="s">
        <v>81</v>
      </c>
      <c r="AE540" s="24">
        <v>0.0</v>
      </c>
      <c r="AF540" s="5">
        <v>1.0</v>
      </c>
      <c r="AG540" s="5" t="s">
        <v>0</v>
      </c>
      <c r="AH540" s="5" t="s">
        <v>0</v>
      </c>
      <c r="AI540" s="42">
        <v>1400.0</v>
      </c>
      <c r="AJ540" s="28">
        <v>1405.0</v>
      </c>
      <c r="AK540" s="28">
        <v>1240.0</v>
      </c>
      <c r="AL540" s="28">
        <v>0.0</v>
      </c>
      <c r="AM540" s="28">
        <v>649.0</v>
      </c>
      <c r="AN540" s="28">
        <v>807800.0</v>
      </c>
      <c r="AO540" s="28">
        <v>810572.5999999999</v>
      </c>
      <c r="AP540" s="28">
        <v>715480.0</v>
      </c>
      <c r="AQ540" s="28">
        <v>0.0</v>
      </c>
      <c r="AR540" s="28">
        <v>374421.08</v>
      </c>
      <c r="AS540" s="28">
        <v>807800.0</v>
      </c>
      <c r="AT540" s="28">
        <v>643177.5715384614</v>
      </c>
      <c r="AU540" s="28">
        <v>584683.395</v>
      </c>
      <c r="AV540" s="28">
        <v>0.0</v>
      </c>
      <c r="AW540" s="28">
        <v>304202.00725274725</v>
      </c>
      <c r="AX540" s="5"/>
      <c r="AY540" s="5" t="str">
        <f t="array" ref="AY540">IFERROR(_xlfn.XLOOKUP($E540,'FW27'!$C$3:$C$1102,'FW27'!$AM$3:$AM$1102),"")</f>
        <v>Essentials</v>
      </c>
      <c r="AZ540" s="5" t="str">
        <f t="array" ref="AZ540">IFERROR(_xlfn.XLOOKUP($E540,'FW27'!$C$3:$C$1102,'FW27'!$AN$3:$AN$1102),"")</f>
        <v>Daily Essentials</v>
      </c>
      <c r="BB540" s="5" t="str">
        <f t="array" ref="BB540">IFERROR(_xlfn.XLOOKUP($E540,'FW27'!$C$3:$C$1102,'FW27'!$AS$3:$AS$1102),"")</f>
        <v>Bags &amp; Luggage</v>
      </c>
      <c r="BC540" s="5" t="str">
        <f t="array" ref="BC540">IFERROR(_xlfn.XLOOKUP($E540,'FW27'!$C$3:$C$1102,'FW27'!$AT$3:$AT$1102),"")</f>
        <v>Duffle</v>
      </c>
      <c r="BD540" s="5" t="str">
        <f t="array" ref="BD540">IFERROR(_xlfn.XLOOKUP($E540,'FW27'!$C$3:$C$1102,'FW27'!$AU$3:$AU$1102),"")</f>
        <v/>
      </c>
      <c r="BE540" s="5" t="str">
        <f t="array" ref="BE540">IFERROR(_xlfn.XLOOKUP($E540,'FW27'!$C$3:$C$1102,'FW27'!$AV$3:$AV$1102),"")</f>
        <v>N</v>
      </c>
    </row>
    <row r="541" ht="16.5" hidden="1" customHeight="1">
      <c r="A541" s="5" t="s">
        <v>155</v>
      </c>
      <c r="B541" s="5" t="s">
        <v>137</v>
      </c>
      <c r="C541" s="5" t="b">
        <v>1</v>
      </c>
      <c r="D541" s="5" t="s">
        <v>1365</v>
      </c>
      <c r="E541" s="5" t="s">
        <v>1366</v>
      </c>
      <c r="F541" s="5"/>
      <c r="G541" s="5" t="s">
        <v>1109</v>
      </c>
      <c r="H541" s="5" t="s">
        <v>84</v>
      </c>
      <c r="I541" s="5" t="s">
        <v>82</v>
      </c>
      <c r="J541" s="25"/>
      <c r="K541" s="25"/>
      <c r="L541" s="25"/>
      <c r="M541" s="5" t="s">
        <v>66</v>
      </c>
      <c r="N541" s="5" t="s">
        <v>1119</v>
      </c>
      <c r="O541" s="5" t="s">
        <v>69</v>
      </c>
      <c r="P541" s="5" t="s">
        <v>249</v>
      </c>
      <c r="Q541" s="5" t="b">
        <v>1</v>
      </c>
      <c r="R541" s="5" t="b">
        <v>0</v>
      </c>
      <c r="S541" s="5"/>
      <c r="T541" s="5">
        <v>1000.0</v>
      </c>
      <c r="U541" s="26">
        <v>2.08</v>
      </c>
      <c r="V541" s="5">
        <v>481.0</v>
      </c>
      <c r="W541" s="27">
        <v>0.0</v>
      </c>
      <c r="X541" s="28">
        <v>481.0</v>
      </c>
      <c r="Y541" s="27">
        <v>1.0</v>
      </c>
      <c r="Z541" s="5" t="s">
        <v>117</v>
      </c>
      <c r="AA541" s="5">
        <v>0.578</v>
      </c>
      <c r="AB541" s="5"/>
      <c r="AC541" s="5" t="s">
        <v>81</v>
      </c>
      <c r="AD541" s="5" t="s">
        <v>81</v>
      </c>
      <c r="AE541" s="24">
        <v>0.0</v>
      </c>
      <c r="AF541" s="5">
        <v>5.0</v>
      </c>
      <c r="AG541" s="5" t="s">
        <v>0</v>
      </c>
      <c r="AH541" s="5" t="s">
        <v>0</v>
      </c>
      <c r="AI541" s="42">
        <v>2500.0</v>
      </c>
      <c r="AJ541" s="28">
        <v>2349.0</v>
      </c>
      <c r="AK541" s="28">
        <v>2103.0</v>
      </c>
      <c r="AL541" s="28">
        <v>0.0</v>
      </c>
      <c r="AM541" s="28">
        <v>2633.0</v>
      </c>
      <c r="AN541" s="28">
        <v>1202500.0</v>
      </c>
      <c r="AO541" s="28">
        <v>1129328.73</v>
      </c>
      <c r="AP541" s="28">
        <v>1011543.0</v>
      </c>
      <c r="AQ541" s="28">
        <v>0.0</v>
      </c>
      <c r="AR541" s="28">
        <v>1265867.4099999997</v>
      </c>
      <c r="AS541" s="28">
        <v>1202500.0</v>
      </c>
      <c r="AT541" s="28">
        <v>909979.4030769231</v>
      </c>
      <c r="AU541" s="28">
        <v>851962.7324800004</v>
      </c>
      <c r="AV541" s="28">
        <v>0.0</v>
      </c>
      <c r="AW541" s="28">
        <v>1028834.31695055</v>
      </c>
      <c r="AX541" s="5"/>
      <c r="AY541" s="5" t="str">
        <f t="array" ref="AY541">IFERROR(_xlfn.XLOOKUP($E541,'FW27'!$C$3:$C$1102,'FW27'!$AM$3:$AM$1102),"")</f>
        <v>Essentials</v>
      </c>
      <c r="AZ541" s="5" t="str">
        <f t="array" ref="AZ541">IFERROR(_xlfn.XLOOKUP($E541,'FW27'!$C$3:$C$1102,'FW27'!$AN$3:$AN$1102),"")</f>
        <v>Daily Essentials</v>
      </c>
      <c r="BB541" s="5" t="str">
        <f t="array" ref="BB541">IFERROR(_xlfn.XLOOKUP($E541,'FW27'!$C$3:$C$1102,'FW27'!$AS$3:$AS$1102),"")</f>
        <v>Bags &amp; Luggage</v>
      </c>
      <c r="BC541" s="5" t="str">
        <f t="array" ref="BC541">IFERROR(_xlfn.XLOOKUP($E541,'FW27'!$C$3:$C$1102,'FW27'!$AT$3:$AT$1102),"")</f>
        <v>Duffle</v>
      </c>
      <c r="BD541" s="5" t="str">
        <f t="array" ref="BD541">IFERROR(_xlfn.XLOOKUP($E541,'FW27'!$C$3:$C$1102,'FW27'!$AU$3:$AU$1102),"")</f>
        <v/>
      </c>
      <c r="BE541" s="5" t="str">
        <f t="array" ref="BE541">IFERROR(_xlfn.XLOOKUP($E541,'FW27'!$C$3:$C$1102,'FW27'!$AV$3:$AV$1102),"")</f>
        <v>N</v>
      </c>
    </row>
    <row r="542" ht="16.5" hidden="1" customHeight="1">
      <c r="A542" s="5" t="s">
        <v>155</v>
      </c>
      <c r="B542" s="5" t="s">
        <v>137</v>
      </c>
      <c r="C542" s="5" t="b">
        <v>1</v>
      </c>
      <c r="D542" s="5" t="s">
        <v>1372</v>
      </c>
      <c r="E542" s="5" t="s">
        <v>1373</v>
      </c>
      <c r="F542" s="5"/>
      <c r="G542" s="5" t="s">
        <v>1109</v>
      </c>
      <c r="H542" s="5" t="s">
        <v>84</v>
      </c>
      <c r="I542" s="5" t="s">
        <v>82</v>
      </c>
      <c r="J542" s="25"/>
      <c r="K542" s="25"/>
      <c r="L542" s="25"/>
      <c r="M542" s="5" t="s">
        <v>66</v>
      </c>
      <c r="N542" s="5" t="s">
        <v>1119</v>
      </c>
      <c r="O542" s="5" t="s">
        <v>69</v>
      </c>
      <c r="P542" s="5" t="s">
        <v>249</v>
      </c>
      <c r="Q542" s="5" t="b">
        <v>1</v>
      </c>
      <c r="R542" s="5" t="b">
        <v>0</v>
      </c>
      <c r="S542" s="5"/>
      <c r="T542" s="5">
        <v>1000.0</v>
      </c>
      <c r="U542" s="26">
        <v>2.08</v>
      </c>
      <c r="V542" s="5">
        <v>481.0</v>
      </c>
      <c r="W542" s="27">
        <v>0.0</v>
      </c>
      <c r="X542" s="28">
        <v>481.0</v>
      </c>
      <c r="Y542" s="27">
        <v>1.0</v>
      </c>
      <c r="Z542" s="5" t="s">
        <v>117</v>
      </c>
      <c r="AA542" s="5">
        <v>0.606</v>
      </c>
      <c r="AB542" s="5"/>
      <c r="AC542" s="5" t="s">
        <v>81</v>
      </c>
      <c r="AD542" s="5" t="s">
        <v>81</v>
      </c>
      <c r="AE542" s="24">
        <v>0.0</v>
      </c>
      <c r="AF542" s="5">
        <v>3.0</v>
      </c>
      <c r="AG542" s="5" t="s">
        <v>0</v>
      </c>
      <c r="AH542" s="5" t="s">
        <v>0</v>
      </c>
      <c r="AI542" s="42">
        <v>1200.0</v>
      </c>
      <c r="AJ542" s="28">
        <v>1062.0</v>
      </c>
      <c r="AK542" s="28">
        <v>1141.0</v>
      </c>
      <c r="AL542" s="28">
        <v>0.0</v>
      </c>
      <c r="AM542" s="28">
        <v>1441.0</v>
      </c>
      <c r="AN542" s="28">
        <v>577200.0</v>
      </c>
      <c r="AO542" s="28">
        <v>510577.74</v>
      </c>
      <c r="AP542" s="28">
        <v>548821.0</v>
      </c>
      <c r="AQ542" s="28">
        <v>0.0</v>
      </c>
      <c r="AR542" s="28">
        <v>692789.5699999998</v>
      </c>
      <c r="AS542" s="28">
        <v>577200.0</v>
      </c>
      <c r="AT542" s="28">
        <v>446072.90029304026</v>
      </c>
      <c r="AU542" s="28">
        <v>454418.07586800004</v>
      </c>
      <c r="AV542" s="28">
        <v>0.0</v>
      </c>
      <c r="AW542" s="28">
        <v>561549.0423992673</v>
      </c>
      <c r="AX542" s="5"/>
      <c r="AY542" s="5" t="str">
        <f t="array" ref="AY542">IFERROR(_xlfn.XLOOKUP($E542,'FW27'!$C$3:$C$1102,'FW27'!$AM$3:$AM$1102),"")</f>
        <v>Essentials</v>
      </c>
      <c r="AZ542" s="5" t="str">
        <f t="array" ref="AZ542">IFERROR(_xlfn.XLOOKUP($E542,'FW27'!$C$3:$C$1102,'FW27'!$AN$3:$AN$1102),"")</f>
        <v>Daily Essentials</v>
      </c>
      <c r="BB542" s="5" t="str">
        <f t="array" ref="BB542">IFERROR(_xlfn.XLOOKUP($E542,'FW27'!$C$3:$C$1102,'FW27'!$AS$3:$AS$1102),"")</f>
        <v>Bags &amp; Luggage</v>
      </c>
      <c r="BC542" s="5" t="str">
        <f t="array" ref="BC542">IFERROR(_xlfn.XLOOKUP($E542,'FW27'!$C$3:$C$1102,'FW27'!$AT$3:$AT$1102),"")</f>
        <v>Tote</v>
      </c>
      <c r="BD542" s="5" t="str">
        <f t="array" ref="BD542">IFERROR(_xlfn.XLOOKUP($E542,'FW27'!$C$3:$C$1102,'FW27'!$AU$3:$AU$1102),"")</f>
        <v>16–30L</v>
      </c>
      <c r="BE542" s="5" t="str">
        <f t="array" ref="BE542">IFERROR(_xlfn.XLOOKUP($E542,'FW27'!$C$3:$C$1102,'FW27'!$AV$3:$AV$1102),"")</f>
        <v>N</v>
      </c>
    </row>
    <row r="543" ht="16.5" hidden="1" customHeight="1">
      <c r="A543" s="5" t="s">
        <v>155</v>
      </c>
      <c r="B543" s="5" t="s">
        <v>137</v>
      </c>
      <c r="C543" s="5" t="b">
        <v>1</v>
      </c>
      <c r="D543" s="5" t="s">
        <v>1375</v>
      </c>
      <c r="E543" s="5" t="s">
        <v>1376</v>
      </c>
      <c r="F543" s="5"/>
      <c r="G543" s="5" t="s">
        <v>1109</v>
      </c>
      <c r="H543" s="5" t="s">
        <v>84</v>
      </c>
      <c r="I543" s="5" t="s">
        <v>82</v>
      </c>
      <c r="J543" s="25"/>
      <c r="K543" s="25"/>
      <c r="L543" s="25"/>
      <c r="M543" s="5" t="s">
        <v>66</v>
      </c>
      <c r="N543" s="5" t="s">
        <v>1119</v>
      </c>
      <c r="O543" s="5" t="s">
        <v>69</v>
      </c>
      <c r="P543" s="5" t="s">
        <v>249</v>
      </c>
      <c r="Q543" s="5" t="b">
        <v>1</v>
      </c>
      <c r="R543" s="5" t="b">
        <v>0</v>
      </c>
      <c r="S543" s="5"/>
      <c r="T543" s="5">
        <v>900.0</v>
      </c>
      <c r="U543" s="26">
        <v>2.08</v>
      </c>
      <c r="V543" s="5">
        <v>433.0</v>
      </c>
      <c r="W543" s="27">
        <v>0.0</v>
      </c>
      <c r="X543" s="28">
        <v>433.0</v>
      </c>
      <c r="Y543" s="27">
        <v>1.0</v>
      </c>
      <c r="Z543" s="5" t="s">
        <v>117</v>
      </c>
      <c r="AA543" s="5">
        <v>0.563</v>
      </c>
      <c r="AB543" s="5"/>
      <c r="AC543" s="5" t="s">
        <v>81</v>
      </c>
      <c r="AD543" s="5" t="s">
        <v>81</v>
      </c>
      <c r="AE543" s="24">
        <v>0.0</v>
      </c>
      <c r="AF543" s="5">
        <v>4.0</v>
      </c>
      <c r="AG543" s="5" t="s">
        <v>0</v>
      </c>
      <c r="AH543" s="5" t="s">
        <v>0</v>
      </c>
      <c r="AI543" s="42">
        <v>1600.0</v>
      </c>
      <c r="AJ543" s="28">
        <v>1617.0</v>
      </c>
      <c r="AK543" s="28">
        <v>1429.0</v>
      </c>
      <c r="AL543" s="28">
        <v>0.0</v>
      </c>
      <c r="AM543" s="28">
        <v>1617.0</v>
      </c>
      <c r="AN543" s="28">
        <v>692800.0</v>
      </c>
      <c r="AO543" s="28">
        <v>699659.73</v>
      </c>
      <c r="AP543" s="28">
        <v>618757.0</v>
      </c>
      <c r="AQ543" s="28">
        <v>0.0</v>
      </c>
      <c r="AR543" s="28">
        <v>699659.7299999999</v>
      </c>
      <c r="AS543" s="28">
        <v>692800.0</v>
      </c>
      <c r="AT543" s="28">
        <v>569263.9130769231</v>
      </c>
      <c r="AU543" s="28">
        <v>531890.00612</v>
      </c>
      <c r="AV543" s="28">
        <v>0.0</v>
      </c>
      <c r="AW543" s="28">
        <v>582229.4269230771</v>
      </c>
      <c r="AX543" s="5"/>
      <c r="AY543" s="5" t="str">
        <f t="array" ref="AY543">IFERROR(_xlfn.XLOOKUP($E543,'FW27'!$C$3:$C$1102,'FW27'!$AM$3:$AM$1102),"")</f>
        <v>Essentials</v>
      </c>
      <c r="AZ543" s="5" t="str">
        <f t="array" ref="AZ543">IFERROR(_xlfn.XLOOKUP($E543,'FW27'!$C$3:$C$1102,'FW27'!$AN$3:$AN$1102),"")</f>
        <v>Daily Essentials</v>
      </c>
      <c r="BB543" s="5" t="str">
        <f t="array" ref="BB543">IFERROR(_xlfn.XLOOKUP($E543,'FW27'!$C$3:$C$1102,'FW27'!$AS$3:$AS$1102),"")</f>
        <v>Bags &amp; Luggage</v>
      </c>
      <c r="BC543" s="5" t="str">
        <f t="array" ref="BC543">IFERROR(_xlfn.XLOOKUP($E543,'FW27'!$C$3:$C$1102,'FW27'!$AT$3:$AT$1102),"")</f>
        <v>Duffle</v>
      </c>
      <c r="BD543" s="5" t="str">
        <f t="array" ref="BD543">IFERROR(_xlfn.XLOOKUP($E543,'FW27'!$C$3:$C$1102,'FW27'!$AU$3:$AU$1102),"")</f>
        <v/>
      </c>
      <c r="BE543" s="5" t="str">
        <f t="array" ref="BE543">IFERROR(_xlfn.XLOOKUP($E543,'FW27'!$C$3:$C$1102,'FW27'!$AV$3:$AV$1102),"")</f>
        <v>N</v>
      </c>
    </row>
    <row r="544" ht="16.5" hidden="1" customHeight="1">
      <c r="A544" s="5" t="s">
        <v>155</v>
      </c>
      <c r="B544" s="5" t="s">
        <v>137</v>
      </c>
      <c r="C544" s="5" t="b">
        <v>1</v>
      </c>
      <c r="D544" s="5" t="s">
        <v>1377</v>
      </c>
      <c r="E544" s="5" t="s">
        <v>1378</v>
      </c>
      <c r="F544" s="5"/>
      <c r="G544" s="5" t="s">
        <v>1109</v>
      </c>
      <c r="H544" s="5" t="s">
        <v>84</v>
      </c>
      <c r="I544" s="5" t="s">
        <v>82</v>
      </c>
      <c r="J544" s="25"/>
      <c r="K544" s="25"/>
      <c r="L544" s="25"/>
      <c r="M544" s="5" t="s">
        <v>66</v>
      </c>
      <c r="N544" s="5" t="s">
        <v>248</v>
      </c>
      <c r="O544" s="5" t="s">
        <v>69</v>
      </c>
      <c r="P544" s="5" t="s">
        <v>249</v>
      </c>
      <c r="Q544" s="5" t="b">
        <v>1</v>
      </c>
      <c r="R544" s="5" t="b">
        <v>0</v>
      </c>
      <c r="S544" s="5"/>
      <c r="T544" s="5">
        <v>800.0</v>
      </c>
      <c r="U544" s="26">
        <v>2.08</v>
      </c>
      <c r="V544" s="5">
        <v>385.0</v>
      </c>
      <c r="W544" s="27">
        <v>0.0</v>
      </c>
      <c r="X544" s="28">
        <v>385.0</v>
      </c>
      <c r="Y544" s="27">
        <v>1.0</v>
      </c>
      <c r="Z544" s="5" t="s">
        <v>117</v>
      </c>
      <c r="AA544" s="27">
        <v>0.0</v>
      </c>
      <c r="AB544" s="26"/>
      <c r="AC544" s="5" t="s">
        <v>81</v>
      </c>
      <c r="AD544" s="5" t="s">
        <v>81</v>
      </c>
      <c r="AE544" s="24">
        <v>0.0</v>
      </c>
      <c r="AF544" s="5">
        <v>2.0</v>
      </c>
      <c r="AG544" s="5" t="s">
        <v>0</v>
      </c>
      <c r="AH544" s="5" t="s">
        <v>0</v>
      </c>
      <c r="AI544" s="42">
        <v>1000.0</v>
      </c>
      <c r="AJ544" s="28">
        <v>400.0</v>
      </c>
      <c r="AK544" s="28">
        <v>1013.0</v>
      </c>
      <c r="AL544" s="28">
        <v>0.0</v>
      </c>
      <c r="AM544" s="28">
        <v>790.0</v>
      </c>
      <c r="AN544" s="28">
        <v>385000.0</v>
      </c>
      <c r="AO544" s="28">
        <v>153848.0</v>
      </c>
      <c r="AP544" s="28">
        <v>390005.0</v>
      </c>
      <c r="AQ544" s="28">
        <v>0.0</v>
      </c>
      <c r="AR544" s="28">
        <v>303849.8</v>
      </c>
      <c r="AS544" s="28">
        <v>385000.0</v>
      </c>
      <c r="AT544" s="28">
        <v>141109.17266483518</v>
      </c>
      <c r="AU544" s="28">
        <v>274373.402144</v>
      </c>
      <c r="AV544" s="28">
        <v>0.0</v>
      </c>
      <c r="AW544" s="28">
        <v>238642.21112637362</v>
      </c>
      <c r="AX544" s="5"/>
      <c r="AY544" s="5" t="str">
        <f t="array" ref="AY544">IFERROR(_xlfn.XLOOKUP($E544,'FW27'!$C$3:$C$1102,'FW27'!$AM$3:$AM$1102),"")</f>
        <v>Essentials</v>
      </c>
      <c r="AZ544" s="5" t="str">
        <f t="array" ref="AZ544">IFERROR(_xlfn.XLOOKUP($E544,'FW27'!$C$3:$C$1102,'FW27'!$AN$3:$AN$1102),"")</f>
        <v>Daily Essentials</v>
      </c>
      <c r="BB544" s="5" t="str">
        <f t="array" ref="BB544">IFERROR(_xlfn.XLOOKUP($E544,'FW27'!$C$3:$C$1102,'FW27'!$AS$3:$AS$1102),"")</f>
        <v>Accessories</v>
      </c>
      <c r="BC544" s="5" t="str">
        <f t="array" ref="BC544">IFERROR(_xlfn.XLOOKUP($E544,'FW27'!$C$3:$C$1102,'FW27'!$AT$3:$AT$1102),"")</f>
        <v>Pouch/Organizer</v>
      </c>
      <c r="BD544" s="5" t="str">
        <f t="array" ref="BD544">IFERROR(_xlfn.XLOOKUP($E544,'FW27'!$C$3:$C$1102,'FW27'!$AU$3:$AU$1102),"")</f>
        <v>Organization</v>
      </c>
      <c r="BE544" s="5" t="str">
        <f t="array" ref="BE544">IFERROR(_xlfn.XLOOKUP($E544,'FW27'!$C$3:$C$1102,'FW27'!$AV$3:$AV$1102),"")</f>
        <v>N</v>
      </c>
    </row>
    <row r="545" ht="16.5" hidden="1" customHeight="1">
      <c r="A545" s="5" t="s">
        <v>155</v>
      </c>
      <c r="B545" s="5" t="s">
        <v>137</v>
      </c>
      <c r="C545" s="5" t="b">
        <v>1</v>
      </c>
      <c r="D545" s="5" t="s">
        <v>1379</v>
      </c>
      <c r="E545" s="5" t="s">
        <v>1380</v>
      </c>
      <c r="F545" s="5"/>
      <c r="G545" s="5" t="s">
        <v>1109</v>
      </c>
      <c r="H545" s="5" t="s">
        <v>84</v>
      </c>
      <c r="I545" s="5" t="s">
        <v>82</v>
      </c>
      <c r="J545" s="25"/>
      <c r="K545" s="25"/>
      <c r="L545" s="25"/>
      <c r="M545" s="5" t="s">
        <v>247</v>
      </c>
      <c r="N545" s="5" t="s">
        <v>1119</v>
      </c>
      <c r="O545" s="5" t="s">
        <v>69</v>
      </c>
      <c r="P545" s="5" t="s">
        <v>249</v>
      </c>
      <c r="Q545" s="5" t="b">
        <v>1</v>
      </c>
      <c r="R545" s="5" t="b">
        <v>0</v>
      </c>
      <c r="S545" s="5"/>
      <c r="T545" s="5">
        <v>1500.0</v>
      </c>
      <c r="U545" s="26">
        <v>2.08</v>
      </c>
      <c r="V545" s="5">
        <v>721.0</v>
      </c>
      <c r="W545" s="27">
        <v>0.0</v>
      </c>
      <c r="X545" s="28">
        <v>721.0</v>
      </c>
      <c r="Y545" s="27">
        <v>1.0</v>
      </c>
      <c r="Z545" s="5" t="s">
        <v>117</v>
      </c>
      <c r="AA545" s="27">
        <v>0.0</v>
      </c>
      <c r="AB545" s="26"/>
      <c r="AC545" s="5" t="s">
        <v>81</v>
      </c>
      <c r="AD545" s="5" t="s">
        <v>81</v>
      </c>
      <c r="AE545" s="24">
        <v>0.0</v>
      </c>
      <c r="AF545" s="5">
        <v>2.0</v>
      </c>
      <c r="AG545" s="5" t="s">
        <v>0</v>
      </c>
      <c r="AH545" s="5" t="s">
        <v>0</v>
      </c>
      <c r="AI545" s="42">
        <v>500.0</v>
      </c>
      <c r="AJ545" s="28">
        <v>430.0</v>
      </c>
      <c r="AK545" s="28">
        <v>847.0</v>
      </c>
      <c r="AL545" s="28">
        <v>0.0</v>
      </c>
      <c r="AM545" s="28">
        <v>530.0</v>
      </c>
      <c r="AN545" s="28">
        <v>360500.0</v>
      </c>
      <c r="AO545" s="28">
        <v>310094.5</v>
      </c>
      <c r="AP545" s="28">
        <v>610687.0</v>
      </c>
      <c r="AQ545" s="28">
        <v>0.0</v>
      </c>
      <c r="AR545" s="28">
        <v>382209.5</v>
      </c>
      <c r="AS545" s="28">
        <v>360500.0</v>
      </c>
      <c r="AT545" s="28">
        <v>276134.00937728933</v>
      </c>
      <c r="AU545" s="28">
        <v>565949.5193800001</v>
      </c>
      <c r="AV545" s="28">
        <v>0.0</v>
      </c>
      <c r="AW545" s="28">
        <v>345681.3245421245</v>
      </c>
      <c r="AX545" s="5"/>
      <c r="AY545" s="5" t="str">
        <f t="array" ref="AY545">IFERROR(_xlfn.XLOOKUP($E545,'FW27'!$C$3:$C$1102,'FW27'!$AM$3:$AM$1102),"")</f>
        <v>Essentials</v>
      </c>
      <c r="AZ545" s="5" t="str">
        <f t="array" ref="AZ545">IFERROR(_xlfn.XLOOKUP($E545,'FW27'!$C$3:$C$1102,'FW27'!$AN$3:$AN$1102),"")</f>
        <v>Daily Essentials</v>
      </c>
      <c r="BB545" s="5" t="str">
        <f t="array" ref="BB545">IFERROR(_xlfn.XLOOKUP($E545,'FW27'!$C$3:$C$1102,'FW27'!$AS$3:$AS$1102),"")</f>
        <v>Backpacks</v>
      </c>
      <c r="BC545" s="5" t="str">
        <f t="array" ref="BC545">IFERROR(_xlfn.XLOOKUP($E545,'FW27'!$C$3:$C$1102,'FW27'!$AT$3:$AT$1102),"")</f>
        <v>Daypack</v>
      </c>
      <c r="BD545" s="5" t="str">
        <f t="array" ref="BD545">IFERROR(_xlfn.XLOOKUP($E545,'FW27'!$C$3:$C$1102,'FW27'!$AU$3:$AU$1102),"")</f>
        <v>16–30L</v>
      </c>
      <c r="BE545" s="5" t="str">
        <f t="array" ref="BE545">IFERROR(_xlfn.XLOOKUP($E545,'FW27'!$C$3:$C$1102,'FW27'!$AV$3:$AV$1102),"")</f>
        <v>N</v>
      </c>
    </row>
    <row r="546" ht="16.5" hidden="1" customHeight="1">
      <c r="A546" s="5" t="s">
        <v>155</v>
      </c>
      <c r="B546" s="5" t="s">
        <v>215</v>
      </c>
      <c r="C546" s="5" t="b">
        <v>1</v>
      </c>
      <c r="D546" s="5" t="s">
        <v>1814</v>
      </c>
      <c r="E546" s="5" t="s">
        <v>1815</v>
      </c>
      <c r="F546" s="5"/>
      <c r="G546" s="5" t="s">
        <v>1109</v>
      </c>
      <c r="H546" s="5" t="s">
        <v>76</v>
      </c>
      <c r="I546" s="5" t="s">
        <v>82</v>
      </c>
      <c r="J546" s="25"/>
      <c r="K546" s="25"/>
      <c r="L546" s="25"/>
      <c r="M546" s="5" t="s">
        <v>220</v>
      </c>
      <c r="N546" s="5" t="s">
        <v>1212</v>
      </c>
      <c r="O546" s="5" t="s">
        <v>69</v>
      </c>
      <c r="P546" s="5" t="s">
        <v>249</v>
      </c>
      <c r="Q546" s="5" t="b">
        <v>1</v>
      </c>
      <c r="R546" s="5" t="b">
        <v>0</v>
      </c>
      <c r="S546" s="5"/>
      <c r="T546" s="5">
        <v>2400.0</v>
      </c>
      <c r="U546" s="26">
        <v>2.08</v>
      </c>
      <c r="V546" s="5">
        <v>1154.0</v>
      </c>
      <c r="W546" s="27">
        <v>0.0</v>
      </c>
      <c r="X546" s="28">
        <v>1154.0</v>
      </c>
      <c r="Y546" s="27">
        <v>1.0</v>
      </c>
      <c r="Z546" s="5" t="s">
        <v>242</v>
      </c>
      <c r="AA546" s="5">
        <v>0.65</v>
      </c>
      <c r="AB546" s="5"/>
      <c r="AC546" s="5" t="s">
        <v>81</v>
      </c>
      <c r="AD546" s="5" t="s">
        <v>81</v>
      </c>
      <c r="AE546" s="5">
        <v>2.0</v>
      </c>
      <c r="AF546" s="5">
        <v>2.0</v>
      </c>
      <c r="AG546" s="5" t="s">
        <v>0</v>
      </c>
      <c r="AH546" s="5" t="s">
        <v>0</v>
      </c>
      <c r="AI546" s="56">
        <v>700.0</v>
      </c>
      <c r="AJ546" s="28">
        <v>645.0</v>
      </c>
      <c r="AK546" s="28">
        <v>0.0</v>
      </c>
      <c r="AL546" s="28">
        <v>0.0</v>
      </c>
      <c r="AM546" s="28">
        <v>0.0</v>
      </c>
      <c r="AN546" s="28">
        <v>807800.0</v>
      </c>
      <c r="AO546" s="28">
        <v>775238.4</v>
      </c>
      <c r="AP546" s="28">
        <v>0.0</v>
      </c>
      <c r="AQ546" s="28">
        <v>0.0</v>
      </c>
      <c r="AR546" s="28">
        <v>0.0</v>
      </c>
      <c r="AS546" s="28">
        <v>807800.0</v>
      </c>
      <c r="AT546" s="28">
        <v>614936.8153846153</v>
      </c>
      <c r="AU546" s="28">
        <v>0.0</v>
      </c>
      <c r="AV546" s="28">
        <v>0.0</v>
      </c>
      <c r="AW546" s="28">
        <v>0.0</v>
      </c>
      <c r="AX546" s="5"/>
      <c r="AY546" s="5" t="str">
        <f t="array" ref="AY546">IFERROR(_xlfn.XLOOKUP($E546,'FW27'!$C$3:$C$1102,'FW27'!$AM$3:$AM$1102),"")</f>
        <v>Outdoor</v>
      </c>
      <c r="AZ546" s="5" t="str">
        <f t="array" ref="AZ546">IFERROR(_xlfn.XLOOKUP($E546,'FW27'!$C$3:$C$1102,'FW27'!$AN$3:$AN$1102),"")</f>
        <v>Freeride</v>
      </c>
      <c r="BB546" s="5" t="str">
        <f t="array" ref="BB546">IFERROR(_xlfn.XLOOKUP($E546,'FW27'!$C$3:$C$1102,'FW27'!$AS$3:$AS$1102),"")</f>
        <v>Backpacks</v>
      </c>
      <c r="BC546" s="5" t="str">
        <f t="array" ref="BC546">IFERROR(_xlfn.XLOOKUP($E546,'FW27'!$C$3:$C$1102,'FW27'!$AT$3:$AT$1102),"")</f>
        <v>Hiking Pack</v>
      </c>
      <c r="BD546" s="5" t="str">
        <f t="array" ref="BD546">IFERROR(_xlfn.XLOOKUP($E546,'FW27'!$C$3:$C$1102,'FW27'!$AU$3:$AU$1102),"")</f>
        <v>31–50L</v>
      </c>
      <c r="BE546" s="5" t="str">
        <f t="array" ref="BE546">IFERROR(_xlfn.XLOOKUP($E546,'FW27'!$C$3:$C$1102,'FW27'!$AV$3:$AV$1102),"")</f>
        <v>N</v>
      </c>
    </row>
    <row r="547" ht="16.5" hidden="1" customHeight="1">
      <c r="A547" s="5" t="s">
        <v>155</v>
      </c>
      <c r="B547" s="5" t="s">
        <v>137</v>
      </c>
      <c r="C547" s="5" t="b">
        <v>1</v>
      </c>
      <c r="D547" s="5" t="s">
        <v>1382</v>
      </c>
      <c r="E547" s="5" t="s">
        <v>1383</v>
      </c>
      <c r="F547" s="5"/>
      <c r="G547" s="5" t="s">
        <v>1109</v>
      </c>
      <c r="H547" s="5" t="s">
        <v>84</v>
      </c>
      <c r="I547" s="5" t="s">
        <v>82</v>
      </c>
      <c r="J547" s="25" t="s">
        <v>2184</v>
      </c>
      <c r="K547" s="25"/>
      <c r="L547" s="25"/>
      <c r="M547" s="5" t="s">
        <v>66</v>
      </c>
      <c r="N547" s="5" t="s">
        <v>1162</v>
      </c>
      <c r="O547" s="5" t="s">
        <v>69</v>
      </c>
      <c r="P547" s="5" t="s">
        <v>249</v>
      </c>
      <c r="Q547" s="5" t="b">
        <v>1</v>
      </c>
      <c r="R547" s="5" t="b">
        <v>0</v>
      </c>
      <c r="S547" s="5"/>
      <c r="T547" s="5">
        <v>1100.0</v>
      </c>
      <c r="U547" s="26">
        <v>2.08</v>
      </c>
      <c r="V547" s="5">
        <v>529.0</v>
      </c>
      <c r="W547" s="27">
        <v>0.0</v>
      </c>
      <c r="X547" s="28">
        <v>529.0</v>
      </c>
      <c r="Y547" s="27">
        <v>1.0</v>
      </c>
      <c r="Z547" s="5" t="s">
        <v>117</v>
      </c>
      <c r="AA547" s="27">
        <v>0.528</v>
      </c>
      <c r="AB547" s="26"/>
      <c r="AC547" s="5" t="s">
        <v>81</v>
      </c>
      <c r="AD547" s="5" t="s">
        <v>81</v>
      </c>
      <c r="AE547" s="24">
        <v>0.0</v>
      </c>
      <c r="AF547" s="5">
        <v>3.0</v>
      </c>
      <c r="AG547" s="5" t="s">
        <v>0</v>
      </c>
      <c r="AH547" s="5" t="s">
        <v>0</v>
      </c>
      <c r="AI547" s="42">
        <v>1300.0</v>
      </c>
      <c r="AJ547" s="28">
        <v>1117.0</v>
      </c>
      <c r="AK547" s="28">
        <v>0.0</v>
      </c>
      <c r="AL547" s="28">
        <v>0.0</v>
      </c>
      <c r="AM547" s="28">
        <v>1649.0</v>
      </c>
      <c r="AN547" s="28">
        <v>687700.0</v>
      </c>
      <c r="AO547" s="28">
        <v>590725.45</v>
      </c>
      <c r="AP547" s="28">
        <v>0.0</v>
      </c>
      <c r="AQ547" s="28">
        <v>0.0</v>
      </c>
      <c r="AR547" s="28">
        <v>872073.65</v>
      </c>
      <c r="AS547" s="28">
        <v>687700.0</v>
      </c>
      <c r="AT547" s="28">
        <v>473054.8084615384</v>
      </c>
      <c r="AU547" s="28">
        <v>0.0</v>
      </c>
      <c r="AV547" s="28">
        <v>0.0</v>
      </c>
      <c r="AW547" s="28">
        <v>743749.1217032967</v>
      </c>
      <c r="AX547" s="5"/>
      <c r="AY547" s="5" t="str">
        <f t="array" ref="AY547">IFERROR(_xlfn.XLOOKUP($E547,'FW27'!$C$3:$C$1102,'FW27'!$AM$3:$AM$1102),"")</f>
        <v>Essentials</v>
      </c>
      <c r="AZ547" s="5" t="str">
        <f t="array" ref="AZ547">IFERROR(_xlfn.XLOOKUP($E547,'FW27'!$C$3:$C$1102,'FW27'!$AN$3:$AN$1102),"")</f>
        <v>Daily Essentials</v>
      </c>
      <c r="BB547" s="5" t="str">
        <f t="array" ref="BB547">IFERROR(_xlfn.XLOOKUP($E547,'FW27'!$C$3:$C$1102,'FW27'!$AS$3:$AS$1102),"")</f>
        <v>Backpacks</v>
      </c>
      <c r="BC547" s="5" t="str">
        <f t="array" ref="BC547">IFERROR(_xlfn.XLOOKUP($E547,'FW27'!$C$3:$C$1102,'FW27'!$AT$3:$AT$1102),"")</f>
        <v>Daypack</v>
      </c>
      <c r="BD547" s="5" t="str">
        <f t="array" ref="BD547">IFERROR(_xlfn.XLOOKUP($E547,'FW27'!$C$3:$C$1102,'FW27'!$AU$3:$AU$1102),"")</f>
        <v>16–30L</v>
      </c>
      <c r="BE547" s="5" t="str">
        <f t="array" ref="BE547">IFERROR(_xlfn.XLOOKUP($E547,'FW27'!$C$3:$C$1102,'FW27'!$AV$3:$AV$1102),"")</f>
        <v>N</v>
      </c>
    </row>
    <row r="548" ht="16.5" hidden="1" customHeight="1">
      <c r="A548" s="5" t="s">
        <v>155</v>
      </c>
      <c r="B548" s="5" t="s">
        <v>137</v>
      </c>
      <c r="C548" s="5" t="b">
        <v>1</v>
      </c>
      <c r="D548" s="5" t="s">
        <v>1386</v>
      </c>
      <c r="E548" s="5" t="s">
        <v>1387</v>
      </c>
      <c r="F548" s="5"/>
      <c r="G548" s="5" t="s">
        <v>1109</v>
      </c>
      <c r="H548" s="5" t="s">
        <v>84</v>
      </c>
      <c r="I548" s="5" t="s">
        <v>82</v>
      </c>
      <c r="J548" s="25" t="s">
        <v>2184</v>
      </c>
      <c r="K548" s="25"/>
      <c r="L548" s="25"/>
      <c r="M548" s="5" t="s">
        <v>66</v>
      </c>
      <c r="N548" s="5" t="s">
        <v>1162</v>
      </c>
      <c r="O548" s="5" t="s">
        <v>69</v>
      </c>
      <c r="P548" s="5" t="s">
        <v>249</v>
      </c>
      <c r="Q548" s="5" t="b">
        <v>1</v>
      </c>
      <c r="R548" s="5" t="b">
        <v>0</v>
      </c>
      <c r="S548" s="5"/>
      <c r="T548" s="5">
        <v>1300.0</v>
      </c>
      <c r="U548" s="26">
        <v>2.08</v>
      </c>
      <c r="V548" s="5">
        <v>625.0</v>
      </c>
      <c r="W548" s="27">
        <v>0.0</v>
      </c>
      <c r="X548" s="28">
        <v>625.0</v>
      </c>
      <c r="Y548" s="27">
        <v>1.0</v>
      </c>
      <c r="Z548" s="5" t="s">
        <v>117</v>
      </c>
      <c r="AA548" s="27">
        <v>0.544</v>
      </c>
      <c r="AB548" s="26"/>
      <c r="AC548" s="5" t="s">
        <v>81</v>
      </c>
      <c r="AD548" s="5" t="s">
        <v>81</v>
      </c>
      <c r="AE548" s="24">
        <v>0.0</v>
      </c>
      <c r="AF548" s="5">
        <v>3.0</v>
      </c>
      <c r="AG548" s="5" t="s">
        <v>0</v>
      </c>
      <c r="AH548" s="5" t="s">
        <v>0</v>
      </c>
      <c r="AI548" s="42">
        <v>1500.0</v>
      </c>
      <c r="AJ548" s="28">
        <v>1315.0</v>
      </c>
      <c r="AK548" s="28">
        <v>0.0</v>
      </c>
      <c r="AL548" s="28">
        <v>0.0</v>
      </c>
      <c r="AM548" s="28">
        <v>1799.0</v>
      </c>
      <c r="AN548" s="28">
        <v>937500.0</v>
      </c>
      <c r="AO548" s="28">
        <v>821875.0</v>
      </c>
      <c r="AP548" s="28">
        <v>0.0</v>
      </c>
      <c r="AQ548" s="28">
        <v>0.0</v>
      </c>
      <c r="AR548" s="28">
        <v>1124375.0</v>
      </c>
      <c r="AS548" s="28">
        <v>937500.0</v>
      </c>
      <c r="AT548" s="28">
        <v>687637.3680769231</v>
      </c>
      <c r="AU548" s="28">
        <v>0.0</v>
      </c>
      <c r="AV548" s="28">
        <v>0.0</v>
      </c>
      <c r="AW548" s="28">
        <v>988306.2307692306</v>
      </c>
      <c r="AX548" s="5"/>
      <c r="AY548" s="5" t="str">
        <f t="array" ref="AY548">IFERROR(_xlfn.XLOOKUP($E548,'FW27'!$C$3:$C$1102,'FW27'!$AM$3:$AM$1102),"")</f>
        <v>Essentials</v>
      </c>
      <c r="AZ548" s="5" t="str">
        <f t="array" ref="AZ548">IFERROR(_xlfn.XLOOKUP($E548,'FW27'!$C$3:$C$1102,'FW27'!$AN$3:$AN$1102),"")</f>
        <v>Daily Essentials</v>
      </c>
      <c r="BB548" s="5" t="str">
        <f t="array" ref="BB548">IFERROR(_xlfn.XLOOKUP($E548,'FW27'!$C$3:$C$1102,'FW27'!$AS$3:$AS$1102),"")</f>
        <v>Backpacks</v>
      </c>
      <c r="BC548" s="5" t="str">
        <f t="array" ref="BC548">IFERROR(_xlfn.XLOOKUP($E548,'FW27'!$C$3:$C$1102,'FW27'!$AT$3:$AT$1102),"")</f>
        <v>Daypack</v>
      </c>
      <c r="BD548" s="5" t="str">
        <f t="array" ref="BD548">IFERROR(_xlfn.XLOOKUP($E548,'FW27'!$C$3:$C$1102,'FW27'!$AU$3:$AU$1102),"")</f>
        <v>16–30L</v>
      </c>
      <c r="BE548" s="5" t="str">
        <f t="array" ref="BE548">IFERROR(_xlfn.XLOOKUP($E548,'FW27'!$C$3:$C$1102,'FW27'!$AV$3:$AV$1102),"")</f>
        <v>N</v>
      </c>
    </row>
    <row r="549" ht="16.5" hidden="1" customHeight="1">
      <c r="A549" s="5" t="s">
        <v>155</v>
      </c>
      <c r="B549" s="5"/>
      <c r="C549" s="5" t="b">
        <v>1</v>
      </c>
      <c r="D549" s="5" t="s">
        <v>36</v>
      </c>
      <c r="E549" s="5" t="s">
        <v>2185</v>
      </c>
      <c r="F549" s="5"/>
      <c r="G549" s="5" t="s">
        <v>65</v>
      </c>
      <c r="H549" s="5" t="s">
        <v>2186</v>
      </c>
      <c r="I549" s="5" t="s">
        <v>202</v>
      </c>
      <c r="J549" s="25" t="s">
        <v>2187</v>
      </c>
      <c r="K549" s="25"/>
      <c r="L549" s="25" t="s">
        <v>110</v>
      </c>
      <c r="M549" s="5" t="s">
        <v>500</v>
      </c>
      <c r="N549" s="5" t="s">
        <v>68</v>
      </c>
      <c r="O549" s="5" t="s">
        <v>69</v>
      </c>
      <c r="P549" s="5" t="s">
        <v>70</v>
      </c>
      <c r="Q549" s="5" t="b">
        <v>0</v>
      </c>
      <c r="R549" s="5" t="b">
        <v>0</v>
      </c>
      <c r="S549" s="5"/>
      <c r="T549" s="43">
        <v>7500.0</v>
      </c>
      <c r="U549" s="26"/>
      <c r="V549" s="5"/>
      <c r="W549" s="27"/>
      <c r="X549" s="28"/>
      <c r="Y549" s="27"/>
      <c r="Z549" s="5" t="s">
        <v>242</v>
      </c>
      <c r="AA549" s="27"/>
      <c r="AB549" s="26"/>
      <c r="AC549" s="5" t="s">
        <v>80</v>
      </c>
      <c r="AD549" s="5" t="s">
        <v>81</v>
      </c>
      <c r="AE549" s="5"/>
      <c r="AF549" s="5"/>
      <c r="AG549" s="5"/>
      <c r="AH549" s="5"/>
      <c r="AI549" s="42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5"/>
      <c r="AY549" s="5" t="s">
        <v>86</v>
      </c>
      <c r="AZ549" s="5" t="s">
        <v>826</v>
      </c>
      <c r="BA549" s="5" t="s">
        <v>827</v>
      </c>
      <c r="BB549" s="5" t="s">
        <v>68</v>
      </c>
      <c r="BC549" s="5" t="s">
        <v>89</v>
      </c>
      <c r="BD549" s="5" t="s">
        <v>132</v>
      </c>
      <c r="BE549" s="5" t="s">
        <v>91</v>
      </c>
    </row>
    <row r="550" ht="16.5" hidden="1" customHeight="1">
      <c r="A550" s="5" t="s">
        <v>155</v>
      </c>
      <c r="B550" s="5"/>
      <c r="C550" s="5" t="b">
        <v>1</v>
      </c>
      <c r="D550" s="5" t="s">
        <v>36</v>
      </c>
      <c r="E550" s="5" t="s">
        <v>2188</v>
      </c>
      <c r="F550" s="5"/>
      <c r="G550" s="5" t="s">
        <v>65</v>
      </c>
      <c r="H550" s="5" t="s">
        <v>2186</v>
      </c>
      <c r="I550" s="5" t="s">
        <v>202</v>
      </c>
      <c r="J550" s="25" t="s">
        <v>2187</v>
      </c>
      <c r="K550" s="25"/>
      <c r="L550" s="25" t="s">
        <v>110</v>
      </c>
      <c r="M550" s="5" t="s">
        <v>500</v>
      </c>
      <c r="N550" s="5" t="s">
        <v>68</v>
      </c>
      <c r="O550" s="5" t="s">
        <v>69</v>
      </c>
      <c r="P550" s="5" t="s">
        <v>107</v>
      </c>
      <c r="Q550" s="5" t="b">
        <v>0</v>
      </c>
      <c r="R550" s="5" t="b">
        <v>0</v>
      </c>
      <c r="S550" s="5"/>
      <c r="T550" s="43">
        <v>7500.0</v>
      </c>
      <c r="U550" s="26"/>
      <c r="V550" s="5"/>
      <c r="W550" s="27"/>
      <c r="X550" s="28"/>
      <c r="Y550" s="27"/>
      <c r="Z550" s="5" t="s">
        <v>242</v>
      </c>
      <c r="AA550" s="27"/>
      <c r="AB550" s="26"/>
      <c r="AC550" s="5" t="s">
        <v>80</v>
      </c>
      <c r="AD550" s="5" t="s">
        <v>81</v>
      </c>
      <c r="AE550" s="5"/>
      <c r="AF550" s="5"/>
      <c r="AG550" s="5"/>
      <c r="AH550" s="5"/>
      <c r="AI550" s="42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5"/>
      <c r="AY550" s="5" t="s">
        <v>86</v>
      </c>
      <c r="AZ550" s="5" t="s">
        <v>826</v>
      </c>
      <c r="BA550" s="5" t="s">
        <v>827</v>
      </c>
      <c r="BB550" s="5" t="s">
        <v>68</v>
      </c>
      <c r="BC550" s="5" t="s">
        <v>89</v>
      </c>
      <c r="BD550" s="5" t="s">
        <v>132</v>
      </c>
      <c r="BE550" s="5" t="s">
        <v>91</v>
      </c>
    </row>
    <row r="551" ht="16.5" hidden="1" customHeight="1">
      <c r="A551" s="5" t="s">
        <v>155</v>
      </c>
      <c r="B551" s="5"/>
      <c r="C551" s="5" t="b">
        <v>1</v>
      </c>
      <c r="D551" s="5" t="s">
        <v>36</v>
      </c>
      <c r="E551" s="5" t="s">
        <v>2189</v>
      </c>
      <c r="F551" s="5"/>
      <c r="G551" s="5" t="s">
        <v>65</v>
      </c>
      <c r="H551" s="5" t="s">
        <v>2186</v>
      </c>
      <c r="I551" s="5" t="s">
        <v>202</v>
      </c>
      <c r="J551" s="25" t="s">
        <v>2190</v>
      </c>
      <c r="K551" s="25"/>
      <c r="L551" s="25" t="s">
        <v>181</v>
      </c>
      <c r="M551" s="5" t="s">
        <v>500</v>
      </c>
      <c r="N551" s="5" t="s">
        <v>68</v>
      </c>
      <c r="O551" s="5" t="s">
        <v>69</v>
      </c>
      <c r="P551" s="5" t="s">
        <v>70</v>
      </c>
      <c r="Q551" s="5" t="b">
        <v>0</v>
      </c>
      <c r="R551" s="5" t="b">
        <v>0</v>
      </c>
      <c r="S551" s="5"/>
      <c r="T551" s="43">
        <v>4000.0</v>
      </c>
      <c r="U551" s="26"/>
      <c r="V551" s="5"/>
      <c r="W551" s="27"/>
      <c r="X551" s="28"/>
      <c r="Y551" s="27"/>
      <c r="Z551" s="5" t="s">
        <v>117</v>
      </c>
      <c r="AA551" s="27"/>
      <c r="AB551" s="26"/>
      <c r="AC551" s="5" t="s">
        <v>80</v>
      </c>
      <c r="AD551" s="5" t="s">
        <v>81</v>
      </c>
      <c r="AE551" s="5"/>
      <c r="AF551" s="5"/>
      <c r="AG551" s="5"/>
      <c r="AH551" s="5"/>
      <c r="AI551" s="42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5"/>
      <c r="AY551" s="5" t="s">
        <v>86</v>
      </c>
      <c r="AZ551" s="5" t="s">
        <v>826</v>
      </c>
      <c r="BA551" s="5" t="s">
        <v>827</v>
      </c>
      <c r="BB551" s="5" t="s">
        <v>68</v>
      </c>
      <c r="BC551" s="5" t="s">
        <v>128</v>
      </c>
      <c r="BD551" s="5" t="s">
        <v>132</v>
      </c>
      <c r="BE551" s="5" t="s">
        <v>91</v>
      </c>
    </row>
    <row r="552" ht="16.5" hidden="1" customHeight="1">
      <c r="A552" s="5" t="s">
        <v>155</v>
      </c>
      <c r="B552" s="5"/>
      <c r="C552" s="5" t="b">
        <v>1</v>
      </c>
      <c r="D552" s="5" t="s">
        <v>36</v>
      </c>
      <c r="E552" s="5" t="s">
        <v>2191</v>
      </c>
      <c r="F552" s="5"/>
      <c r="G552" s="5" t="s">
        <v>65</v>
      </c>
      <c r="H552" s="5" t="s">
        <v>2186</v>
      </c>
      <c r="I552" s="5" t="s">
        <v>202</v>
      </c>
      <c r="J552" s="25" t="s">
        <v>2190</v>
      </c>
      <c r="K552" s="25"/>
      <c r="L552" s="25" t="s">
        <v>181</v>
      </c>
      <c r="M552" s="5" t="s">
        <v>500</v>
      </c>
      <c r="N552" s="5" t="s">
        <v>68</v>
      </c>
      <c r="O552" s="5" t="s">
        <v>69</v>
      </c>
      <c r="P552" s="5" t="s">
        <v>107</v>
      </c>
      <c r="Q552" s="5" t="b">
        <v>0</v>
      </c>
      <c r="R552" s="5" t="b">
        <v>0</v>
      </c>
      <c r="S552" s="5"/>
      <c r="T552" s="43">
        <v>4000.0</v>
      </c>
      <c r="U552" s="26"/>
      <c r="V552" s="5"/>
      <c r="W552" s="27"/>
      <c r="X552" s="28"/>
      <c r="Y552" s="27"/>
      <c r="Z552" s="5" t="s">
        <v>117</v>
      </c>
      <c r="AA552" s="27"/>
      <c r="AB552" s="26"/>
      <c r="AC552" s="5" t="s">
        <v>80</v>
      </c>
      <c r="AD552" s="5" t="s">
        <v>81</v>
      </c>
      <c r="AE552" s="5"/>
      <c r="AF552" s="5"/>
      <c r="AG552" s="5"/>
      <c r="AH552" s="5"/>
      <c r="AI552" s="42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5"/>
      <c r="AY552" s="5" t="s">
        <v>86</v>
      </c>
      <c r="AZ552" s="5" t="s">
        <v>826</v>
      </c>
      <c r="BA552" s="5" t="s">
        <v>827</v>
      </c>
      <c r="BB552" s="5" t="s">
        <v>68</v>
      </c>
      <c r="BC552" s="5" t="s">
        <v>128</v>
      </c>
      <c r="BD552" s="5" t="s">
        <v>132</v>
      </c>
      <c r="BE552" s="5" t="s">
        <v>91</v>
      </c>
    </row>
    <row r="553" ht="16.5" hidden="1" customHeight="1">
      <c r="A553" s="5" t="s">
        <v>155</v>
      </c>
      <c r="B553" s="5"/>
      <c r="C553" s="5" t="b">
        <v>1</v>
      </c>
      <c r="D553" s="5" t="s">
        <v>36</v>
      </c>
      <c r="E553" s="5" t="s">
        <v>2192</v>
      </c>
      <c r="F553" s="5"/>
      <c r="G553" s="5" t="s">
        <v>65</v>
      </c>
      <c r="H553" s="5" t="s">
        <v>2186</v>
      </c>
      <c r="I553" s="5" t="s">
        <v>202</v>
      </c>
      <c r="J553" s="25" t="s">
        <v>2193</v>
      </c>
      <c r="K553" s="25"/>
      <c r="L553" s="25" t="s">
        <v>110</v>
      </c>
      <c r="M553" s="5" t="s">
        <v>500</v>
      </c>
      <c r="N553" s="5" t="s">
        <v>68</v>
      </c>
      <c r="O553" s="5" t="s">
        <v>69</v>
      </c>
      <c r="P553" s="5" t="s">
        <v>70</v>
      </c>
      <c r="Q553" s="5" t="b">
        <v>0</v>
      </c>
      <c r="R553" s="5" t="b">
        <v>0</v>
      </c>
      <c r="S553" s="5"/>
      <c r="T553" s="43">
        <v>5000.0</v>
      </c>
      <c r="U553" s="26"/>
      <c r="V553" s="5"/>
      <c r="W553" s="27"/>
      <c r="X553" s="28"/>
      <c r="Y553" s="27"/>
      <c r="Z553" s="5" t="s">
        <v>117</v>
      </c>
      <c r="AA553" s="27"/>
      <c r="AB553" s="26"/>
      <c r="AC553" s="5" t="s">
        <v>80</v>
      </c>
      <c r="AD553" s="5" t="s">
        <v>81</v>
      </c>
      <c r="AE553" s="5"/>
      <c r="AF553" s="5"/>
      <c r="AG553" s="5"/>
      <c r="AH553" s="5"/>
      <c r="AI553" s="42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5"/>
      <c r="AY553" s="5" t="s">
        <v>86</v>
      </c>
      <c r="AZ553" s="5" t="s">
        <v>826</v>
      </c>
      <c r="BA553" s="5" t="s">
        <v>827</v>
      </c>
      <c r="BB553" s="5" t="s">
        <v>68</v>
      </c>
      <c r="BC553" s="5" t="s">
        <v>89</v>
      </c>
      <c r="BD553" s="5" t="s">
        <v>132</v>
      </c>
      <c r="BE553" s="5" t="s">
        <v>91</v>
      </c>
    </row>
    <row r="554" ht="16.5" hidden="1" customHeight="1">
      <c r="A554" s="5" t="s">
        <v>155</v>
      </c>
      <c r="B554" s="5"/>
      <c r="C554" s="5" t="b">
        <v>1</v>
      </c>
      <c r="D554" s="5" t="s">
        <v>36</v>
      </c>
      <c r="E554" s="5" t="s">
        <v>2194</v>
      </c>
      <c r="F554" s="5"/>
      <c r="G554" s="5" t="s">
        <v>65</v>
      </c>
      <c r="H554" s="5" t="s">
        <v>2186</v>
      </c>
      <c r="I554" s="5" t="s">
        <v>202</v>
      </c>
      <c r="J554" s="25" t="s">
        <v>2193</v>
      </c>
      <c r="K554" s="25"/>
      <c r="L554" s="25" t="s">
        <v>110</v>
      </c>
      <c r="M554" s="5" t="s">
        <v>500</v>
      </c>
      <c r="N554" s="5" t="s">
        <v>68</v>
      </c>
      <c r="O554" s="5" t="s">
        <v>69</v>
      </c>
      <c r="P554" s="5" t="s">
        <v>107</v>
      </c>
      <c r="Q554" s="5" t="b">
        <v>0</v>
      </c>
      <c r="R554" s="5" t="b">
        <v>0</v>
      </c>
      <c r="S554" s="5"/>
      <c r="T554" s="43">
        <v>5000.0</v>
      </c>
      <c r="U554" s="26"/>
      <c r="V554" s="5"/>
      <c r="W554" s="27"/>
      <c r="X554" s="28"/>
      <c r="Y554" s="27"/>
      <c r="Z554" s="5" t="s">
        <v>117</v>
      </c>
      <c r="AA554" s="27"/>
      <c r="AB554" s="26"/>
      <c r="AC554" s="5" t="s">
        <v>80</v>
      </c>
      <c r="AD554" s="5" t="s">
        <v>81</v>
      </c>
      <c r="AE554" s="5"/>
      <c r="AF554" s="5"/>
      <c r="AG554" s="5"/>
      <c r="AH554" s="5"/>
      <c r="AI554" s="42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5"/>
      <c r="AY554" s="5" t="s">
        <v>86</v>
      </c>
      <c r="AZ554" s="5" t="s">
        <v>826</v>
      </c>
      <c r="BA554" s="5" t="s">
        <v>827</v>
      </c>
      <c r="BB554" s="5" t="s">
        <v>68</v>
      </c>
      <c r="BC554" s="5" t="s">
        <v>89</v>
      </c>
      <c r="BD554" s="5" t="s">
        <v>132</v>
      </c>
      <c r="BE554" s="5" t="s">
        <v>91</v>
      </c>
    </row>
    <row r="555" ht="16.5" hidden="1" customHeight="1">
      <c r="A555" s="5" t="s">
        <v>155</v>
      </c>
      <c r="B555" s="5"/>
      <c r="C555" s="5" t="b">
        <v>1</v>
      </c>
      <c r="D555" s="5" t="s">
        <v>36</v>
      </c>
      <c r="E555" s="5" t="s">
        <v>2195</v>
      </c>
      <c r="F555" s="5"/>
      <c r="G555" s="5" t="s">
        <v>65</v>
      </c>
      <c r="H555" s="5" t="s">
        <v>2186</v>
      </c>
      <c r="I555" s="5" t="s">
        <v>202</v>
      </c>
      <c r="J555" s="25" t="s">
        <v>2196</v>
      </c>
      <c r="K555" s="25"/>
      <c r="L555" s="25"/>
      <c r="M555" s="5" t="s">
        <v>500</v>
      </c>
      <c r="N555" s="5" t="s">
        <v>126</v>
      </c>
      <c r="O555" s="5" t="s">
        <v>69</v>
      </c>
      <c r="P555" s="5" t="s">
        <v>70</v>
      </c>
      <c r="Q555" s="5" t="b">
        <v>0</v>
      </c>
      <c r="R555" s="5" t="b">
        <v>0</v>
      </c>
      <c r="S555" s="5"/>
      <c r="T555" s="43">
        <v>3200.0</v>
      </c>
      <c r="U555" s="26"/>
      <c r="V555" s="5"/>
      <c r="W555" s="27"/>
      <c r="X555" s="28"/>
      <c r="Y555" s="27"/>
      <c r="Z555" s="5" t="s">
        <v>117</v>
      </c>
      <c r="AA555" s="27"/>
      <c r="AB555" s="26"/>
      <c r="AC555" s="5" t="s">
        <v>81</v>
      </c>
      <c r="AD555" s="5" t="s">
        <v>81</v>
      </c>
      <c r="AE555" s="5"/>
      <c r="AF555" s="5"/>
      <c r="AG555" s="5"/>
      <c r="AH555" s="5"/>
      <c r="AI555" s="42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5"/>
      <c r="AY555" s="5" t="s">
        <v>86</v>
      </c>
      <c r="AZ555" s="5" t="s">
        <v>826</v>
      </c>
      <c r="BB555" s="5" t="s">
        <v>126</v>
      </c>
      <c r="BC555" s="5" t="s">
        <v>89</v>
      </c>
      <c r="BD555" s="5" t="s">
        <v>130</v>
      </c>
      <c r="BE555" s="5" t="s">
        <v>131</v>
      </c>
    </row>
    <row r="556" ht="16.5" hidden="1" customHeight="1">
      <c r="A556" s="5" t="s">
        <v>155</v>
      </c>
      <c r="B556" s="5"/>
      <c r="C556" s="5" t="b">
        <v>1</v>
      </c>
      <c r="D556" s="5" t="s">
        <v>36</v>
      </c>
      <c r="E556" s="5" t="s">
        <v>2197</v>
      </c>
      <c r="F556" s="5"/>
      <c r="G556" s="5" t="s">
        <v>65</v>
      </c>
      <c r="H556" s="5" t="s">
        <v>2186</v>
      </c>
      <c r="I556" s="5" t="s">
        <v>202</v>
      </c>
      <c r="J556" s="25" t="s">
        <v>2196</v>
      </c>
      <c r="K556" s="25"/>
      <c r="L556" s="25"/>
      <c r="M556" s="5" t="s">
        <v>500</v>
      </c>
      <c r="N556" s="5" t="s">
        <v>126</v>
      </c>
      <c r="O556" s="5" t="s">
        <v>69</v>
      </c>
      <c r="P556" s="5" t="s">
        <v>107</v>
      </c>
      <c r="Q556" s="5" t="b">
        <v>0</v>
      </c>
      <c r="R556" s="5" t="b">
        <v>0</v>
      </c>
      <c r="S556" s="5"/>
      <c r="T556" s="43">
        <v>3200.0</v>
      </c>
      <c r="U556" s="26"/>
      <c r="V556" s="5"/>
      <c r="W556" s="27"/>
      <c r="X556" s="28"/>
      <c r="Y556" s="27"/>
      <c r="Z556" s="5" t="s">
        <v>117</v>
      </c>
      <c r="AA556" s="27"/>
      <c r="AB556" s="26"/>
      <c r="AC556" s="5" t="s">
        <v>81</v>
      </c>
      <c r="AD556" s="5" t="s">
        <v>81</v>
      </c>
      <c r="AE556" s="5"/>
      <c r="AF556" s="5"/>
      <c r="AG556" s="5"/>
      <c r="AH556" s="5"/>
      <c r="AI556" s="42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5"/>
      <c r="AY556" s="5" t="s">
        <v>86</v>
      </c>
      <c r="AZ556" s="5" t="s">
        <v>826</v>
      </c>
      <c r="BB556" s="5" t="s">
        <v>126</v>
      </c>
      <c r="BC556" s="5" t="s">
        <v>89</v>
      </c>
      <c r="BD556" s="5" t="s">
        <v>130</v>
      </c>
      <c r="BE556" s="5" t="s">
        <v>131</v>
      </c>
    </row>
    <row r="557" ht="16.5" hidden="1" customHeight="1">
      <c r="A557" s="5" t="s">
        <v>155</v>
      </c>
      <c r="B557" s="5"/>
      <c r="C557" s="5" t="b">
        <v>1</v>
      </c>
      <c r="D557" s="5" t="s">
        <v>36</v>
      </c>
      <c r="E557" s="5" t="s">
        <v>2198</v>
      </c>
      <c r="F557" s="5"/>
      <c r="G557" s="5" t="s">
        <v>65</v>
      </c>
      <c r="H557" s="5" t="s">
        <v>2186</v>
      </c>
      <c r="I557" s="5" t="s">
        <v>202</v>
      </c>
      <c r="J557" s="25" t="s">
        <v>2196</v>
      </c>
      <c r="K557" s="25"/>
      <c r="L557" s="25"/>
      <c r="M557" s="5" t="s">
        <v>500</v>
      </c>
      <c r="N557" s="5" t="s">
        <v>126</v>
      </c>
      <c r="O557" s="5" t="s">
        <v>69</v>
      </c>
      <c r="P557" s="5" t="s">
        <v>70</v>
      </c>
      <c r="Q557" s="5" t="b">
        <v>0</v>
      </c>
      <c r="R557" s="5" t="b">
        <v>0</v>
      </c>
      <c r="S557" s="5"/>
      <c r="T557" s="43">
        <v>2800.0</v>
      </c>
      <c r="U557" s="26"/>
      <c r="V557" s="5"/>
      <c r="W557" s="27"/>
      <c r="X557" s="28"/>
      <c r="Y557" s="27"/>
      <c r="Z557" s="5" t="s">
        <v>117</v>
      </c>
      <c r="AA557" s="27"/>
      <c r="AB557" s="26"/>
      <c r="AC557" s="5" t="s">
        <v>81</v>
      </c>
      <c r="AD557" s="5" t="s">
        <v>81</v>
      </c>
      <c r="AE557" s="5"/>
      <c r="AF557" s="5"/>
      <c r="AG557" s="5"/>
      <c r="AH557" s="5"/>
      <c r="AI557" s="42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5"/>
      <c r="AY557" s="5" t="s">
        <v>86</v>
      </c>
      <c r="AZ557" s="5" t="s">
        <v>826</v>
      </c>
      <c r="BB557" s="5" t="s">
        <v>126</v>
      </c>
      <c r="BC557" s="5" t="s">
        <v>128</v>
      </c>
      <c r="BD557" s="5" t="s">
        <v>130</v>
      </c>
      <c r="BE557" s="5" t="s">
        <v>131</v>
      </c>
    </row>
    <row r="558" ht="16.5" hidden="1" customHeight="1">
      <c r="A558" s="5" t="s">
        <v>155</v>
      </c>
      <c r="B558" s="5"/>
      <c r="C558" s="5" t="b">
        <v>1</v>
      </c>
      <c r="D558" s="5" t="s">
        <v>36</v>
      </c>
      <c r="E558" s="5" t="s">
        <v>2199</v>
      </c>
      <c r="F558" s="5"/>
      <c r="G558" s="5" t="s">
        <v>65</v>
      </c>
      <c r="H558" s="5" t="s">
        <v>2186</v>
      </c>
      <c r="I558" s="5" t="s">
        <v>202</v>
      </c>
      <c r="J558" s="25" t="s">
        <v>2196</v>
      </c>
      <c r="K558" s="25"/>
      <c r="L558" s="25"/>
      <c r="M558" s="5" t="s">
        <v>500</v>
      </c>
      <c r="N558" s="5" t="s">
        <v>126</v>
      </c>
      <c r="O558" s="5" t="s">
        <v>69</v>
      </c>
      <c r="P558" s="5" t="s">
        <v>107</v>
      </c>
      <c r="Q558" s="5" t="b">
        <v>0</v>
      </c>
      <c r="R558" s="5" t="b">
        <v>0</v>
      </c>
      <c r="S558" s="5"/>
      <c r="T558" s="43">
        <v>2800.0</v>
      </c>
      <c r="U558" s="26"/>
      <c r="V558" s="5"/>
      <c r="W558" s="27"/>
      <c r="X558" s="28"/>
      <c r="Y558" s="27"/>
      <c r="Z558" s="5" t="s">
        <v>117</v>
      </c>
      <c r="AA558" s="27"/>
      <c r="AB558" s="26"/>
      <c r="AC558" s="5" t="s">
        <v>81</v>
      </c>
      <c r="AD558" s="5" t="s">
        <v>81</v>
      </c>
      <c r="AE558" s="5"/>
      <c r="AF558" s="5"/>
      <c r="AG558" s="5"/>
      <c r="AH558" s="5"/>
      <c r="AI558" s="42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5"/>
      <c r="AY558" s="5" t="s">
        <v>86</v>
      </c>
      <c r="AZ558" s="5" t="s">
        <v>826</v>
      </c>
      <c r="BB558" s="5" t="s">
        <v>126</v>
      </c>
      <c r="BC558" s="5" t="s">
        <v>128</v>
      </c>
      <c r="BD558" s="5" t="s">
        <v>130</v>
      </c>
      <c r="BE558" s="5" t="s">
        <v>131</v>
      </c>
    </row>
    <row r="559" ht="16.5" hidden="1" customHeight="1">
      <c r="A559" s="5" t="s">
        <v>155</v>
      </c>
      <c r="B559" s="5"/>
      <c r="C559" s="5" t="b">
        <v>1</v>
      </c>
      <c r="D559" s="5" t="s">
        <v>36</v>
      </c>
      <c r="E559" s="5" t="s">
        <v>2200</v>
      </c>
      <c r="F559" s="5"/>
      <c r="G559" s="5" t="s">
        <v>65</v>
      </c>
      <c r="H559" s="5" t="s">
        <v>2186</v>
      </c>
      <c r="I559" s="5" t="s">
        <v>202</v>
      </c>
      <c r="J559" s="25"/>
      <c r="K559" s="25"/>
      <c r="L559" s="25"/>
      <c r="M559" s="5" t="s">
        <v>66</v>
      </c>
      <c r="N559" s="5" t="s">
        <v>270</v>
      </c>
      <c r="O559" s="5" t="s">
        <v>69</v>
      </c>
      <c r="P559" s="5" t="s">
        <v>70</v>
      </c>
      <c r="Q559" s="5" t="b">
        <v>0</v>
      </c>
      <c r="R559" s="5" t="b">
        <v>0</v>
      </c>
      <c r="S559" s="5"/>
      <c r="T559" s="5"/>
      <c r="U559" s="26"/>
      <c r="V559" s="5"/>
      <c r="W559" s="27"/>
      <c r="X559" s="28"/>
      <c r="Y559" s="27"/>
      <c r="Z559" s="5"/>
      <c r="AA559" s="27"/>
      <c r="AB559" s="26"/>
      <c r="AC559" s="5"/>
      <c r="AD559" s="5" t="s">
        <v>81</v>
      </c>
      <c r="AE559" s="5"/>
      <c r="AF559" s="5"/>
      <c r="AG559" s="5"/>
      <c r="AH559" s="5"/>
      <c r="AI559" s="42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5"/>
      <c r="AY559" s="5" t="s">
        <v>125</v>
      </c>
      <c r="AZ559" s="5" t="s">
        <v>174</v>
      </c>
      <c r="BB559" s="5" t="s">
        <v>276</v>
      </c>
      <c r="BC559" s="5" t="s">
        <v>89</v>
      </c>
      <c r="BD559" s="5" t="s">
        <v>277</v>
      </c>
      <c r="BE559" s="5" t="s">
        <v>131</v>
      </c>
    </row>
    <row r="560" ht="16.5" hidden="1" customHeight="1">
      <c r="A560" s="5" t="s">
        <v>155</v>
      </c>
      <c r="B560" s="5"/>
      <c r="C560" s="5" t="b">
        <v>1</v>
      </c>
      <c r="D560" s="5" t="s">
        <v>36</v>
      </c>
      <c r="E560" s="5" t="s">
        <v>2201</v>
      </c>
      <c r="F560" s="5"/>
      <c r="G560" s="5" t="s">
        <v>65</v>
      </c>
      <c r="H560" s="5" t="s">
        <v>2186</v>
      </c>
      <c r="I560" s="5" t="s">
        <v>202</v>
      </c>
      <c r="J560" s="25"/>
      <c r="K560" s="25"/>
      <c r="L560" s="25"/>
      <c r="M560" s="5" t="s">
        <v>66</v>
      </c>
      <c r="N560" s="5" t="s">
        <v>270</v>
      </c>
      <c r="O560" s="5" t="s">
        <v>69</v>
      </c>
      <c r="P560" s="5" t="s">
        <v>107</v>
      </c>
      <c r="Q560" s="5" t="b">
        <v>0</v>
      </c>
      <c r="R560" s="5" t="b">
        <v>0</v>
      </c>
      <c r="S560" s="5"/>
      <c r="T560" s="5"/>
      <c r="U560" s="26"/>
      <c r="V560" s="5"/>
      <c r="W560" s="27"/>
      <c r="X560" s="28"/>
      <c r="Y560" s="27"/>
      <c r="Z560" s="5"/>
      <c r="AA560" s="27"/>
      <c r="AB560" s="26"/>
      <c r="AC560" s="5"/>
      <c r="AD560" s="5" t="s">
        <v>81</v>
      </c>
      <c r="AE560" s="5"/>
      <c r="AF560" s="5"/>
      <c r="AG560" s="5"/>
      <c r="AH560" s="5"/>
      <c r="AI560" s="42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5"/>
      <c r="AY560" s="5" t="s">
        <v>125</v>
      </c>
      <c r="AZ560" s="5" t="s">
        <v>174</v>
      </c>
      <c r="BB560" s="5" t="s">
        <v>276</v>
      </c>
      <c r="BC560" s="5" t="s">
        <v>89</v>
      </c>
      <c r="BD560" s="5" t="s">
        <v>277</v>
      </c>
      <c r="BE560" s="5" t="s">
        <v>131</v>
      </c>
    </row>
    <row r="561" ht="16.5" hidden="1" customHeight="1">
      <c r="A561" s="5" t="s">
        <v>155</v>
      </c>
      <c r="B561" s="5"/>
      <c r="C561" s="5" t="b">
        <v>1</v>
      </c>
      <c r="D561" s="5" t="s">
        <v>36</v>
      </c>
      <c r="E561" s="5" t="s">
        <v>2202</v>
      </c>
      <c r="F561" s="5"/>
      <c r="G561" s="5" t="s">
        <v>65</v>
      </c>
      <c r="H561" s="5" t="s">
        <v>2186</v>
      </c>
      <c r="I561" s="5" t="s">
        <v>202</v>
      </c>
      <c r="J561" s="25"/>
      <c r="K561" s="25"/>
      <c r="L561" s="25"/>
      <c r="M561" s="5" t="s">
        <v>66</v>
      </c>
      <c r="N561" s="5" t="s">
        <v>270</v>
      </c>
      <c r="O561" s="5" t="s">
        <v>69</v>
      </c>
      <c r="P561" s="5" t="s">
        <v>70</v>
      </c>
      <c r="Q561" s="5" t="b">
        <v>0</v>
      </c>
      <c r="R561" s="5" t="b">
        <v>0</v>
      </c>
      <c r="S561" s="5"/>
      <c r="T561" s="5"/>
      <c r="U561" s="26"/>
      <c r="V561" s="5"/>
      <c r="W561" s="27"/>
      <c r="X561" s="28"/>
      <c r="Y561" s="27"/>
      <c r="Z561" s="5"/>
      <c r="AA561" s="27"/>
      <c r="AB561" s="26"/>
      <c r="AC561" s="5"/>
      <c r="AD561" s="5" t="s">
        <v>81</v>
      </c>
      <c r="AE561" s="5"/>
      <c r="AF561" s="5"/>
      <c r="AG561" s="5"/>
      <c r="AH561" s="5"/>
      <c r="AI561" s="42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5"/>
      <c r="AY561" s="5" t="s">
        <v>125</v>
      </c>
      <c r="AZ561" s="5" t="s">
        <v>174</v>
      </c>
      <c r="BB561" s="5" t="s">
        <v>276</v>
      </c>
      <c r="BC561" s="5" t="s">
        <v>373</v>
      </c>
      <c r="BD561" s="5" t="s">
        <v>277</v>
      </c>
      <c r="BE561" s="5" t="s">
        <v>131</v>
      </c>
    </row>
    <row r="562" ht="16.5" hidden="1" customHeight="1">
      <c r="A562" s="5" t="s">
        <v>155</v>
      </c>
      <c r="B562" s="5"/>
      <c r="C562" s="5" t="b">
        <v>1</v>
      </c>
      <c r="D562" s="5" t="s">
        <v>36</v>
      </c>
      <c r="E562" s="5" t="s">
        <v>2203</v>
      </c>
      <c r="F562" s="5"/>
      <c r="G562" s="5" t="s">
        <v>65</v>
      </c>
      <c r="H562" s="5" t="s">
        <v>2186</v>
      </c>
      <c r="I562" s="5" t="s">
        <v>202</v>
      </c>
      <c r="J562" s="25"/>
      <c r="K562" s="25"/>
      <c r="L562" s="25"/>
      <c r="M562" s="5" t="s">
        <v>66</v>
      </c>
      <c r="N562" s="5" t="s">
        <v>270</v>
      </c>
      <c r="O562" s="5" t="s">
        <v>69</v>
      </c>
      <c r="P562" s="5" t="s">
        <v>107</v>
      </c>
      <c r="Q562" s="5" t="b">
        <v>0</v>
      </c>
      <c r="R562" s="5" t="b">
        <v>0</v>
      </c>
      <c r="S562" s="5"/>
      <c r="T562" s="5"/>
      <c r="U562" s="26"/>
      <c r="V562" s="5"/>
      <c r="W562" s="27"/>
      <c r="X562" s="28"/>
      <c r="Y562" s="27"/>
      <c r="Z562" s="5"/>
      <c r="AA562" s="27"/>
      <c r="AB562" s="26"/>
      <c r="AC562" s="5"/>
      <c r="AD562" s="5" t="s">
        <v>81</v>
      </c>
      <c r="AE562" s="5"/>
      <c r="AF562" s="5"/>
      <c r="AG562" s="5"/>
      <c r="AH562" s="5"/>
      <c r="AI562" s="42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5"/>
      <c r="AY562" s="5" t="s">
        <v>125</v>
      </c>
      <c r="AZ562" s="5" t="s">
        <v>174</v>
      </c>
      <c r="BB562" s="5" t="s">
        <v>276</v>
      </c>
      <c r="BC562" s="5" t="s">
        <v>373</v>
      </c>
      <c r="BD562" s="5" t="s">
        <v>277</v>
      </c>
      <c r="BE562" s="5" t="s">
        <v>131</v>
      </c>
    </row>
    <row r="563" ht="16.5" hidden="1" customHeight="1">
      <c r="A563" s="5" t="s">
        <v>155</v>
      </c>
      <c r="B563" s="5"/>
      <c r="C563" s="5" t="b">
        <v>1</v>
      </c>
      <c r="D563" s="5" t="s">
        <v>36</v>
      </c>
      <c r="E563" s="5" t="s">
        <v>2204</v>
      </c>
      <c r="F563" s="5"/>
      <c r="G563" s="5" t="s">
        <v>65</v>
      </c>
      <c r="H563" s="5" t="s">
        <v>2186</v>
      </c>
      <c r="I563" s="5" t="s">
        <v>202</v>
      </c>
      <c r="J563" s="25"/>
      <c r="K563" s="25"/>
      <c r="L563" s="25"/>
      <c r="M563" s="5" t="s">
        <v>66</v>
      </c>
      <c r="N563" s="5" t="s">
        <v>270</v>
      </c>
      <c r="O563" s="5" t="s">
        <v>69</v>
      </c>
      <c r="P563" s="5" t="s">
        <v>70</v>
      </c>
      <c r="Q563" s="5" t="b">
        <v>0</v>
      </c>
      <c r="R563" s="5" t="b">
        <v>0</v>
      </c>
      <c r="S563" s="5"/>
      <c r="T563" s="5"/>
      <c r="U563" s="26"/>
      <c r="V563" s="5"/>
      <c r="W563" s="27"/>
      <c r="X563" s="28"/>
      <c r="Y563" s="27"/>
      <c r="Z563" s="5"/>
      <c r="AA563" s="27"/>
      <c r="AB563" s="26"/>
      <c r="AC563" s="5"/>
      <c r="AD563" s="5" t="s">
        <v>81</v>
      </c>
      <c r="AE563" s="5"/>
      <c r="AF563" s="5"/>
      <c r="AG563" s="5"/>
      <c r="AH563" s="5"/>
      <c r="AI563" s="42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5"/>
      <c r="AY563" s="5" t="s">
        <v>125</v>
      </c>
      <c r="AZ563" s="5" t="s">
        <v>127</v>
      </c>
      <c r="BB563" s="5" t="s">
        <v>276</v>
      </c>
      <c r="BC563" s="5" t="s">
        <v>373</v>
      </c>
      <c r="BD563" s="5" t="s">
        <v>277</v>
      </c>
      <c r="BE563" s="5" t="s">
        <v>131</v>
      </c>
    </row>
    <row r="564" ht="16.5" hidden="1" customHeight="1">
      <c r="A564" s="5" t="s">
        <v>155</v>
      </c>
      <c r="B564" s="5"/>
      <c r="C564" s="5" t="b">
        <v>1</v>
      </c>
      <c r="D564" s="5" t="s">
        <v>36</v>
      </c>
      <c r="E564" s="5" t="s">
        <v>2205</v>
      </c>
      <c r="F564" s="5"/>
      <c r="G564" s="5" t="s">
        <v>65</v>
      </c>
      <c r="H564" s="5" t="s">
        <v>2186</v>
      </c>
      <c r="I564" s="5" t="s">
        <v>202</v>
      </c>
      <c r="J564" s="25"/>
      <c r="K564" s="25"/>
      <c r="L564" s="25"/>
      <c r="M564" s="5" t="s">
        <v>66</v>
      </c>
      <c r="N564" s="5" t="s">
        <v>270</v>
      </c>
      <c r="O564" s="5" t="s">
        <v>69</v>
      </c>
      <c r="P564" s="5" t="s">
        <v>107</v>
      </c>
      <c r="Q564" s="5" t="b">
        <v>0</v>
      </c>
      <c r="R564" s="5" t="b">
        <v>0</v>
      </c>
      <c r="S564" s="5"/>
      <c r="T564" s="5"/>
      <c r="U564" s="26"/>
      <c r="V564" s="5"/>
      <c r="W564" s="27"/>
      <c r="X564" s="28"/>
      <c r="Y564" s="27"/>
      <c r="Z564" s="5"/>
      <c r="AA564" s="27"/>
      <c r="AB564" s="26"/>
      <c r="AC564" s="5"/>
      <c r="AD564" s="5" t="s">
        <v>81</v>
      </c>
      <c r="AE564" s="5"/>
      <c r="AF564" s="5"/>
      <c r="AG564" s="5"/>
      <c r="AH564" s="5"/>
      <c r="AI564" s="42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5"/>
      <c r="AY564" s="5" t="s">
        <v>125</v>
      </c>
      <c r="AZ564" s="5" t="s">
        <v>127</v>
      </c>
      <c r="BB564" s="5" t="s">
        <v>276</v>
      </c>
      <c r="BC564" s="5" t="s">
        <v>373</v>
      </c>
      <c r="BD564" s="5" t="s">
        <v>277</v>
      </c>
      <c r="BE564" s="5" t="s">
        <v>131</v>
      </c>
    </row>
    <row r="565" ht="16.5" hidden="1" customHeight="1">
      <c r="A565" s="5" t="s">
        <v>155</v>
      </c>
      <c r="B565" s="5"/>
      <c r="C565" s="5" t="b">
        <v>1</v>
      </c>
      <c r="D565" s="5" t="s">
        <v>36</v>
      </c>
      <c r="E565" s="5" t="s">
        <v>2206</v>
      </c>
      <c r="F565" s="5"/>
      <c r="G565" s="5" t="s">
        <v>65</v>
      </c>
      <c r="H565" s="5" t="s">
        <v>2186</v>
      </c>
      <c r="I565" s="5" t="s">
        <v>202</v>
      </c>
      <c r="J565" s="25"/>
      <c r="K565" s="25"/>
      <c r="L565" s="25"/>
      <c r="M565" s="5" t="s">
        <v>66</v>
      </c>
      <c r="N565" s="5" t="s">
        <v>270</v>
      </c>
      <c r="O565" s="5" t="s">
        <v>69</v>
      </c>
      <c r="P565" s="5" t="s">
        <v>70</v>
      </c>
      <c r="Q565" s="5" t="b">
        <v>0</v>
      </c>
      <c r="R565" s="5" t="b">
        <v>0</v>
      </c>
      <c r="S565" s="5"/>
      <c r="T565" s="5"/>
      <c r="U565" s="26"/>
      <c r="V565" s="5"/>
      <c r="W565" s="27"/>
      <c r="X565" s="28"/>
      <c r="Y565" s="27"/>
      <c r="Z565" s="5"/>
      <c r="AA565" s="27"/>
      <c r="AB565" s="26"/>
      <c r="AC565" s="5"/>
      <c r="AD565" s="5" t="s">
        <v>81</v>
      </c>
      <c r="AE565" s="5"/>
      <c r="AF565" s="5"/>
      <c r="AG565" s="5"/>
      <c r="AH565" s="5"/>
      <c r="AI565" s="42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5"/>
      <c r="AY565" s="5" t="s">
        <v>125</v>
      </c>
      <c r="AZ565" s="5" t="s">
        <v>127</v>
      </c>
      <c r="BB565" s="5" t="s">
        <v>276</v>
      </c>
      <c r="BC565" s="5" t="s">
        <v>161</v>
      </c>
      <c r="BD565" s="5" t="s">
        <v>277</v>
      </c>
      <c r="BE565" s="5" t="s">
        <v>131</v>
      </c>
    </row>
    <row r="566" ht="16.5" hidden="1" customHeight="1">
      <c r="A566" s="5" t="s">
        <v>155</v>
      </c>
      <c r="B566" s="5"/>
      <c r="C566" s="5" t="b">
        <v>1</v>
      </c>
      <c r="D566" s="5" t="s">
        <v>36</v>
      </c>
      <c r="E566" s="5" t="s">
        <v>2207</v>
      </c>
      <c r="F566" s="5"/>
      <c r="G566" s="5" t="s">
        <v>65</v>
      </c>
      <c r="H566" s="5" t="s">
        <v>2186</v>
      </c>
      <c r="I566" s="5" t="s">
        <v>202</v>
      </c>
      <c r="J566" s="25"/>
      <c r="K566" s="25"/>
      <c r="L566" s="25"/>
      <c r="M566" s="5" t="s">
        <v>66</v>
      </c>
      <c r="N566" s="5" t="s">
        <v>270</v>
      </c>
      <c r="O566" s="5" t="s">
        <v>69</v>
      </c>
      <c r="P566" s="5" t="s">
        <v>107</v>
      </c>
      <c r="Q566" s="5" t="b">
        <v>0</v>
      </c>
      <c r="R566" s="5" t="b">
        <v>0</v>
      </c>
      <c r="S566" s="5"/>
      <c r="T566" s="5"/>
      <c r="U566" s="26"/>
      <c r="V566" s="5"/>
      <c r="W566" s="27"/>
      <c r="X566" s="28"/>
      <c r="Y566" s="27"/>
      <c r="Z566" s="5"/>
      <c r="AA566" s="27"/>
      <c r="AB566" s="26"/>
      <c r="AC566" s="5"/>
      <c r="AD566" s="5" t="s">
        <v>81</v>
      </c>
      <c r="AE566" s="5"/>
      <c r="AF566" s="5"/>
      <c r="AG566" s="5"/>
      <c r="AH566" s="5"/>
      <c r="AI566" s="42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5"/>
      <c r="AY566" s="5" t="s">
        <v>125</v>
      </c>
      <c r="AZ566" s="5" t="s">
        <v>127</v>
      </c>
      <c r="BB566" s="5" t="s">
        <v>276</v>
      </c>
      <c r="BC566" s="5" t="s">
        <v>161</v>
      </c>
      <c r="BD566" s="5" t="s">
        <v>277</v>
      </c>
      <c r="BE566" s="5" t="s">
        <v>131</v>
      </c>
    </row>
    <row r="567" ht="16.5" hidden="1" customHeight="1">
      <c r="A567" s="5" t="s">
        <v>155</v>
      </c>
      <c r="B567" s="5"/>
      <c r="C567" s="5" t="b">
        <v>1</v>
      </c>
      <c r="D567" s="5" t="s">
        <v>36</v>
      </c>
      <c r="E567" s="5" t="s">
        <v>2208</v>
      </c>
      <c r="F567" s="5"/>
      <c r="G567" s="5" t="s">
        <v>65</v>
      </c>
      <c r="H567" s="5" t="s">
        <v>2186</v>
      </c>
      <c r="I567" s="5" t="s">
        <v>202</v>
      </c>
      <c r="J567" s="25"/>
      <c r="K567" s="25"/>
      <c r="L567" s="5"/>
      <c r="M567" s="5" t="s">
        <v>66</v>
      </c>
      <c r="N567" s="5" t="s">
        <v>355</v>
      </c>
      <c r="O567" s="5" t="s">
        <v>69</v>
      </c>
      <c r="P567" s="5" t="s">
        <v>70</v>
      </c>
      <c r="Q567" s="5" t="b">
        <v>0</v>
      </c>
      <c r="R567" s="5" t="b">
        <v>0</v>
      </c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 t="s">
        <v>198</v>
      </c>
      <c r="AD567" s="5" t="s">
        <v>81</v>
      </c>
      <c r="AE567" s="5"/>
      <c r="AF567" s="5"/>
      <c r="AG567" s="5"/>
      <c r="AH567" s="5"/>
      <c r="AI567" s="42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 t="s">
        <v>125</v>
      </c>
      <c r="AZ567" s="5" t="s">
        <v>127</v>
      </c>
      <c r="BA567" s="5" t="s">
        <v>237</v>
      </c>
      <c r="BB567" s="5" t="s">
        <v>355</v>
      </c>
      <c r="BC567" s="5" t="s">
        <v>373</v>
      </c>
      <c r="BD567" s="5" t="s">
        <v>367</v>
      </c>
      <c r="BE567" s="5" t="s">
        <v>131</v>
      </c>
    </row>
    <row r="568" ht="16.5" hidden="1" customHeight="1">
      <c r="A568" s="5" t="s">
        <v>155</v>
      </c>
      <c r="B568" s="5"/>
      <c r="C568" s="5" t="b">
        <v>1</v>
      </c>
      <c r="D568" s="5" t="s">
        <v>36</v>
      </c>
      <c r="E568" s="5" t="s">
        <v>2209</v>
      </c>
      <c r="F568" s="5"/>
      <c r="G568" s="5" t="s">
        <v>65</v>
      </c>
      <c r="H568" s="5" t="s">
        <v>2186</v>
      </c>
      <c r="I568" s="5" t="s">
        <v>202</v>
      </c>
      <c r="J568" s="25"/>
      <c r="K568" s="25"/>
      <c r="L568" s="5"/>
      <c r="M568" s="5" t="s">
        <v>66</v>
      </c>
      <c r="N568" s="5" t="s">
        <v>355</v>
      </c>
      <c r="O568" s="5" t="s">
        <v>69</v>
      </c>
      <c r="P568" s="5" t="s">
        <v>107</v>
      </c>
      <c r="Q568" s="5" t="b">
        <v>0</v>
      </c>
      <c r="R568" s="5" t="b">
        <v>0</v>
      </c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 t="s">
        <v>198</v>
      </c>
      <c r="AD568" s="5" t="s">
        <v>81</v>
      </c>
      <c r="AE568" s="5"/>
      <c r="AF568" s="5"/>
      <c r="AG568" s="5"/>
      <c r="AH568" s="5"/>
      <c r="AI568" s="42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 t="s">
        <v>125</v>
      </c>
      <c r="AZ568" s="5" t="s">
        <v>127</v>
      </c>
      <c r="BA568" s="5" t="s">
        <v>237</v>
      </c>
      <c r="BB568" s="5" t="s">
        <v>355</v>
      </c>
      <c r="BC568" s="5" t="s">
        <v>373</v>
      </c>
      <c r="BD568" s="5" t="s">
        <v>367</v>
      </c>
      <c r="BE568" s="5" t="s">
        <v>131</v>
      </c>
    </row>
    <row r="569" ht="16.5" hidden="1" customHeight="1">
      <c r="A569" s="5" t="s">
        <v>155</v>
      </c>
      <c r="B569" s="5"/>
      <c r="C569" s="5" t="b">
        <v>1</v>
      </c>
      <c r="D569" s="5" t="s">
        <v>36</v>
      </c>
      <c r="E569" s="5" t="s">
        <v>2210</v>
      </c>
      <c r="F569" s="5"/>
      <c r="G569" s="5" t="s">
        <v>65</v>
      </c>
      <c r="H569" s="5" t="s">
        <v>2186</v>
      </c>
      <c r="I569" s="5" t="s">
        <v>202</v>
      </c>
      <c r="J569" s="25"/>
      <c r="K569" s="25"/>
      <c r="L569" s="5"/>
      <c r="M569" s="5" t="s">
        <v>66</v>
      </c>
      <c r="N569" s="5" t="s">
        <v>113</v>
      </c>
      <c r="O569" s="5" t="s">
        <v>69</v>
      </c>
      <c r="P569" s="5" t="s">
        <v>107</v>
      </c>
      <c r="Q569" s="5" t="b">
        <v>0</v>
      </c>
      <c r="R569" s="5" t="b">
        <v>0</v>
      </c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 t="s">
        <v>81</v>
      </c>
      <c r="AE569" s="5"/>
      <c r="AF569" s="5"/>
      <c r="AG569" s="5"/>
      <c r="AH569" s="5"/>
      <c r="AI569" s="42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 t="s">
        <v>125</v>
      </c>
      <c r="AZ569" s="5" t="s">
        <v>127</v>
      </c>
      <c r="BB569" s="5" t="s">
        <v>126</v>
      </c>
      <c r="BC569" s="5" t="s">
        <v>1032</v>
      </c>
      <c r="BD569" s="5" t="s">
        <v>130</v>
      </c>
      <c r="BE569" s="5" t="s">
        <v>131</v>
      </c>
    </row>
    <row r="570" ht="16.5" hidden="1" customHeight="1">
      <c r="A570" s="5" t="s">
        <v>155</v>
      </c>
      <c r="B570" s="5"/>
      <c r="C570" s="5" t="b">
        <v>1</v>
      </c>
      <c r="D570" s="5" t="s">
        <v>36</v>
      </c>
      <c r="E570" s="5" t="s">
        <v>2211</v>
      </c>
      <c r="F570" s="5"/>
      <c r="G570" s="5" t="s">
        <v>65</v>
      </c>
      <c r="H570" s="5" t="s">
        <v>2186</v>
      </c>
      <c r="I570" s="5" t="s">
        <v>202</v>
      </c>
      <c r="J570" s="25"/>
      <c r="K570" s="25" t="s">
        <v>181</v>
      </c>
      <c r="L570" s="5"/>
      <c r="M570" s="5" t="s">
        <v>66</v>
      </c>
      <c r="N570" s="5" t="s">
        <v>355</v>
      </c>
      <c r="O570" s="5" t="s">
        <v>69</v>
      </c>
      <c r="P570" s="5" t="s">
        <v>70</v>
      </c>
      <c r="Q570" s="5" t="b">
        <v>0</v>
      </c>
      <c r="R570" s="5" t="b">
        <v>0</v>
      </c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 t="s">
        <v>81</v>
      </c>
      <c r="AE570" s="5"/>
      <c r="AF570" s="5"/>
      <c r="AG570" s="5"/>
      <c r="AH570" s="5"/>
      <c r="AI570" s="42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 t="s">
        <v>125</v>
      </c>
      <c r="AZ570" s="5" t="s">
        <v>127</v>
      </c>
      <c r="BA570" s="5" t="s">
        <v>237</v>
      </c>
      <c r="BB570" s="5" t="s">
        <v>355</v>
      </c>
      <c r="BC570" s="5" t="s">
        <v>128</v>
      </c>
      <c r="BD570" s="5" t="s">
        <v>367</v>
      </c>
      <c r="BE570" s="5" t="s">
        <v>131</v>
      </c>
    </row>
    <row r="571" ht="16.5" hidden="1" customHeight="1">
      <c r="A571" s="5" t="s">
        <v>155</v>
      </c>
      <c r="B571" s="5"/>
      <c r="C571" s="5" t="b">
        <v>1</v>
      </c>
      <c r="D571" s="5" t="s">
        <v>36</v>
      </c>
      <c r="E571" s="5" t="s">
        <v>2212</v>
      </c>
      <c r="F571" s="5"/>
      <c r="G571" s="5" t="s">
        <v>65</v>
      </c>
      <c r="H571" s="5" t="s">
        <v>2186</v>
      </c>
      <c r="I571" s="5" t="s">
        <v>202</v>
      </c>
      <c r="J571" s="25"/>
      <c r="K571" s="25" t="s">
        <v>181</v>
      </c>
      <c r="L571" s="5"/>
      <c r="M571" s="5" t="s">
        <v>66</v>
      </c>
      <c r="N571" s="5" t="s">
        <v>355</v>
      </c>
      <c r="O571" s="5" t="s">
        <v>69</v>
      </c>
      <c r="P571" s="5" t="s">
        <v>107</v>
      </c>
      <c r="Q571" s="5" t="b">
        <v>0</v>
      </c>
      <c r="R571" s="5" t="b">
        <v>0</v>
      </c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 t="s">
        <v>81</v>
      </c>
      <c r="AE571" s="5"/>
      <c r="AF571" s="5"/>
      <c r="AG571" s="5"/>
      <c r="AH571" s="5"/>
      <c r="AI571" s="42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 t="s">
        <v>125</v>
      </c>
      <c r="AZ571" s="5" t="s">
        <v>127</v>
      </c>
      <c r="BA571" s="5" t="s">
        <v>237</v>
      </c>
      <c r="BB571" s="5" t="s">
        <v>355</v>
      </c>
      <c r="BC571" s="5" t="s">
        <v>128</v>
      </c>
      <c r="BD571" s="5" t="s">
        <v>367</v>
      </c>
      <c r="BE571" s="5" t="s">
        <v>131</v>
      </c>
    </row>
    <row r="572" ht="16.5" hidden="1" customHeight="1">
      <c r="A572" s="5" t="s">
        <v>155</v>
      </c>
      <c r="B572" s="5"/>
      <c r="C572" s="5" t="b">
        <v>1</v>
      </c>
      <c r="D572" s="5" t="s">
        <v>36</v>
      </c>
      <c r="E572" s="5" t="s">
        <v>2213</v>
      </c>
      <c r="F572" s="5"/>
      <c r="G572" s="5" t="s">
        <v>65</v>
      </c>
      <c r="H572" s="5" t="s">
        <v>2186</v>
      </c>
      <c r="I572" s="5" t="s">
        <v>202</v>
      </c>
      <c r="J572" s="25"/>
      <c r="K572" s="25" t="s">
        <v>181</v>
      </c>
      <c r="L572" s="5"/>
      <c r="M572" s="5" t="s">
        <v>66</v>
      </c>
      <c r="N572" s="5" t="s">
        <v>355</v>
      </c>
      <c r="O572" s="5" t="s">
        <v>69</v>
      </c>
      <c r="P572" s="5" t="s">
        <v>70</v>
      </c>
      <c r="Q572" s="5" t="b">
        <v>0</v>
      </c>
      <c r="R572" s="5" t="b">
        <v>0</v>
      </c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 t="s">
        <v>81</v>
      </c>
      <c r="AE572" s="5"/>
      <c r="AF572" s="5"/>
      <c r="AG572" s="5"/>
      <c r="AH572" s="5"/>
      <c r="AI572" s="42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 t="s">
        <v>125</v>
      </c>
      <c r="AZ572" s="5" t="s">
        <v>127</v>
      </c>
      <c r="BB572" s="5" t="s">
        <v>355</v>
      </c>
      <c r="BC572" s="5" t="s">
        <v>128</v>
      </c>
      <c r="BD572" s="5" t="s">
        <v>367</v>
      </c>
      <c r="BE572" s="5" t="s">
        <v>131</v>
      </c>
    </row>
    <row r="573" ht="16.5" hidden="1" customHeight="1">
      <c r="A573" s="5" t="s">
        <v>155</v>
      </c>
      <c r="B573" s="5"/>
      <c r="C573" s="5" t="b">
        <v>1</v>
      </c>
      <c r="D573" s="5" t="s">
        <v>36</v>
      </c>
      <c r="E573" s="5" t="s">
        <v>2214</v>
      </c>
      <c r="F573" s="5"/>
      <c r="G573" s="5" t="s">
        <v>65</v>
      </c>
      <c r="H573" s="5" t="s">
        <v>2186</v>
      </c>
      <c r="I573" s="5" t="s">
        <v>202</v>
      </c>
      <c r="J573" s="25"/>
      <c r="K573" s="25" t="s">
        <v>181</v>
      </c>
      <c r="L573" s="5"/>
      <c r="M573" s="5" t="s">
        <v>66</v>
      </c>
      <c r="N573" s="5" t="s">
        <v>355</v>
      </c>
      <c r="O573" s="5" t="s">
        <v>69</v>
      </c>
      <c r="P573" s="5" t="s">
        <v>107</v>
      </c>
      <c r="Q573" s="5" t="b">
        <v>0</v>
      </c>
      <c r="R573" s="5" t="b">
        <v>0</v>
      </c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 t="s">
        <v>81</v>
      </c>
      <c r="AE573" s="5"/>
      <c r="AF573" s="5"/>
      <c r="AG573" s="5"/>
      <c r="AH573" s="5"/>
      <c r="AI573" s="42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 t="s">
        <v>125</v>
      </c>
      <c r="AZ573" s="5" t="s">
        <v>127</v>
      </c>
      <c r="BB573" s="5" t="s">
        <v>355</v>
      </c>
      <c r="BC573" s="5" t="s">
        <v>128</v>
      </c>
      <c r="BD573" s="5" t="s">
        <v>367</v>
      </c>
      <c r="BE573" s="5" t="s">
        <v>131</v>
      </c>
    </row>
    <row r="574" ht="16.5" customHeight="1">
      <c r="A574" s="5" t="s">
        <v>155</v>
      </c>
      <c r="B574" s="5"/>
      <c r="C574" s="5" t="b">
        <v>1</v>
      </c>
      <c r="D574" s="5" t="s">
        <v>36</v>
      </c>
      <c r="E574" s="5" t="s">
        <v>2215</v>
      </c>
      <c r="F574" s="5"/>
      <c r="G574" s="5" t="s">
        <v>65</v>
      </c>
      <c r="H574" s="5" t="s">
        <v>2186</v>
      </c>
      <c r="I574" s="5" t="s">
        <v>202</v>
      </c>
      <c r="J574" s="25"/>
      <c r="K574" s="25"/>
      <c r="L574" s="5"/>
      <c r="M574" s="5" t="s">
        <v>500</v>
      </c>
      <c r="N574" s="5" t="s">
        <v>355</v>
      </c>
      <c r="O574" s="5" t="s">
        <v>69</v>
      </c>
      <c r="P574" s="5" t="s">
        <v>107</v>
      </c>
      <c r="Q574" s="5" t="b">
        <v>0</v>
      </c>
      <c r="R574" s="5" t="b">
        <v>0</v>
      </c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42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 t="s">
        <v>125</v>
      </c>
      <c r="AZ574" s="5" t="s">
        <v>127</v>
      </c>
      <c r="BB574" s="5" t="s">
        <v>355</v>
      </c>
      <c r="BE574" s="5" t="s">
        <v>131</v>
      </c>
      <c r="BF574" s="5" t="s">
        <v>2216</v>
      </c>
    </row>
    <row r="575" ht="16.5" hidden="1" customHeight="1">
      <c r="A575" s="5" t="s">
        <v>155</v>
      </c>
      <c r="B575" s="5"/>
      <c r="C575" s="5" t="b">
        <v>1</v>
      </c>
      <c r="D575" s="5" t="s">
        <v>36</v>
      </c>
      <c r="E575" s="5" t="s">
        <v>2217</v>
      </c>
      <c r="F575" s="5"/>
      <c r="G575" s="5" t="s">
        <v>65</v>
      </c>
      <c r="H575" s="5" t="s">
        <v>2186</v>
      </c>
      <c r="I575" s="5" t="s">
        <v>202</v>
      </c>
      <c r="J575" s="25"/>
      <c r="K575" s="25"/>
      <c r="L575" s="5"/>
      <c r="M575" s="5" t="s">
        <v>66</v>
      </c>
      <c r="N575" s="5" t="s">
        <v>942</v>
      </c>
      <c r="O575" s="5" t="s">
        <v>69</v>
      </c>
      <c r="P575" s="5" t="s">
        <v>70</v>
      </c>
      <c r="Q575" s="5" t="b">
        <v>0</v>
      </c>
      <c r="R575" s="5" t="b">
        <v>0</v>
      </c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 t="s">
        <v>81</v>
      </c>
      <c r="AE575" s="5"/>
      <c r="AF575" s="5"/>
      <c r="AG575" s="5"/>
      <c r="AH575" s="5"/>
      <c r="AI575" s="42">
        <v>1000.0</v>
      </c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 t="s">
        <v>125</v>
      </c>
      <c r="AZ575" s="5" t="s">
        <v>127</v>
      </c>
      <c r="BB575" s="5" t="s">
        <v>942</v>
      </c>
      <c r="BC575" s="5" t="s">
        <v>337</v>
      </c>
      <c r="BE575" s="5" t="s">
        <v>131</v>
      </c>
    </row>
    <row r="576" ht="16.5" hidden="1" customHeight="1">
      <c r="A576" s="5" t="s">
        <v>155</v>
      </c>
      <c r="B576" s="5"/>
      <c r="C576" s="5" t="b">
        <v>1</v>
      </c>
      <c r="D576" s="5" t="s">
        <v>36</v>
      </c>
      <c r="E576" s="5" t="s">
        <v>2218</v>
      </c>
      <c r="F576" s="5"/>
      <c r="G576" s="5" t="s">
        <v>65</v>
      </c>
      <c r="H576" s="5" t="s">
        <v>2186</v>
      </c>
      <c r="I576" s="5" t="s">
        <v>202</v>
      </c>
      <c r="J576" s="25"/>
      <c r="K576" s="25"/>
      <c r="L576" s="5"/>
      <c r="M576" s="5" t="s">
        <v>66</v>
      </c>
      <c r="N576" s="5" t="s">
        <v>942</v>
      </c>
      <c r="O576" s="5" t="s">
        <v>69</v>
      </c>
      <c r="P576" s="5" t="s">
        <v>107</v>
      </c>
      <c r="Q576" s="5" t="b">
        <v>0</v>
      </c>
      <c r="R576" s="5" t="b">
        <v>0</v>
      </c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 t="s">
        <v>81</v>
      </c>
      <c r="AE576" s="5"/>
      <c r="AF576" s="5"/>
      <c r="AG576" s="5"/>
      <c r="AH576" s="5"/>
      <c r="AI576" s="42">
        <v>1000.0</v>
      </c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 t="s">
        <v>125</v>
      </c>
      <c r="AZ576" s="5" t="s">
        <v>127</v>
      </c>
      <c r="BB576" s="5" t="s">
        <v>942</v>
      </c>
      <c r="BC576" s="5" t="s">
        <v>337</v>
      </c>
      <c r="BE576" s="5" t="s">
        <v>131</v>
      </c>
    </row>
    <row r="577" ht="16.5" hidden="1" customHeight="1">
      <c r="A577" s="5" t="s">
        <v>155</v>
      </c>
      <c r="B577" s="5"/>
      <c r="C577" s="5" t="b">
        <v>1</v>
      </c>
      <c r="D577" s="5" t="s">
        <v>36</v>
      </c>
      <c r="E577" s="5" t="s">
        <v>2219</v>
      </c>
      <c r="F577" s="5"/>
      <c r="G577" s="5" t="s">
        <v>65</v>
      </c>
      <c r="H577" s="5" t="s">
        <v>2186</v>
      </c>
      <c r="I577" s="5" t="s">
        <v>202</v>
      </c>
      <c r="J577" s="25"/>
      <c r="K577" s="25"/>
      <c r="L577" s="5"/>
      <c r="M577" s="5" t="s">
        <v>66</v>
      </c>
      <c r="N577" s="5" t="s">
        <v>942</v>
      </c>
      <c r="O577" s="5" t="s">
        <v>69</v>
      </c>
      <c r="P577" s="5" t="s">
        <v>70</v>
      </c>
      <c r="Q577" s="5" t="b">
        <v>0</v>
      </c>
      <c r="R577" s="5" t="b">
        <v>0</v>
      </c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 t="s">
        <v>81</v>
      </c>
      <c r="AE577" s="5"/>
      <c r="AF577" s="5"/>
      <c r="AG577" s="5"/>
      <c r="AH577" s="5"/>
      <c r="AI577" s="42">
        <v>1000.0</v>
      </c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 t="s">
        <v>125</v>
      </c>
      <c r="AZ577" s="5" t="s">
        <v>127</v>
      </c>
      <c r="BB577" s="5" t="s">
        <v>942</v>
      </c>
      <c r="BC577" s="5" t="s">
        <v>2220</v>
      </c>
      <c r="BE577" s="5" t="s">
        <v>131</v>
      </c>
    </row>
    <row r="578" ht="16.5" hidden="1" customHeight="1">
      <c r="A578" s="5" t="s">
        <v>155</v>
      </c>
      <c r="B578" s="5"/>
      <c r="C578" s="5" t="b">
        <v>1</v>
      </c>
      <c r="D578" s="5" t="s">
        <v>36</v>
      </c>
      <c r="E578" s="5" t="s">
        <v>2221</v>
      </c>
      <c r="F578" s="5"/>
      <c r="G578" s="5" t="s">
        <v>65</v>
      </c>
      <c r="H578" s="5" t="s">
        <v>2186</v>
      </c>
      <c r="I578" s="5" t="s">
        <v>202</v>
      </c>
      <c r="J578" s="25"/>
      <c r="K578" s="25"/>
      <c r="L578" s="5"/>
      <c r="M578" s="5" t="s">
        <v>66</v>
      </c>
      <c r="N578" s="5" t="s">
        <v>942</v>
      </c>
      <c r="O578" s="5" t="s">
        <v>69</v>
      </c>
      <c r="P578" s="5" t="s">
        <v>107</v>
      </c>
      <c r="Q578" s="5" t="b">
        <v>0</v>
      </c>
      <c r="R578" s="5" t="b">
        <v>0</v>
      </c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 t="s">
        <v>81</v>
      </c>
      <c r="AE578" s="5"/>
      <c r="AF578" s="5"/>
      <c r="AG578" s="5"/>
      <c r="AH578" s="5"/>
      <c r="AI578" s="42">
        <v>1000.0</v>
      </c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 t="s">
        <v>125</v>
      </c>
      <c r="AZ578" s="5" t="s">
        <v>127</v>
      </c>
      <c r="BB578" s="5" t="s">
        <v>942</v>
      </c>
      <c r="BC578" s="5" t="s">
        <v>2220</v>
      </c>
      <c r="BE578" s="5" t="s">
        <v>131</v>
      </c>
    </row>
    <row r="579" ht="16.5" hidden="1" customHeight="1">
      <c r="A579" s="5" t="s">
        <v>155</v>
      </c>
      <c r="B579" s="5"/>
      <c r="C579" s="5" t="b">
        <v>1</v>
      </c>
      <c r="D579" s="5" t="s">
        <v>36</v>
      </c>
      <c r="E579" s="5" t="s">
        <v>2222</v>
      </c>
      <c r="F579" s="5"/>
      <c r="G579" s="5" t="s">
        <v>65</v>
      </c>
      <c r="H579" s="5" t="s">
        <v>2186</v>
      </c>
      <c r="I579" s="5" t="s">
        <v>202</v>
      </c>
      <c r="J579" s="25"/>
      <c r="K579" s="25" t="s">
        <v>386</v>
      </c>
      <c r="L579" s="5"/>
      <c r="M579" s="5" t="s">
        <v>66</v>
      </c>
      <c r="N579" s="5" t="s">
        <v>248</v>
      </c>
      <c r="O579" s="5" t="s">
        <v>69</v>
      </c>
      <c r="P579" s="5" t="s">
        <v>249</v>
      </c>
      <c r="Q579" s="5" t="b">
        <v>0</v>
      </c>
      <c r="R579" s="5" t="b">
        <v>0</v>
      </c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 t="s">
        <v>81</v>
      </c>
      <c r="AE579" s="5"/>
      <c r="AF579" s="5"/>
      <c r="AG579" s="5"/>
      <c r="AH579" s="5"/>
      <c r="AI579" s="42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 t="s">
        <v>125</v>
      </c>
      <c r="AZ579" s="5" t="s">
        <v>127</v>
      </c>
      <c r="BB579" s="5" t="s">
        <v>248</v>
      </c>
      <c r="BC579" s="5" t="s">
        <v>1976</v>
      </c>
      <c r="BE579" s="5" t="s">
        <v>131</v>
      </c>
    </row>
    <row r="580" ht="16.5" hidden="1" customHeight="1">
      <c r="A580" s="5" t="s">
        <v>155</v>
      </c>
      <c r="B580" s="5"/>
      <c r="C580" s="5" t="b">
        <v>1</v>
      </c>
      <c r="D580" s="5" t="s">
        <v>36</v>
      </c>
      <c r="E580" s="5" t="s">
        <v>2223</v>
      </c>
      <c r="F580" s="5"/>
      <c r="G580" s="5" t="s">
        <v>65</v>
      </c>
      <c r="H580" s="5" t="s">
        <v>2186</v>
      </c>
      <c r="I580" s="5" t="s">
        <v>202</v>
      </c>
      <c r="J580" s="25"/>
      <c r="K580" s="25" t="s">
        <v>386</v>
      </c>
      <c r="L580" s="5"/>
      <c r="M580" s="5" t="s">
        <v>220</v>
      </c>
      <c r="N580" s="5" t="s">
        <v>248</v>
      </c>
      <c r="O580" s="5" t="s">
        <v>69</v>
      </c>
      <c r="P580" s="5" t="s">
        <v>249</v>
      </c>
      <c r="Q580" s="5" t="b">
        <v>0</v>
      </c>
      <c r="R580" s="5" t="b">
        <v>0</v>
      </c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 t="s">
        <v>81</v>
      </c>
      <c r="AE580" s="5"/>
      <c r="AF580" s="5"/>
      <c r="AG580" s="5"/>
      <c r="AH580" s="5"/>
      <c r="AI580" s="42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 t="s">
        <v>226</v>
      </c>
      <c r="AZ580" s="5" t="s">
        <v>227</v>
      </c>
      <c r="BB580" s="5" t="s">
        <v>248</v>
      </c>
      <c r="BC580" s="5" t="s">
        <v>723</v>
      </c>
      <c r="BE580" s="5" t="s">
        <v>131</v>
      </c>
    </row>
    <row r="581" ht="16.5" hidden="1" customHeight="1">
      <c r="A581" s="5" t="s">
        <v>155</v>
      </c>
      <c r="B581" s="5"/>
      <c r="C581" s="5" t="b">
        <v>1</v>
      </c>
      <c r="D581" s="5" t="s">
        <v>36</v>
      </c>
      <c r="E581" s="5" t="s">
        <v>2224</v>
      </c>
      <c r="F581" s="5"/>
      <c r="G581" s="5" t="s">
        <v>65</v>
      </c>
      <c r="H581" s="5" t="s">
        <v>2186</v>
      </c>
      <c r="I581" s="5" t="s">
        <v>202</v>
      </c>
      <c r="J581" s="25"/>
      <c r="K581" s="25" t="s">
        <v>386</v>
      </c>
      <c r="L581" s="5"/>
      <c r="M581" s="5" t="s">
        <v>220</v>
      </c>
      <c r="N581" s="5" t="s">
        <v>248</v>
      </c>
      <c r="O581" s="5" t="s">
        <v>69</v>
      </c>
      <c r="P581" s="5" t="s">
        <v>249</v>
      </c>
      <c r="Q581" s="5" t="b">
        <v>0</v>
      </c>
      <c r="R581" s="5" t="b">
        <v>0</v>
      </c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 t="s">
        <v>81</v>
      </c>
      <c r="AE581" s="5"/>
      <c r="AF581" s="5"/>
      <c r="AG581" s="5"/>
      <c r="AH581" s="5"/>
      <c r="AI581" s="42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 t="s">
        <v>226</v>
      </c>
      <c r="AZ581" s="5" t="s">
        <v>227</v>
      </c>
      <c r="BB581" s="5" t="s">
        <v>248</v>
      </c>
      <c r="BC581" s="5" t="s">
        <v>723</v>
      </c>
      <c r="BE581" s="5" t="s">
        <v>131</v>
      </c>
    </row>
    <row r="582" ht="16.5" hidden="1" customHeight="1">
      <c r="A582" s="5" t="s">
        <v>155</v>
      </c>
      <c r="B582" s="5"/>
      <c r="C582" s="5" t="b">
        <v>1</v>
      </c>
      <c r="D582" s="5" t="s">
        <v>36</v>
      </c>
      <c r="E582" s="5" t="s">
        <v>2225</v>
      </c>
      <c r="F582" s="5"/>
      <c r="G582" s="5" t="s">
        <v>65</v>
      </c>
      <c r="H582" s="5" t="s">
        <v>2186</v>
      </c>
      <c r="I582" s="5" t="s">
        <v>202</v>
      </c>
      <c r="J582" s="25"/>
      <c r="K582" s="25" t="s">
        <v>386</v>
      </c>
      <c r="L582" s="5"/>
      <c r="M582" s="5" t="s">
        <v>220</v>
      </c>
      <c r="N582" s="5" t="s">
        <v>248</v>
      </c>
      <c r="O582" s="5" t="s">
        <v>69</v>
      </c>
      <c r="P582" s="5" t="s">
        <v>249</v>
      </c>
      <c r="Q582" s="5" t="b">
        <v>0</v>
      </c>
      <c r="R582" s="5" t="b">
        <v>0</v>
      </c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 t="s">
        <v>81</v>
      </c>
      <c r="AE582" s="5"/>
      <c r="AF582" s="5"/>
      <c r="AG582" s="5"/>
      <c r="AH582" s="5"/>
      <c r="AI582" s="42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 t="s">
        <v>226</v>
      </c>
      <c r="AZ582" s="5" t="s">
        <v>227</v>
      </c>
      <c r="BB582" s="5" t="s">
        <v>248</v>
      </c>
      <c r="BC582" s="5" t="s">
        <v>2226</v>
      </c>
      <c r="BE582" s="5" t="s">
        <v>131</v>
      </c>
    </row>
    <row r="583" ht="16.5" hidden="1" customHeight="1">
      <c r="A583" s="5" t="s">
        <v>155</v>
      </c>
      <c r="B583" s="5"/>
      <c r="C583" s="5" t="b">
        <v>1</v>
      </c>
      <c r="D583" s="5" t="s">
        <v>36</v>
      </c>
      <c r="E583" s="5" t="s">
        <v>2227</v>
      </c>
      <c r="F583" s="5"/>
      <c r="G583" s="5" t="s">
        <v>65</v>
      </c>
      <c r="H583" s="5" t="s">
        <v>2186</v>
      </c>
      <c r="I583" s="5" t="s">
        <v>202</v>
      </c>
      <c r="J583" s="25"/>
      <c r="K583" s="25" t="s">
        <v>386</v>
      </c>
      <c r="L583" s="5"/>
      <c r="M583" s="5" t="s">
        <v>66</v>
      </c>
      <c r="N583" s="5" t="s">
        <v>248</v>
      </c>
      <c r="O583" s="5" t="s">
        <v>69</v>
      </c>
      <c r="P583" s="5" t="s">
        <v>249</v>
      </c>
      <c r="Q583" s="5" t="b">
        <v>0</v>
      </c>
      <c r="R583" s="5" t="b">
        <v>0</v>
      </c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 t="s">
        <v>81</v>
      </c>
      <c r="AE583" s="5"/>
      <c r="AF583" s="5"/>
      <c r="AG583" s="5"/>
      <c r="AH583" s="5"/>
      <c r="AI583" s="42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 t="s">
        <v>125</v>
      </c>
      <c r="AZ583" s="5" t="s">
        <v>127</v>
      </c>
      <c r="BB583" s="5" t="s">
        <v>248</v>
      </c>
      <c r="BC583" s="5" t="s">
        <v>2226</v>
      </c>
      <c r="BE583" s="5" t="s">
        <v>131</v>
      </c>
    </row>
    <row r="584" ht="16.5" hidden="1" customHeight="1">
      <c r="A584" s="5" t="s">
        <v>155</v>
      </c>
      <c r="B584" s="5"/>
      <c r="C584" s="5" t="b">
        <v>1</v>
      </c>
      <c r="D584" s="5" t="s">
        <v>36</v>
      </c>
      <c r="E584" s="5" t="s">
        <v>2228</v>
      </c>
      <c r="F584" s="5"/>
      <c r="G584" s="5" t="s">
        <v>1002</v>
      </c>
      <c r="H584" s="5" t="s">
        <v>2186</v>
      </c>
      <c r="I584" s="5" t="s">
        <v>202</v>
      </c>
      <c r="J584" s="25"/>
      <c r="K584" s="25"/>
      <c r="L584" s="5"/>
      <c r="M584" s="5" t="s">
        <v>109</v>
      </c>
      <c r="N584" s="5" t="s">
        <v>1003</v>
      </c>
      <c r="O584" s="5" t="s">
        <v>69</v>
      </c>
      <c r="P584" s="5" t="s">
        <v>70</v>
      </c>
      <c r="Q584" s="5" t="b">
        <v>0</v>
      </c>
      <c r="R584" s="5" t="b">
        <v>0</v>
      </c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 t="s">
        <v>80</v>
      </c>
      <c r="AD584" s="5" t="s">
        <v>81</v>
      </c>
      <c r="AE584" s="5"/>
      <c r="AF584" s="5"/>
      <c r="AG584" s="5"/>
      <c r="AH584" s="5"/>
      <c r="AI584" s="42">
        <v>1800.0</v>
      </c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 t="s">
        <v>86</v>
      </c>
      <c r="AZ584" s="5" t="s">
        <v>512</v>
      </c>
      <c r="BB584" s="5" t="s">
        <v>1002</v>
      </c>
      <c r="BC584" s="5" t="s">
        <v>1015</v>
      </c>
      <c r="BD584" s="5" t="s">
        <v>1016</v>
      </c>
      <c r="BE584" s="5" t="s">
        <v>91</v>
      </c>
    </row>
    <row r="585" ht="16.5" hidden="1" customHeight="1">
      <c r="A585" s="5" t="s">
        <v>155</v>
      </c>
      <c r="B585" s="5"/>
      <c r="C585" s="5" t="b">
        <v>1</v>
      </c>
      <c r="D585" s="5" t="s">
        <v>36</v>
      </c>
      <c r="E585" s="5" t="s">
        <v>2229</v>
      </c>
      <c r="F585" s="5"/>
      <c r="G585" s="5" t="s">
        <v>1002</v>
      </c>
      <c r="H585" s="5" t="s">
        <v>2186</v>
      </c>
      <c r="I585" s="5" t="s">
        <v>202</v>
      </c>
      <c r="J585" s="25"/>
      <c r="K585" s="25"/>
      <c r="L585" s="5"/>
      <c r="M585" s="5" t="s">
        <v>109</v>
      </c>
      <c r="N585" s="5" t="s">
        <v>1003</v>
      </c>
      <c r="O585" s="5" t="s">
        <v>69</v>
      </c>
      <c r="P585" s="5" t="s">
        <v>107</v>
      </c>
      <c r="Q585" s="5" t="b">
        <v>0</v>
      </c>
      <c r="R585" s="5" t="b">
        <v>0</v>
      </c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 t="s">
        <v>80</v>
      </c>
      <c r="AD585" s="5" t="s">
        <v>81</v>
      </c>
      <c r="AE585" s="5"/>
      <c r="AF585" s="5"/>
      <c r="AG585" s="5"/>
      <c r="AH585" s="5"/>
      <c r="AI585" s="42">
        <v>1600.0</v>
      </c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 t="s">
        <v>86</v>
      </c>
      <c r="AZ585" s="5" t="s">
        <v>512</v>
      </c>
      <c r="BB585" s="5" t="s">
        <v>1002</v>
      </c>
      <c r="BC585" s="5" t="s">
        <v>1015</v>
      </c>
      <c r="BD585" s="5" t="s">
        <v>1016</v>
      </c>
      <c r="BE585" s="5" t="s">
        <v>91</v>
      </c>
    </row>
    <row r="586" ht="16.5" hidden="1" customHeight="1">
      <c r="A586" s="5" t="s">
        <v>155</v>
      </c>
      <c r="B586" s="5"/>
      <c r="C586" s="5" t="b">
        <v>1</v>
      </c>
      <c r="D586" s="5" t="s">
        <v>36</v>
      </c>
      <c r="E586" s="5" t="s">
        <v>2230</v>
      </c>
      <c r="F586" s="5"/>
      <c r="G586" s="5" t="s">
        <v>1002</v>
      </c>
      <c r="H586" s="5" t="s">
        <v>2186</v>
      </c>
      <c r="I586" s="5" t="s">
        <v>202</v>
      </c>
      <c r="J586" s="25"/>
      <c r="K586" s="25"/>
      <c r="L586" s="5"/>
      <c r="M586" s="5" t="s">
        <v>66</v>
      </c>
      <c r="N586" s="5" t="s">
        <v>1003</v>
      </c>
      <c r="O586" s="5" t="s">
        <v>69</v>
      </c>
      <c r="P586" s="5" t="s">
        <v>70</v>
      </c>
      <c r="Q586" s="5" t="b">
        <v>0</v>
      </c>
      <c r="R586" s="5" t="b">
        <v>0</v>
      </c>
      <c r="S586" s="5"/>
      <c r="T586" s="5">
        <v>1700.0</v>
      </c>
      <c r="U586" s="5"/>
      <c r="V586" s="5"/>
      <c r="W586" s="5"/>
      <c r="X586" s="5"/>
      <c r="Y586" s="5"/>
      <c r="Z586" s="5"/>
      <c r="AA586" s="5"/>
      <c r="AB586" s="5"/>
      <c r="AC586" s="5" t="s">
        <v>166</v>
      </c>
      <c r="AD586" s="5" t="s">
        <v>81</v>
      </c>
      <c r="AE586" s="5"/>
      <c r="AF586" s="5"/>
      <c r="AG586" s="5"/>
      <c r="AH586" s="5"/>
      <c r="AI586" s="42">
        <v>2000.0</v>
      </c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 t="s">
        <v>125</v>
      </c>
      <c r="AZ586" s="5" t="s">
        <v>127</v>
      </c>
      <c r="BB586" s="5" t="s">
        <v>1002</v>
      </c>
      <c r="BC586" s="5" t="s">
        <v>1005</v>
      </c>
      <c r="BD586" s="5" t="s">
        <v>1016</v>
      </c>
      <c r="BE586" s="5" t="s">
        <v>91</v>
      </c>
    </row>
    <row r="587" ht="16.5" hidden="1" customHeight="1">
      <c r="A587" s="5" t="s">
        <v>155</v>
      </c>
      <c r="B587" s="5"/>
      <c r="C587" s="5" t="b">
        <v>1</v>
      </c>
      <c r="D587" s="5" t="s">
        <v>36</v>
      </c>
      <c r="E587" s="5" t="s">
        <v>2231</v>
      </c>
      <c r="F587" s="5"/>
      <c r="G587" s="5" t="s">
        <v>1002</v>
      </c>
      <c r="H587" s="5" t="s">
        <v>2186</v>
      </c>
      <c r="I587" s="5" t="s">
        <v>202</v>
      </c>
      <c r="J587" s="25"/>
      <c r="K587" s="25"/>
      <c r="L587" s="5"/>
      <c r="M587" s="5" t="s">
        <v>66</v>
      </c>
      <c r="N587" s="5" t="s">
        <v>1003</v>
      </c>
      <c r="O587" s="5" t="s">
        <v>69</v>
      </c>
      <c r="P587" s="5" t="s">
        <v>107</v>
      </c>
      <c r="Q587" s="5" t="b">
        <v>0</v>
      </c>
      <c r="R587" s="5" t="b">
        <v>0</v>
      </c>
      <c r="S587" s="5"/>
      <c r="T587" s="5">
        <v>1700.0</v>
      </c>
      <c r="U587" s="5"/>
      <c r="V587" s="5"/>
      <c r="W587" s="5"/>
      <c r="X587" s="5"/>
      <c r="Y587" s="5"/>
      <c r="Z587" s="5"/>
      <c r="AA587" s="5"/>
      <c r="AB587" s="5"/>
      <c r="AC587" s="5" t="s">
        <v>166</v>
      </c>
      <c r="AD587" s="5" t="s">
        <v>81</v>
      </c>
      <c r="AE587" s="5"/>
      <c r="AF587" s="5"/>
      <c r="AG587" s="5"/>
      <c r="AH587" s="5"/>
      <c r="AI587" s="42">
        <v>1600.0</v>
      </c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 t="s">
        <v>125</v>
      </c>
      <c r="AZ587" s="5" t="s">
        <v>127</v>
      </c>
      <c r="BB587" s="5" t="s">
        <v>1002</v>
      </c>
      <c r="BC587" s="5" t="s">
        <v>1005</v>
      </c>
      <c r="BD587" s="5" t="s">
        <v>1016</v>
      </c>
      <c r="BE587" s="5" t="s">
        <v>91</v>
      </c>
    </row>
    <row r="588" ht="16.5" hidden="1" customHeight="1">
      <c r="A588" s="5" t="s">
        <v>155</v>
      </c>
      <c r="B588" s="5"/>
      <c r="C588" s="5" t="b">
        <v>1</v>
      </c>
      <c r="D588" s="5" t="s">
        <v>36</v>
      </c>
      <c r="E588" s="5" t="s">
        <v>2232</v>
      </c>
      <c r="F588" s="5"/>
      <c r="G588" s="5" t="s">
        <v>1109</v>
      </c>
      <c r="H588" s="5" t="s">
        <v>2186</v>
      </c>
      <c r="I588" s="5" t="s">
        <v>202</v>
      </c>
      <c r="J588" s="25"/>
      <c r="K588" s="25"/>
      <c r="L588" s="5"/>
      <c r="M588" s="5" t="s">
        <v>500</v>
      </c>
      <c r="N588" s="5" t="s">
        <v>1212</v>
      </c>
      <c r="O588" s="5" t="s">
        <v>69</v>
      </c>
      <c r="P588" s="5" t="s">
        <v>249</v>
      </c>
      <c r="Q588" s="5" t="b">
        <v>0</v>
      </c>
      <c r="R588" s="5" t="b">
        <v>0</v>
      </c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 t="s">
        <v>81</v>
      </c>
      <c r="AD588" s="5" t="s">
        <v>81</v>
      </c>
      <c r="AE588" s="5"/>
      <c r="AF588" s="5"/>
      <c r="AG588" s="5"/>
      <c r="AH588" s="5"/>
      <c r="AI588" s="42">
        <v>800.0</v>
      </c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 t="s">
        <v>125</v>
      </c>
      <c r="AZ588" s="5" t="s">
        <v>127</v>
      </c>
      <c r="BB588" s="5" t="s">
        <v>1120</v>
      </c>
      <c r="BC588" s="5" t="s">
        <v>1212</v>
      </c>
      <c r="BD588" s="5" t="s">
        <v>1132</v>
      </c>
      <c r="BE588" s="5" t="s">
        <v>131</v>
      </c>
    </row>
    <row r="589" ht="16.5" hidden="1" customHeight="1">
      <c r="A589" s="5" t="s">
        <v>155</v>
      </c>
      <c r="B589" s="5"/>
      <c r="C589" s="5" t="b">
        <v>1</v>
      </c>
      <c r="D589" s="5" t="s">
        <v>36</v>
      </c>
      <c r="E589" s="5" t="s">
        <v>2233</v>
      </c>
      <c r="F589" s="5"/>
      <c r="G589" s="5" t="s">
        <v>1109</v>
      </c>
      <c r="H589" s="5" t="s">
        <v>2186</v>
      </c>
      <c r="I589" s="5" t="s">
        <v>202</v>
      </c>
      <c r="J589" s="25"/>
      <c r="K589" s="25"/>
      <c r="L589" s="5"/>
      <c r="M589" s="5" t="s">
        <v>500</v>
      </c>
      <c r="N589" s="5" t="s">
        <v>1212</v>
      </c>
      <c r="O589" s="5" t="s">
        <v>69</v>
      </c>
      <c r="P589" s="5" t="s">
        <v>249</v>
      </c>
      <c r="Q589" s="5" t="b">
        <v>0</v>
      </c>
      <c r="R589" s="5" t="b">
        <v>0</v>
      </c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 t="s">
        <v>81</v>
      </c>
      <c r="AD589" s="5" t="s">
        <v>81</v>
      </c>
      <c r="AE589" s="5"/>
      <c r="AF589" s="5"/>
      <c r="AG589" s="5"/>
      <c r="AH589" s="5"/>
      <c r="AI589" s="42">
        <v>1200.0</v>
      </c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 t="s">
        <v>125</v>
      </c>
      <c r="AZ589" s="5" t="s">
        <v>127</v>
      </c>
      <c r="BB589" s="5" t="s">
        <v>1120</v>
      </c>
      <c r="BC589" s="5" t="s">
        <v>1212</v>
      </c>
      <c r="BD589" s="5" t="s">
        <v>1155</v>
      </c>
      <c r="BE589" s="5" t="s">
        <v>131</v>
      </c>
    </row>
    <row r="590" ht="16.5" hidden="1" customHeight="1">
      <c r="A590" s="5" t="s">
        <v>155</v>
      </c>
      <c r="B590" s="5"/>
      <c r="C590" s="5" t="b">
        <v>1</v>
      </c>
      <c r="D590" s="5" t="s">
        <v>36</v>
      </c>
      <c r="E590" s="5" t="s">
        <v>2234</v>
      </c>
      <c r="F590" s="5"/>
      <c r="G590" s="5" t="s">
        <v>1109</v>
      </c>
      <c r="H590" s="5" t="s">
        <v>2186</v>
      </c>
      <c r="I590" s="5" t="s">
        <v>202</v>
      </c>
      <c r="J590" s="25"/>
      <c r="K590" s="25"/>
      <c r="L590" s="5"/>
      <c r="M590" s="5" t="s">
        <v>500</v>
      </c>
      <c r="N590" s="5" t="s">
        <v>248</v>
      </c>
      <c r="O590" s="5" t="s">
        <v>69</v>
      </c>
      <c r="P590" s="5" t="s">
        <v>249</v>
      </c>
      <c r="Q590" s="5" t="b">
        <v>0</v>
      </c>
      <c r="R590" s="5" t="b">
        <v>0</v>
      </c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 t="s">
        <v>81</v>
      </c>
      <c r="AD590" s="5" t="s">
        <v>81</v>
      </c>
      <c r="AE590" s="5"/>
      <c r="AF590" s="5"/>
      <c r="AG590" s="5"/>
      <c r="AH590" s="5"/>
      <c r="AI590" s="42">
        <v>2000.0</v>
      </c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 t="s">
        <v>125</v>
      </c>
      <c r="AZ590" s="5" t="s">
        <v>127</v>
      </c>
      <c r="BB590" s="5" t="s">
        <v>248</v>
      </c>
      <c r="BC590" s="5" t="s">
        <v>1146</v>
      </c>
      <c r="BE590" s="5" t="s">
        <v>131</v>
      </c>
    </row>
    <row r="591" ht="16.5" hidden="1" customHeight="1">
      <c r="A591" s="5" t="s">
        <v>155</v>
      </c>
      <c r="B591" s="5"/>
      <c r="C591" s="5" t="b">
        <v>1</v>
      </c>
      <c r="D591" s="5" t="s">
        <v>36</v>
      </c>
      <c r="E591" s="5" t="s">
        <v>2219</v>
      </c>
      <c r="F591" s="5"/>
      <c r="G591" s="5" t="s">
        <v>65</v>
      </c>
      <c r="H591" s="5" t="s">
        <v>2186</v>
      </c>
      <c r="I591" s="5" t="s">
        <v>202</v>
      </c>
      <c r="J591" s="25"/>
      <c r="K591" s="25"/>
      <c r="L591" s="5"/>
      <c r="M591" s="5" t="s">
        <v>66</v>
      </c>
      <c r="N591" s="5" t="s">
        <v>942</v>
      </c>
      <c r="O591" s="5" t="s">
        <v>69</v>
      </c>
      <c r="P591" s="5" t="s">
        <v>70</v>
      </c>
      <c r="Q591" s="5" t="b">
        <v>0</v>
      </c>
      <c r="R591" s="5" t="b">
        <v>0</v>
      </c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 t="s">
        <v>125</v>
      </c>
      <c r="AZ591" s="5" t="s">
        <v>127</v>
      </c>
      <c r="BB591" s="5" t="s">
        <v>942</v>
      </c>
      <c r="BC591" s="5" t="s">
        <v>2220</v>
      </c>
      <c r="BE591" s="5" t="s">
        <v>131</v>
      </c>
    </row>
    <row r="592" ht="16.5" hidden="1" customHeight="1">
      <c r="A592" s="5" t="s">
        <v>155</v>
      </c>
      <c r="B592" s="5"/>
      <c r="C592" s="5" t="b">
        <v>1</v>
      </c>
      <c r="D592" s="5" t="s">
        <v>36</v>
      </c>
      <c r="E592" s="5" t="s">
        <v>2221</v>
      </c>
      <c r="F592" s="5"/>
      <c r="G592" s="5" t="s">
        <v>65</v>
      </c>
      <c r="H592" s="5" t="s">
        <v>2186</v>
      </c>
      <c r="I592" s="5" t="s">
        <v>202</v>
      </c>
      <c r="J592" s="25"/>
      <c r="K592" s="25"/>
      <c r="L592" s="5"/>
      <c r="M592" s="5" t="s">
        <v>66</v>
      </c>
      <c r="N592" s="5" t="s">
        <v>942</v>
      </c>
      <c r="O592" s="5" t="s">
        <v>69</v>
      </c>
      <c r="P592" s="5" t="s">
        <v>107</v>
      </c>
      <c r="Q592" s="5" t="b">
        <v>0</v>
      </c>
      <c r="R592" s="5" t="b">
        <v>0</v>
      </c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 t="s">
        <v>125</v>
      </c>
      <c r="AZ592" s="5" t="s">
        <v>127</v>
      </c>
      <c r="BB592" s="5" t="s">
        <v>942</v>
      </c>
      <c r="BC592" s="5" t="s">
        <v>2220</v>
      </c>
      <c r="BE592" s="5" t="s">
        <v>131</v>
      </c>
    </row>
  </sheetData>
  <autoFilter ref="$A$2:$BH$592">
    <filterColumn colId="2">
      <filters>
        <filter val="TRUE"/>
      </filters>
    </filterColumn>
    <filterColumn colId="57">
      <customFilters>
        <customFilter operator="notEqual" val=" "/>
      </customFilters>
    </filterColumn>
  </autoFilter>
  <conditionalFormatting sqref="B3:AY592 BC575:BC579 BC582:BC592 BD584:BD589">
    <cfRule type="expression" dxfId="0" priority="1">
      <formula>$H3="CANCELED"</formula>
    </cfRule>
  </conditionalFormatting>
  <conditionalFormatting sqref="B3:AY592 BC575:BC579 BC582:BC592 BD584:BD589">
    <cfRule type="expression" dxfId="1" priority="2">
      <formula>$D3&lt;&gt;""</formula>
    </cfRule>
  </conditionalFormatting>
  <conditionalFormatting sqref="D3:I592">
    <cfRule type="expression" dxfId="2" priority="3">
      <formula>$H3="NEW"</formula>
    </cfRule>
  </conditionalFormatting>
  <conditionalFormatting sqref="D3:I592">
    <cfRule type="expression" dxfId="3" priority="4">
      <formula>$H3="UPDATE"</formula>
    </cfRule>
  </conditionalFormatting>
  <conditionalFormatting sqref="O3:O592">
    <cfRule type="cellIs" dxfId="4" priority="5" operator="equal">
      <formula>"ABS Exclusive"</formula>
    </cfRule>
  </conditionalFormatting>
  <conditionalFormatting sqref="O3:O592">
    <cfRule type="cellIs" dxfId="5" priority="6" operator="equal">
      <formula>"ABS"</formula>
    </cfRule>
  </conditionalFormatting>
  <dataValidations>
    <dataValidation type="list" allowBlank="1" showErrorMessage="1" sqref="I3:I592">
      <formula1>"CO,NEW,UPDATE,CANCELED"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36.67"/>
    <col customWidth="1" min="3" max="26" width="8.89"/>
  </cols>
  <sheetData>
    <row r="1" ht="16.5" customHeight="1">
      <c r="A1" s="79" t="s">
        <v>4</v>
      </c>
      <c r="B1" s="79" t="s">
        <v>5</v>
      </c>
      <c r="C1" s="79" t="s">
        <v>1681</v>
      </c>
      <c r="D1" s="79" t="s">
        <v>1682</v>
      </c>
      <c r="E1" s="79" t="s">
        <v>1683</v>
      </c>
    </row>
    <row r="2" ht="16.5" customHeight="1">
      <c r="A2" s="80" t="s">
        <v>102</v>
      </c>
      <c r="B2" s="5" t="s">
        <v>103</v>
      </c>
      <c r="C2" s="5" t="s">
        <v>125</v>
      </c>
    </row>
    <row r="3" ht="16.5" customHeight="1">
      <c r="A3" s="80" t="s">
        <v>62</v>
      </c>
      <c r="B3" s="5" t="s">
        <v>64</v>
      </c>
      <c r="C3" s="5" t="s">
        <v>86</v>
      </c>
      <c r="D3" s="5" t="s">
        <v>169</v>
      </c>
      <c r="E3" s="5" t="s">
        <v>125</v>
      </c>
    </row>
    <row r="4" ht="16.5" customHeight="1">
      <c r="A4" s="80" t="s">
        <v>94</v>
      </c>
      <c r="B4" s="5" t="s">
        <v>95</v>
      </c>
      <c r="C4" s="5" t="s">
        <v>86</v>
      </c>
      <c r="D4" s="5" t="s">
        <v>169</v>
      </c>
      <c r="E4" s="5" t="s">
        <v>125</v>
      </c>
    </row>
    <row r="5" ht="16.5" customHeight="1">
      <c r="A5" s="80" t="s">
        <v>104</v>
      </c>
      <c r="B5" s="5" t="s">
        <v>105</v>
      </c>
      <c r="C5" s="5" t="s">
        <v>86</v>
      </c>
      <c r="D5" s="5" t="s">
        <v>169</v>
      </c>
      <c r="E5" s="5" t="s">
        <v>125</v>
      </c>
    </row>
    <row r="6" ht="16.5" customHeight="1">
      <c r="A6" s="80" t="s">
        <v>111</v>
      </c>
      <c r="B6" s="5" t="s">
        <v>112</v>
      </c>
      <c r="C6" s="5" t="s">
        <v>86</v>
      </c>
      <c r="D6" s="5" t="s">
        <v>121</v>
      </c>
    </row>
    <row r="7" ht="16.5" customHeight="1">
      <c r="A7" s="80" t="s">
        <v>134</v>
      </c>
      <c r="B7" s="5" t="s">
        <v>135</v>
      </c>
      <c r="C7" s="5" t="s">
        <v>86</v>
      </c>
      <c r="D7" s="5" t="s">
        <v>121</v>
      </c>
    </row>
    <row r="8" ht="16.5" customHeight="1">
      <c r="A8" s="80" t="s">
        <v>216</v>
      </c>
      <c r="B8" s="5" t="s">
        <v>217</v>
      </c>
      <c r="C8" s="5" t="s">
        <v>226</v>
      </c>
      <c r="D8" s="5" t="s">
        <v>227</v>
      </c>
    </row>
    <row r="9" ht="16.5" customHeight="1">
      <c r="A9" s="80" t="s">
        <v>232</v>
      </c>
      <c r="B9" s="5" t="s">
        <v>233</v>
      </c>
      <c r="C9" s="5" t="s">
        <v>226</v>
      </c>
      <c r="D9" s="5" t="s">
        <v>227</v>
      </c>
    </row>
    <row r="10" ht="16.5" customHeight="1">
      <c r="A10" s="80" t="s">
        <v>243</v>
      </c>
      <c r="B10" s="5" t="s">
        <v>244</v>
      </c>
      <c r="C10" s="5" t="s">
        <v>226</v>
      </c>
      <c r="D10" s="5" t="s">
        <v>227</v>
      </c>
    </row>
    <row r="11" ht="16.5" customHeight="1">
      <c r="A11" s="80" t="s">
        <v>260</v>
      </c>
      <c r="B11" s="5" t="s">
        <v>261</v>
      </c>
      <c r="C11" s="5" t="s">
        <v>226</v>
      </c>
      <c r="D11" s="5" t="s">
        <v>227</v>
      </c>
    </row>
    <row r="12" ht="16.5" customHeight="1">
      <c r="A12" s="80" t="s">
        <v>287</v>
      </c>
      <c r="B12" s="5" t="s">
        <v>288</v>
      </c>
      <c r="C12" s="5" t="s">
        <v>125</v>
      </c>
      <c r="D12" s="5" t="s">
        <v>1686</v>
      </c>
      <c r="E12" s="5" t="s">
        <v>125</v>
      </c>
    </row>
    <row r="13" ht="16.5" customHeight="1">
      <c r="A13" s="80" t="s">
        <v>193</v>
      </c>
      <c r="B13" s="5" t="s">
        <v>194</v>
      </c>
      <c r="C13" s="5" t="s">
        <v>125</v>
      </c>
    </row>
    <row r="14" ht="16.5" customHeight="1">
      <c r="A14" s="80" t="s">
        <v>208</v>
      </c>
      <c r="B14" s="5" t="s">
        <v>209</v>
      </c>
      <c r="C14" s="5" t="s">
        <v>125</v>
      </c>
    </row>
    <row r="15" ht="16.5" customHeight="1">
      <c r="A15" s="80" t="s">
        <v>235</v>
      </c>
      <c r="B15" s="5" t="s">
        <v>236</v>
      </c>
      <c r="C15" s="5" t="s">
        <v>125</v>
      </c>
    </row>
    <row r="16" ht="16.5" customHeight="1">
      <c r="A16" s="80" t="s">
        <v>262</v>
      </c>
      <c r="B16" s="5" t="s">
        <v>263</v>
      </c>
      <c r="C16" s="5" t="s">
        <v>125</v>
      </c>
    </row>
    <row r="17" ht="16.5" customHeight="1">
      <c r="A17" s="80" t="s">
        <v>176</v>
      </c>
      <c r="B17" s="5" t="s">
        <v>177</v>
      </c>
      <c r="C17" s="5" t="s">
        <v>125</v>
      </c>
    </row>
    <row r="18" ht="16.5" customHeight="1">
      <c r="A18" s="80" t="s">
        <v>187</v>
      </c>
      <c r="B18" s="5" t="s">
        <v>188</v>
      </c>
      <c r="C18" s="5" t="s">
        <v>125</v>
      </c>
    </row>
    <row r="19" ht="16.5" customHeight="1">
      <c r="A19" s="80" t="s">
        <v>191</v>
      </c>
      <c r="B19" s="5" t="s">
        <v>192</v>
      </c>
      <c r="C19" s="5" t="s">
        <v>125</v>
      </c>
    </row>
    <row r="20" ht="16.5" customHeight="1">
      <c r="A20" s="80" t="s">
        <v>195</v>
      </c>
      <c r="B20" s="5" t="s">
        <v>196</v>
      </c>
      <c r="C20" s="5" t="s">
        <v>125</v>
      </c>
    </row>
    <row r="21" ht="16.5" customHeight="1">
      <c r="A21" s="80" t="s">
        <v>139</v>
      </c>
      <c r="B21" s="5" t="s">
        <v>140</v>
      </c>
      <c r="C21" s="5" t="s">
        <v>86</v>
      </c>
      <c r="D21" s="5" t="s">
        <v>169</v>
      </c>
    </row>
    <row r="22" ht="16.5" customHeight="1">
      <c r="A22" s="80" t="s">
        <v>167</v>
      </c>
      <c r="B22" s="5" t="s">
        <v>168</v>
      </c>
      <c r="C22" s="5" t="s">
        <v>86</v>
      </c>
      <c r="D22" s="5" t="s">
        <v>169</v>
      </c>
    </row>
    <row r="23" ht="16.5" customHeight="1">
      <c r="A23" s="80" t="s">
        <v>212</v>
      </c>
      <c r="B23" s="5" t="s">
        <v>213</v>
      </c>
      <c r="C23" s="5" t="s">
        <v>86</v>
      </c>
      <c r="D23" s="5" t="s">
        <v>169</v>
      </c>
    </row>
    <row r="24" ht="16.5" customHeight="1">
      <c r="A24" s="80" t="s">
        <v>221</v>
      </c>
      <c r="B24" s="5" t="s">
        <v>222</v>
      </c>
      <c r="C24" s="5" t="s">
        <v>86</v>
      </c>
      <c r="D24" s="5" t="s">
        <v>169</v>
      </c>
    </row>
    <row r="25" ht="16.5" customHeight="1">
      <c r="A25" s="80" t="s">
        <v>228</v>
      </c>
      <c r="B25" s="5" t="s">
        <v>230</v>
      </c>
      <c r="C25" s="5" t="s">
        <v>125</v>
      </c>
      <c r="D25" s="5" t="s">
        <v>1686</v>
      </c>
      <c r="E25" s="5" t="s">
        <v>125</v>
      </c>
    </row>
    <row r="26" ht="16.5" customHeight="1">
      <c r="A26" s="80" t="s">
        <v>239</v>
      </c>
      <c r="B26" s="5" t="s">
        <v>241</v>
      </c>
      <c r="C26" s="5" t="s">
        <v>125</v>
      </c>
      <c r="D26" s="5" t="s">
        <v>1686</v>
      </c>
      <c r="E26" s="5" t="s">
        <v>125</v>
      </c>
    </row>
    <row r="27" ht="16.5" customHeight="1">
      <c r="A27" s="80" t="s">
        <v>400</v>
      </c>
      <c r="B27" s="5" t="s">
        <v>401</v>
      </c>
      <c r="C27" s="5" t="s">
        <v>125</v>
      </c>
      <c r="D27" s="5" t="s">
        <v>1686</v>
      </c>
      <c r="E27" s="5" t="s">
        <v>125</v>
      </c>
    </row>
    <row r="28" ht="16.5" customHeight="1">
      <c r="A28" s="80" t="s">
        <v>1117</v>
      </c>
      <c r="B28" s="5" t="s">
        <v>1118</v>
      </c>
    </row>
    <row r="29" ht="16.5" customHeight="1">
      <c r="A29" s="80" t="s">
        <v>353</v>
      </c>
      <c r="B29" s="5" t="s">
        <v>354</v>
      </c>
      <c r="C29" s="5" t="s">
        <v>125</v>
      </c>
    </row>
    <row r="30" ht="16.5" customHeight="1">
      <c r="A30" s="80" t="s">
        <v>370</v>
      </c>
      <c r="B30" s="5" t="s">
        <v>371</v>
      </c>
      <c r="C30" s="5" t="s">
        <v>125</v>
      </c>
    </row>
    <row r="31" ht="16.5" customHeight="1">
      <c r="A31" s="80" t="s">
        <v>245</v>
      </c>
      <c r="B31" s="5" t="s">
        <v>246</v>
      </c>
      <c r="C31" s="5" t="s">
        <v>776</v>
      </c>
      <c r="D31" s="5" t="s">
        <v>777</v>
      </c>
    </row>
    <row r="32" ht="16.5" customHeight="1">
      <c r="A32" s="80" t="s">
        <v>444</v>
      </c>
      <c r="B32" s="5" t="s">
        <v>445</v>
      </c>
      <c r="C32" s="5" t="s">
        <v>125</v>
      </c>
    </row>
    <row r="33" ht="16.5" customHeight="1">
      <c r="A33" s="80" t="s">
        <v>455</v>
      </c>
      <c r="B33" s="5" t="s">
        <v>456</v>
      </c>
      <c r="C33" s="5" t="s">
        <v>125</v>
      </c>
    </row>
    <row r="34" ht="16.5" customHeight="1">
      <c r="A34" s="80" t="s">
        <v>256</v>
      </c>
      <c r="B34" s="5" t="s">
        <v>258</v>
      </c>
      <c r="C34" s="5" t="s">
        <v>125</v>
      </c>
    </row>
    <row r="35" ht="16.5" customHeight="1">
      <c r="A35" s="80" t="s">
        <v>265</v>
      </c>
      <c r="B35" s="5" t="s">
        <v>266</v>
      </c>
      <c r="C35" s="5" t="s">
        <v>125</v>
      </c>
    </row>
    <row r="36" ht="16.5" customHeight="1">
      <c r="A36" s="80" t="s">
        <v>494</v>
      </c>
      <c r="B36" s="5" t="s">
        <v>495</v>
      </c>
      <c r="C36" s="5" t="s">
        <v>125</v>
      </c>
    </row>
    <row r="37" ht="16.5" customHeight="1">
      <c r="A37" s="80" t="s">
        <v>513</v>
      </c>
      <c r="B37" s="5" t="s">
        <v>514</v>
      </c>
      <c r="C37" s="5" t="s">
        <v>125</v>
      </c>
    </row>
    <row r="38" ht="16.5" customHeight="1">
      <c r="A38" s="80" t="s">
        <v>268</v>
      </c>
      <c r="B38" s="5" t="s">
        <v>269</v>
      </c>
      <c r="C38" s="5" t="s">
        <v>125</v>
      </c>
      <c r="D38" s="5" t="s">
        <v>1686</v>
      </c>
      <c r="E38" s="5" t="s">
        <v>125</v>
      </c>
    </row>
    <row r="39" ht="16.5" customHeight="1">
      <c r="A39" s="80" t="s">
        <v>278</v>
      </c>
      <c r="B39" s="5" t="s">
        <v>279</v>
      </c>
      <c r="C39" s="5" t="s">
        <v>125</v>
      </c>
      <c r="D39" s="5" t="s">
        <v>1686</v>
      </c>
      <c r="E39" s="5" t="s">
        <v>125</v>
      </c>
    </row>
    <row r="40" ht="16.5" customHeight="1">
      <c r="A40" s="80" t="s">
        <v>1689</v>
      </c>
      <c r="B40" s="5" t="s">
        <v>1690</v>
      </c>
    </row>
    <row r="41" ht="16.5" customHeight="1">
      <c r="A41" s="80" t="s">
        <v>1691</v>
      </c>
      <c r="B41" s="5" t="s">
        <v>1692</v>
      </c>
    </row>
    <row r="42" ht="16.5" customHeight="1">
      <c r="A42" s="80" t="s">
        <v>285</v>
      </c>
      <c r="B42" s="5" t="s">
        <v>286</v>
      </c>
      <c r="C42" s="5" t="s">
        <v>125</v>
      </c>
    </row>
    <row r="43" ht="16.5" customHeight="1">
      <c r="A43" s="80" t="s">
        <v>289</v>
      </c>
      <c r="B43" s="5" t="s">
        <v>290</v>
      </c>
      <c r="C43" s="5" t="s">
        <v>125</v>
      </c>
    </row>
    <row r="44" ht="16.5" customHeight="1">
      <c r="A44" s="80" t="s">
        <v>436</v>
      </c>
      <c r="B44" s="5" t="s">
        <v>437</v>
      </c>
      <c r="C44" s="5" t="s">
        <v>125</v>
      </c>
    </row>
    <row r="45" ht="16.5" customHeight="1">
      <c r="A45" s="80" t="s">
        <v>1122</v>
      </c>
      <c r="B45" s="5" t="s">
        <v>1123</v>
      </c>
    </row>
    <row r="46" ht="16.5" customHeight="1">
      <c r="A46" s="80" t="s">
        <v>1124</v>
      </c>
      <c r="B46" s="5" t="s">
        <v>1125</v>
      </c>
    </row>
    <row r="47" ht="16.5" customHeight="1">
      <c r="A47" s="80" t="s">
        <v>1693</v>
      </c>
      <c r="B47" s="5" t="s">
        <v>1694</v>
      </c>
      <c r="C47" s="5" t="s">
        <v>776</v>
      </c>
      <c r="D47" s="5" t="s">
        <v>777</v>
      </c>
    </row>
    <row r="48" ht="16.5" customHeight="1">
      <c r="A48" s="80" t="s">
        <v>1000</v>
      </c>
      <c r="B48" s="5" t="s">
        <v>1001</v>
      </c>
    </row>
    <row r="49" ht="16.5" customHeight="1">
      <c r="A49" s="80" t="s">
        <v>1007</v>
      </c>
      <c r="B49" s="5" t="s">
        <v>1008</v>
      </c>
    </row>
    <row r="50" ht="16.5" customHeight="1">
      <c r="A50" s="80" t="s">
        <v>449</v>
      </c>
      <c r="B50" s="5" t="s">
        <v>450</v>
      </c>
      <c r="C50" s="5" t="s">
        <v>125</v>
      </c>
    </row>
    <row r="51" ht="16.5" customHeight="1">
      <c r="A51" s="80" t="s">
        <v>1127</v>
      </c>
      <c r="B51" s="5" t="s">
        <v>1128</v>
      </c>
    </row>
    <row r="52" ht="16.5" customHeight="1">
      <c r="A52" s="80" t="s">
        <v>1133</v>
      </c>
      <c r="B52" s="5" t="s">
        <v>1134</v>
      </c>
    </row>
    <row r="53" ht="16.5" customHeight="1">
      <c r="A53" s="80" t="s">
        <v>1141</v>
      </c>
      <c r="B53" s="5" t="s">
        <v>1142</v>
      </c>
      <c r="C53" s="5" t="s">
        <v>776</v>
      </c>
      <c r="D53" s="5" t="s">
        <v>777</v>
      </c>
    </row>
    <row r="54" ht="16.5" customHeight="1">
      <c r="A54" s="80" t="s">
        <v>1148</v>
      </c>
      <c r="B54" s="5" t="s">
        <v>1149</v>
      </c>
      <c r="C54" s="5" t="s">
        <v>776</v>
      </c>
      <c r="D54" s="5" t="s">
        <v>777</v>
      </c>
    </row>
    <row r="55" ht="16.5" customHeight="1">
      <c r="A55" s="80" t="s">
        <v>619</v>
      </c>
      <c r="B55" s="5" t="s">
        <v>620</v>
      </c>
      <c r="C55" s="5" t="s">
        <v>776</v>
      </c>
      <c r="D55" s="5" t="s">
        <v>777</v>
      </c>
    </row>
    <row r="56" ht="16.5" customHeight="1">
      <c r="A56" s="80" t="s">
        <v>628</v>
      </c>
      <c r="B56" s="5" t="s">
        <v>629</v>
      </c>
      <c r="C56" s="5" t="s">
        <v>776</v>
      </c>
      <c r="D56" s="5" t="s">
        <v>777</v>
      </c>
    </row>
    <row r="57" ht="16.5" customHeight="1">
      <c r="A57" s="80" t="s">
        <v>296</v>
      </c>
      <c r="B57" s="5" t="s">
        <v>297</v>
      </c>
      <c r="C57" s="5" t="s">
        <v>86</v>
      </c>
      <c r="D57" s="5" t="s">
        <v>121</v>
      </c>
    </row>
    <row r="58" ht="16.5" customHeight="1">
      <c r="A58" s="80" t="s">
        <v>299</v>
      </c>
      <c r="B58" s="5" t="s">
        <v>300</v>
      </c>
      <c r="C58" s="5" t="s">
        <v>86</v>
      </c>
      <c r="D58" s="5" t="s">
        <v>121</v>
      </c>
    </row>
    <row r="59" ht="16.5" customHeight="1">
      <c r="A59" s="80" t="s">
        <v>302</v>
      </c>
      <c r="B59" s="5" t="s">
        <v>303</v>
      </c>
      <c r="C59" s="5" t="s">
        <v>86</v>
      </c>
      <c r="D59" s="5" t="s">
        <v>121</v>
      </c>
    </row>
    <row r="60" ht="16.5" customHeight="1">
      <c r="A60" s="80" t="s">
        <v>307</v>
      </c>
      <c r="B60" s="5" t="s">
        <v>308</v>
      </c>
      <c r="C60" s="5" t="s">
        <v>86</v>
      </c>
      <c r="D60" s="5" t="s">
        <v>121</v>
      </c>
    </row>
    <row r="61" ht="16.5" customHeight="1">
      <c r="A61" s="80" t="s">
        <v>705</v>
      </c>
      <c r="B61" s="5" t="s">
        <v>706</v>
      </c>
      <c r="C61" s="5" t="s">
        <v>776</v>
      </c>
      <c r="D61" s="5" t="s">
        <v>777</v>
      </c>
    </row>
    <row r="62" ht="16.5" customHeight="1">
      <c r="A62" s="80" t="s">
        <v>717</v>
      </c>
      <c r="B62" s="5" t="s">
        <v>718</v>
      </c>
      <c r="C62" s="5" t="s">
        <v>776</v>
      </c>
      <c r="D62" s="5" t="s">
        <v>777</v>
      </c>
    </row>
    <row r="63" ht="16.5" customHeight="1">
      <c r="A63" s="80" t="s">
        <v>743</v>
      </c>
      <c r="B63" s="5" t="s">
        <v>744</v>
      </c>
    </row>
    <row r="64" ht="16.5" customHeight="1">
      <c r="A64" s="80" t="s">
        <v>1696</v>
      </c>
      <c r="B64" s="5" t="s">
        <v>1697</v>
      </c>
    </row>
    <row r="65" ht="16.5" customHeight="1">
      <c r="A65" s="80" t="s">
        <v>1698</v>
      </c>
      <c r="B65" s="5" t="s">
        <v>1699</v>
      </c>
    </row>
    <row r="66" ht="16.5" customHeight="1">
      <c r="A66" s="80" t="s">
        <v>327</v>
      </c>
      <c r="B66" s="5" t="s">
        <v>328</v>
      </c>
      <c r="C66" s="5" t="s">
        <v>776</v>
      </c>
      <c r="D66" s="5" t="s">
        <v>777</v>
      </c>
    </row>
    <row r="67" ht="16.5" customHeight="1">
      <c r="A67" s="80" t="s">
        <v>330</v>
      </c>
      <c r="B67" s="5" t="s">
        <v>331</v>
      </c>
      <c r="C67" s="5" t="s">
        <v>776</v>
      </c>
      <c r="D67" s="5" t="s">
        <v>777</v>
      </c>
    </row>
    <row r="68" ht="16.5" customHeight="1">
      <c r="A68" s="80" t="s">
        <v>1700</v>
      </c>
      <c r="B68" s="5" t="s">
        <v>1701</v>
      </c>
    </row>
    <row r="69" ht="16.5" customHeight="1">
      <c r="A69" s="80" t="s">
        <v>1703</v>
      </c>
      <c r="B69" s="5" t="s">
        <v>1704</v>
      </c>
    </row>
    <row r="70" ht="16.5" customHeight="1">
      <c r="A70" s="80" t="s">
        <v>1010</v>
      </c>
      <c r="B70" s="5" t="s">
        <v>1011</v>
      </c>
    </row>
    <row r="71" ht="16.5" customHeight="1">
      <c r="A71" s="80" t="s">
        <v>1017</v>
      </c>
      <c r="B71" s="5" t="s">
        <v>1018</v>
      </c>
      <c r="C71" s="5" t="s">
        <v>86</v>
      </c>
      <c r="D71" s="5" t="s">
        <v>826</v>
      </c>
    </row>
    <row r="72" ht="16.5" customHeight="1">
      <c r="A72" s="80" t="s">
        <v>1020</v>
      </c>
      <c r="B72" s="5" t="s">
        <v>1021</v>
      </c>
    </row>
    <row r="73" ht="16.5" customHeight="1">
      <c r="A73" s="80" t="s">
        <v>1023</v>
      </c>
      <c r="B73" s="5" t="s">
        <v>1024</v>
      </c>
    </row>
    <row r="74" ht="16.5" customHeight="1">
      <c r="A74" s="80" t="s">
        <v>1025</v>
      </c>
      <c r="B74" s="5" t="s">
        <v>1026</v>
      </c>
    </row>
    <row r="75" ht="16.5" customHeight="1">
      <c r="A75" s="80" t="s">
        <v>1030</v>
      </c>
      <c r="B75" s="5" t="s">
        <v>1031</v>
      </c>
    </row>
    <row r="76" ht="16.5" customHeight="1">
      <c r="A76" s="80" t="s">
        <v>1705</v>
      </c>
      <c r="B76" s="5" t="s">
        <v>1706</v>
      </c>
    </row>
    <row r="77" ht="16.5" customHeight="1">
      <c r="A77" s="80" t="s">
        <v>1707</v>
      </c>
      <c r="B77" s="5" t="s">
        <v>1708</v>
      </c>
    </row>
    <row r="78" ht="16.5" customHeight="1">
      <c r="A78" s="80" t="s">
        <v>1033</v>
      </c>
      <c r="B78" s="5" t="s">
        <v>1034</v>
      </c>
    </row>
    <row r="79" ht="16.5" customHeight="1">
      <c r="A79" s="80" t="s">
        <v>1036</v>
      </c>
      <c r="B79" s="5" t="s">
        <v>1037</v>
      </c>
    </row>
    <row r="80" ht="16.5" customHeight="1">
      <c r="A80" s="80" t="s">
        <v>1041</v>
      </c>
      <c r="B80" s="5" t="s">
        <v>1042</v>
      </c>
    </row>
    <row r="81" ht="16.5" customHeight="1">
      <c r="A81" s="80" t="s">
        <v>1043</v>
      </c>
      <c r="B81" s="5" t="s">
        <v>1044</v>
      </c>
    </row>
    <row r="82" ht="16.5" customHeight="1">
      <c r="A82" s="80" t="s">
        <v>1045</v>
      </c>
      <c r="B82" s="5" t="s">
        <v>1046</v>
      </c>
    </row>
    <row r="83" ht="16.5" customHeight="1">
      <c r="A83" s="80" t="s">
        <v>1051</v>
      </c>
      <c r="B83" s="5" t="s">
        <v>1052</v>
      </c>
    </row>
    <row r="84" ht="16.5" customHeight="1">
      <c r="A84" s="80" t="s">
        <v>1053</v>
      </c>
      <c r="B84" s="5" t="s">
        <v>1054</v>
      </c>
    </row>
    <row r="85" ht="16.5" customHeight="1">
      <c r="A85" s="80" t="s">
        <v>1055</v>
      </c>
      <c r="B85" s="5" t="s">
        <v>1056</v>
      </c>
    </row>
    <row r="86" ht="16.5" customHeight="1">
      <c r="A86" s="80" t="s">
        <v>332</v>
      </c>
      <c r="B86" s="5" t="s">
        <v>333</v>
      </c>
      <c r="C86" s="5" t="s">
        <v>776</v>
      </c>
      <c r="D86" s="5" t="s">
        <v>777</v>
      </c>
    </row>
    <row r="87" ht="16.5" customHeight="1">
      <c r="A87" s="80" t="s">
        <v>339</v>
      </c>
      <c r="B87" s="5" t="s">
        <v>340</v>
      </c>
      <c r="C87" s="5" t="s">
        <v>776</v>
      </c>
      <c r="D87" s="5" t="s">
        <v>777</v>
      </c>
    </row>
    <row r="88" ht="16.5" customHeight="1">
      <c r="A88" s="80" t="s">
        <v>709</v>
      </c>
      <c r="B88" s="5" t="s">
        <v>798</v>
      </c>
      <c r="C88" s="5" t="s">
        <v>226</v>
      </c>
      <c r="D88" s="5" t="s">
        <v>227</v>
      </c>
    </row>
    <row r="89" ht="16.5" customHeight="1">
      <c r="A89" s="80" t="s">
        <v>1058</v>
      </c>
      <c r="B89" s="5" t="s">
        <v>1059</v>
      </c>
    </row>
    <row r="90" ht="16.5" customHeight="1">
      <c r="A90" s="80" t="s">
        <v>1063</v>
      </c>
      <c r="B90" s="5" t="s">
        <v>1064</v>
      </c>
    </row>
    <row r="91" ht="16.5" customHeight="1">
      <c r="A91" s="80" t="s">
        <v>1065</v>
      </c>
      <c r="B91" s="5" t="s">
        <v>1066</v>
      </c>
    </row>
    <row r="92" ht="16.5" customHeight="1">
      <c r="A92" s="80" t="s">
        <v>1067</v>
      </c>
      <c r="B92" s="5" t="s">
        <v>1068</v>
      </c>
    </row>
    <row r="93" ht="16.5" customHeight="1">
      <c r="A93" s="80" t="s">
        <v>1073</v>
      </c>
      <c r="B93" s="5" t="s">
        <v>1074</v>
      </c>
    </row>
    <row r="94" ht="16.5" customHeight="1">
      <c r="A94" s="80" t="s">
        <v>1075</v>
      </c>
      <c r="B94" s="5" t="s">
        <v>1076</v>
      </c>
    </row>
    <row r="95" ht="16.5" customHeight="1">
      <c r="A95" s="80" t="s">
        <v>1077</v>
      </c>
      <c r="B95" s="5" t="s">
        <v>1078</v>
      </c>
    </row>
    <row r="96" ht="16.5" customHeight="1">
      <c r="A96" s="80" t="s">
        <v>1079</v>
      </c>
      <c r="B96" s="5" t="s">
        <v>1080</v>
      </c>
    </row>
    <row r="97" ht="16.5" customHeight="1">
      <c r="A97" s="80" t="s">
        <v>1081</v>
      </c>
      <c r="B97" s="5" t="s">
        <v>1082</v>
      </c>
    </row>
    <row r="98" ht="16.5" customHeight="1">
      <c r="A98" s="80" t="s">
        <v>1084</v>
      </c>
      <c r="B98" s="5" t="s">
        <v>1085</v>
      </c>
    </row>
    <row r="99" ht="16.5" customHeight="1">
      <c r="A99" s="80" t="s">
        <v>1088</v>
      </c>
      <c r="B99" s="5" t="s">
        <v>1089</v>
      </c>
    </row>
    <row r="100" ht="16.5" customHeight="1">
      <c r="A100" s="80" t="s">
        <v>1090</v>
      </c>
      <c r="B100" s="5" t="s">
        <v>1091</v>
      </c>
    </row>
    <row r="101" ht="16.5" customHeight="1">
      <c r="A101" s="80" t="s">
        <v>1709</v>
      </c>
      <c r="B101" s="5" t="s">
        <v>1710</v>
      </c>
    </row>
    <row r="102" ht="16.5" customHeight="1">
      <c r="A102" s="80" t="s">
        <v>345</v>
      </c>
      <c r="B102" s="5" t="s">
        <v>346</v>
      </c>
      <c r="C102" s="5" t="s">
        <v>776</v>
      </c>
      <c r="D102" s="5" t="s">
        <v>777</v>
      </c>
    </row>
    <row r="103" ht="16.5" customHeight="1">
      <c r="A103" s="80" t="s">
        <v>349</v>
      </c>
      <c r="B103" s="5" t="s">
        <v>350</v>
      </c>
      <c r="C103" s="5" t="s">
        <v>776</v>
      </c>
      <c r="D103" s="5" t="s">
        <v>777</v>
      </c>
    </row>
    <row r="104" ht="16.5" customHeight="1">
      <c r="A104" s="80" t="s">
        <v>1712</v>
      </c>
      <c r="B104" s="5" t="s">
        <v>1713</v>
      </c>
    </row>
    <row r="105" ht="16.5" customHeight="1">
      <c r="A105" s="80" t="s">
        <v>1714</v>
      </c>
      <c r="B105" s="5" t="s">
        <v>1715</v>
      </c>
    </row>
    <row r="106" ht="16.5" customHeight="1">
      <c r="A106" s="80" t="s">
        <v>1318</v>
      </c>
      <c r="B106" s="5" t="s">
        <v>1716</v>
      </c>
      <c r="C106" s="5" t="s">
        <v>776</v>
      </c>
      <c r="D106" s="5" t="s">
        <v>777</v>
      </c>
    </row>
    <row r="107" ht="16.5" customHeight="1">
      <c r="A107" s="80" t="s">
        <v>1324</v>
      </c>
      <c r="B107" s="5" t="s">
        <v>1717</v>
      </c>
      <c r="C107" s="5" t="s">
        <v>776</v>
      </c>
      <c r="D107" s="5" t="s">
        <v>777</v>
      </c>
    </row>
    <row r="108" ht="16.5" customHeight="1">
      <c r="A108" s="80" t="s">
        <v>830</v>
      </c>
      <c r="B108" s="5" t="s">
        <v>831</v>
      </c>
      <c r="C108" s="5" t="s">
        <v>776</v>
      </c>
      <c r="D108" s="5" t="s">
        <v>777</v>
      </c>
    </row>
    <row r="109" ht="16.5" customHeight="1">
      <c r="A109" s="80" t="s">
        <v>356</v>
      </c>
      <c r="B109" s="5" t="s">
        <v>357</v>
      </c>
      <c r="C109" s="5" t="s">
        <v>776</v>
      </c>
      <c r="D109" s="5" t="s">
        <v>777</v>
      </c>
    </row>
    <row r="110" ht="16.5" customHeight="1">
      <c r="A110" s="80" t="s">
        <v>361</v>
      </c>
      <c r="B110" s="5" t="s">
        <v>362</v>
      </c>
      <c r="C110" s="5" t="s">
        <v>776</v>
      </c>
      <c r="D110" s="5" t="s">
        <v>777</v>
      </c>
    </row>
    <row r="111" ht="16.5" customHeight="1">
      <c r="A111" s="80" t="s">
        <v>769</v>
      </c>
      <c r="B111" s="5" t="s">
        <v>770</v>
      </c>
    </row>
    <row r="112" ht="16.5" customHeight="1">
      <c r="A112" s="80" t="s">
        <v>368</v>
      </c>
      <c r="B112" s="5" t="s">
        <v>369</v>
      </c>
      <c r="C112" s="5" t="s">
        <v>776</v>
      </c>
      <c r="D112" s="5" t="s">
        <v>777</v>
      </c>
    </row>
    <row r="113" ht="16.5" customHeight="1">
      <c r="A113" s="80" t="s">
        <v>374</v>
      </c>
      <c r="B113" s="5" t="s">
        <v>375</v>
      </c>
      <c r="C113" s="5" t="s">
        <v>776</v>
      </c>
      <c r="D113" s="5" t="s">
        <v>777</v>
      </c>
    </row>
    <row r="114" ht="16.5" customHeight="1">
      <c r="A114" s="80" t="s">
        <v>376</v>
      </c>
      <c r="B114" s="5" t="s">
        <v>377</v>
      </c>
      <c r="C114" s="5" t="s">
        <v>86</v>
      </c>
      <c r="D114" s="5" t="s">
        <v>169</v>
      </c>
      <c r="E114" s="5" t="s">
        <v>125</v>
      </c>
    </row>
    <row r="115" ht="16.5" customHeight="1">
      <c r="A115" s="80" t="s">
        <v>380</v>
      </c>
      <c r="B115" s="5" t="s">
        <v>381</v>
      </c>
      <c r="C115" s="5" t="s">
        <v>86</v>
      </c>
      <c r="D115" s="5" t="s">
        <v>169</v>
      </c>
      <c r="E115" s="5" t="s">
        <v>125</v>
      </c>
    </row>
    <row r="116" ht="16.5" customHeight="1">
      <c r="A116" s="80" t="s">
        <v>1718</v>
      </c>
      <c r="B116" s="5" t="s">
        <v>1153</v>
      </c>
    </row>
    <row r="117" ht="16.5" customHeight="1">
      <c r="A117" s="80" t="s">
        <v>1719</v>
      </c>
      <c r="B117" s="5" t="s">
        <v>1157</v>
      </c>
    </row>
    <row r="118" ht="16.5" customHeight="1">
      <c r="A118" s="80" t="s">
        <v>407</v>
      </c>
      <c r="B118" s="5" t="s">
        <v>408</v>
      </c>
      <c r="C118" s="5" t="s">
        <v>86</v>
      </c>
      <c r="D118" s="5" t="s">
        <v>169</v>
      </c>
    </row>
    <row r="119" ht="16.5" customHeight="1">
      <c r="A119" s="80" t="s">
        <v>411</v>
      </c>
      <c r="B119" s="5" t="s">
        <v>412</v>
      </c>
      <c r="C119" s="5" t="s">
        <v>86</v>
      </c>
      <c r="D119" s="5" t="s">
        <v>169</v>
      </c>
    </row>
    <row r="120" ht="16.5" customHeight="1">
      <c r="A120" s="80" t="s">
        <v>430</v>
      </c>
      <c r="B120" s="5" t="s">
        <v>431</v>
      </c>
      <c r="C120" s="5" t="s">
        <v>86</v>
      </c>
      <c r="D120" s="5" t="s">
        <v>169</v>
      </c>
    </row>
    <row r="121" ht="16.5" customHeight="1">
      <c r="A121" s="80" t="s">
        <v>452</v>
      </c>
      <c r="B121" s="5" t="s">
        <v>453</v>
      </c>
      <c r="C121" s="5" t="s">
        <v>125</v>
      </c>
    </row>
    <row r="122" ht="16.5" customHeight="1">
      <c r="A122" s="80" t="s">
        <v>458</v>
      </c>
      <c r="B122" s="5" t="s">
        <v>459</v>
      </c>
      <c r="C122" s="5" t="s">
        <v>125</v>
      </c>
    </row>
    <row r="123" ht="16.5" customHeight="1">
      <c r="A123" s="80" t="s">
        <v>462</v>
      </c>
      <c r="B123" s="5" t="s">
        <v>463</v>
      </c>
      <c r="C123" s="5" t="s">
        <v>125</v>
      </c>
    </row>
    <row r="124" ht="16.5" customHeight="1">
      <c r="A124" s="80" t="s">
        <v>465</v>
      </c>
      <c r="B124" s="5" t="s">
        <v>466</v>
      </c>
      <c r="C124" s="5" t="s">
        <v>125</v>
      </c>
    </row>
    <row r="125" ht="16.5" customHeight="1">
      <c r="A125" s="80" t="s">
        <v>469</v>
      </c>
      <c r="B125" s="5" t="s">
        <v>470</v>
      </c>
      <c r="C125" s="5" t="s">
        <v>125</v>
      </c>
    </row>
    <row r="126" ht="16.5" customHeight="1">
      <c r="A126" s="80" t="s">
        <v>472</v>
      </c>
      <c r="B126" s="5" t="s">
        <v>473</v>
      </c>
      <c r="C126" s="5" t="s">
        <v>125</v>
      </c>
    </row>
    <row r="127" ht="16.5" customHeight="1">
      <c r="A127" s="80" t="s">
        <v>476</v>
      </c>
      <c r="B127" s="5" t="s">
        <v>477</v>
      </c>
      <c r="C127" s="5" t="s">
        <v>125</v>
      </c>
      <c r="D127" s="5" t="s">
        <v>1686</v>
      </c>
    </row>
    <row r="128" ht="16.5" customHeight="1">
      <c r="A128" s="80" t="s">
        <v>480</v>
      </c>
      <c r="B128" s="5" t="s">
        <v>482</v>
      </c>
      <c r="C128" s="5" t="s">
        <v>125</v>
      </c>
      <c r="D128" s="5" t="s">
        <v>1686</v>
      </c>
    </row>
    <row r="129" ht="16.5" customHeight="1">
      <c r="A129" s="80" t="s">
        <v>483</v>
      </c>
      <c r="B129" s="5" t="s">
        <v>484</v>
      </c>
      <c r="C129" s="5" t="s">
        <v>125</v>
      </c>
      <c r="D129" s="5" t="s">
        <v>1686</v>
      </c>
    </row>
    <row r="130" ht="16.5" customHeight="1">
      <c r="A130" s="80" t="s">
        <v>486</v>
      </c>
      <c r="B130" s="5" t="s">
        <v>487</v>
      </c>
      <c r="C130" s="5" t="s">
        <v>125</v>
      </c>
      <c r="D130" s="5" t="s">
        <v>1686</v>
      </c>
    </row>
    <row r="131" ht="16.5" customHeight="1">
      <c r="A131" s="80" t="s">
        <v>490</v>
      </c>
      <c r="B131" s="5" t="s">
        <v>491</v>
      </c>
      <c r="C131" s="5" t="s">
        <v>86</v>
      </c>
      <c r="D131" s="5" t="s">
        <v>169</v>
      </c>
    </row>
    <row r="132" ht="16.5" customHeight="1">
      <c r="A132" s="80" t="s">
        <v>492</v>
      </c>
      <c r="B132" s="5" t="s">
        <v>493</v>
      </c>
      <c r="C132" s="5" t="s">
        <v>86</v>
      </c>
      <c r="D132" s="5" t="s">
        <v>169</v>
      </c>
    </row>
    <row r="133" ht="16.5" customHeight="1">
      <c r="A133" s="80" t="s">
        <v>498</v>
      </c>
      <c r="B133" s="5" t="s">
        <v>499</v>
      </c>
      <c r="C133" s="5" t="s">
        <v>86</v>
      </c>
      <c r="D133" s="5" t="s">
        <v>169</v>
      </c>
    </row>
    <row r="134" ht="16.5" customHeight="1">
      <c r="A134" s="80" t="s">
        <v>505</v>
      </c>
      <c r="B134" s="5" t="s">
        <v>506</v>
      </c>
      <c r="C134" s="5" t="s">
        <v>86</v>
      </c>
      <c r="D134" s="5" t="s">
        <v>169</v>
      </c>
    </row>
    <row r="135" ht="16.5" customHeight="1">
      <c r="A135" s="80" t="s">
        <v>508</v>
      </c>
      <c r="B135" s="5" t="s">
        <v>509</v>
      </c>
      <c r="C135" s="5" t="s">
        <v>1721</v>
      </c>
      <c r="D135" s="5" t="s">
        <v>1721</v>
      </c>
      <c r="E135" s="5" t="s">
        <v>1721</v>
      </c>
    </row>
    <row r="136" ht="16.5" customHeight="1">
      <c r="A136" s="80" t="s">
        <v>515</v>
      </c>
      <c r="B136" s="5" t="s">
        <v>516</v>
      </c>
      <c r="C136" s="5" t="s">
        <v>1721</v>
      </c>
      <c r="D136" s="5" t="s">
        <v>1721</v>
      </c>
      <c r="E136" s="5" t="s">
        <v>1721</v>
      </c>
    </row>
    <row r="137" ht="16.5" customHeight="1">
      <c r="A137" s="80" t="s">
        <v>519</v>
      </c>
      <c r="B137" s="5" t="s">
        <v>520</v>
      </c>
      <c r="C137" s="5" t="s">
        <v>1721</v>
      </c>
      <c r="D137" s="5" t="s">
        <v>1721</v>
      </c>
      <c r="E137" s="5" t="s">
        <v>1721</v>
      </c>
    </row>
    <row r="138" ht="16.5" customHeight="1">
      <c r="A138" s="80" t="s">
        <v>521</v>
      </c>
      <c r="B138" s="5" t="s">
        <v>522</v>
      </c>
      <c r="C138" s="5" t="s">
        <v>1721</v>
      </c>
      <c r="D138" s="5" t="s">
        <v>1721</v>
      </c>
      <c r="E138" s="5" t="s">
        <v>1721</v>
      </c>
    </row>
    <row r="139" ht="16.5" customHeight="1">
      <c r="A139" s="80" t="s">
        <v>524</v>
      </c>
      <c r="B139" s="5" t="s">
        <v>525</v>
      </c>
      <c r="C139" s="5" t="s">
        <v>1721</v>
      </c>
      <c r="D139" s="5" t="s">
        <v>1721</v>
      </c>
      <c r="E139" s="5" t="s">
        <v>1721</v>
      </c>
    </row>
    <row r="140" ht="16.5" customHeight="1">
      <c r="A140" s="80" t="s">
        <v>531</v>
      </c>
      <c r="B140" s="5" t="s">
        <v>532</v>
      </c>
      <c r="C140" s="5" t="s">
        <v>1721</v>
      </c>
      <c r="D140" s="5" t="s">
        <v>1721</v>
      </c>
      <c r="E140" s="5" t="s">
        <v>1721</v>
      </c>
    </row>
    <row r="141" ht="16.5" customHeight="1">
      <c r="A141" s="80" t="s">
        <v>1135</v>
      </c>
      <c r="B141" s="5" t="s">
        <v>1136</v>
      </c>
      <c r="C141" s="5" t="s">
        <v>1721</v>
      </c>
      <c r="D141" s="5" t="s">
        <v>1721</v>
      </c>
      <c r="E141" s="5" t="s">
        <v>1721</v>
      </c>
    </row>
    <row r="142" ht="16.5" customHeight="1">
      <c r="A142" s="80" t="s">
        <v>1143</v>
      </c>
      <c r="B142" s="5" t="s">
        <v>1144</v>
      </c>
      <c r="C142" s="5" t="s">
        <v>1721</v>
      </c>
      <c r="D142" s="5" t="s">
        <v>1721</v>
      </c>
      <c r="E142" s="5" t="s">
        <v>1721</v>
      </c>
    </row>
    <row r="143" ht="16.5" customHeight="1">
      <c r="A143" s="80" t="s">
        <v>1197</v>
      </c>
      <c r="B143" s="5" t="s">
        <v>1199</v>
      </c>
    </row>
    <row r="144" ht="16.5" customHeight="1">
      <c r="A144" s="80" t="s">
        <v>1206</v>
      </c>
      <c r="B144" s="5" t="s">
        <v>1207</v>
      </c>
    </row>
    <row r="145" ht="16.5" customHeight="1">
      <c r="A145" s="80" t="s">
        <v>559</v>
      </c>
      <c r="B145" s="5" t="s">
        <v>560</v>
      </c>
      <c r="C145" s="5" t="s">
        <v>1721</v>
      </c>
      <c r="D145" s="5" t="s">
        <v>1721</v>
      </c>
      <c r="E145" s="5" t="s">
        <v>1721</v>
      </c>
    </row>
    <row r="146" ht="16.5" customHeight="1">
      <c r="A146" s="80" t="s">
        <v>563</v>
      </c>
      <c r="B146" s="5" t="s">
        <v>564</v>
      </c>
      <c r="C146" s="5" t="s">
        <v>1721</v>
      </c>
      <c r="D146" s="5" t="s">
        <v>1721</v>
      </c>
      <c r="E146" s="5" t="s">
        <v>1721</v>
      </c>
    </row>
    <row r="147" ht="16.5" customHeight="1">
      <c r="A147" s="80" t="s">
        <v>1171</v>
      </c>
      <c r="B147" s="5" t="s">
        <v>1172</v>
      </c>
    </row>
    <row r="148" ht="16.5" customHeight="1">
      <c r="A148" s="80" t="s">
        <v>1177</v>
      </c>
      <c r="B148" s="5" t="s">
        <v>1178</v>
      </c>
    </row>
    <row r="149" ht="16.5" customHeight="1">
      <c r="A149" s="80" t="s">
        <v>1722</v>
      </c>
      <c r="B149" s="5" t="s">
        <v>1723</v>
      </c>
    </row>
    <row r="150" ht="16.5" customHeight="1">
      <c r="A150" s="80" t="s">
        <v>1724</v>
      </c>
      <c r="B150" s="5" t="s">
        <v>1725</v>
      </c>
      <c r="C150" s="5" t="s">
        <v>226</v>
      </c>
      <c r="D150" s="5" t="s">
        <v>1641</v>
      </c>
    </row>
    <row r="151" ht="16.5" customHeight="1">
      <c r="A151" s="80" t="s">
        <v>1726</v>
      </c>
      <c r="B151" s="5" t="s">
        <v>1727</v>
      </c>
      <c r="C151" s="5" t="s">
        <v>226</v>
      </c>
      <c r="D151" s="5" t="s">
        <v>1641</v>
      </c>
    </row>
    <row r="152" ht="16.5" customHeight="1">
      <c r="A152" s="80" t="s">
        <v>1728</v>
      </c>
      <c r="B152" s="5" t="s">
        <v>1729</v>
      </c>
      <c r="C152" s="5" t="s">
        <v>226</v>
      </c>
      <c r="D152" s="5" t="s">
        <v>1641</v>
      </c>
    </row>
    <row r="153" ht="16.5" customHeight="1">
      <c r="A153" s="80" t="s">
        <v>1730</v>
      </c>
      <c r="B153" s="5" t="s">
        <v>1731</v>
      </c>
      <c r="C153" s="5" t="s">
        <v>226</v>
      </c>
      <c r="D153" s="5" t="s">
        <v>1641</v>
      </c>
    </row>
    <row r="154" ht="16.5" customHeight="1">
      <c r="A154" s="80" t="s">
        <v>939</v>
      </c>
      <c r="B154" s="5" t="s">
        <v>940</v>
      </c>
      <c r="C154" s="5" t="s">
        <v>226</v>
      </c>
      <c r="E154" s="5" t="s">
        <v>125</v>
      </c>
    </row>
    <row r="155" ht="16.5" customHeight="1">
      <c r="A155" s="80" t="s">
        <v>961</v>
      </c>
      <c r="B155" s="5" t="s">
        <v>962</v>
      </c>
      <c r="C155" s="5" t="s">
        <v>226</v>
      </c>
      <c r="E155" s="5" t="s">
        <v>125</v>
      </c>
    </row>
    <row r="156" ht="16.5" customHeight="1">
      <c r="A156" s="80" t="s">
        <v>1070</v>
      </c>
      <c r="B156" s="5" t="s">
        <v>1072</v>
      </c>
      <c r="C156" s="5" t="s">
        <v>226</v>
      </c>
      <c r="E156" s="5" t="s">
        <v>125</v>
      </c>
    </row>
    <row r="157" ht="16.5" customHeight="1">
      <c r="A157" s="80" t="s">
        <v>1164</v>
      </c>
      <c r="B157" s="5" t="s">
        <v>1166</v>
      </c>
      <c r="C157" s="5" t="s">
        <v>226</v>
      </c>
      <c r="E157" s="5" t="s">
        <v>125</v>
      </c>
    </row>
    <row r="158" ht="16.5" customHeight="1">
      <c r="A158" s="80" t="s">
        <v>1179</v>
      </c>
      <c r="B158" s="5" t="s">
        <v>1180</v>
      </c>
      <c r="C158" s="5" t="s">
        <v>226</v>
      </c>
      <c r="E158" s="5" t="s">
        <v>125</v>
      </c>
    </row>
    <row r="159" ht="16.5" customHeight="1">
      <c r="A159" s="80" t="s">
        <v>1388</v>
      </c>
      <c r="B159" s="5" t="s">
        <v>1389</v>
      </c>
      <c r="C159" s="5" t="s">
        <v>226</v>
      </c>
      <c r="E159" s="5" t="s">
        <v>125</v>
      </c>
    </row>
    <row r="160" ht="16.5" customHeight="1">
      <c r="A160" s="80" t="s">
        <v>1182</v>
      </c>
      <c r="B160" s="5" t="s">
        <v>1183</v>
      </c>
    </row>
    <row r="161" ht="16.5" customHeight="1">
      <c r="A161" s="80" t="s">
        <v>1188</v>
      </c>
      <c r="B161" s="5" t="s">
        <v>1189</v>
      </c>
    </row>
    <row r="162" ht="16.5" customHeight="1">
      <c r="A162" s="80" t="s">
        <v>1192</v>
      </c>
      <c r="B162" s="5" t="s">
        <v>1193</v>
      </c>
    </row>
    <row r="163" ht="16.5" customHeight="1">
      <c r="A163" s="80" t="s">
        <v>1194</v>
      </c>
      <c r="B163" s="5" t="s">
        <v>1195</v>
      </c>
    </row>
    <row r="164" ht="16.5" customHeight="1">
      <c r="A164" s="80" t="s">
        <v>1201</v>
      </c>
      <c r="B164" s="5" t="s">
        <v>1202</v>
      </c>
    </row>
    <row r="165" ht="16.5" customHeight="1">
      <c r="A165" s="80" t="s">
        <v>1204</v>
      </c>
      <c r="B165" s="5" t="s">
        <v>1205</v>
      </c>
      <c r="C165" s="5" t="s">
        <v>776</v>
      </c>
      <c r="D165" s="5" t="s">
        <v>777</v>
      </c>
    </row>
    <row r="166" ht="16.5" customHeight="1">
      <c r="A166" s="80" t="s">
        <v>621</v>
      </c>
      <c r="B166" s="5" t="s">
        <v>622</v>
      </c>
      <c r="C166" s="5" t="s">
        <v>776</v>
      </c>
      <c r="D166" s="5" t="s">
        <v>169</v>
      </c>
    </row>
    <row r="167" ht="16.5" customHeight="1">
      <c r="A167" s="80" t="s">
        <v>624</v>
      </c>
      <c r="B167" s="5" t="s">
        <v>625</v>
      </c>
      <c r="C167" s="5" t="s">
        <v>776</v>
      </c>
      <c r="D167" s="5" t="s">
        <v>169</v>
      </c>
    </row>
    <row r="168" ht="16.5" customHeight="1">
      <c r="A168" s="80" t="s">
        <v>656</v>
      </c>
      <c r="B168" s="5" t="s">
        <v>657</v>
      </c>
      <c r="C168" s="5" t="s">
        <v>776</v>
      </c>
      <c r="D168" s="5" t="s">
        <v>777</v>
      </c>
    </row>
    <row r="169" ht="16.5" customHeight="1">
      <c r="A169" s="80" t="s">
        <v>661</v>
      </c>
      <c r="B169" s="5" t="s">
        <v>662</v>
      </c>
      <c r="C169" s="5" t="s">
        <v>776</v>
      </c>
      <c r="D169" s="5" t="s">
        <v>777</v>
      </c>
    </row>
    <row r="170" ht="16.5" customHeight="1">
      <c r="A170" s="80" t="s">
        <v>1428</v>
      </c>
      <c r="B170" s="5" t="s">
        <v>1429</v>
      </c>
      <c r="C170" s="5" t="s">
        <v>776</v>
      </c>
      <c r="D170" s="5" t="s">
        <v>777</v>
      </c>
    </row>
    <row r="171" ht="16.5" customHeight="1">
      <c r="A171" s="80" t="s">
        <v>1433</v>
      </c>
      <c r="B171" s="5" t="s">
        <v>1434</v>
      </c>
      <c r="C171" s="5" t="s">
        <v>86</v>
      </c>
      <c r="D171" s="5" t="s">
        <v>169</v>
      </c>
    </row>
    <row r="172" ht="16.5" customHeight="1">
      <c r="A172" s="80" t="s">
        <v>1439</v>
      </c>
      <c r="B172" s="5" t="s">
        <v>1440</v>
      </c>
      <c r="C172" s="5" t="s">
        <v>776</v>
      </c>
      <c r="D172" s="5" t="s">
        <v>777</v>
      </c>
    </row>
    <row r="173" ht="16.5" customHeight="1">
      <c r="A173" s="80" t="s">
        <v>1448</v>
      </c>
      <c r="B173" s="5" t="s">
        <v>1449</v>
      </c>
      <c r="C173" s="5" t="s">
        <v>776</v>
      </c>
      <c r="D173" s="5" t="s">
        <v>777</v>
      </c>
    </row>
    <row r="174" ht="16.5" customHeight="1">
      <c r="A174" s="80" t="s">
        <v>1213</v>
      </c>
      <c r="B174" s="5" t="s">
        <v>1214</v>
      </c>
    </row>
    <row r="175" ht="16.5" customHeight="1">
      <c r="A175" s="80" t="s">
        <v>1217</v>
      </c>
      <c r="B175" s="5" t="s">
        <v>1218</v>
      </c>
    </row>
    <row r="176" ht="16.5" customHeight="1">
      <c r="A176" s="80" t="s">
        <v>1221</v>
      </c>
      <c r="B176" s="5" t="s">
        <v>1222</v>
      </c>
    </row>
    <row r="177" ht="16.5" customHeight="1">
      <c r="A177" s="80" t="s">
        <v>1210</v>
      </c>
      <c r="B177" s="5" t="s">
        <v>1735</v>
      </c>
    </row>
    <row r="178" ht="16.5" customHeight="1">
      <c r="A178" s="80" t="s">
        <v>1224</v>
      </c>
      <c r="B178" s="5" t="s">
        <v>1225</v>
      </c>
    </row>
    <row r="179" ht="16.5" customHeight="1">
      <c r="A179" s="80" t="s">
        <v>1228</v>
      </c>
      <c r="B179" s="5" t="s">
        <v>1229</v>
      </c>
    </row>
    <row r="180" ht="16.5" customHeight="1">
      <c r="A180" s="80" t="s">
        <v>674</v>
      </c>
      <c r="B180" s="5" t="s">
        <v>675</v>
      </c>
      <c r="C180" s="5" t="s">
        <v>86</v>
      </c>
      <c r="D180" s="5" t="s">
        <v>121</v>
      </c>
    </row>
    <row r="181" ht="16.5" customHeight="1">
      <c r="A181" s="80" t="s">
        <v>679</v>
      </c>
      <c r="B181" s="5" t="s">
        <v>680</v>
      </c>
      <c r="C181" s="5" t="s">
        <v>86</v>
      </c>
      <c r="D181" s="5" t="s">
        <v>121</v>
      </c>
    </row>
    <row r="182" ht="16.5" customHeight="1">
      <c r="A182" s="80" t="s">
        <v>787</v>
      </c>
      <c r="B182" s="5" t="s">
        <v>788</v>
      </c>
    </row>
    <row r="183" ht="16.5" customHeight="1">
      <c r="A183" s="80" t="s">
        <v>1230</v>
      </c>
      <c r="B183" s="5" t="s">
        <v>1231</v>
      </c>
    </row>
    <row r="184" ht="16.5" customHeight="1">
      <c r="A184" s="80" t="s">
        <v>681</v>
      </c>
      <c r="B184" s="5" t="s">
        <v>682</v>
      </c>
      <c r="C184" s="5" t="s">
        <v>86</v>
      </c>
      <c r="D184" s="5" t="s">
        <v>169</v>
      </c>
    </row>
    <row r="185" ht="16.5" customHeight="1">
      <c r="A185" s="80" t="s">
        <v>684</v>
      </c>
      <c r="B185" s="5" t="s">
        <v>685</v>
      </c>
      <c r="C185" s="5" t="s">
        <v>86</v>
      </c>
      <c r="D185" s="5" t="s">
        <v>169</v>
      </c>
    </row>
    <row r="186" ht="16.5" customHeight="1">
      <c r="A186" s="80" t="s">
        <v>1487</v>
      </c>
      <c r="B186" s="5" t="s">
        <v>1488</v>
      </c>
      <c r="C186" s="5" t="s">
        <v>125</v>
      </c>
      <c r="D186" s="5" t="s">
        <v>1686</v>
      </c>
      <c r="E186" s="5" t="s">
        <v>125</v>
      </c>
    </row>
    <row r="187" ht="16.5" customHeight="1">
      <c r="A187" s="80" t="s">
        <v>1492</v>
      </c>
      <c r="B187" s="5" t="s">
        <v>1493</v>
      </c>
      <c r="C187" s="5" t="s">
        <v>125</v>
      </c>
      <c r="D187" s="5" t="s">
        <v>1686</v>
      </c>
      <c r="E187" s="5" t="s">
        <v>125</v>
      </c>
    </row>
    <row r="188" ht="16.5" customHeight="1">
      <c r="A188" s="80" t="s">
        <v>1494</v>
      </c>
      <c r="B188" s="5" t="s">
        <v>1495</v>
      </c>
      <c r="C188" s="5" t="s">
        <v>125</v>
      </c>
      <c r="D188" s="5" t="s">
        <v>1686</v>
      </c>
      <c r="E188" s="5" t="s">
        <v>125</v>
      </c>
    </row>
    <row r="189" ht="16.5" customHeight="1">
      <c r="A189" s="80" t="s">
        <v>1497</v>
      </c>
      <c r="B189" s="5" t="s">
        <v>1498</v>
      </c>
      <c r="C189" s="5" t="s">
        <v>125</v>
      </c>
      <c r="D189" s="5" t="s">
        <v>1686</v>
      </c>
      <c r="E189" s="5" t="s">
        <v>125</v>
      </c>
    </row>
    <row r="190" ht="16.5" customHeight="1">
      <c r="A190" s="80" t="s">
        <v>1502</v>
      </c>
      <c r="B190" s="5" t="s">
        <v>1503</v>
      </c>
      <c r="C190" s="5" t="s">
        <v>86</v>
      </c>
      <c r="D190" s="5" t="s">
        <v>169</v>
      </c>
    </row>
    <row r="191" ht="16.5" customHeight="1">
      <c r="A191" s="80" t="s">
        <v>1504</v>
      </c>
      <c r="B191" s="5" t="s">
        <v>1505</v>
      </c>
      <c r="C191" s="5" t="s">
        <v>86</v>
      </c>
      <c r="D191" s="5" t="s">
        <v>169</v>
      </c>
    </row>
    <row r="192" ht="16.5" customHeight="1">
      <c r="A192" s="80" t="s">
        <v>1236</v>
      </c>
      <c r="B192" s="5" t="s">
        <v>1237</v>
      </c>
    </row>
    <row r="193" ht="16.5" customHeight="1">
      <c r="A193" s="80" t="s">
        <v>1238</v>
      </c>
      <c r="B193" s="5" t="s">
        <v>1239</v>
      </c>
    </row>
    <row r="194" ht="16.5" customHeight="1">
      <c r="A194" s="80" t="s">
        <v>1241</v>
      </c>
      <c r="B194" s="5" t="s">
        <v>1242</v>
      </c>
    </row>
    <row r="195" ht="16.5" customHeight="1">
      <c r="A195" s="80" t="s">
        <v>1507</v>
      </c>
      <c r="B195" s="5" t="s">
        <v>1508</v>
      </c>
      <c r="C195" s="5" t="s">
        <v>86</v>
      </c>
      <c r="D195" s="5" t="s">
        <v>169</v>
      </c>
    </row>
    <row r="196" ht="16.5" customHeight="1">
      <c r="A196" s="80" t="s">
        <v>1248</v>
      </c>
      <c r="B196" s="5" t="s">
        <v>1249</v>
      </c>
    </row>
    <row r="197" ht="16.5" customHeight="1">
      <c r="A197" s="80" t="s">
        <v>1251</v>
      </c>
      <c r="B197" s="5" t="s">
        <v>1252</v>
      </c>
    </row>
    <row r="198" ht="16.5" customHeight="1">
      <c r="A198" s="80" t="s">
        <v>1255</v>
      </c>
      <c r="B198" s="5" t="s">
        <v>1256</v>
      </c>
    </row>
    <row r="199" ht="16.5" customHeight="1">
      <c r="A199" s="80" t="s">
        <v>1259</v>
      </c>
      <c r="B199" s="5" t="s">
        <v>1260</v>
      </c>
    </row>
    <row r="200" ht="16.5" customHeight="1">
      <c r="A200" s="80" t="s">
        <v>1740</v>
      </c>
      <c r="B200" s="5" t="s">
        <v>1741</v>
      </c>
    </row>
    <row r="201" ht="16.5" customHeight="1">
      <c r="A201" s="80" t="s">
        <v>1511</v>
      </c>
      <c r="B201" s="5" t="s">
        <v>1512</v>
      </c>
      <c r="C201" s="5" t="s">
        <v>226</v>
      </c>
      <c r="D201" s="5" t="s">
        <v>1742</v>
      </c>
    </row>
    <row r="202" ht="16.5" customHeight="1">
      <c r="A202" s="80" t="s">
        <v>1516</v>
      </c>
      <c r="B202" s="5" t="s">
        <v>1517</v>
      </c>
      <c r="C202" s="5" t="s">
        <v>226</v>
      </c>
      <c r="D202" s="5" t="s">
        <v>1742</v>
      </c>
    </row>
    <row r="203" ht="16.5" customHeight="1">
      <c r="A203" s="80" t="s">
        <v>1520</v>
      </c>
      <c r="B203" s="5" t="s">
        <v>1521</v>
      </c>
      <c r="C203" s="5" t="s">
        <v>226</v>
      </c>
      <c r="D203" s="5" t="s">
        <v>1742</v>
      </c>
    </row>
    <row r="204" ht="16.5" customHeight="1">
      <c r="A204" s="80" t="s">
        <v>1524</v>
      </c>
      <c r="B204" s="5" t="s">
        <v>1525</v>
      </c>
      <c r="C204" s="5" t="s">
        <v>226</v>
      </c>
      <c r="D204" s="5" t="s">
        <v>1742</v>
      </c>
    </row>
    <row r="205" ht="16.5" customHeight="1">
      <c r="A205" s="80" t="s">
        <v>1526</v>
      </c>
      <c r="B205" s="5" t="s">
        <v>1527</v>
      </c>
      <c r="C205" s="5" t="s">
        <v>226</v>
      </c>
      <c r="D205" s="5" t="s">
        <v>1742</v>
      </c>
    </row>
    <row r="206" ht="16.5" customHeight="1">
      <c r="A206" s="80" t="s">
        <v>1529</v>
      </c>
      <c r="B206" s="5" t="s">
        <v>1530</v>
      </c>
      <c r="C206" s="5" t="s">
        <v>226</v>
      </c>
      <c r="D206" s="5" t="s">
        <v>1742</v>
      </c>
    </row>
    <row r="207" ht="16.5" customHeight="1">
      <c r="A207" s="80" t="s">
        <v>726</v>
      </c>
      <c r="B207" s="5" t="s">
        <v>727</v>
      </c>
      <c r="C207" s="5" t="s">
        <v>226</v>
      </c>
      <c r="D207" s="5" t="s">
        <v>1742</v>
      </c>
    </row>
    <row r="208" ht="16.5" customHeight="1">
      <c r="A208" s="80" t="s">
        <v>732</v>
      </c>
      <c r="B208" s="5" t="s">
        <v>733</v>
      </c>
      <c r="C208" s="5" t="s">
        <v>226</v>
      </c>
      <c r="D208" s="5" t="s">
        <v>1742</v>
      </c>
    </row>
    <row r="209" ht="16.5" customHeight="1">
      <c r="A209" s="80" t="s">
        <v>736</v>
      </c>
      <c r="B209" s="5" t="s">
        <v>737</v>
      </c>
      <c r="C209" s="5" t="s">
        <v>86</v>
      </c>
      <c r="D209" s="5" t="s">
        <v>169</v>
      </c>
    </row>
    <row r="210" ht="16.5" customHeight="1">
      <c r="A210" s="80" t="s">
        <v>739</v>
      </c>
      <c r="B210" s="5" t="s">
        <v>740</v>
      </c>
      <c r="C210" s="5" t="s">
        <v>86</v>
      </c>
      <c r="D210" s="5" t="s">
        <v>169</v>
      </c>
    </row>
    <row r="211" ht="16.5" customHeight="1">
      <c r="A211" s="80" t="s">
        <v>1539</v>
      </c>
      <c r="B211" s="5" t="s">
        <v>1541</v>
      </c>
      <c r="C211" s="5" t="s">
        <v>86</v>
      </c>
      <c r="D211" s="5" t="s">
        <v>169</v>
      </c>
    </row>
    <row r="212" ht="16.5" customHeight="1">
      <c r="A212" s="80" t="s">
        <v>745</v>
      </c>
      <c r="B212" s="5" t="s">
        <v>747</v>
      </c>
      <c r="C212" s="5" t="s">
        <v>776</v>
      </c>
      <c r="D212" s="5" t="s">
        <v>777</v>
      </c>
    </row>
    <row r="213" ht="16.5" customHeight="1">
      <c r="A213" s="80" t="s">
        <v>748</v>
      </c>
      <c r="B213" s="5" t="s">
        <v>749</v>
      </c>
      <c r="C213" s="5" t="s">
        <v>776</v>
      </c>
      <c r="D213" s="5" t="s">
        <v>777</v>
      </c>
    </row>
    <row r="214" ht="16.5" customHeight="1">
      <c r="A214" s="80" t="s">
        <v>753</v>
      </c>
      <c r="B214" s="5" t="s">
        <v>754</v>
      </c>
      <c r="C214" s="5" t="s">
        <v>776</v>
      </c>
      <c r="D214" s="5" t="s">
        <v>777</v>
      </c>
    </row>
    <row r="215" ht="16.5" customHeight="1">
      <c r="A215" s="80" t="s">
        <v>757</v>
      </c>
      <c r="B215" s="5" t="s">
        <v>758</v>
      </c>
      <c r="C215" s="5" t="s">
        <v>776</v>
      </c>
      <c r="D215" s="5" t="s">
        <v>777</v>
      </c>
    </row>
    <row r="216" ht="16.5" customHeight="1">
      <c r="A216" s="80" t="s">
        <v>1267</v>
      </c>
      <c r="B216" s="5" t="s">
        <v>1268</v>
      </c>
    </row>
    <row r="217" ht="16.5" customHeight="1">
      <c r="A217" s="80" t="s">
        <v>1272</v>
      </c>
      <c r="B217" s="5" t="s">
        <v>1273</v>
      </c>
    </row>
    <row r="218" ht="16.5" customHeight="1">
      <c r="A218" s="80" t="s">
        <v>759</v>
      </c>
      <c r="B218" s="5" t="s">
        <v>760</v>
      </c>
      <c r="C218" s="5" t="s">
        <v>86</v>
      </c>
      <c r="D218" s="5" t="s">
        <v>169</v>
      </c>
    </row>
    <row r="219" ht="16.5" customHeight="1">
      <c r="A219" s="80" t="s">
        <v>762</v>
      </c>
      <c r="B219" s="5" t="s">
        <v>763</v>
      </c>
      <c r="C219" s="5" t="s">
        <v>86</v>
      </c>
      <c r="D219" s="5" t="s">
        <v>169</v>
      </c>
    </row>
    <row r="220" ht="16.5" customHeight="1">
      <c r="A220" s="80" t="s">
        <v>765</v>
      </c>
      <c r="B220" s="5" t="s">
        <v>766</v>
      </c>
      <c r="C220" s="5" t="s">
        <v>86</v>
      </c>
      <c r="D220" s="5" t="s">
        <v>169</v>
      </c>
    </row>
    <row r="221" ht="16.5" customHeight="1">
      <c r="A221" s="80" t="s">
        <v>771</v>
      </c>
      <c r="B221" s="5" t="s">
        <v>772</v>
      </c>
      <c r="C221" s="5" t="s">
        <v>86</v>
      </c>
      <c r="D221" s="5" t="s">
        <v>169</v>
      </c>
    </row>
    <row r="222" ht="16.5" customHeight="1">
      <c r="A222" s="80" t="s">
        <v>774</v>
      </c>
      <c r="B222" s="5" t="s">
        <v>775</v>
      </c>
      <c r="C222" s="5" t="s">
        <v>86</v>
      </c>
      <c r="D222" s="5" t="s">
        <v>169</v>
      </c>
    </row>
    <row r="223" ht="16.5" customHeight="1">
      <c r="A223" s="80" t="s">
        <v>1274</v>
      </c>
      <c r="B223" s="5" t="s">
        <v>1275</v>
      </c>
    </row>
    <row r="224" ht="16.5" customHeight="1">
      <c r="A224" s="80" t="s">
        <v>1279</v>
      </c>
      <c r="B224" s="5" t="s">
        <v>1280</v>
      </c>
    </row>
    <row r="225" ht="16.5" customHeight="1">
      <c r="A225" s="80" t="s">
        <v>686</v>
      </c>
      <c r="B225" s="5" t="s">
        <v>688</v>
      </c>
      <c r="C225" s="5" t="s">
        <v>125</v>
      </c>
      <c r="D225" s="5" t="s">
        <v>1686</v>
      </c>
      <c r="E225" s="5" t="s">
        <v>125</v>
      </c>
    </row>
    <row r="226" ht="16.5" customHeight="1">
      <c r="A226" s="80" t="s">
        <v>818</v>
      </c>
      <c r="B226" s="5" t="s">
        <v>819</v>
      </c>
      <c r="C226" s="5" t="s">
        <v>226</v>
      </c>
      <c r="D226" s="5" t="s">
        <v>227</v>
      </c>
      <c r="E226" s="5" t="s">
        <v>125</v>
      </c>
    </row>
    <row r="227" ht="16.5" customHeight="1">
      <c r="A227" s="80" t="s">
        <v>824</v>
      </c>
      <c r="B227" s="5" t="s">
        <v>825</v>
      </c>
      <c r="C227" s="5" t="s">
        <v>226</v>
      </c>
      <c r="D227" s="5" t="s">
        <v>227</v>
      </c>
      <c r="E227" s="5" t="s">
        <v>125</v>
      </c>
    </row>
    <row r="228" ht="16.5" customHeight="1">
      <c r="A228" s="80" t="s">
        <v>1745</v>
      </c>
      <c r="B228" s="5" t="s">
        <v>1746</v>
      </c>
    </row>
    <row r="229" ht="16.5" customHeight="1">
      <c r="A229" s="80" t="s">
        <v>838</v>
      </c>
      <c r="B229" s="5" t="s">
        <v>840</v>
      </c>
      <c r="C229" s="5" t="s">
        <v>226</v>
      </c>
      <c r="D229" s="5" t="s">
        <v>227</v>
      </c>
    </row>
    <row r="230" ht="16.5" customHeight="1">
      <c r="A230" s="80" t="s">
        <v>856</v>
      </c>
      <c r="B230" s="5" t="s">
        <v>857</v>
      </c>
      <c r="C230" s="5" t="s">
        <v>226</v>
      </c>
      <c r="D230" s="5" t="s">
        <v>227</v>
      </c>
    </row>
    <row r="231" ht="16.5" customHeight="1">
      <c r="A231" s="80" t="s">
        <v>881</v>
      </c>
      <c r="B231" s="5" t="s">
        <v>882</v>
      </c>
      <c r="C231" s="5" t="s">
        <v>226</v>
      </c>
      <c r="D231" s="5" t="s">
        <v>227</v>
      </c>
    </row>
    <row r="232" ht="16.5" customHeight="1">
      <c r="A232" s="80" t="s">
        <v>890</v>
      </c>
      <c r="B232" s="5" t="s">
        <v>891</v>
      </c>
      <c r="C232" s="5" t="s">
        <v>226</v>
      </c>
      <c r="D232" s="5" t="s">
        <v>227</v>
      </c>
    </row>
    <row r="233" ht="16.5" customHeight="1">
      <c r="A233" s="80" t="s">
        <v>488</v>
      </c>
      <c r="B233" s="5" t="s">
        <v>489</v>
      </c>
      <c r="C233" s="5" t="s">
        <v>86</v>
      </c>
      <c r="D233" s="5" t="s">
        <v>169</v>
      </c>
    </row>
    <row r="234" ht="16.5" customHeight="1">
      <c r="A234" s="80" t="s">
        <v>503</v>
      </c>
      <c r="B234" s="5" t="s">
        <v>504</v>
      </c>
      <c r="C234" s="5" t="s">
        <v>86</v>
      </c>
      <c r="D234" s="5" t="s">
        <v>169</v>
      </c>
    </row>
    <row r="235" ht="16.5" customHeight="1">
      <c r="A235" s="80" t="s">
        <v>1282</v>
      </c>
      <c r="B235" s="5" t="s">
        <v>1283</v>
      </c>
    </row>
    <row r="236" ht="16.5" customHeight="1">
      <c r="A236" s="80" t="s">
        <v>1286</v>
      </c>
      <c r="B236" s="5" t="s">
        <v>1287</v>
      </c>
    </row>
    <row r="237" ht="16.5" customHeight="1">
      <c r="A237" s="80" t="s">
        <v>1288</v>
      </c>
      <c r="B237" s="5" t="s">
        <v>1289</v>
      </c>
    </row>
    <row r="238" ht="16.5" customHeight="1">
      <c r="A238" s="80" t="s">
        <v>1290</v>
      </c>
      <c r="B238" s="5" t="s">
        <v>1291</v>
      </c>
    </row>
    <row r="239" ht="16.5" customHeight="1">
      <c r="A239" s="80" t="s">
        <v>806</v>
      </c>
      <c r="B239" s="5" t="s">
        <v>807</v>
      </c>
      <c r="C239" s="5" t="s">
        <v>125</v>
      </c>
      <c r="D239" s="5" t="s">
        <v>1686</v>
      </c>
      <c r="E239" s="5" t="s">
        <v>125</v>
      </c>
    </row>
    <row r="240" ht="16.5" customHeight="1">
      <c r="A240" s="80" t="s">
        <v>811</v>
      </c>
      <c r="B240" s="5" t="s">
        <v>812</v>
      </c>
      <c r="C240" s="5" t="s">
        <v>125</v>
      </c>
      <c r="D240" s="5" t="s">
        <v>1686</v>
      </c>
      <c r="E240" s="5" t="s">
        <v>125</v>
      </c>
    </row>
    <row r="241" ht="16.5" customHeight="1">
      <c r="A241" s="80" t="s">
        <v>1572</v>
      </c>
      <c r="B241" s="5" t="s">
        <v>1573</v>
      </c>
      <c r="C241" s="5" t="s">
        <v>125</v>
      </c>
      <c r="D241" s="5" t="s">
        <v>1686</v>
      </c>
      <c r="E241" s="5" t="s">
        <v>125</v>
      </c>
    </row>
    <row r="242" ht="16.5" customHeight="1">
      <c r="A242" s="80" t="s">
        <v>1578</v>
      </c>
      <c r="B242" s="5" t="s">
        <v>1579</v>
      </c>
      <c r="C242" s="5" t="s">
        <v>125</v>
      </c>
      <c r="D242" s="5" t="s">
        <v>1686</v>
      </c>
      <c r="E242" s="5" t="s">
        <v>125</v>
      </c>
    </row>
    <row r="243" ht="16.5" customHeight="1">
      <c r="A243" s="80" t="s">
        <v>1580</v>
      </c>
      <c r="B243" s="5" t="s">
        <v>1581</v>
      </c>
      <c r="C243" s="5" t="s">
        <v>125</v>
      </c>
      <c r="D243" s="5" t="s">
        <v>1686</v>
      </c>
      <c r="E243" s="5" t="s">
        <v>125</v>
      </c>
    </row>
    <row r="244" ht="16.5" customHeight="1">
      <c r="A244" s="80" t="s">
        <v>1583</v>
      </c>
      <c r="B244" s="5" t="s">
        <v>1584</v>
      </c>
      <c r="C244" s="5" t="s">
        <v>125</v>
      </c>
      <c r="D244" s="5" t="s">
        <v>1686</v>
      </c>
      <c r="E244" s="5" t="s">
        <v>125</v>
      </c>
    </row>
    <row r="245" ht="16.5" customHeight="1">
      <c r="A245" s="80" t="s">
        <v>822</v>
      </c>
      <c r="B245" s="5" t="s">
        <v>823</v>
      </c>
      <c r="C245" s="5" t="s">
        <v>86</v>
      </c>
      <c r="D245" s="5" t="s">
        <v>826</v>
      </c>
    </row>
    <row r="246" ht="16.5" customHeight="1">
      <c r="A246" s="80" t="s">
        <v>828</v>
      </c>
      <c r="B246" s="5" t="s">
        <v>829</v>
      </c>
      <c r="C246" s="5" t="s">
        <v>86</v>
      </c>
      <c r="D246" s="5" t="s">
        <v>826</v>
      </c>
    </row>
    <row r="247" ht="16.5" customHeight="1">
      <c r="A247" s="80" t="s">
        <v>1320</v>
      </c>
      <c r="B247" s="5" t="s">
        <v>1321</v>
      </c>
      <c r="C247" s="5" t="s">
        <v>86</v>
      </c>
      <c r="D247" s="5" t="s">
        <v>826</v>
      </c>
    </row>
    <row r="248" ht="16.5" customHeight="1">
      <c r="A248" s="80" t="s">
        <v>1334</v>
      </c>
      <c r="B248" s="5" t="s">
        <v>1335</v>
      </c>
      <c r="C248" s="5" t="s">
        <v>86</v>
      </c>
      <c r="D248" s="5" t="s">
        <v>826</v>
      </c>
    </row>
    <row r="249" ht="16.5" customHeight="1">
      <c r="A249" s="80" t="s">
        <v>1599</v>
      </c>
      <c r="B249" s="5" t="s">
        <v>1600</v>
      </c>
      <c r="C249" s="5" t="s">
        <v>86</v>
      </c>
      <c r="D249" s="5" t="s">
        <v>826</v>
      </c>
    </row>
    <row r="250" ht="16.5" customHeight="1">
      <c r="A250" s="80" t="s">
        <v>1602</v>
      </c>
      <c r="B250" s="5" t="s">
        <v>1603</v>
      </c>
      <c r="C250" s="5" t="s">
        <v>86</v>
      </c>
      <c r="D250" s="5" t="s">
        <v>826</v>
      </c>
    </row>
    <row r="251" ht="16.5" customHeight="1">
      <c r="A251" s="80" t="s">
        <v>1607</v>
      </c>
      <c r="B251" s="5" t="s">
        <v>1608</v>
      </c>
      <c r="C251" s="5" t="s">
        <v>125</v>
      </c>
      <c r="D251" s="5" t="s">
        <v>1686</v>
      </c>
      <c r="E251" s="5" t="s">
        <v>125</v>
      </c>
    </row>
    <row r="252" ht="16.5" customHeight="1">
      <c r="A252" s="80" t="s">
        <v>1611</v>
      </c>
      <c r="B252" s="5" t="s">
        <v>1612</v>
      </c>
      <c r="C252" s="5" t="s">
        <v>125</v>
      </c>
      <c r="D252" s="5" t="s">
        <v>1686</v>
      </c>
      <c r="E252" s="5" t="s">
        <v>125</v>
      </c>
    </row>
    <row r="253" ht="16.5" customHeight="1">
      <c r="A253" s="80" t="s">
        <v>1614</v>
      </c>
      <c r="B253" s="5" t="s">
        <v>1615</v>
      </c>
      <c r="C253" s="5" t="s">
        <v>125</v>
      </c>
      <c r="D253" s="5" t="s">
        <v>1686</v>
      </c>
      <c r="E253" s="5" t="s">
        <v>125</v>
      </c>
    </row>
    <row r="254" ht="16.5" customHeight="1">
      <c r="A254" s="80" t="s">
        <v>1618</v>
      </c>
      <c r="B254" s="5" t="s">
        <v>1619</v>
      </c>
      <c r="C254" s="5" t="s">
        <v>125</v>
      </c>
      <c r="D254" s="5" t="s">
        <v>1686</v>
      </c>
      <c r="E254" s="5" t="s">
        <v>125</v>
      </c>
    </row>
    <row r="255" ht="16.5" customHeight="1">
      <c r="A255" s="80" t="s">
        <v>1621</v>
      </c>
      <c r="B255" s="5" t="s">
        <v>1622</v>
      </c>
      <c r="C255" s="5" t="s">
        <v>125</v>
      </c>
      <c r="D255" s="5" t="s">
        <v>1686</v>
      </c>
      <c r="E255" s="5" t="s">
        <v>125</v>
      </c>
    </row>
    <row r="256" ht="16.5" customHeight="1">
      <c r="A256" s="80" t="s">
        <v>1625</v>
      </c>
      <c r="B256" s="5" t="s">
        <v>1626</v>
      </c>
      <c r="C256" s="5" t="s">
        <v>86</v>
      </c>
      <c r="D256" s="5" t="s">
        <v>169</v>
      </c>
    </row>
    <row r="257" ht="16.5" customHeight="1">
      <c r="A257" s="80" t="s">
        <v>1629</v>
      </c>
      <c r="B257" s="5" t="s">
        <v>1630</v>
      </c>
      <c r="C257" s="5" t="s">
        <v>125</v>
      </c>
    </row>
    <row r="258" ht="16.5" customHeight="1">
      <c r="A258" s="80" t="s">
        <v>1631</v>
      </c>
      <c r="B258" s="5" t="s">
        <v>1632</v>
      </c>
      <c r="C258" s="5" t="s">
        <v>125</v>
      </c>
    </row>
    <row r="259" ht="16.5" customHeight="1">
      <c r="A259" s="80" t="s">
        <v>832</v>
      </c>
      <c r="B259" s="5" t="s">
        <v>833</v>
      </c>
      <c r="C259" s="5" t="s">
        <v>125</v>
      </c>
      <c r="D259" s="5" t="s">
        <v>1686</v>
      </c>
      <c r="E259" s="5" t="s">
        <v>125</v>
      </c>
    </row>
    <row r="260" ht="16.5" customHeight="1">
      <c r="A260" s="80" t="s">
        <v>837</v>
      </c>
      <c r="B260" s="5" t="s">
        <v>839</v>
      </c>
      <c r="C260" s="5" t="s">
        <v>125</v>
      </c>
      <c r="D260" s="5" t="s">
        <v>1686</v>
      </c>
      <c r="E260" s="5" t="s">
        <v>125</v>
      </c>
    </row>
    <row r="261" ht="16.5" customHeight="1">
      <c r="A261" s="80" t="s">
        <v>845</v>
      </c>
      <c r="B261" s="5" t="s">
        <v>846</v>
      </c>
      <c r="C261" s="5" t="s">
        <v>125</v>
      </c>
      <c r="D261" s="5" t="s">
        <v>1686</v>
      </c>
      <c r="E261" s="5" t="s">
        <v>125</v>
      </c>
    </row>
    <row r="262" ht="16.5" customHeight="1">
      <c r="A262" s="80" t="s">
        <v>850</v>
      </c>
      <c r="B262" s="5" t="s">
        <v>851</v>
      </c>
      <c r="C262" s="5" t="s">
        <v>125</v>
      </c>
      <c r="D262" s="5" t="s">
        <v>1686</v>
      </c>
      <c r="E262" s="5" t="s">
        <v>125</v>
      </c>
    </row>
    <row r="263" ht="16.5" customHeight="1">
      <c r="A263" s="80" t="s">
        <v>861</v>
      </c>
      <c r="B263" s="5" t="s">
        <v>862</v>
      </c>
      <c r="C263" s="5" t="s">
        <v>86</v>
      </c>
      <c r="D263" s="5" t="s">
        <v>169</v>
      </c>
    </row>
    <row r="264" ht="16.5" customHeight="1">
      <c r="A264" s="80" t="s">
        <v>863</v>
      </c>
      <c r="B264" s="5" t="s">
        <v>864</v>
      </c>
      <c r="C264" s="5" t="s">
        <v>86</v>
      </c>
      <c r="D264" s="5" t="s">
        <v>169</v>
      </c>
    </row>
    <row r="265" ht="16.5" customHeight="1">
      <c r="A265" s="80" t="s">
        <v>1652</v>
      </c>
      <c r="B265" s="5" t="s">
        <v>1653</v>
      </c>
      <c r="C265" s="5" t="s">
        <v>125</v>
      </c>
    </row>
    <row r="266" ht="16.5" customHeight="1">
      <c r="A266" s="80" t="s">
        <v>1656</v>
      </c>
      <c r="B266" s="5" t="s">
        <v>1657</v>
      </c>
      <c r="C266" s="5" t="s">
        <v>125</v>
      </c>
    </row>
    <row r="267" ht="16.5" customHeight="1">
      <c r="A267" s="80" t="s">
        <v>879</v>
      </c>
      <c r="B267" s="5" t="s">
        <v>880</v>
      </c>
      <c r="C267" s="5" t="s">
        <v>125</v>
      </c>
      <c r="E267" s="5" t="s">
        <v>125</v>
      </c>
    </row>
    <row r="268" ht="16.5" customHeight="1">
      <c r="A268" s="80" t="s">
        <v>886</v>
      </c>
      <c r="B268" s="5" t="s">
        <v>887</v>
      </c>
      <c r="C268" s="5" t="s">
        <v>125</v>
      </c>
      <c r="E268" s="5" t="s">
        <v>125</v>
      </c>
    </row>
    <row r="269" ht="16.5" customHeight="1">
      <c r="A269" s="80" t="s">
        <v>1663</v>
      </c>
      <c r="B269" s="5" t="s">
        <v>1664</v>
      </c>
      <c r="C269" s="5" t="s">
        <v>226</v>
      </c>
      <c r="D269" s="5" t="s">
        <v>227</v>
      </c>
    </row>
    <row r="270" ht="16.5" customHeight="1">
      <c r="A270" s="80" t="s">
        <v>1666</v>
      </c>
      <c r="B270" s="5" t="s">
        <v>1667</v>
      </c>
      <c r="C270" s="5" t="s">
        <v>226</v>
      </c>
      <c r="D270" s="5" t="s">
        <v>227</v>
      </c>
    </row>
    <row r="271" ht="16.5" customHeight="1">
      <c r="A271" s="80" t="s">
        <v>1668</v>
      </c>
      <c r="B271" s="5" t="s">
        <v>1669</v>
      </c>
      <c r="C271" s="5" t="s">
        <v>226</v>
      </c>
      <c r="D271" s="5" t="s">
        <v>227</v>
      </c>
    </row>
    <row r="272" ht="16.5" customHeight="1">
      <c r="A272" s="80" t="s">
        <v>1670</v>
      </c>
      <c r="B272" s="5" t="s">
        <v>1671</v>
      </c>
      <c r="C272" s="5" t="s">
        <v>226</v>
      </c>
      <c r="D272" s="5" t="s">
        <v>227</v>
      </c>
    </row>
    <row r="273" ht="16.5" customHeight="1">
      <c r="A273" s="80" t="s">
        <v>1753</v>
      </c>
      <c r="B273" s="5" t="s">
        <v>1754</v>
      </c>
      <c r="C273" s="5" t="s">
        <v>776</v>
      </c>
      <c r="D273" s="5" t="s">
        <v>777</v>
      </c>
    </row>
    <row r="274" ht="16.5" customHeight="1">
      <c r="A274" s="80" t="s">
        <v>1755</v>
      </c>
      <c r="B274" s="5" t="s">
        <v>1756</v>
      </c>
      <c r="C274" s="5" t="s">
        <v>776</v>
      </c>
      <c r="D274" s="5" t="s">
        <v>777</v>
      </c>
    </row>
    <row r="275" ht="16.5" customHeight="1">
      <c r="A275" s="80" t="s">
        <v>1295</v>
      </c>
      <c r="B275" s="5" t="s">
        <v>1296</v>
      </c>
    </row>
    <row r="276" ht="16.5" customHeight="1">
      <c r="A276" s="80" t="s">
        <v>1297</v>
      </c>
      <c r="B276" s="5" t="s">
        <v>1298</v>
      </c>
    </row>
    <row r="277" ht="16.5" customHeight="1">
      <c r="A277" s="80" t="s">
        <v>1673</v>
      </c>
      <c r="B277" s="5" t="s">
        <v>1674</v>
      </c>
      <c r="C277" s="5" t="s">
        <v>776</v>
      </c>
      <c r="D277" s="5" t="s">
        <v>777</v>
      </c>
    </row>
    <row r="278" ht="16.5" customHeight="1">
      <c r="A278" s="80" t="s">
        <v>1677</v>
      </c>
      <c r="B278" s="5" t="s">
        <v>1678</v>
      </c>
      <c r="C278" s="5" t="s">
        <v>776</v>
      </c>
      <c r="D278" s="5" t="s">
        <v>777</v>
      </c>
    </row>
    <row r="279" ht="16.5" customHeight="1">
      <c r="A279" s="80" t="s">
        <v>1300</v>
      </c>
      <c r="B279" s="5" t="s">
        <v>1301</v>
      </c>
    </row>
    <row r="280" ht="16.5" customHeight="1">
      <c r="A280" s="80" t="s">
        <v>517</v>
      </c>
      <c r="B280" s="5" t="s">
        <v>518</v>
      </c>
      <c r="C280" s="5" t="s">
        <v>125</v>
      </c>
    </row>
    <row r="281" ht="16.5" customHeight="1">
      <c r="A281" s="80" t="s">
        <v>527</v>
      </c>
      <c r="B281" s="5" t="s">
        <v>528</v>
      </c>
      <c r="C281" s="5" t="s">
        <v>125</v>
      </c>
    </row>
    <row r="282" ht="16.5" customHeight="1">
      <c r="A282" s="80" t="s">
        <v>1757</v>
      </c>
      <c r="B282" s="5" t="s">
        <v>1758</v>
      </c>
      <c r="C282" s="5" t="s">
        <v>776</v>
      </c>
      <c r="D282" s="5" t="s">
        <v>777</v>
      </c>
    </row>
    <row r="283" ht="16.5" customHeight="1">
      <c r="A283" s="80" t="s">
        <v>905</v>
      </c>
      <c r="B283" s="5" t="s">
        <v>906</v>
      </c>
    </row>
    <row r="284" ht="16.5" customHeight="1">
      <c r="A284" s="80" t="s">
        <v>908</v>
      </c>
      <c r="B284" s="5" t="s">
        <v>909</v>
      </c>
    </row>
    <row r="285" ht="16.5" customHeight="1">
      <c r="A285" s="80" t="s">
        <v>1732</v>
      </c>
      <c r="B285" s="5" t="s">
        <v>1733</v>
      </c>
      <c r="C285" s="5" t="s">
        <v>86</v>
      </c>
      <c r="D285" s="5" t="s">
        <v>826</v>
      </c>
    </row>
    <row r="286" ht="16.5" customHeight="1">
      <c r="A286" s="80" t="s">
        <v>1736</v>
      </c>
      <c r="B286" s="5" t="s">
        <v>1737</v>
      </c>
      <c r="C286" s="5" t="s">
        <v>86</v>
      </c>
      <c r="D286" s="5" t="s">
        <v>826</v>
      </c>
    </row>
    <row r="287" ht="16.5" customHeight="1">
      <c r="A287" s="80" t="s">
        <v>925</v>
      </c>
      <c r="B287" s="5" t="s">
        <v>926</v>
      </c>
      <c r="C287" s="5" t="s">
        <v>86</v>
      </c>
      <c r="D287" s="5" t="s">
        <v>826</v>
      </c>
    </row>
    <row r="288" ht="16.5" customHeight="1">
      <c r="A288" s="80" t="s">
        <v>929</v>
      </c>
      <c r="B288" s="5" t="s">
        <v>930</v>
      </c>
      <c r="C288" s="5" t="s">
        <v>86</v>
      </c>
      <c r="D288" s="5" t="s">
        <v>826</v>
      </c>
    </row>
    <row r="289" ht="16.5" customHeight="1">
      <c r="A289" s="80" t="s">
        <v>604</v>
      </c>
      <c r="B289" s="5" t="s">
        <v>605</v>
      </c>
    </row>
    <row r="290" ht="16.5" customHeight="1">
      <c r="A290" s="80" t="s">
        <v>590</v>
      </c>
      <c r="B290" s="5" t="s">
        <v>985</v>
      </c>
    </row>
    <row r="291" ht="16.5" customHeight="1">
      <c r="A291" s="80" t="s">
        <v>944</v>
      </c>
      <c r="B291" s="5" t="s">
        <v>945</v>
      </c>
      <c r="C291" s="5" t="s">
        <v>86</v>
      </c>
      <c r="D291" s="5" t="s">
        <v>169</v>
      </c>
    </row>
    <row r="292" ht="16.5" customHeight="1">
      <c r="A292" s="80" t="s">
        <v>698</v>
      </c>
      <c r="B292" s="5" t="s">
        <v>699</v>
      </c>
    </row>
    <row r="293" ht="16.5" customHeight="1">
      <c r="A293" s="80" t="s">
        <v>947</v>
      </c>
      <c r="B293" s="5" t="s">
        <v>948</v>
      </c>
      <c r="C293" s="5" t="s">
        <v>125</v>
      </c>
      <c r="D293" s="5" t="s">
        <v>1686</v>
      </c>
      <c r="E293" s="5" t="s">
        <v>125</v>
      </c>
    </row>
    <row r="294" ht="16.5" customHeight="1">
      <c r="A294" s="80" t="s">
        <v>952</v>
      </c>
      <c r="B294" s="5" t="s">
        <v>953</v>
      </c>
      <c r="C294" s="5" t="s">
        <v>125</v>
      </c>
      <c r="D294" s="5" t="s">
        <v>1686</v>
      </c>
      <c r="E294" s="5" t="s">
        <v>125</v>
      </c>
    </row>
    <row r="295" ht="16.5" customHeight="1">
      <c r="A295" s="80" t="s">
        <v>955</v>
      </c>
      <c r="B295" s="5" t="s">
        <v>956</v>
      </c>
      <c r="C295" s="5" t="s">
        <v>125</v>
      </c>
      <c r="D295" s="5" t="s">
        <v>1686</v>
      </c>
      <c r="E295" s="5" t="s">
        <v>125</v>
      </c>
    </row>
    <row r="296" ht="16.5" customHeight="1">
      <c r="A296" s="80" t="s">
        <v>957</v>
      </c>
      <c r="B296" s="5" t="s">
        <v>958</v>
      </c>
      <c r="C296" s="5" t="s">
        <v>125</v>
      </c>
      <c r="D296" s="5" t="s">
        <v>1686</v>
      </c>
      <c r="E296" s="5" t="s">
        <v>125</v>
      </c>
    </row>
    <row r="297" ht="16.5" customHeight="1">
      <c r="A297" s="80" t="s">
        <v>1761</v>
      </c>
      <c r="B297" s="5" t="s">
        <v>1762</v>
      </c>
      <c r="C297" s="5" t="s">
        <v>125</v>
      </c>
      <c r="D297" s="5" t="s">
        <v>1686</v>
      </c>
      <c r="E297" s="5" t="s">
        <v>125</v>
      </c>
    </row>
    <row r="298" ht="16.5" customHeight="1">
      <c r="A298" s="80" t="s">
        <v>1763</v>
      </c>
      <c r="B298" s="5" t="s">
        <v>1764</v>
      </c>
      <c r="C298" s="5" t="s">
        <v>125</v>
      </c>
      <c r="D298" s="5" t="s">
        <v>1686</v>
      </c>
      <c r="E298" s="5" t="s">
        <v>125</v>
      </c>
    </row>
    <row r="299" ht="16.5" customHeight="1">
      <c r="A299" s="80" t="s">
        <v>1308</v>
      </c>
      <c r="B299" s="5" t="s">
        <v>1309</v>
      </c>
    </row>
    <row r="300" ht="16.5" customHeight="1">
      <c r="A300" s="80" t="s">
        <v>1310</v>
      </c>
      <c r="B300" s="5" t="s">
        <v>1311</v>
      </c>
    </row>
    <row r="301" ht="16.5" customHeight="1">
      <c r="A301" s="80" t="s">
        <v>1312</v>
      </c>
      <c r="B301" s="5" t="s">
        <v>1313</v>
      </c>
    </row>
    <row r="302" ht="16.5" customHeight="1">
      <c r="A302" s="80" t="s">
        <v>1316</v>
      </c>
      <c r="B302" s="5" t="s">
        <v>1317</v>
      </c>
    </row>
    <row r="303" ht="16.5" customHeight="1">
      <c r="A303" s="80" t="s">
        <v>1322</v>
      </c>
      <c r="B303" s="5" t="s">
        <v>1323</v>
      </c>
    </row>
    <row r="304" ht="16.5" customHeight="1">
      <c r="A304" s="80" t="s">
        <v>1765</v>
      </c>
      <c r="B304" s="5" t="s">
        <v>1766</v>
      </c>
      <c r="C304" s="5" t="s">
        <v>226</v>
      </c>
      <c r="D304" s="5" t="s">
        <v>227</v>
      </c>
    </row>
    <row r="305" ht="16.5" customHeight="1">
      <c r="A305" s="80" t="s">
        <v>1767</v>
      </c>
      <c r="B305" s="5" t="s">
        <v>1768</v>
      </c>
      <c r="C305" s="5" t="s">
        <v>226</v>
      </c>
      <c r="D305" s="5" t="s">
        <v>227</v>
      </c>
    </row>
    <row r="306" ht="16.5" customHeight="1">
      <c r="A306" s="80" t="s">
        <v>1769</v>
      </c>
      <c r="B306" s="5" t="s">
        <v>1770</v>
      </c>
      <c r="C306" s="5" t="s">
        <v>226</v>
      </c>
      <c r="D306" s="5" t="s">
        <v>227</v>
      </c>
    </row>
    <row r="307" ht="16.5" customHeight="1">
      <c r="A307" s="80" t="s">
        <v>1771</v>
      </c>
      <c r="B307" s="5" t="s">
        <v>1772</v>
      </c>
      <c r="C307" s="5" t="s">
        <v>226</v>
      </c>
      <c r="D307" s="5" t="s">
        <v>227</v>
      </c>
    </row>
    <row r="308" ht="16.5" customHeight="1">
      <c r="A308" s="80" t="s">
        <v>1773</v>
      </c>
      <c r="B308" s="5" t="s">
        <v>1774</v>
      </c>
      <c r="C308" s="5" t="s">
        <v>86</v>
      </c>
      <c r="D308" s="5" t="s">
        <v>169</v>
      </c>
    </row>
    <row r="309" ht="16.5" customHeight="1">
      <c r="A309" s="80" t="s">
        <v>1326</v>
      </c>
      <c r="B309" s="5" t="s">
        <v>1328</v>
      </c>
    </row>
    <row r="310" ht="16.5" customHeight="1">
      <c r="A310" s="80" t="s">
        <v>1332</v>
      </c>
      <c r="B310" s="5" t="s">
        <v>1333</v>
      </c>
    </row>
    <row r="311" ht="16.5" customHeight="1">
      <c r="A311" s="80" t="s">
        <v>1338</v>
      </c>
      <c r="B311" s="5" t="s">
        <v>1339</v>
      </c>
    </row>
    <row r="312" ht="16.5" customHeight="1">
      <c r="A312" s="80" t="s">
        <v>1341</v>
      </c>
      <c r="B312" s="5" t="s">
        <v>1342</v>
      </c>
    </row>
    <row r="313" ht="16.5" customHeight="1">
      <c r="A313" s="80" t="s">
        <v>1346</v>
      </c>
      <c r="B313" s="5" t="s">
        <v>1347</v>
      </c>
    </row>
    <row r="314" ht="16.5" customHeight="1">
      <c r="A314" s="80" t="s">
        <v>1350</v>
      </c>
      <c r="B314" s="5" t="s">
        <v>1351</v>
      </c>
    </row>
    <row r="315" ht="16.5" customHeight="1">
      <c r="A315" s="80" t="s">
        <v>1354</v>
      </c>
      <c r="B315" s="5" t="s">
        <v>1355</v>
      </c>
    </row>
    <row r="316" ht="16.5" customHeight="1">
      <c r="A316" s="80" t="s">
        <v>1357</v>
      </c>
      <c r="B316" s="5" t="s">
        <v>1358</v>
      </c>
    </row>
    <row r="317" ht="16.5" customHeight="1">
      <c r="A317" s="80" t="s">
        <v>1361</v>
      </c>
      <c r="B317" s="5" t="s">
        <v>1362</v>
      </c>
    </row>
    <row r="318" ht="16.5" customHeight="1">
      <c r="A318" s="80" t="s">
        <v>1363</v>
      </c>
      <c r="B318" s="5" t="s">
        <v>1364</v>
      </c>
    </row>
    <row r="319" ht="16.5" customHeight="1">
      <c r="A319" s="80" t="s">
        <v>1365</v>
      </c>
      <c r="B319" s="5" t="s">
        <v>1366</v>
      </c>
    </row>
    <row r="320" ht="16.5" customHeight="1">
      <c r="A320" s="80" t="s">
        <v>1372</v>
      </c>
      <c r="B320" s="5" t="s">
        <v>1373</v>
      </c>
    </row>
    <row r="321" ht="16.5" customHeight="1">
      <c r="A321" s="80" t="s">
        <v>1375</v>
      </c>
      <c r="B321" s="5" t="s">
        <v>1376</v>
      </c>
    </row>
    <row r="322" ht="16.5" customHeight="1">
      <c r="A322" s="80" t="s">
        <v>1776</v>
      </c>
      <c r="B322" s="5" t="s">
        <v>1777</v>
      </c>
      <c r="C322" s="5" t="s">
        <v>86</v>
      </c>
      <c r="D322" s="5" t="s">
        <v>169</v>
      </c>
    </row>
    <row r="323" ht="16.5" customHeight="1">
      <c r="A323" s="80" t="s">
        <v>542</v>
      </c>
      <c r="B323" s="5" t="s">
        <v>543</v>
      </c>
      <c r="C323" s="5" t="s">
        <v>125</v>
      </c>
      <c r="D323" s="5" t="s">
        <v>1686</v>
      </c>
      <c r="E323" s="5" t="s">
        <v>125</v>
      </c>
    </row>
    <row r="324" ht="16.5" customHeight="1">
      <c r="A324" s="80" t="s">
        <v>556</v>
      </c>
      <c r="B324" s="5" t="s">
        <v>557</v>
      </c>
      <c r="C324" s="5" t="s">
        <v>125</v>
      </c>
      <c r="D324" s="5" t="s">
        <v>1686</v>
      </c>
      <c r="E324" s="5" t="s">
        <v>125</v>
      </c>
    </row>
    <row r="325" ht="16.5" customHeight="1">
      <c r="A325" s="80" t="s">
        <v>568</v>
      </c>
      <c r="B325" s="5" t="s">
        <v>569</v>
      </c>
      <c r="C325" s="5" t="s">
        <v>125</v>
      </c>
      <c r="D325" s="5" t="s">
        <v>1686</v>
      </c>
      <c r="E325" s="5" t="s">
        <v>125</v>
      </c>
    </row>
    <row r="326" ht="16.5" customHeight="1">
      <c r="A326" s="80" t="s">
        <v>579</v>
      </c>
      <c r="B326" s="5" t="s">
        <v>580</v>
      </c>
      <c r="C326" s="5" t="s">
        <v>125</v>
      </c>
      <c r="D326" s="5" t="s">
        <v>1686</v>
      </c>
      <c r="E326" s="5" t="s">
        <v>125</v>
      </c>
    </row>
    <row r="327" ht="16.5" customHeight="1">
      <c r="A327" s="80" t="s">
        <v>1377</v>
      </c>
      <c r="B327" s="5" t="s">
        <v>1378</v>
      </c>
    </row>
    <row r="328" ht="16.5" customHeight="1">
      <c r="A328" s="80" t="s">
        <v>1379</v>
      </c>
      <c r="B328" s="5" t="s">
        <v>1380</v>
      </c>
      <c r="C328" s="5" t="s">
        <v>776</v>
      </c>
      <c r="D328" s="5" t="s">
        <v>777</v>
      </c>
    </row>
    <row r="329" ht="16.5" customHeight="1">
      <c r="A329" s="80" t="s">
        <v>1779</v>
      </c>
      <c r="B329" s="5" t="s">
        <v>1780</v>
      </c>
      <c r="C329" s="5" t="s">
        <v>776</v>
      </c>
      <c r="D329" s="5" t="s">
        <v>777</v>
      </c>
    </row>
    <row r="330" ht="16.5" customHeight="1">
      <c r="A330" s="80" t="s">
        <v>1781</v>
      </c>
      <c r="B330" s="5" t="s">
        <v>1782</v>
      </c>
      <c r="C330" s="5" t="s">
        <v>776</v>
      </c>
      <c r="D330" s="5" t="s">
        <v>777</v>
      </c>
    </row>
    <row r="331" ht="16.5" customHeight="1">
      <c r="A331" s="80" t="s">
        <v>1783</v>
      </c>
      <c r="B331" s="5" t="s">
        <v>1785</v>
      </c>
      <c r="C331" s="5" t="s">
        <v>776</v>
      </c>
      <c r="D331" s="5" t="s">
        <v>777</v>
      </c>
    </row>
    <row r="332" ht="16.5" customHeight="1">
      <c r="A332" s="80" t="s">
        <v>1786</v>
      </c>
      <c r="B332" s="5" t="s">
        <v>1787</v>
      </c>
      <c r="C332" s="5" t="s">
        <v>776</v>
      </c>
      <c r="D332" s="5" t="s">
        <v>777</v>
      </c>
    </row>
    <row r="333" ht="16.5" customHeight="1">
      <c r="A333" s="80" t="s">
        <v>1788</v>
      </c>
      <c r="B333" s="5" t="s">
        <v>1789</v>
      </c>
      <c r="C333" s="5" t="s">
        <v>776</v>
      </c>
      <c r="D333" s="5" t="s">
        <v>777</v>
      </c>
    </row>
    <row r="334" ht="16.5" customHeight="1">
      <c r="A334" s="80" t="s">
        <v>1790</v>
      </c>
      <c r="B334" s="5" t="s">
        <v>1791</v>
      </c>
      <c r="C334" s="5" t="s">
        <v>226</v>
      </c>
      <c r="D334" s="5" t="s">
        <v>1641</v>
      </c>
      <c r="E334" s="5" t="s">
        <v>125</v>
      </c>
    </row>
    <row r="335" ht="16.5" customHeight="1">
      <c r="A335" s="80" t="s">
        <v>1792</v>
      </c>
      <c r="B335" s="5" t="s">
        <v>1793</v>
      </c>
      <c r="C335" s="5" t="s">
        <v>226</v>
      </c>
      <c r="D335" s="5" t="s">
        <v>1641</v>
      </c>
    </row>
    <row r="336" ht="16.5" customHeight="1">
      <c r="A336" s="80" t="s">
        <v>1794</v>
      </c>
      <c r="B336" s="5" t="s">
        <v>1795</v>
      </c>
      <c r="C336" s="5" t="s">
        <v>226</v>
      </c>
      <c r="D336" s="5" t="s">
        <v>1641</v>
      </c>
    </row>
    <row r="337" ht="16.5" customHeight="1">
      <c r="A337" s="80" t="s">
        <v>1796</v>
      </c>
      <c r="B337" s="5" t="s">
        <v>1797</v>
      </c>
      <c r="C337" s="5" t="s">
        <v>226</v>
      </c>
      <c r="D337" s="5" t="s">
        <v>1641</v>
      </c>
    </row>
    <row r="338" ht="16.5" customHeight="1">
      <c r="A338" s="80" t="s">
        <v>1798</v>
      </c>
      <c r="B338" s="5" t="s">
        <v>1799</v>
      </c>
      <c r="C338" s="5" t="s">
        <v>226</v>
      </c>
      <c r="D338" s="5" t="s">
        <v>1641</v>
      </c>
    </row>
    <row r="339" ht="16.5" customHeight="1">
      <c r="A339" s="80" t="s">
        <v>1800</v>
      </c>
      <c r="B339" s="5" t="s">
        <v>1801</v>
      </c>
      <c r="C339" s="5" t="s">
        <v>226</v>
      </c>
      <c r="D339" s="5" t="s">
        <v>1641</v>
      </c>
    </row>
    <row r="340" ht="16.5" customHeight="1">
      <c r="A340" s="80" t="s">
        <v>1802</v>
      </c>
      <c r="B340" s="5" t="s">
        <v>1803</v>
      </c>
      <c r="C340" s="5" t="s">
        <v>226</v>
      </c>
      <c r="D340" s="5" t="s">
        <v>1641</v>
      </c>
    </row>
    <row r="341" ht="16.5" customHeight="1">
      <c r="A341" s="80" t="s">
        <v>1804</v>
      </c>
      <c r="B341" s="5" t="s">
        <v>1805</v>
      </c>
      <c r="C341" s="5" t="s">
        <v>226</v>
      </c>
      <c r="D341" s="5" t="s">
        <v>1641</v>
      </c>
    </row>
    <row r="342" ht="16.5" customHeight="1">
      <c r="A342" s="80" t="s">
        <v>1806</v>
      </c>
      <c r="B342" s="5" t="s">
        <v>1807</v>
      </c>
      <c r="C342" s="5" t="s">
        <v>226</v>
      </c>
      <c r="D342" s="5" t="s">
        <v>1641</v>
      </c>
    </row>
    <row r="343" ht="16.5" customHeight="1">
      <c r="A343" s="80" t="s">
        <v>1808</v>
      </c>
      <c r="B343" s="5" t="s">
        <v>1809</v>
      </c>
      <c r="C343" s="5" t="s">
        <v>226</v>
      </c>
      <c r="D343" s="5" t="s">
        <v>1641</v>
      </c>
      <c r="E343" s="5" t="s">
        <v>125</v>
      </c>
    </row>
    <row r="344" ht="16.5" customHeight="1">
      <c r="A344" s="80" t="s">
        <v>1810</v>
      </c>
      <c r="B344" s="5" t="s">
        <v>1811</v>
      </c>
      <c r="C344" s="5" t="s">
        <v>226</v>
      </c>
      <c r="D344" s="5" t="s">
        <v>1641</v>
      </c>
    </row>
    <row r="345" ht="16.5" customHeight="1">
      <c r="A345" s="80" t="s">
        <v>1812</v>
      </c>
      <c r="B345" s="5" t="s">
        <v>1813</v>
      </c>
      <c r="C345" s="5" t="s">
        <v>226</v>
      </c>
      <c r="D345" s="5" t="s">
        <v>1641</v>
      </c>
    </row>
    <row r="346" ht="16.5" customHeight="1">
      <c r="A346" s="80" t="s">
        <v>1814</v>
      </c>
      <c r="B346" s="5" t="s">
        <v>1815</v>
      </c>
    </row>
    <row r="347" ht="16.5" customHeight="1">
      <c r="A347" s="80" t="s">
        <v>1101</v>
      </c>
      <c r="B347" s="5" t="s">
        <v>1102</v>
      </c>
    </row>
    <row r="348" ht="16.5" customHeight="1">
      <c r="A348" s="80" t="s">
        <v>1103</v>
      </c>
      <c r="B348" s="5" t="s">
        <v>1104</v>
      </c>
    </row>
    <row r="349" ht="16.5" customHeight="1">
      <c r="A349" s="80" t="s">
        <v>1382</v>
      </c>
      <c r="B349" s="5" t="s">
        <v>1383</v>
      </c>
    </row>
    <row r="350" ht="16.5" customHeight="1">
      <c r="A350" s="80" t="s">
        <v>1386</v>
      </c>
      <c r="B350" s="5" t="s">
        <v>1387</v>
      </c>
    </row>
    <row r="351" ht="16.5" customHeight="1">
      <c r="A351" s="80" t="s">
        <v>1817</v>
      </c>
      <c r="B351" s="5" t="s">
        <v>1818</v>
      </c>
      <c r="C351" s="5" t="s">
        <v>86</v>
      </c>
      <c r="D351" s="5" t="s">
        <v>169</v>
      </c>
    </row>
    <row r="352" ht="16.5" customHeight="1">
      <c r="A352" s="80" t="s">
        <v>1819</v>
      </c>
      <c r="B352" s="5" t="s">
        <v>1820</v>
      </c>
      <c r="C352" s="5" t="s">
        <v>86</v>
      </c>
      <c r="D352" s="5" t="s">
        <v>169</v>
      </c>
    </row>
    <row r="353" ht="16.5" customHeight="1">
      <c r="A353" s="80" t="s">
        <v>1821</v>
      </c>
      <c r="B353" s="5" t="s">
        <v>1822</v>
      </c>
      <c r="C353" s="5" t="s">
        <v>776</v>
      </c>
      <c r="D353" s="5" t="s">
        <v>777</v>
      </c>
    </row>
    <row r="354" ht="16.5" customHeight="1">
      <c r="A354" s="80" t="s">
        <v>1823</v>
      </c>
      <c r="B354" s="5" t="s">
        <v>1824</v>
      </c>
      <c r="C354" s="5" t="s">
        <v>776</v>
      </c>
      <c r="D354" s="5" t="s">
        <v>777</v>
      </c>
    </row>
    <row r="355" ht="16.5" customHeight="1">
      <c r="A355" s="80" t="s">
        <v>637</v>
      </c>
      <c r="B355" s="5" t="s">
        <v>638</v>
      </c>
    </row>
    <row r="356" ht="16.5" customHeight="1">
      <c r="A356" s="80" t="s">
        <v>650</v>
      </c>
      <c r="B356" s="5" t="s">
        <v>651</v>
      </c>
    </row>
    <row r="357" ht="16.5" customHeight="1">
      <c r="A357" s="80" t="s">
        <v>734</v>
      </c>
      <c r="B357" s="5" t="s">
        <v>735</v>
      </c>
      <c r="C357" s="5" t="s">
        <v>125</v>
      </c>
    </row>
    <row r="358" ht="16.5" customHeight="1">
      <c r="A358" s="80" t="s">
        <v>741</v>
      </c>
      <c r="B358" s="5" t="s">
        <v>742</v>
      </c>
      <c r="C358" s="5" t="s">
        <v>125</v>
      </c>
    </row>
    <row r="359" ht="16.5" customHeight="1">
      <c r="A359" s="80" t="s">
        <v>663</v>
      </c>
      <c r="B359" s="5" t="s">
        <v>664</v>
      </c>
      <c r="C359" s="5" t="s">
        <v>125</v>
      </c>
    </row>
    <row r="360" ht="16.5" customHeight="1">
      <c r="A360" s="80" t="s">
        <v>676</v>
      </c>
      <c r="B360" s="5" t="s">
        <v>677</v>
      </c>
      <c r="C360" s="5" t="s">
        <v>125</v>
      </c>
    </row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2026-07-11T14:42:55Z</dcterms:created>
  <dc:creator>Linden Mallory</dc:creator>
</cp:coreProperties>
</file>